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Universe'!$A$1:$J$447</definedName>
    <definedName name="_xlnm._FilterDatabase" localSheetId="3" hidden="1">'Confluence Overlap'!$A$1:$K$97</definedName>
    <definedName name="_xlnm._FilterDatabase" localSheetId="4" hidden="1">'Monit Non Financial'!$A$1:$CE$372</definedName>
    <definedName name="_xlnm._FilterDatabase" localSheetId="5" hidden="1">'Monit Banks NBFC'!$A$1:$CA$76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Financial'!$A$1:$CG$85</definedName>
    <definedName name="_xlnm._FilterDatabase" localSheetId="9" hidden="1">'Scan Match Banks NBFC'!$A$1:$CC$17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10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5" customWidth="1" min="3" max="3"/>
    <col width="40" customWidth="1" min="4" max="4"/>
    <col width="25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546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76</v>
      </c>
      <c r="G6" s="19" t="n">
        <v>15344.44</v>
      </c>
      <c r="H6" s="18" t="inlineStr">
        <is>
          <t>Potential Leader</t>
        </is>
      </c>
      <c r="J6" s="18" t="inlineStr">
        <is>
          <t>media</t>
        </is>
      </c>
      <c r="K6" s="16" t="n">
        <v>17</v>
      </c>
      <c r="L6" s="16" t="n">
        <v>13</v>
      </c>
      <c r="M6" s="20" t="inlineStr">
        <is>
          <t>30.8%</t>
        </is>
      </c>
    </row>
    <row r="7">
      <c r="A7" s="16" t="n">
        <v>2</v>
      </c>
      <c r="B7" s="17" t="n">
        <v>534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74</v>
      </c>
      <c r="G7" s="19" t="n">
        <v>5544.93</v>
      </c>
      <c r="H7" s="18" t="inlineStr">
        <is>
          <t>Potential Leader</t>
        </is>
      </c>
      <c r="J7" s="18" t="inlineStr">
        <is>
          <t>i.t</t>
        </is>
      </c>
      <c r="K7" s="16" t="n">
        <v>80</v>
      </c>
      <c r="L7" s="16" t="n">
        <v>71</v>
      </c>
      <c r="M7" s="20" t="inlineStr">
        <is>
          <t>12.7%</t>
        </is>
      </c>
    </row>
    <row r="8">
      <c r="A8" s="16" t="n">
        <v>3</v>
      </c>
      <c r="B8" s="17" t="n">
        <v>528</v>
      </c>
      <c r="C8" s="17" t="inlineStr">
        <is>
          <t>WELCORP</t>
        </is>
      </c>
      <c r="D8" s="18" t="inlineStr">
        <is>
          <t>Welspun Corp Limited</t>
        </is>
      </c>
      <c r="E8" s="18" t="inlineStr">
        <is>
          <t>industrials</t>
        </is>
      </c>
      <c r="F8" s="16" t="n">
        <v>73</v>
      </c>
      <c r="G8" s="19" t="n">
        <v>42256.62</v>
      </c>
      <c r="H8" s="18" t="inlineStr">
        <is>
          <t>Potential Leader</t>
        </is>
      </c>
      <c r="J8" s="18" t="inlineStr">
        <is>
          <t>miscellaneous</t>
        </is>
      </c>
      <c r="K8" s="16" t="n">
        <v>63</v>
      </c>
      <c r="L8" s="16" t="n">
        <v>56</v>
      </c>
      <c r="M8" s="20" t="inlineStr">
        <is>
          <t>12.5%</t>
        </is>
      </c>
    </row>
    <row r="9">
      <c r="A9" s="16" t="n">
        <v>4</v>
      </c>
      <c r="B9" s="17" t="n">
        <v>510</v>
      </c>
      <c r="C9" s="17" t="inlineStr">
        <is>
          <t>SHILPAMED</t>
        </is>
      </c>
      <c r="D9" s="18" t="inlineStr">
        <is>
          <t>Shilpa Medicare Limited</t>
        </is>
      </c>
      <c r="E9" s="18" t="inlineStr">
        <is>
          <t>healthcare</t>
        </is>
      </c>
      <c r="F9" s="16" t="n">
        <v>70</v>
      </c>
      <c r="G9" s="19" t="n">
        <v>12171.06</v>
      </c>
      <c r="H9" s="18" t="inlineStr">
        <is>
          <t>Potential Leader</t>
        </is>
      </c>
      <c r="J9" s="18" t="inlineStr">
        <is>
          <t>plastic products</t>
        </is>
      </c>
      <c r="K9" s="16" t="n">
        <v>10</v>
      </c>
      <c r="L9" s="16" t="n">
        <v>9</v>
      </c>
      <c r="M9" s="20" t="inlineStr">
        <is>
          <t>11.1%</t>
        </is>
      </c>
    </row>
    <row r="10">
      <c r="A10" s="16" t="n">
        <v>5</v>
      </c>
      <c r="B10" s="17" t="n">
        <v>486</v>
      </c>
      <c r="C10" s="17" t="inlineStr">
        <is>
          <t>NINSYS</t>
        </is>
      </c>
      <c r="D10" s="18" t="inlineStr">
        <is>
          <t>NINtec Systems Ltd</t>
        </is>
      </c>
      <c r="E10" s="18" t="inlineStr">
        <is>
          <t>i.t</t>
        </is>
      </c>
      <c r="F10" s="16" t="n">
        <v>66</v>
      </c>
      <c r="G10" s="19" t="n">
        <v>1698.13</v>
      </c>
      <c r="H10" s="18" t="inlineStr">
        <is>
          <t>Potential Leader</t>
        </is>
      </c>
      <c r="J10" s="18" t="inlineStr">
        <is>
          <t>services</t>
        </is>
      </c>
      <c r="K10" s="16" t="n">
        <v>69</v>
      </c>
      <c r="L10" s="16" t="n">
        <v>65</v>
      </c>
      <c r="M10" s="20" t="inlineStr">
        <is>
          <t>6.2%</t>
        </is>
      </c>
    </row>
    <row r="11">
      <c r="A11" s="16" t="n">
        <v>6</v>
      </c>
      <c r="B11" s="17" t="n">
        <v>480</v>
      </c>
      <c r="C11" s="17" t="inlineStr">
        <is>
          <t>SIGMAADV</t>
        </is>
      </c>
      <c r="D11" s="18" t="inlineStr">
        <is>
          <t>Sigma Advanced System Ltd</t>
        </is>
      </c>
      <c r="E11" s="18" t="inlineStr">
        <is>
          <t>aerospace &amp; defence</t>
        </is>
      </c>
      <c r="F11" s="16" t="n">
        <v>65</v>
      </c>
      <c r="G11" s="19" t="n">
        <v>9835.059999999999</v>
      </c>
      <c r="H11" s="18" t="inlineStr">
        <is>
          <t>Potential Leader</t>
        </is>
      </c>
      <c r="J11" s="18" t="inlineStr">
        <is>
          <t>financials</t>
        </is>
      </c>
      <c r="K11" s="16" t="n">
        <v>232</v>
      </c>
      <c r="L11" s="16" t="n">
        <v>229</v>
      </c>
      <c r="M11" s="20" t="inlineStr">
        <is>
          <t>1.3%</t>
        </is>
      </c>
    </row>
    <row r="12">
      <c r="A12" s="16" t="n">
        <v>7</v>
      </c>
      <c r="B12" s="17" t="n">
        <v>480</v>
      </c>
      <c r="C12" s="17" t="inlineStr">
        <is>
          <t>TALBROAUTO</t>
        </is>
      </c>
      <c r="D12" s="18" t="inlineStr">
        <is>
          <t>Talbros Automotive Components Limited</t>
        </is>
      </c>
      <c r="E12" s="18" t="inlineStr">
        <is>
          <t>auto</t>
        </is>
      </c>
      <c r="F12" s="16" t="n">
        <v>65</v>
      </c>
      <c r="G12" s="19" t="n">
        <v>2523.45</v>
      </c>
      <c r="H12" s="18" t="inlineStr">
        <is>
          <t>Potential Leader</t>
        </is>
      </c>
      <c r="J12" s="18" t="inlineStr">
        <is>
          <t>fmcg</t>
        </is>
      </c>
      <c r="K12" s="16" t="n">
        <v>119</v>
      </c>
      <c r="L12" s="16" t="n">
        <v>119</v>
      </c>
      <c r="M12" s="20" t="inlineStr">
        <is>
          <t>0.0%</t>
        </is>
      </c>
    </row>
    <row r="13">
      <c r="A13" s="16" t="n">
        <v>8</v>
      </c>
      <c r="B13" s="17" t="n">
        <v>426</v>
      </c>
      <c r="C13" s="17" t="inlineStr">
        <is>
          <t>INDOBORAX</t>
        </is>
      </c>
      <c r="D13" s="18" t="inlineStr">
        <is>
          <t>Indo Borax &amp; Chemicals Ltd</t>
        </is>
      </c>
      <c r="E13" s="18" t="inlineStr">
        <is>
          <t>chemicals</t>
        </is>
      </c>
      <c r="F13" s="16" t="n">
        <v>56</v>
      </c>
      <c r="G13" s="19" t="n">
        <v>1391.58</v>
      </c>
      <c r="H13" s="18" t="inlineStr">
        <is>
          <t>Potential Leader</t>
        </is>
      </c>
      <c r="J13" s="18" t="inlineStr">
        <is>
          <t>transportation</t>
        </is>
      </c>
      <c r="K13" s="16" t="n">
        <v>43</v>
      </c>
      <c r="L13" s="16" t="n">
        <v>43</v>
      </c>
      <c r="M13" s="20" t="inlineStr">
        <is>
          <t>0.0%</t>
        </is>
      </c>
    </row>
    <row r="14">
      <c r="A14" s="16" t="n">
        <v>9</v>
      </c>
      <c r="B14" s="17" t="n">
        <v>420</v>
      </c>
      <c r="C14" s="17" t="inlineStr">
        <is>
          <t>BLSE</t>
        </is>
      </c>
      <c r="D14" s="18" t="inlineStr">
        <is>
          <t>BLS E-Services Ltd</t>
        </is>
      </c>
      <c r="E14" s="18" t="inlineStr">
        <is>
          <t>i.t</t>
        </is>
      </c>
      <c r="F14" s="16" t="n">
        <v>55</v>
      </c>
      <c r="G14" s="19" t="n">
        <v>2374.53</v>
      </c>
      <c r="H14" s="18" t="inlineStr">
        <is>
          <t>Potential Leader</t>
        </is>
      </c>
      <c r="J14" s="18" t="inlineStr">
        <is>
          <t>textiles</t>
        </is>
      </c>
      <c r="K14" s="16" t="n">
        <v>87</v>
      </c>
      <c r="L14" s="16" t="n">
        <v>92</v>
      </c>
      <c r="M14" s="21" t="inlineStr">
        <is>
          <t>-5.4%</t>
        </is>
      </c>
    </row>
    <row r="15">
      <c r="A15" s="16" t="n">
        <v>10</v>
      </c>
      <c r="B15" s="17" t="n">
        <v>420</v>
      </c>
      <c r="C15" s="17" t="inlineStr">
        <is>
          <t>CEMPRO</t>
        </is>
      </c>
      <c r="D15" s="18" t="inlineStr">
        <is>
          <t>Cemindia Projects Ltd</t>
        </is>
      </c>
      <c r="E15" s="18" t="inlineStr">
        <is>
          <t>realty</t>
        </is>
      </c>
      <c r="F15" s="16" t="n">
        <v>55</v>
      </c>
      <c r="G15" s="19" t="n">
        <v>26697.51</v>
      </c>
      <c r="H15" s="18" t="inlineStr">
        <is>
          <t>Potential Leader</t>
        </is>
      </c>
      <c r="J15" s="18" t="inlineStr">
        <is>
          <t>healthcare</t>
        </is>
      </c>
      <c r="K15" s="16" t="n">
        <v>302</v>
      </c>
      <c r="L15" s="16" t="n">
        <v>324</v>
      </c>
      <c r="M15" s="21" t="inlineStr">
        <is>
          <t>-6.8%</t>
        </is>
      </c>
    </row>
    <row r="16">
      <c r="A16" s="16" t="n">
        <v>11</v>
      </c>
      <c r="B16" s="17" t="n">
        <v>420</v>
      </c>
      <c r="C16" s="17" t="inlineStr">
        <is>
          <t>RATEGAIN</t>
        </is>
      </c>
      <c r="D16" s="18" t="inlineStr">
        <is>
          <t>Rategain Travel Technologies Ltd</t>
        </is>
      </c>
      <c r="E16" s="18" t="inlineStr">
        <is>
          <t>i.t</t>
        </is>
      </c>
      <c r="F16" s="16" t="n">
        <v>55</v>
      </c>
      <c r="G16" s="19" t="n">
        <v>11128.23</v>
      </c>
      <c r="H16" s="18" t="inlineStr">
        <is>
          <t>Potential Leader</t>
        </is>
      </c>
      <c r="J16" s="18" t="inlineStr">
        <is>
          <t>auto</t>
        </is>
      </c>
      <c r="K16" s="16" t="n">
        <v>163</v>
      </c>
      <c r="L16" s="16" t="n">
        <v>180</v>
      </c>
      <c r="M16" s="21" t="inlineStr">
        <is>
          <t>-9.4%</t>
        </is>
      </c>
    </row>
    <row r="17">
      <c r="A17" s="16" t="n">
        <v>12</v>
      </c>
      <c r="B17" s="17" t="n">
        <v>414</v>
      </c>
      <c r="C17" s="17" t="inlineStr">
        <is>
          <t>GRWRHITECH</t>
        </is>
      </c>
      <c r="D17" s="18" t="inlineStr">
        <is>
          <t>Garware Hi Tech Films Ltd</t>
        </is>
      </c>
      <c r="E17" s="18" t="inlineStr">
        <is>
          <t>industrials</t>
        </is>
      </c>
      <c r="F17" s="16" t="n">
        <v>54</v>
      </c>
      <c r="G17" s="19" t="n">
        <v>16081.46</v>
      </c>
      <c r="H17" s="18" t="inlineStr">
        <is>
          <t>Potential Leader</t>
        </is>
      </c>
      <c r="J17" s="18" t="inlineStr">
        <is>
          <t>bank</t>
        </is>
      </c>
      <c r="K17" s="16" t="n">
        <v>76</v>
      </c>
      <c r="L17" s="16" t="n">
        <v>85</v>
      </c>
      <c r="M17" s="21" t="inlineStr">
        <is>
          <t>-10.6%</t>
        </is>
      </c>
    </row>
    <row r="18">
      <c r="A18" s="16" t="n">
        <v>13</v>
      </c>
      <c r="B18" s="17" t="n">
        <v>414</v>
      </c>
      <c r="C18" s="17" t="inlineStr">
        <is>
          <t>INNOVACAP</t>
        </is>
      </c>
      <c r="D18" s="18" t="inlineStr">
        <is>
          <t>Innova Captab Ltd</t>
        </is>
      </c>
      <c r="E18" s="18" t="inlineStr">
        <is>
          <t>healthcare</t>
        </is>
      </c>
      <c r="F18" s="16" t="n">
        <v>54</v>
      </c>
      <c r="G18" s="19" t="n">
        <v>5670.13</v>
      </c>
      <c r="H18" s="18" t="inlineStr">
        <is>
          <t>Potential Leader</t>
        </is>
      </c>
      <c r="J18" s="18" t="inlineStr">
        <is>
          <t>consumer discretionary</t>
        </is>
      </c>
      <c r="K18" s="16" t="n">
        <v>149</v>
      </c>
      <c r="L18" s="16" t="n">
        <v>169</v>
      </c>
      <c r="M18" s="21" t="inlineStr">
        <is>
          <t>-11.8%</t>
        </is>
      </c>
    </row>
    <row r="19">
      <c r="A19" s="16" t="n">
        <v>14</v>
      </c>
      <c r="B19" s="17" t="n">
        <v>414</v>
      </c>
      <c r="C19" s="17" t="inlineStr">
        <is>
          <t>LAURUSLABS</t>
        </is>
      </c>
      <c r="D19" s="18" t="inlineStr">
        <is>
          <t>Laurus Labs Limited</t>
        </is>
      </c>
      <c r="E19" s="18" t="inlineStr">
        <is>
          <t>healthcare</t>
        </is>
      </c>
      <c r="F19" s="16" t="n">
        <v>54</v>
      </c>
      <c r="G19" s="19" t="n">
        <v>81377.98</v>
      </c>
      <c r="H19" s="18" t="inlineStr">
        <is>
          <t>Potential Leader</t>
        </is>
      </c>
      <c r="J19" s="18" t="inlineStr">
        <is>
          <t>realty</t>
        </is>
      </c>
      <c r="K19" s="16" t="n">
        <v>89</v>
      </c>
      <c r="L19" s="16" t="n">
        <v>101</v>
      </c>
      <c r="M19" s="21" t="inlineStr">
        <is>
          <t>-11.9%</t>
        </is>
      </c>
    </row>
    <row r="20">
      <c r="A20" s="16" t="n">
        <v>15</v>
      </c>
      <c r="B20" s="17" t="n">
        <v>402</v>
      </c>
      <c r="C20" s="17" t="inlineStr">
        <is>
          <t>MAYURUNIQ</t>
        </is>
      </c>
      <c r="D20" s="18" t="inlineStr">
        <is>
          <t>Mayur Uniquoters Ltd</t>
        </is>
      </c>
      <c r="E20" s="18" t="inlineStr">
        <is>
          <t>consumer discretionary</t>
        </is>
      </c>
      <c r="F20" s="16" t="n">
        <v>52</v>
      </c>
      <c r="G20" s="19" t="n">
        <v>3620.91</v>
      </c>
      <c r="H20" s="18" t="inlineStr">
        <is>
          <t>Potential Leader</t>
        </is>
      </c>
      <c r="J20" s="18" t="inlineStr">
        <is>
          <t>aerospace &amp; defence</t>
        </is>
      </c>
      <c r="K20" s="16" t="n">
        <v>40</v>
      </c>
      <c r="L20" s="16" t="n">
        <v>46</v>
      </c>
      <c r="M20" s="21" t="inlineStr">
        <is>
          <t>-13.0%</t>
        </is>
      </c>
    </row>
    <row r="21">
      <c r="A21" s="16" t="n">
        <v>16</v>
      </c>
      <c r="B21" s="17" t="n">
        <v>366</v>
      </c>
      <c r="C21" s="17" t="inlineStr">
        <is>
          <t>CAPLIPOINT</t>
        </is>
      </c>
      <c r="D21" s="18" t="inlineStr">
        <is>
          <t>Caplin Point Laboratories Limited</t>
        </is>
      </c>
      <c r="E21" s="18" t="inlineStr">
        <is>
          <t>healthcare</t>
        </is>
      </c>
      <c r="F21" s="16" t="n">
        <v>46</v>
      </c>
      <c r="G21" s="19" t="n">
        <v>19925.71</v>
      </c>
      <c r="H21" s="18" t="inlineStr">
        <is>
          <t>Potential Leader</t>
        </is>
      </c>
    </row>
    <row r="22">
      <c r="A22" s="16" t="n">
        <v>17</v>
      </c>
      <c r="B22" s="17" t="n">
        <v>366</v>
      </c>
      <c r="C22" s="17" t="inlineStr">
        <is>
          <t>PAISALO</t>
        </is>
      </c>
      <c r="D22" s="18" t="inlineStr">
        <is>
          <t>Paisalo Digital Ltd</t>
        </is>
      </c>
      <c r="E22" s="18" t="inlineStr">
        <is>
          <t>financials</t>
        </is>
      </c>
      <c r="F22" s="16" t="n">
        <v>46</v>
      </c>
      <c r="G22" s="19" t="n">
        <v>6584.94</v>
      </c>
      <c r="H22" s="18" t="inlineStr">
        <is>
          <t>Potential Leader</t>
        </is>
      </c>
    </row>
    <row r="23">
      <c r="A23" s="16" t="n">
        <v>18</v>
      </c>
      <c r="B23" s="17" t="n">
        <v>360</v>
      </c>
      <c r="C23" s="17" t="inlineStr">
        <is>
          <t>ICIL</t>
        </is>
      </c>
      <c r="D23" s="18" t="inlineStr">
        <is>
          <t>Indo Count Industries Limited</t>
        </is>
      </c>
      <c r="E23" s="18" t="inlineStr">
        <is>
          <t>textiles</t>
        </is>
      </c>
      <c r="F23" s="16" t="n">
        <v>45</v>
      </c>
      <c r="G23" s="19" t="n">
        <v>8354.92</v>
      </c>
      <c r="H23" s="18" t="inlineStr">
        <is>
          <t>Potential Leader</t>
        </is>
      </c>
    </row>
    <row r="24">
      <c r="A24" s="16" t="n">
        <v>19</v>
      </c>
      <c r="B24" s="17" t="n">
        <v>354</v>
      </c>
      <c r="C24" s="17" t="inlineStr">
        <is>
          <t>RPEL</t>
        </is>
      </c>
      <c r="D24" s="18" t="inlineStr">
        <is>
          <t>Raghav Productivity Enhancers Ltd</t>
        </is>
      </c>
      <c r="E24" s="18" t="inlineStr">
        <is>
          <t>building materials</t>
        </is>
      </c>
      <c r="F24" s="16" t="n">
        <v>44</v>
      </c>
      <c r="G24" s="19" t="n">
        <v>5919.34</v>
      </c>
      <c r="H24" s="18" t="inlineStr">
        <is>
          <t>Potential Leader</t>
        </is>
      </c>
    </row>
    <row r="25">
      <c r="A25" s="16" t="n">
        <v>20</v>
      </c>
      <c r="B25" s="17" t="n">
        <v>348</v>
      </c>
      <c r="C25" s="17" t="inlineStr">
        <is>
          <t>YASHO</t>
        </is>
      </c>
      <c r="D25" s="18" t="inlineStr">
        <is>
          <t>Yasho Industries Ltd</t>
        </is>
      </c>
      <c r="E25" s="18" t="inlineStr">
        <is>
          <t>chemicals</t>
        </is>
      </c>
      <c r="F25" s="16" t="n">
        <v>43</v>
      </c>
      <c r="G25" s="19" t="n">
        <v>3623.16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MOREPENLAB</t>
        </is>
      </c>
      <c r="B30" s="18" t="inlineStr">
        <is>
          <t>Morepen Laboratories Limited</t>
        </is>
      </c>
      <c r="C30" s="18" t="inlineStr">
        <is>
          <t>healthcare</t>
        </is>
      </c>
      <c r="D30" s="16" t="n">
        <v>10</v>
      </c>
      <c r="E30" s="16" t="n">
        <v>2</v>
      </c>
      <c r="F30" s="19" t="n">
        <v>3340.33</v>
      </c>
      <c r="J30" s="17" t="inlineStr">
        <is>
          <t>SATIN</t>
        </is>
      </c>
      <c r="K30" s="18" t="inlineStr">
        <is>
          <t>financials</t>
        </is>
      </c>
      <c r="L30" s="19" t="n">
        <v>302</v>
      </c>
      <c r="M30" s="19" t="n">
        <v>2818.34</v>
      </c>
      <c r="N30" s="16" t="n">
        <v>27</v>
      </c>
    </row>
    <row r="31">
      <c r="A31" s="17" t="inlineStr">
        <is>
          <t>ONMOBILE</t>
        </is>
      </c>
      <c r="B31" s="18" t="inlineStr">
        <is>
          <t>Onmobile Global Limited</t>
        </is>
      </c>
      <c r="C31" s="18" t="inlineStr">
        <is>
          <t>telecom-service</t>
        </is>
      </c>
      <c r="D31" s="16" t="n">
        <v>10</v>
      </c>
      <c r="E31" s="16" t="n">
        <v>0</v>
      </c>
      <c r="F31" s="19" t="n">
        <v>718.09</v>
      </c>
      <c r="J31" s="17" t="inlineStr">
        <is>
          <t>KTKBANK</t>
        </is>
      </c>
      <c r="K31" s="18" t="inlineStr">
        <is>
          <t>bank</t>
        </is>
      </c>
      <c r="L31" s="19" t="n">
        <v>295</v>
      </c>
      <c r="M31" s="19" t="n">
        <v>10134.16</v>
      </c>
      <c r="N31" s="16" t="n">
        <v>12</v>
      </c>
    </row>
    <row r="32">
      <c r="A32" s="17" t="inlineStr">
        <is>
          <t>RAMCOIND</t>
        </is>
      </c>
      <c r="B32" s="18" t="inlineStr">
        <is>
          <t>Ramco Industries Limited</t>
        </is>
      </c>
      <c r="C32" s="18" t="inlineStr">
        <is>
          <t>building materials</t>
        </is>
      </c>
      <c r="D32" s="16" t="n">
        <v>10</v>
      </c>
      <c r="E32" s="16" t="n">
        <v>2</v>
      </c>
      <c r="F32" s="19" t="n">
        <v>3204.45</v>
      </c>
      <c r="J32" s="17" t="inlineStr">
        <is>
          <t>IOLCP</t>
        </is>
      </c>
      <c r="K32" s="18" t="inlineStr">
        <is>
          <t>healthcare</t>
        </is>
      </c>
      <c r="L32" s="19" t="n">
        <v>292</v>
      </c>
      <c r="M32" s="19" t="n">
        <v>4935.67</v>
      </c>
      <c r="N32" s="16" t="n">
        <v>28</v>
      </c>
    </row>
    <row r="33">
      <c r="A33" s="17" t="inlineStr">
        <is>
          <t>ZOTA</t>
        </is>
      </c>
      <c r="B33" s="18" t="inlineStr">
        <is>
          <t>Zota Health Care Ltd</t>
        </is>
      </c>
      <c r="C33" s="18" t="inlineStr">
        <is>
          <t>healthcare</t>
        </is>
      </c>
      <c r="D33" s="16" t="n">
        <v>10</v>
      </c>
      <c r="E33" s="16" t="n">
        <v>0</v>
      </c>
      <c r="F33" s="19" t="n">
        <v>4910.21</v>
      </c>
      <c r="J33" s="17" t="inlineStr">
        <is>
          <t>IBULLSLTD</t>
        </is>
      </c>
      <c r="K33" s="18" t="inlineStr">
        <is>
          <t>miscellaneous</t>
        </is>
      </c>
      <c r="L33" s="19" t="n">
        <v>290</v>
      </c>
      <c r="M33" s="19" t="n">
        <v>6873.2</v>
      </c>
      <c r="N33" s="16" t="n">
        <v>30</v>
      </c>
    </row>
    <row r="34">
      <c r="A34" s="17" t="inlineStr">
        <is>
          <t>FDC</t>
        </is>
      </c>
      <c r="B34" s="18" t="inlineStr">
        <is>
          <t>Fdc Limited</t>
        </is>
      </c>
      <c r="C34" s="18" t="inlineStr">
        <is>
          <t>healthcare</t>
        </is>
      </c>
      <c r="D34" s="16" t="n">
        <v>9</v>
      </c>
      <c r="E34" s="16" t="n">
        <v>2</v>
      </c>
      <c r="F34" s="19" t="n">
        <v>7035.02</v>
      </c>
      <c r="J34" s="17" t="inlineStr">
        <is>
          <t>INDOBORAX</t>
        </is>
      </c>
      <c r="K34" s="18" t="inlineStr">
        <is>
          <t>chemicals</t>
        </is>
      </c>
      <c r="L34" s="19" t="n">
        <v>288</v>
      </c>
      <c r="M34" s="19" t="n">
        <v>1391.58</v>
      </c>
      <c r="N34" s="16" t="n">
        <v>30</v>
      </c>
    </row>
    <row r="35">
      <c r="A35" s="17" t="inlineStr">
        <is>
          <t>KABRAEXTRU</t>
        </is>
      </c>
      <c r="B35" s="18" t="inlineStr">
        <is>
          <t>Kabra Extrusion Technik Limited</t>
        </is>
      </c>
      <c r="C35" s="18" t="inlineStr">
        <is>
          <t>industrials</t>
        </is>
      </c>
      <c r="D35" s="16" t="n">
        <v>9</v>
      </c>
      <c r="E35" s="16" t="n">
        <v>0</v>
      </c>
      <c r="F35" s="19" t="n">
        <v>1033.97</v>
      </c>
      <c r="J35" s="17" t="inlineStr">
        <is>
          <t>UJJIVANSFB</t>
        </is>
      </c>
      <c r="K35" s="18" t="inlineStr">
        <is>
          <t>bank</t>
        </is>
      </c>
      <c r="L35" s="19" t="n">
        <v>287</v>
      </c>
      <c r="M35" s="19" t="n">
        <v>12157.51</v>
      </c>
      <c r="N35" s="16" t="n">
        <v>15</v>
      </c>
    </row>
    <row r="36">
      <c r="A36" s="17" t="inlineStr">
        <is>
          <t>NELCO</t>
        </is>
      </c>
      <c r="B36" s="18" t="inlineStr">
        <is>
          <t>Nelco Limited</t>
        </is>
      </c>
      <c r="C36" s="18" t="inlineStr">
        <is>
          <t>telecom</t>
        </is>
      </c>
      <c r="D36" s="16" t="n">
        <v>9</v>
      </c>
      <c r="E36" s="16" t="n">
        <v>1</v>
      </c>
      <c r="F36" s="19" t="n">
        <v>2044.87</v>
      </c>
      <c r="J36" s="17" t="inlineStr">
        <is>
          <t>RPTECH</t>
        </is>
      </c>
      <c r="K36" s="18" t="inlineStr">
        <is>
          <t>services</t>
        </is>
      </c>
      <c r="L36" s="19" t="n">
        <v>285</v>
      </c>
      <c r="M36" s="19" t="n">
        <v>5135.23</v>
      </c>
      <c r="N36" s="16" t="n">
        <v>28</v>
      </c>
    </row>
    <row r="37">
      <c r="A37" s="17" t="inlineStr">
        <is>
          <t>QUESS</t>
        </is>
      </c>
      <c r="B37" s="18" t="inlineStr">
        <is>
          <t>Quess Corp Limited</t>
        </is>
      </c>
      <c r="C37" s="18" t="inlineStr">
        <is>
          <t>miscellaneous</t>
        </is>
      </c>
      <c r="D37" s="16" t="n">
        <v>9</v>
      </c>
      <c r="E37" s="16" t="n">
        <v>0</v>
      </c>
      <c r="F37" s="19" t="n">
        <v>4398.56</v>
      </c>
      <c r="J37" s="17" t="inlineStr">
        <is>
          <t>RANEHOLDIN</t>
        </is>
      </c>
      <c r="K37" s="18" t="inlineStr">
        <is>
          <t>financials</t>
        </is>
      </c>
      <c r="L37" s="19" t="n">
        <v>285</v>
      </c>
      <c r="M37" s="19" t="n">
        <v>2534.45</v>
      </c>
      <c r="N37" s="16" t="n">
        <v>26</v>
      </c>
    </row>
    <row r="38">
      <c r="A38" s="17" t="inlineStr">
        <is>
          <t>CEATLTD</t>
        </is>
      </c>
      <c r="B38" s="18" t="inlineStr">
        <is>
          <t>Ceat Limited</t>
        </is>
      </c>
      <c r="C38" s="18" t="inlineStr">
        <is>
          <t>auto</t>
        </is>
      </c>
      <c r="D38" s="16" t="n">
        <v>8</v>
      </c>
      <c r="E38" s="16" t="n">
        <v>1</v>
      </c>
      <c r="F38" s="19" t="n">
        <v>15809.92</v>
      </c>
      <c r="J38" s="17" t="inlineStr">
        <is>
          <t>TMB</t>
        </is>
      </c>
      <c r="K38" s="18" t="inlineStr">
        <is>
          <t>bank</t>
        </is>
      </c>
      <c r="L38" s="19" t="n">
        <v>285</v>
      </c>
      <c r="M38" s="19" t="n">
        <v>12180.39</v>
      </c>
      <c r="N38" s="16" t="n">
        <v>22</v>
      </c>
    </row>
    <row r="39">
      <c r="A39" s="17" t="inlineStr">
        <is>
          <t>GODREJPROP</t>
        </is>
      </c>
      <c r="B39" s="18" t="inlineStr">
        <is>
          <t>Godrej Properties Limited</t>
        </is>
      </c>
      <c r="C39" s="18" t="inlineStr">
        <is>
          <t>realty</t>
        </is>
      </c>
      <c r="D39" s="16" t="n">
        <v>7</v>
      </c>
      <c r="E39" s="16" t="n">
        <v>0</v>
      </c>
      <c r="F39" s="19" t="n">
        <v>61141.88</v>
      </c>
      <c r="J39" s="17" t="inlineStr">
        <is>
          <t>NORTHARC</t>
        </is>
      </c>
      <c r="K39" s="18" t="inlineStr">
        <is>
          <t>financials</t>
        </is>
      </c>
      <c r="L39" s="19" t="n">
        <v>285</v>
      </c>
      <c r="M39" s="19" t="n">
        <v>4973.99</v>
      </c>
      <c r="N39" s="16" t="n">
        <v>20</v>
      </c>
    </row>
    <row r="40">
      <c r="A40" s="17" t="inlineStr">
        <is>
          <t>TTKPRESTIG</t>
        </is>
      </c>
      <c r="B40" s="18" t="inlineStr">
        <is>
          <t>Ttk Prestige Limited</t>
        </is>
      </c>
      <c r="C40" s="18" t="inlineStr">
        <is>
          <t>consumer discretionary</t>
        </is>
      </c>
      <c r="D40" s="16" t="n">
        <v>7</v>
      </c>
      <c r="E40" s="16" t="n">
        <v>0</v>
      </c>
      <c r="F40" s="19" t="n">
        <v>8582.719999999999</v>
      </c>
      <c r="J40" s="17" t="inlineStr">
        <is>
          <t>PGIL</t>
        </is>
      </c>
      <c r="K40" s="18" t="inlineStr">
        <is>
          <t>consumer discretionary</t>
        </is>
      </c>
      <c r="L40" s="19" t="n">
        <v>283</v>
      </c>
      <c r="M40" s="19" t="n">
        <v>9135.99</v>
      </c>
      <c r="N40" s="16" t="n">
        <v>25</v>
      </c>
    </row>
    <row r="41">
      <c r="A41" s="17" t="inlineStr">
        <is>
          <t>POONAWALLA</t>
        </is>
      </c>
      <c r="B41" s="18" t="inlineStr">
        <is>
          <t>Poonawalla Fincorp Ltd</t>
        </is>
      </c>
      <c r="C41" s="18" t="inlineStr">
        <is>
          <t>financials</t>
        </is>
      </c>
      <c r="D41" s="16" t="n">
        <v>7</v>
      </c>
      <c r="E41" s="16" t="n">
        <v>1</v>
      </c>
      <c r="F41" s="19" t="n">
        <v>40830.33</v>
      </c>
      <c r="J41" s="17" t="inlineStr">
        <is>
          <t>STYLAMIND</t>
        </is>
      </c>
      <c r="K41" s="18" t="inlineStr">
        <is>
          <t>building materials</t>
        </is>
      </c>
      <c r="L41" s="19" t="n">
        <v>283</v>
      </c>
      <c r="M41" s="19" t="n">
        <v>5345.59</v>
      </c>
      <c r="N41" s="16" t="n">
        <v>27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105.36</v>
      </c>
      <c r="D47" s="28" t="n">
        <v>250</v>
      </c>
      <c r="E47" s="17" t="inlineStr">
        <is>
          <t>SIGMAADV</t>
        </is>
      </c>
      <c r="F47" s="18" t="inlineStr">
        <is>
          <t>Sigma Advanced System Ltd</t>
        </is>
      </c>
      <c r="G47" s="18" t="inlineStr">
        <is>
          <t>aerospace &amp; defence</t>
        </is>
      </c>
      <c r="H47" s="19" t="n">
        <v>9835.059999999999</v>
      </c>
    </row>
    <row r="48">
      <c r="A48" s="16" t="n">
        <v>2</v>
      </c>
      <c r="B48" s="27" t="n">
        <v>99</v>
      </c>
      <c r="C48" s="28" t="n">
        <v>88.69</v>
      </c>
      <c r="D48" s="28" t="n">
        <v>277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28239.22</v>
      </c>
    </row>
    <row r="49">
      <c r="A49" s="16" t="n">
        <v>3</v>
      </c>
      <c r="B49" s="27" t="n">
        <v>99</v>
      </c>
      <c r="C49" s="28" t="n">
        <v>72.43000000000001</v>
      </c>
      <c r="D49" s="28" t="n">
        <v>248</v>
      </c>
      <c r="E49" s="17" t="inlineStr">
        <is>
          <t>SWANDEF</t>
        </is>
      </c>
      <c r="F49" s="18" t="inlineStr">
        <is>
          <t>Swan Defence and Heavy Industries Ltd</t>
        </is>
      </c>
      <c r="G49" s="18" t="inlineStr">
        <is>
          <t>transportation</t>
        </is>
      </c>
      <c r="H49" s="19" t="n">
        <v>11387.25</v>
      </c>
    </row>
    <row r="50">
      <c r="A50" s="16" t="n">
        <v>4</v>
      </c>
      <c r="B50" s="27" t="n">
        <v>98</v>
      </c>
      <c r="C50" s="28" t="n">
        <v>67.42</v>
      </c>
      <c r="D50" s="28" t="n">
        <v>263</v>
      </c>
      <c r="E50" s="17" t="inlineStr">
        <is>
          <t>UFBL</t>
        </is>
      </c>
      <c r="F50" s="18" t="inlineStr">
        <is>
          <t>United Foodbrands Ltd</t>
        </is>
      </c>
      <c r="G50" s="18" t="inlineStr">
        <is>
          <t>consumer discretionary</t>
        </is>
      </c>
      <c r="H50" s="19" t="n">
        <v>2841.58</v>
      </c>
    </row>
    <row r="51">
      <c r="A51" s="16" t="n">
        <v>5</v>
      </c>
      <c r="B51" s="27" t="n">
        <v>98</v>
      </c>
      <c r="C51" s="28" t="n">
        <v>61.85</v>
      </c>
      <c r="D51" s="28" t="n">
        <v>277</v>
      </c>
      <c r="E51" s="17" t="inlineStr">
        <is>
          <t>MODINSU</t>
        </is>
      </c>
      <c r="F51" s="18" t="inlineStr">
        <is>
          <t>Modern Insulators Limited</t>
        </is>
      </c>
      <c r="G51" s="18" t="inlineStr">
        <is>
          <t>Technology</t>
        </is>
      </c>
      <c r="H51" s="19" t="n">
        <v>2552.84</v>
      </c>
    </row>
    <row r="52">
      <c r="A52" s="16" t="n">
        <v>6</v>
      </c>
      <c r="B52" s="27" t="n">
        <v>98</v>
      </c>
      <c r="C52" s="28" t="n">
        <v>55.63</v>
      </c>
      <c r="D52" s="28" t="n">
        <v>270</v>
      </c>
      <c r="E52" s="17" t="inlineStr">
        <is>
          <t>NITTAGELA</t>
        </is>
      </c>
      <c r="F52" s="18" t="inlineStr">
        <is>
          <t>Nitta Gelatin India Limited</t>
        </is>
      </c>
      <c r="G52" s="18" t="inlineStr">
        <is>
          <t>Basic Materials</t>
        </is>
      </c>
      <c r="H52" s="19" t="n">
        <v>1844.25</v>
      </c>
    </row>
    <row r="53">
      <c r="A53" s="16" t="n">
        <v>7</v>
      </c>
      <c r="B53" s="27" t="n">
        <v>98</v>
      </c>
      <c r="C53" s="28" t="n">
        <v>53.62</v>
      </c>
      <c r="D53" s="28" t="n">
        <v>270</v>
      </c>
      <c r="E53" s="17" t="inlineStr">
        <is>
          <t>CEMPRO</t>
        </is>
      </c>
      <c r="F53" s="18" t="inlineStr">
        <is>
          <t>Cemindia Projects Ltd</t>
        </is>
      </c>
      <c r="G53" s="18" t="inlineStr">
        <is>
          <t>realty</t>
        </is>
      </c>
      <c r="H53" s="19" t="n">
        <v>26697.51</v>
      </c>
    </row>
    <row r="54">
      <c r="A54" s="16" t="n">
        <v>8</v>
      </c>
      <c r="B54" s="27" t="n">
        <v>97</v>
      </c>
      <c r="C54" s="28" t="n">
        <v>53.54</v>
      </c>
      <c r="D54" s="28" t="n">
        <v>277</v>
      </c>
      <c r="E54" s="17" t="inlineStr">
        <is>
          <t>BLISSGVS</t>
        </is>
      </c>
      <c r="F54" s="18" t="inlineStr">
        <is>
          <t>Bliss Gvs Pharma Limited</t>
        </is>
      </c>
      <c r="G54" s="18" t="inlineStr">
        <is>
          <t>healthcare</t>
        </is>
      </c>
      <c r="H54" s="19" t="n">
        <v>5544.93</v>
      </c>
    </row>
    <row r="55">
      <c r="A55" s="16" t="n">
        <v>9</v>
      </c>
      <c r="B55" s="27" t="n">
        <v>97</v>
      </c>
      <c r="C55" s="28" t="n">
        <v>53.53</v>
      </c>
      <c r="D55" s="28" t="n">
        <v>290</v>
      </c>
      <c r="E55" s="17" t="inlineStr">
        <is>
          <t>IBULLSLTD</t>
        </is>
      </c>
      <c r="F55" s="18" t="inlineStr">
        <is>
          <t>Indiabulls Limited</t>
        </is>
      </c>
      <c r="G55" s="18" t="inlineStr">
        <is>
          <t>miscellaneous</t>
        </is>
      </c>
      <c r="H55" s="19" t="n">
        <v>6873.2</v>
      </c>
    </row>
    <row r="56">
      <c r="A56" s="16" t="n">
        <v>10</v>
      </c>
      <c r="B56" s="27" t="n">
        <v>97</v>
      </c>
      <c r="C56" s="28" t="n">
        <v>53.41</v>
      </c>
      <c r="D56" s="28" t="n">
        <v>275</v>
      </c>
      <c r="E56" s="17" t="inlineStr">
        <is>
          <t>TIMEX</t>
        </is>
      </c>
      <c r="F56" s="18" t="inlineStr">
        <is>
          <t>Timex Group India Limited</t>
        </is>
      </c>
      <c r="G56" s="18" t="inlineStr">
        <is>
          <t>Consumer Cyclical</t>
        </is>
      </c>
      <c r="H56" s="19" t="n">
        <v>5743.55</v>
      </c>
    </row>
    <row r="57">
      <c r="A57" s="16" t="n">
        <v>11</v>
      </c>
      <c r="B57" s="27" t="n">
        <v>97</v>
      </c>
      <c r="C57" s="28" t="n">
        <v>53.09</v>
      </c>
      <c r="D57" s="28" t="n">
        <v>270</v>
      </c>
      <c r="E57" s="17" t="inlineStr">
        <is>
          <t>INDOTECH</t>
        </is>
      </c>
      <c r="F57" s="18" t="inlineStr">
        <is>
          <t>Indo Tech Transformers Limited</t>
        </is>
      </c>
      <c r="G57" s="18" t="inlineStr">
        <is>
          <t>industrials</t>
        </is>
      </c>
      <c r="H57" s="19" t="n">
        <v>3342.11</v>
      </c>
    </row>
    <row r="58">
      <c r="A58" s="16" t="n">
        <v>12</v>
      </c>
      <c r="B58" s="27" t="n">
        <v>97</v>
      </c>
      <c r="C58" s="28" t="n">
        <v>47.92</v>
      </c>
      <c r="D58" s="28" t="n">
        <v>260</v>
      </c>
      <c r="E58" s="17" t="inlineStr">
        <is>
          <t>JAYBARMARU</t>
        </is>
      </c>
      <c r="F58" s="18" t="inlineStr">
        <is>
          <t>Jay Bharat Maruti Limited</t>
        </is>
      </c>
      <c r="G58" s="18" t="inlineStr">
        <is>
          <t>auto</t>
        </is>
      </c>
      <c r="H58" s="19" t="n">
        <v>2025.68</v>
      </c>
    </row>
    <row r="59">
      <c r="A59" s="16" t="n">
        <v>13</v>
      </c>
      <c r="B59" s="27" t="n">
        <v>96</v>
      </c>
      <c r="C59" s="28" t="n">
        <v>46.8</v>
      </c>
      <c r="D59" s="28" t="n">
        <v>223</v>
      </c>
      <c r="E59" s="17" t="inlineStr">
        <is>
          <t>DEEDEV</t>
        </is>
      </c>
      <c r="F59" s="18" t="inlineStr">
        <is>
          <t>DEE Development Engineers Ltd</t>
        </is>
      </c>
      <c r="G59" s="18" t="inlineStr">
        <is>
          <t>metals &amp; mining</t>
        </is>
      </c>
      <c r="H59" s="19" t="n">
        <v>4692.59</v>
      </c>
    </row>
    <row r="60">
      <c r="A60" s="16" t="n">
        <v>14</v>
      </c>
      <c r="B60" s="27" t="n">
        <v>96</v>
      </c>
      <c r="C60" s="28" t="n">
        <v>43.87</v>
      </c>
      <c r="D60" s="28" t="n">
        <v>285</v>
      </c>
      <c r="E60" s="17" t="inlineStr">
        <is>
          <t>RPTECH</t>
        </is>
      </c>
      <c r="F60" s="18" t="inlineStr">
        <is>
          <t>Rashi Peripherals Ltd</t>
        </is>
      </c>
      <c r="G60" s="18" t="inlineStr">
        <is>
          <t>services</t>
        </is>
      </c>
      <c r="H60" s="19" t="n">
        <v>5135.23</v>
      </c>
    </row>
    <row r="61">
      <c r="A61" s="16" t="n">
        <v>15</v>
      </c>
      <c r="B61" s="27" t="n">
        <v>96</v>
      </c>
      <c r="C61" s="28" t="n">
        <v>43.59</v>
      </c>
      <c r="D61" s="28" t="n">
        <v>270</v>
      </c>
      <c r="E61" s="17" t="inlineStr">
        <is>
          <t>NINSYS</t>
        </is>
      </c>
      <c r="F61" s="18" t="inlineStr">
        <is>
          <t>NINtec Systems Ltd</t>
        </is>
      </c>
      <c r="G61" s="18" t="inlineStr">
        <is>
          <t>i.t</t>
        </is>
      </c>
      <c r="H61" s="19" t="n">
        <v>1698.13</v>
      </c>
    </row>
    <row r="62">
      <c r="A62" s="16" t="n">
        <v>16</v>
      </c>
      <c r="B62" s="27" t="n">
        <v>96</v>
      </c>
      <c r="C62" s="28" t="n">
        <v>43.07</v>
      </c>
      <c r="D62" s="28" t="n">
        <v>273</v>
      </c>
      <c r="E62" s="17" t="inlineStr">
        <is>
          <t>HITECHCORP</t>
        </is>
      </c>
      <c r="F62" s="18" t="inlineStr">
        <is>
          <t>Hitech Corporation</t>
        </is>
      </c>
      <c r="G62" s="18" t="inlineStr">
        <is>
          <t>industrials</t>
        </is>
      </c>
      <c r="H62" s="19" t="n">
        <v>562.33</v>
      </c>
    </row>
    <row r="63">
      <c r="A63" s="16" t="n">
        <v>17</v>
      </c>
      <c r="B63" s="27" t="n">
        <v>95</v>
      </c>
      <c r="C63" s="28" t="n">
        <v>43.05</v>
      </c>
      <c r="D63" s="28" t="n">
        <v>275</v>
      </c>
      <c r="E63" s="17" t="inlineStr">
        <is>
          <t>THANGAMAYL</t>
        </is>
      </c>
      <c r="F63" s="18" t="inlineStr">
        <is>
          <t>Thangamayil Jewellery Limited</t>
        </is>
      </c>
      <c r="G63" s="18" t="inlineStr">
        <is>
          <t>consumer discretionary</t>
        </is>
      </c>
      <c r="H63" s="19" t="n">
        <v>20509.47</v>
      </c>
    </row>
    <row r="64">
      <c r="A64" s="16" t="n">
        <v>18</v>
      </c>
      <c r="B64" s="27" t="n">
        <v>95</v>
      </c>
      <c r="C64" s="28" t="n">
        <v>42.3</v>
      </c>
      <c r="D64" s="28" t="n">
        <v>292</v>
      </c>
      <c r="E64" s="17" t="inlineStr">
        <is>
          <t>IOLCP</t>
        </is>
      </c>
      <c r="F64" s="18" t="inlineStr">
        <is>
          <t>Iol Chemicals And Pharmaceuticals Limited</t>
        </is>
      </c>
      <c r="G64" s="18" t="inlineStr">
        <is>
          <t>healthcare</t>
        </is>
      </c>
      <c r="H64" s="19" t="n">
        <v>4935.67</v>
      </c>
    </row>
    <row r="65">
      <c r="A65" s="16" t="n">
        <v>19</v>
      </c>
      <c r="B65" s="27" t="n">
        <v>95</v>
      </c>
      <c r="C65" s="28" t="n">
        <v>41.92</v>
      </c>
      <c r="D65" s="28" t="n">
        <v>253</v>
      </c>
      <c r="E65" s="17" t="inlineStr">
        <is>
          <t>SETL</t>
        </is>
      </c>
      <c r="F65" s="18" t="inlineStr">
        <is>
          <t>Standard Enginnering Technology Ltd</t>
        </is>
      </c>
      <c r="G65" s="18" t="inlineStr">
        <is>
          <t>industrials</t>
        </is>
      </c>
      <c r="H65" s="19" t="n">
        <v>5523.92</v>
      </c>
    </row>
    <row r="66">
      <c r="A66" s="16" t="n">
        <v>20</v>
      </c>
      <c r="B66" s="27" t="n">
        <v>95</v>
      </c>
      <c r="C66" s="28" t="n">
        <v>41.15</v>
      </c>
      <c r="D66" s="28" t="n">
        <v>275</v>
      </c>
      <c r="E66" s="17" t="inlineStr">
        <is>
          <t>ATHERENERG</t>
        </is>
      </c>
      <c r="F66" s="18" t="inlineStr">
        <is>
          <t>Ather Energy Ltd</t>
        </is>
      </c>
      <c r="G66" s="18" t="inlineStr">
        <is>
          <t>auto</t>
        </is>
      </c>
      <c r="H66" s="19" t="n">
        <v>46624.9</v>
      </c>
    </row>
    <row r="67">
      <c r="A67" s="16" t="n">
        <v>21</v>
      </c>
      <c r="B67" s="27" t="n">
        <v>95</v>
      </c>
      <c r="C67" s="28" t="n">
        <v>41.03</v>
      </c>
      <c r="D67" s="28" t="n">
        <v>185</v>
      </c>
      <c r="E67" s="17" t="inlineStr">
        <is>
          <t>BALAMINES</t>
        </is>
      </c>
      <c r="F67" s="18" t="inlineStr">
        <is>
          <t>Balaji Amines Limited</t>
        </is>
      </c>
      <c r="G67" s="18" t="inlineStr">
        <is>
          <t>chemicals</t>
        </is>
      </c>
      <c r="H67" s="19" t="n">
        <v>7659.6</v>
      </c>
    </row>
    <row r="68">
      <c r="A68" s="16" t="n">
        <v>22</v>
      </c>
      <c r="B68" s="29" t="n">
        <v>94</v>
      </c>
      <c r="C68" s="28" t="n">
        <v>40.53</v>
      </c>
      <c r="D68" s="28" t="n">
        <v>282</v>
      </c>
      <c r="E68" s="17" t="inlineStr">
        <is>
          <t>PAISALO</t>
        </is>
      </c>
      <c r="F68" s="18" t="inlineStr">
        <is>
          <t>Paisalo Digital Ltd</t>
        </is>
      </c>
      <c r="G68" s="18" t="inlineStr">
        <is>
          <t>financials</t>
        </is>
      </c>
      <c r="H68" s="19" t="n">
        <v>6584.94</v>
      </c>
    </row>
    <row r="69">
      <c r="A69" s="16" t="n">
        <v>23</v>
      </c>
      <c r="B69" s="29" t="n">
        <v>94</v>
      </c>
      <c r="C69" s="28" t="n">
        <v>39.75</v>
      </c>
      <c r="D69" s="28" t="n">
        <v>255</v>
      </c>
      <c r="E69" s="17" t="inlineStr">
        <is>
          <t>AFCOM</t>
        </is>
      </c>
      <c r="F69" s="18" t="inlineStr">
        <is>
          <t>AFCOM</t>
        </is>
      </c>
      <c r="G69" s="18" t="inlineStr">
        <is>
          <t>Industrials</t>
        </is>
      </c>
      <c r="H69" s="19" t="n">
        <v>4285.71</v>
      </c>
    </row>
    <row r="70">
      <c r="A70" s="16" t="n">
        <v>24</v>
      </c>
      <c r="B70" s="29" t="n">
        <v>94</v>
      </c>
      <c r="C70" s="28" t="n">
        <v>39.02</v>
      </c>
      <c r="D70" s="28" t="n">
        <v>265</v>
      </c>
      <c r="E70" s="17" t="inlineStr">
        <is>
          <t>RAMCOSYS</t>
        </is>
      </c>
      <c r="F70" s="18" t="inlineStr">
        <is>
          <t>Ramco Systems Limited</t>
        </is>
      </c>
      <c r="G70" s="18" t="inlineStr">
        <is>
          <t>i.t</t>
        </is>
      </c>
      <c r="H70" s="19" t="n">
        <v>3132.69</v>
      </c>
    </row>
    <row r="71">
      <c r="A71" s="16" t="n">
        <v>25</v>
      </c>
      <c r="B71" s="29" t="n">
        <v>94</v>
      </c>
      <c r="C71" s="28" t="n">
        <v>38.51</v>
      </c>
      <c r="D71" s="28" t="n">
        <v>240</v>
      </c>
      <c r="E71" s="17" t="inlineStr">
        <is>
          <t>INDSWFTLAB</t>
        </is>
      </c>
      <c r="F71" s="18" t="inlineStr">
        <is>
          <t>Ind-swift Laboratories Limited</t>
        </is>
      </c>
      <c r="G71" s="18" t="inlineStr">
        <is>
          <t>healthcare</t>
        </is>
      </c>
      <c r="H71" s="19" t="n">
        <v>2045.7</v>
      </c>
    </row>
    <row r="72">
      <c r="A72" s="16" t="n">
        <v>26</v>
      </c>
      <c r="B72" s="29" t="n">
        <v>93</v>
      </c>
      <c r="C72" s="28" t="n">
        <v>37.64</v>
      </c>
      <c r="D72" s="28" t="n">
        <v>267</v>
      </c>
      <c r="E72" s="17" t="inlineStr">
        <is>
          <t>SKMEGGPROD</t>
        </is>
      </c>
      <c r="F72" s="18" t="inlineStr">
        <is>
          <t>Skm Egg Products Export (india) Limited</t>
        </is>
      </c>
      <c r="G72" s="18" t="inlineStr">
        <is>
          <t>fmcg</t>
        </is>
      </c>
      <c r="H72" s="19" t="n">
        <v>1664.85</v>
      </c>
    </row>
    <row r="73">
      <c r="A73" s="16" t="n">
        <v>27</v>
      </c>
      <c r="B73" s="29" t="n">
        <v>93</v>
      </c>
      <c r="C73" s="28" t="n">
        <v>37.64</v>
      </c>
      <c r="D73" s="28" t="n">
        <v>268</v>
      </c>
      <c r="E73" s="17" t="inlineStr">
        <is>
          <t>IDEAFORGE</t>
        </is>
      </c>
      <c r="F73" s="18" t="inlineStr">
        <is>
          <t>Ideaforge Technology Ltd</t>
        </is>
      </c>
      <c r="G73" s="18" t="inlineStr">
        <is>
          <t>aerospace &amp; defence</t>
        </is>
      </c>
      <c r="H73" s="19" t="n">
        <v>3722.97</v>
      </c>
    </row>
    <row r="74">
      <c r="A74" s="16" t="n">
        <v>28</v>
      </c>
      <c r="B74" s="29" t="n">
        <v>93</v>
      </c>
      <c r="C74" s="28" t="n">
        <v>37.32</v>
      </c>
      <c r="D74" s="28" t="n">
        <v>253</v>
      </c>
      <c r="E74" s="17" t="inlineStr">
        <is>
          <t>YASHO</t>
        </is>
      </c>
      <c r="F74" s="18" t="inlineStr">
        <is>
          <t>Yasho Industries Ltd</t>
        </is>
      </c>
      <c r="G74" s="18" t="inlineStr">
        <is>
          <t>chemicals</t>
        </is>
      </c>
      <c r="H74" s="19" t="n">
        <v>3623.16</v>
      </c>
    </row>
    <row r="75">
      <c r="A75" s="16" t="n">
        <v>29</v>
      </c>
      <c r="B75" s="29" t="n">
        <v>93</v>
      </c>
      <c r="C75" s="28" t="n">
        <v>36.79</v>
      </c>
      <c r="D75" s="28" t="n">
        <v>282</v>
      </c>
      <c r="E75" s="17" t="inlineStr">
        <is>
          <t>BAJAJCON</t>
        </is>
      </c>
      <c r="F75" s="18" t="inlineStr">
        <is>
          <t>Bajaj Consumer Care Ltd</t>
        </is>
      </c>
      <c r="G75" s="18" t="inlineStr">
        <is>
          <t>fmcg</t>
        </is>
      </c>
      <c r="H75" s="19" t="n">
        <v>8405.940000000001</v>
      </c>
    </row>
    <row r="76">
      <c r="A76" s="16" t="n">
        <v>30</v>
      </c>
      <c r="B76" s="29" t="n">
        <v>93</v>
      </c>
      <c r="C76" s="28" t="n">
        <v>36.72</v>
      </c>
      <c r="D76" s="28" t="n">
        <v>260</v>
      </c>
      <c r="E76" s="17" t="inlineStr">
        <is>
          <t>AEGISLOG</t>
        </is>
      </c>
      <c r="F76" s="18" t="inlineStr">
        <is>
          <t>Aegis Logistics Ltd</t>
        </is>
      </c>
      <c r="G76" s="18" t="inlineStr">
        <is>
          <t>services</t>
        </is>
      </c>
      <c r="H76" s="19" t="n">
        <v>44369.91</v>
      </c>
    </row>
    <row r="77">
      <c r="A77" s="16" t="n">
        <v>31</v>
      </c>
      <c r="B77" s="29" t="n">
        <v>92</v>
      </c>
      <c r="C77" s="28" t="n">
        <v>36.31</v>
      </c>
      <c r="D77" s="28" t="n">
        <v>273</v>
      </c>
      <c r="E77" s="17" t="inlineStr">
        <is>
          <t>GRWRHITECH</t>
        </is>
      </c>
      <c r="F77" s="18" t="inlineStr">
        <is>
          <t>Garware Hi Tech Films Ltd</t>
        </is>
      </c>
      <c r="G77" s="18" t="inlineStr">
        <is>
          <t>industrials</t>
        </is>
      </c>
      <c r="H77" s="19" t="n">
        <v>16081.46</v>
      </c>
    </row>
    <row r="78">
      <c r="A78" s="16" t="n">
        <v>32</v>
      </c>
      <c r="B78" s="29" t="n">
        <v>92</v>
      </c>
      <c r="C78" s="28" t="n">
        <v>35.45</v>
      </c>
      <c r="D78" s="28" t="n">
        <v>255</v>
      </c>
      <c r="E78" s="17" t="inlineStr">
        <is>
          <t>RPEL</t>
        </is>
      </c>
      <c r="F78" s="18" t="inlineStr">
        <is>
          <t>Raghav Productivity Enhancers Ltd</t>
        </is>
      </c>
      <c r="G78" s="18" t="inlineStr">
        <is>
          <t>building materials</t>
        </is>
      </c>
      <c r="H78" s="19" t="n">
        <v>5919.34</v>
      </c>
    </row>
    <row r="79">
      <c r="A79" s="16" t="n">
        <v>33</v>
      </c>
      <c r="B79" s="29" t="n">
        <v>92</v>
      </c>
      <c r="C79" s="28" t="n">
        <v>35.4</v>
      </c>
      <c r="D79" s="28" t="n">
        <v>260</v>
      </c>
      <c r="E79" s="17" t="inlineStr">
        <is>
          <t>SENORES</t>
        </is>
      </c>
      <c r="F79" s="18" t="inlineStr">
        <is>
          <t>Senores Pharmaceuticals Ltd</t>
        </is>
      </c>
      <c r="G79" s="18" t="inlineStr">
        <is>
          <t>healthcare</t>
        </is>
      </c>
      <c r="H79" s="19" t="n">
        <v>6538.23</v>
      </c>
    </row>
    <row r="80">
      <c r="A80" s="16" t="n">
        <v>34</v>
      </c>
      <c r="B80" s="29" t="n">
        <v>92</v>
      </c>
      <c r="C80" s="28" t="n">
        <v>34.92</v>
      </c>
      <c r="D80" s="28" t="n">
        <v>277</v>
      </c>
      <c r="E80" s="17" t="inlineStr">
        <is>
          <t>KPL</t>
        </is>
      </c>
      <c r="F80" s="18" t="inlineStr">
        <is>
          <t>Kwality Pharmaceuticals Limited</t>
        </is>
      </c>
      <c r="G80" s="18" t="inlineStr">
        <is>
          <t>Healthcare</t>
        </is>
      </c>
      <c r="H80" s="19" t="n">
        <v>2692.88</v>
      </c>
    </row>
    <row r="81">
      <c r="A81" s="16" t="n">
        <v>35</v>
      </c>
      <c r="B81" s="29" t="n">
        <v>91</v>
      </c>
      <c r="C81" s="28" t="n">
        <v>34.22</v>
      </c>
      <c r="D81" s="28" t="n">
        <v>262</v>
      </c>
      <c r="E81" s="17" t="inlineStr">
        <is>
          <t>ACUTAAS</t>
        </is>
      </c>
      <c r="F81" s="18" t="inlineStr">
        <is>
          <t>Acutaas Chemicals Ltd</t>
        </is>
      </c>
      <c r="G81" s="18" t="inlineStr">
        <is>
          <t>healthcare</t>
        </is>
      </c>
      <c r="H81" s="19" t="n">
        <v>28317.58</v>
      </c>
    </row>
    <row r="82">
      <c r="A82" s="16" t="n">
        <v>36</v>
      </c>
      <c r="B82" s="29" t="n">
        <v>91</v>
      </c>
      <c r="C82" s="28" t="n">
        <v>34.19</v>
      </c>
      <c r="D82" s="28" t="n">
        <v>248</v>
      </c>
      <c r="E82" s="17" t="inlineStr">
        <is>
          <t>KERNEX</t>
        </is>
      </c>
      <c r="F82" s="18" t="inlineStr">
        <is>
          <t>Kernex Microsystems (india) Limited</t>
        </is>
      </c>
      <c r="G82" s="18" t="inlineStr">
        <is>
          <t>consumer discretionary</t>
        </is>
      </c>
      <c r="H82" s="19" t="n">
        <v>3568.83</v>
      </c>
    </row>
    <row r="83">
      <c r="A83" s="16" t="n">
        <v>37</v>
      </c>
      <c r="B83" s="29" t="n">
        <v>91</v>
      </c>
      <c r="C83" s="28" t="n">
        <v>33.71</v>
      </c>
      <c r="D83" s="28" t="n">
        <v>270</v>
      </c>
      <c r="E83" s="17" t="inlineStr">
        <is>
          <t>AVALON</t>
        </is>
      </c>
      <c r="F83" s="18" t="inlineStr">
        <is>
          <t>Avalon Technologies Ltd</t>
        </is>
      </c>
      <c r="G83" s="18" t="inlineStr">
        <is>
          <t>consumer discretionary</t>
        </is>
      </c>
      <c r="H83" s="19" t="n">
        <v>11541.2</v>
      </c>
    </row>
    <row r="84">
      <c r="A84" s="16" t="n">
        <v>38</v>
      </c>
      <c r="B84" s="29" t="n">
        <v>91</v>
      </c>
      <c r="C84" s="28" t="n">
        <v>33.08</v>
      </c>
      <c r="D84" s="28" t="n">
        <v>288</v>
      </c>
      <c r="E84" s="17" t="inlineStr">
        <is>
          <t>INDOBORAX</t>
        </is>
      </c>
      <c r="F84" s="18" t="inlineStr">
        <is>
          <t>Indo Borax &amp; Chemicals Ltd</t>
        </is>
      </c>
      <c r="G84" s="18" t="inlineStr">
        <is>
          <t>chemicals</t>
        </is>
      </c>
      <c r="H84" s="19" t="n">
        <v>1391.58</v>
      </c>
    </row>
    <row r="85">
      <c r="A85" s="16" t="n">
        <v>39</v>
      </c>
      <c r="B85" s="29" t="n">
        <v>91</v>
      </c>
      <c r="C85" s="28" t="n">
        <v>32.9</v>
      </c>
      <c r="D85" s="28" t="n">
        <v>238</v>
      </c>
      <c r="E85" s="17" t="inlineStr">
        <is>
          <t>PANACHE</t>
        </is>
      </c>
      <c r="F85" s="18" t="inlineStr">
        <is>
          <t>Panache Digilife Ltd</t>
        </is>
      </c>
      <c r="G85" s="18" t="inlineStr">
        <is>
          <t>i.t</t>
        </is>
      </c>
      <c r="H85" s="19" t="n">
        <v>704.38</v>
      </c>
    </row>
    <row r="86">
      <c r="A86" s="16" t="n">
        <v>40</v>
      </c>
      <c r="B86" s="29" t="n">
        <v>90</v>
      </c>
      <c r="C86" s="28" t="n">
        <v>32.88</v>
      </c>
      <c r="D86" s="28" t="n">
        <v>275</v>
      </c>
      <c r="E86" s="17" t="inlineStr">
        <is>
          <t>BHARATSE</t>
        </is>
      </c>
      <c r="F86" s="18" t="inlineStr">
        <is>
          <t>Bharat Seats Ltd</t>
        </is>
      </c>
      <c r="G86" s="18" t="inlineStr">
        <is>
          <t>auto</t>
        </is>
      </c>
      <c r="H86" s="19" t="n">
        <v>1539.17</v>
      </c>
    </row>
    <row r="87">
      <c r="A87" s="16" t="n">
        <v>41</v>
      </c>
      <c r="B87" s="29" t="n">
        <v>90</v>
      </c>
      <c r="C87" s="28" t="n">
        <v>32.73</v>
      </c>
      <c r="D87" s="28" t="n">
        <v>265</v>
      </c>
      <c r="E87" s="17" t="inlineStr">
        <is>
          <t>KMEW</t>
        </is>
      </c>
      <c r="F87" s="18" t="inlineStr">
        <is>
          <t>Knowledge Marine &amp; Engineering Works Ltd</t>
        </is>
      </c>
      <c r="G87" s="18" t="inlineStr">
        <is>
          <t>transportation</t>
        </is>
      </c>
      <c r="H87" s="19" t="n">
        <v>5545.39</v>
      </c>
    </row>
    <row r="88">
      <c r="A88" s="16" t="n">
        <v>42</v>
      </c>
      <c r="B88" s="29" t="n">
        <v>90</v>
      </c>
      <c r="C88" s="28" t="n">
        <v>32.59</v>
      </c>
      <c r="D88" s="28" t="n">
        <v>260</v>
      </c>
      <c r="E88" s="17" t="inlineStr">
        <is>
          <t>RATEGAIN</t>
        </is>
      </c>
      <c r="F88" s="18" t="inlineStr">
        <is>
          <t>Rategain Travel Technologies Ltd</t>
        </is>
      </c>
      <c r="G88" s="18" t="inlineStr">
        <is>
          <t>i.t</t>
        </is>
      </c>
      <c r="H88" s="19" t="n">
        <v>11128.23</v>
      </c>
    </row>
    <row r="89">
      <c r="A89" s="16" t="n">
        <v>43</v>
      </c>
      <c r="B89" s="29" t="n">
        <v>90</v>
      </c>
      <c r="C89" s="28" t="n">
        <v>31.72</v>
      </c>
      <c r="D89" s="28" t="n">
        <v>268</v>
      </c>
      <c r="E89" s="17" t="inlineStr">
        <is>
          <t>ASTRAMICRO</t>
        </is>
      </c>
      <c r="F89" s="18" t="inlineStr">
        <is>
          <t>Astra Microwave Products Limited</t>
        </is>
      </c>
      <c r="G89" s="18" t="inlineStr">
        <is>
          <t>aerospace &amp; defence</t>
        </is>
      </c>
      <c r="H89" s="19" t="n">
        <v>17404.37</v>
      </c>
    </row>
    <row r="90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IONEXCHANG</t>
        </is>
      </c>
      <c r="B2" s="31" t="inlineStr">
        <is>
          <t>Ion Exchange (India) Ltd</t>
        </is>
      </c>
      <c r="C2" s="31" t="inlineStr">
        <is>
          <t>realty</t>
        </is>
      </c>
      <c r="D2" s="31" t="inlineStr">
        <is>
          <t>engineering - turnkey services</t>
        </is>
      </c>
      <c r="E2" s="31" t="inlineStr">
        <is>
          <t>midcap</t>
        </is>
      </c>
      <c r="F2" s="31" t="n">
        <v>5898.93</v>
      </c>
      <c r="G2" s="31" t="n">
        <v>468.3</v>
      </c>
      <c r="H2" s="31" t="n">
        <v>16.43</v>
      </c>
      <c r="I2" s="31" t="n">
        <v>12898024</v>
      </c>
      <c r="J2" s="31" t="inlineStr">
        <is>
          <t>500214</t>
        </is>
      </c>
    </row>
    <row r="3">
      <c r="A3" s="31" t="inlineStr">
        <is>
          <t>GODREJIND</t>
        </is>
      </c>
      <c r="B3" s="31" t="inlineStr">
        <is>
          <t>Godrej Industries Limited</t>
        </is>
      </c>
      <c r="C3" s="31" t="inlineStr">
        <is>
          <t>chemicals</t>
        </is>
      </c>
      <c r="D3" s="31" t="inlineStr">
        <is>
          <t>chemicals</t>
        </is>
      </c>
      <c r="E3" s="31" t="inlineStr">
        <is>
          <t>largecap</t>
        </is>
      </c>
      <c r="F3" s="31" t="n">
        <v>41063.25</v>
      </c>
      <c r="G3" s="31" t="n">
        <v>1417.7</v>
      </c>
      <c r="H3" s="31" t="n">
        <v>16.28</v>
      </c>
      <c r="I3" s="31" t="n">
        <v>2661745</v>
      </c>
      <c r="J3" s="31" t="inlineStr">
        <is>
          <t>500164</t>
        </is>
      </c>
    </row>
    <row r="4">
      <c r="A4" s="31" t="inlineStr">
        <is>
          <t>J&amp;KBANK</t>
        </is>
      </c>
      <c r="B4" s="31" t="inlineStr">
        <is>
          <t>The Jammu &amp; Kashmir Bank Limited</t>
        </is>
      </c>
      <c r="C4" s="31" t="inlineStr">
        <is>
          <t>bank</t>
        </is>
      </c>
      <c r="D4" s="31" t="inlineStr">
        <is>
          <t>banks - private sector</t>
        </is>
      </c>
      <c r="E4" s="31" t="inlineStr">
        <is>
          <t>midcap</t>
        </is>
      </c>
      <c r="F4" s="31" t="n">
        <v>18545.01</v>
      </c>
      <c r="G4" s="31" t="n">
        <v>192.65</v>
      </c>
      <c r="H4" s="31" t="n">
        <v>14.39</v>
      </c>
      <c r="I4" s="31" t="n">
        <v>22820672</v>
      </c>
      <c r="J4" s="31" t="inlineStr">
        <is>
          <t>532209</t>
        </is>
      </c>
    </row>
    <row r="5">
      <c r="A5" s="31" t="inlineStr">
        <is>
          <t>MUTHOOTMF</t>
        </is>
      </c>
      <c r="B5" s="31" t="inlineStr">
        <is>
          <t>Muthoot Microfin Ltd</t>
        </is>
      </c>
      <c r="C5" s="31" t="inlineStr">
        <is>
          <t>financials</t>
        </is>
      </c>
      <c r="D5" s="31" t="inlineStr">
        <is>
          <t>finance &amp; investments</t>
        </is>
      </c>
      <c r="E5" s="31" t="inlineStr">
        <is>
          <t>smallcap</t>
        </is>
      </c>
      <c r="F5" s="31" t="n">
        <v>3585.11</v>
      </c>
      <c r="G5" s="31" t="n">
        <v>235.26</v>
      </c>
      <c r="H5" s="31" t="n">
        <v>11.88</v>
      </c>
      <c r="I5" s="31" t="n">
        <v>19681749</v>
      </c>
      <c r="J5" s="31" t="inlineStr">
        <is>
          <t>544055</t>
        </is>
      </c>
    </row>
    <row r="6">
      <c r="A6" s="31" t="inlineStr">
        <is>
          <t>GREAVESCOT</t>
        </is>
      </c>
      <c r="B6" s="31" t="inlineStr">
        <is>
          <t>Greaves Cotton Limited</t>
        </is>
      </c>
      <c r="C6" s="31" t="inlineStr">
        <is>
          <t>industrials</t>
        </is>
      </c>
      <c r="D6" s="31" t="inlineStr">
        <is>
          <t>engines</t>
        </is>
      </c>
      <c r="E6" s="31" t="inlineStr">
        <is>
          <t>midcap</t>
        </is>
      </c>
      <c r="F6" s="31" t="n">
        <v>5525.24</v>
      </c>
      <c r="G6" s="31" t="n">
        <v>263.6</v>
      </c>
      <c r="H6" s="31" t="n">
        <v>11.12</v>
      </c>
      <c r="I6" s="31" t="n">
        <v>20117335</v>
      </c>
      <c r="J6" s="31" t="inlineStr">
        <is>
          <t>501455</t>
        </is>
      </c>
    </row>
    <row r="7">
      <c r="A7" s="31" t="inlineStr">
        <is>
          <t>KAPSTON</t>
        </is>
      </c>
      <c r="B7" s="31" t="inlineStr">
        <is>
          <t>Kapston Services Ltd</t>
        </is>
      </c>
      <c r="C7" s="31" t="inlineStr">
        <is>
          <t>miscellaneous</t>
        </is>
      </c>
      <c r="D7" s="31" t="inlineStr">
        <is>
          <t>miscellaneous</t>
        </is>
      </c>
      <c r="E7" s="31" t="inlineStr">
        <is>
          <t>smallcap</t>
        </is>
      </c>
      <c r="F7" s="31" t="n">
        <v>1147.9</v>
      </c>
      <c r="G7" s="31" t="n">
        <v>415.3</v>
      </c>
      <c r="H7" s="31" t="n">
        <v>10.1</v>
      </c>
      <c r="I7" s="31" t="n">
        <v>481005</v>
      </c>
      <c r="J7" s="31" t="inlineStr">
        <is>
          <t>535064</t>
        </is>
      </c>
    </row>
    <row r="8">
      <c r="A8" s="31" t="inlineStr">
        <is>
          <t>INDIANB</t>
        </is>
      </c>
      <c r="B8" s="31" t="inlineStr">
        <is>
          <t>Indian Bank Ltd</t>
        </is>
      </c>
      <c r="C8" s="31" t="inlineStr">
        <is>
          <t>bank</t>
        </is>
      </c>
      <c r="D8" s="31" t="inlineStr">
        <is>
          <t>banks - public sector</t>
        </is>
      </c>
      <c r="E8" s="31" t="inlineStr">
        <is>
          <t>largecap</t>
        </is>
      </c>
      <c r="F8" s="31" t="n">
        <v>106834.45</v>
      </c>
      <c r="G8" s="31" t="n">
        <v>870.7</v>
      </c>
      <c r="H8" s="31" t="n">
        <v>9.779999999999999</v>
      </c>
      <c r="I8" s="31" t="n">
        <v>17690322</v>
      </c>
      <c r="J8" s="31" t="inlineStr">
        <is>
          <t>532814</t>
        </is>
      </c>
    </row>
    <row r="9">
      <c r="A9" s="31" t="inlineStr">
        <is>
          <t>BFINVEST</t>
        </is>
      </c>
      <c r="B9" s="31" t="inlineStr">
        <is>
          <t>Bf Investment Limited</t>
        </is>
      </c>
      <c r="C9" s="31" t="inlineStr">
        <is>
          <t>financials</t>
        </is>
      </c>
      <c r="D9" s="31" t="inlineStr">
        <is>
          <t>finance &amp; investments</t>
        </is>
      </c>
      <c r="E9" s="31" t="inlineStr">
        <is>
          <t>smallcap</t>
        </is>
      </c>
      <c r="F9" s="31" t="n">
        <v>1675.46</v>
      </c>
      <c r="G9" s="31" t="n">
        <v>487.25</v>
      </c>
      <c r="H9" s="31" t="n">
        <v>9.539999999999999</v>
      </c>
      <c r="I9" s="31" t="n">
        <v>2574049</v>
      </c>
      <c r="J9" s="31" t="inlineStr">
        <is>
          <t>533303</t>
        </is>
      </c>
    </row>
    <row r="10">
      <c r="A10" s="31" t="inlineStr">
        <is>
          <t>RPGLIFE</t>
        </is>
      </c>
      <c r="B10" s="31" t="inlineStr">
        <is>
          <t>Rpg Life Sciences Limited</t>
        </is>
      </c>
      <c r="C10" s="31" t="inlineStr">
        <is>
          <t>healthcare</t>
        </is>
      </c>
      <c r="D10" s="31" t="inlineStr">
        <is>
          <t>pharmaceuticals - indian - bulk drugs &amp; formln</t>
        </is>
      </c>
      <c r="E10" s="31" t="inlineStr">
        <is>
          <t>smallcap</t>
        </is>
      </c>
      <c r="F10" s="31" t="n">
        <v>4394.09</v>
      </c>
      <c r="G10" s="31" t="n">
        <v>2856.9</v>
      </c>
      <c r="H10" s="31" t="n">
        <v>7.53</v>
      </c>
      <c r="I10" s="31" t="n">
        <v>196584</v>
      </c>
      <c r="J10" s="31" t="inlineStr">
        <is>
          <t>532983</t>
        </is>
      </c>
    </row>
    <row r="11">
      <c r="A11" s="31" t="inlineStr">
        <is>
          <t>TATVA</t>
        </is>
      </c>
      <c r="B11" s="31" t="inlineStr">
        <is>
          <t>Tatva Chintan Pharma Chem Ltd</t>
        </is>
      </c>
      <c r="C11" s="31" t="inlineStr">
        <is>
          <t>chemicals</t>
        </is>
      </c>
      <c r="D11" s="31" t="inlineStr">
        <is>
          <t>chemicals</t>
        </is>
      </c>
      <c r="E11" s="31" t="inlineStr">
        <is>
          <t>smallcap</t>
        </is>
      </c>
      <c r="F11" s="31" t="n">
        <v>2898.74</v>
      </c>
      <c r="G11" s="31" t="n">
        <v>1326.5</v>
      </c>
      <c r="H11" s="31" t="n">
        <v>7.04</v>
      </c>
      <c r="I11" s="31" t="n">
        <v>120039</v>
      </c>
      <c r="J11" s="31" t="inlineStr">
        <is>
          <t>543321</t>
        </is>
      </c>
    </row>
    <row r="12">
      <c r="A12" s="31" t="inlineStr">
        <is>
          <t>AKUMS</t>
        </is>
      </c>
      <c r="B12" s="31" t="inlineStr">
        <is>
          <t>Akums Drugs &amp; Pharmaceuticals Ltd</t>
        </is>
      </c>
      <c r="C12" s="31" t="inlineStr">
        <is>
          <t>healthcare</t>
        </is>
      </c>
      <c r="D12" s="31" t="inlineStr">
        <is>
          <t>pharmaceuticals - indian - bulk drugs &amp; formln</t>
        </is>
      </c>
      <c r="E12" s="31" t="inlineStr">
        <is>
          <t>midcap</t>
        </is>
      </c>
      <c r="F12" s="31" t="n">
        <v>10359.67</v>
      </c>
      <c r="G12" s="31" t="n">
        <v>701.95</v>
      </c>
      <c r="H12" s="31" t="n">
        <v>6.65</v>
      </c>
      <c r="I12" s="31" t="n">
        <v>881187</v>
      </c>
      <c r="J12" s="31" t="inlineStr">
        <is>
          <t>544222</t>
        </is>
      </c>
    </row>
    <row r="13">
      <c r="A13" s="31" t="inlineStr">
        <is>
          <t>INDNIPPON</t>
        </is>
      </c>
      <c r="B13" s="31" t="inlineStr">
        <is>
          <t>India Nippon Electricals Limited</t>
        </is>
      </c>
      <c r="C13" s="31" t="inlineStr">
        <is>
          <t>auto</t>
        </is>
      </c>
      <c r="D13" s="31" t="inlineStr">
        <is>
          <t>auto ancillaries</t>
        </is>
      </c>
      <c r="E13" s="31" t="inlineStr">
        <is>
          <t>smallcap</t>
        </is>
      </c>
      <c r="F13" s="31" t="n">
        <v>2506.23</v>
      </c>
      <c r="G13" s="31" t="n">
        <v>1180</v>
      </c>
      <c r="H13" s="31" t="n">
        <v>6.51</v>
      </c>
      <c r="I13" s="31" t="n">
        <v>305723</v>
      </c>
      <c r="J13" s="31" t="inlineStr">
        <is>
          <t>532240</t>
        </is>
      </c>
    </row>
    <row r="14">
      <c r="A14" s="31" t="inlineStr">
        <is>
          <t>WANBURY</t>
        </is>
      </c>
      <c r="B14" s="31" t="inlineStr">
        <is>
          <t>Wanbury Limited</t>
        </is>
      </c>
      <c r="C14" s="31" t="inlineStr">
        <is>
          <t>healthcare</t>
        </is>
      </c>
      <c r="D14" s="31" t="inlineStr">
        <is>
          <t>pharmaceuticals - indian - bulk drugs &amp; formln</t>
        </is>
      </c>
      <c r="E14" s="31" t="inlineStr">
        <is>
          <t>smallcap</t>
        </is>
      </c>
      <c r="F14" s="31" t="n">
        <v>991.9299999999999</v>
      </c>
      <c r="G14" s="31" t="n">
        <v>302</v>
      </c>
      <c r="H14" s="31" t="n">
        <v>6.38</v>
      </c>
      <c r="I14" s="31" t="n">
        <v>260021</v>
      </c>
      <c r="J14" s="31" t="inlineStr">
        <is>
          <t>524212</t>
        </is>
      </c>
    </row>
    <row r="15">
      <c r="A15" s="31" t="inlineStr">
        <is>
          <t>KMEW</t>
        </is>
      </c>
      <c r="B15" s="31" t="inlineStr">
        <is>
          <t>Knowledge Marine &amp; Engineering Works Ltd</t>
        </is>
      </c>
      <c r="C15" s="31" t="inlineStr">
        <is>
          <t>transportation</t>
        </is>
      </c>
      <c r="D15" s="31" t="inlineStr">
        <is>
          <t>miscellaneous</t>
        </is>
      </c>
      <c r="E15" s="31" t="inlineStr">
        <is>
          <t>midcap</t>
        </is>
      </c>
      <c r="F15" s="31" t="n">
        <v>5545.39</v>
      </c>
      <c r="G15" s="31" t="n">
        <v>2412.7</v>
      </c>
      <c r="H15" s="31" t="n">
        <v>6.35</v>
      </c>
      <c r="I15" s="31" t="n">
        <v>183921</v>
      </c>
      <c r="J15" s="31" t="inlineStr">
        <is>
          <t>543273</t>
        </is>
      </c>
    </row>
    <row r="16">
      <c r="A16" s="31" t="inlineStr">
        <is>
          <t>PAYTM</t>
        </is>
      </c>
      <c r="B16" s="31" t="inlineStr">
        <is>
          <t>One 97 Communications Ltd</t>
        </is>
      </c>
      <c r="C16" s="31" t="inlineStr">
        <is>
          <t>i.t</t>
        </is>
      </c>
      <c r="D16" s="31" t="inlineStr">
        <is>
          <t>miscellaneous</t>
        </is>
      </c>
      <c r="E16" s="31" t="inlineStr">
        <is>
          <t>largecap</t>
        </is>
      </c>
      <c r="F16" s="31" t="n">
        <v>80831.37</v>
      </c>
      <c r="G16" s="31" t="n">
        <v>1341.8</v>
      </c>
      <c r="H16" s="31" t="n">
        <v>6.25</v>
      </c>
      <c r="I16" s="31" t="n">
        <v>6813451</v>
      </c>
      <c r="J16" s="31" t="inlineStr">
        <is>
          <t>543396</t>
        </is>
      </c>
    </row>
    <row r="17">
      <c r="A17" s="31" t="inlineStr">
        <is>
          <t>LLOYDSENGG</t>
        </is>
      </c>
      <c r="B17" s="31" t="inlineStr">
        <is>
          <t>Lloyds Engineering Works Ltd</t>
        </is>
      </c>
      <c r="C17" s="31" t="inlineStr">
        <is>
          <t>industrials</t>
        </is>
      </c>
      <c r="D17" s="31" t="inlineStr">
        <is>
          <t>engineering</t>
        </is>
      </c>
      <c r="E17" s="31" t="inlineStr">
        <is>
          <t>midcap</t>
        </is>
      </c>
      <c r="F17" s="31" t="n">
        <v>12635.81</v>
      </c>
      <c r="G17" s="31" t="n">
        <v>90.59999999999999</v>
      </c>
      <c r="H17" s="31" t="n">
        <v>6.14</v>
      </c>
      <c r="I17" s="31" t="n">
        <v>19219089</v>
      </c>
      <c r="J17" s="31" t="inlineStr">
        <is>
          <t>539992</t>
        </is>
      </c>
    </row>
    <row r="18">
      <c r="A18" s="31" t="inlineStr">
        <is>
          <t>EXICOM</t>
        </is>
      </c>
      <c r="B18" s="31" t="inlineStr">
        <is>
          <t>Exicom Tele-Systems Ltd</t>
        </is>
      </c>
      <c r="C18" s="31" t="inlineStr">
        <is>
          <t>industrials</t>
        </is>
      </c>
      <c r="D18" s="31" t="inlineStr">
        <is>
          <t>electric equipment</t>
        </is>
      </c>
      <c r="E18" s="31" t="inlineStr">
        <is>
          <t>smallcap</t>
        </is>
      </c>
      <c r="F18" s="31" t="n">
        <v>2230.84</v>
      </c>
      <c r="G18" s="31" t="n">
        <v>170.04</v>
      </c>
      <c r="H18" s="31" t="n">
        <v>6.01</v>
      </c>
      <c r="I18" s="31" t="n">
        <v>2286251</v>
      </c>
      <c r="J18" s="31" t="inlineStr">
        <is>
          <t>544133</t>
        </is>
      </c>
    </row>
    <row r="19">
      <c r="A19" s="31" t="inlineStr">
        <is>
          <t>BLUSPRING</t>
        </is>
      </c>
      <c r="B19" s="31" t="inlineStr">
        <is>
          <t>Bluspring Enterprises Ltd</t>
        </is>
      </c>
      <c r="C19" s="31" t="inlineStr">
        <is>
          <t>miscellaneous</t>
        </is>
      </c>
      <c r="D19" s="31" t="inlineStr">
        <is>
          <t>diversified - large</t>
        </is>
      </c>
      <c r="E19" s="31" t="inlineStr">
        <is>
          <t>smallcap</t>
        </is>
      </c>
      <c r="F19" s="31" t="n">
        <v>1590.65</v>
      </c>
      <c r="G19" s="31" t="n">
        <v>113.04</v>
      </c>
      <c r="H19" s="31" t="n">
        <v>5.98</v>
      </c>
      <c r="I19" s="31" t="n">
        <v>1067981</v>
      </c>
      <c r="J19" s="31" t="inlineStr">
        <is>
          <t>544414</t>
        </is>
      </c>
    </row>
    <row r="20">
      <c r="A20" s="31" t="inlineStr">
        <is>
          <t>VENKEYS</t>
        </is>
      </c>
      <c r="B20" s="31" t="inlineStr">
        <is>
          <t>Venky's (india) Limited</t>
        </is>
      </c>
      <c r="C20" s="31" t="inlineStr">
        <is>
          <t>fmcg</t>
        </is>
      </c>
      <c r="D20" s="31" t="inlineStr">
        <is>
          <t>miscellaneous</t>
        </is>
      </c>
      <c r="E20" s="31" t="inlineStr">
        <is>
          <t>smallcap</t>
        </is>
      </c>
      <c r="F20" s="31" t="n">
        <v>1979.41</v>
      </c>
      <c r="G20" s="31" t="n">
        <v>1485.7</v>
      </c>
      <c r="H20" s="31" t="n">
        <v>5.74</v>
      </c>
      <c r="I20" s="31" t="n">
        <v>74957</v>
      </c>
      <c r="J20" s="31" t="inlineStr">
        <is>
          <t>523261</t>
        </is>
      </c>
    </row>
    <row r="21">
      <c r="A21" s="31" t="inlineStr">
        <is>
          <t>CCAVENUE</t>
        </is>
      </c>
      <c r="B21" s="31" t="inlineStr">
        <is>
          <t>AvenuesAI Ltd</t>
        </is>
      </c>
      <c r="C21" s="31" t="inlineStr">
        <is>
          <t>i.t</t>
        </is>
      </c>
      <c r="D21" s="31" t="inlineStr">
        <is>
          <t>miscellaneous</t>
        </is>
      </c>
      <c r="E21" s="31" t="inlineStr">
        <is>
          <t>midcap</t>
        </is>
      </c>
      <c r="F21" s="31" t="n">
        <v>5985.87</v>
      </c>
      <c r="G21" s="31" t="n">
        <v>18.1</v>
      </c>
      <c r="H21" s="31" t="n">
        <v>5.72</v>
      </c>
      <c r="I21" s="31" t="n">
        <v>57116453</v>
      </c>
      <c r="J21" s="31" t="inlineStr">
        <is>
          <t>539807</t>
        </is>
      </c>
    </row>
    <row r="22">
      <c r="A22" s="31" t="inlineStr">
        <is>
          <t>CONFIPET</t>
        </is>
      </c>
      <c r="B22" s="31" t="inlineStr">
        <is>
          <t>Confidence Petroleum India Ltd</t>
        </is>
      </c>
      <c r="C22" s="31" t="inlineStr">
        <is>
          <t>miscellaneous</t>
        </is>
      </c>
      <c r="D22" s="31" t="inlineStr">
        <is>
          <t>miscellaneous</t>
        </is>
      </c>
      <c r="E22" s="31" t="inlineStr">
        <is>
          <t>smallcap</t>
        </is>
      </c>
      <c r="F22" s="31" t="n">
        <v>2402.77</v>
      </c>
      <c r="G22" s="31" t="n">
        <v>76.45</v>
      </c>
      <c r="H22" s="31" t="n">
        <v>5.71</v>
      </c>
      <c r="I22" s="31" t="n">
        <v>3330080</v>
      </c>
      <c r="J22" s="31" t="inlineStr">
        <is>
          <t>526829</t>
        </is>
      </c>
    </row>
    <row r="23">
      <c r="A23" s="31" t="inlineStr">
        <is>
          <t>NORTHARC</t>
        </is>
      </c>
      <c r="B23" s="31" t="inlineStr">
        <is>
          <t>Northern ARC Capital Ltd</t>
        </is>
      </c>
      <c r="C23" s="31" t="inlineStr">
        <is>
          <t>financials</t>
        </is>
      </c>
      <c r="D23" s="31" t="inlineStr">
        <is>
          <t>finance &amp; investments</t>
        </is>
      </c>
      <c r="E23" s="31" t="inlineStr">
        <is>
          <t>smallcap</t>
        </is>
      </c>
      <c r="F23" s="31" t="n">
        <v>4973.99</v>
      </c>
      <c r="G23" s="31" t="n">
        <v>325.3</v>
      </c>
      <c r="H23" s="31" t="n">
        <v>5.67</v>
      </c>
      <c r="I23" s="31" t="n">
        <v>2149704</v>
      </c>
      <c r="J23" s="31" t="n"/>
    </row>
    <row r="24">
      <c r="A24" s="31" t="inlineStr">
        <is>
          <t>ARMANFIN</t>
        </is>
      </c>
      <c r="B24" s="31" t="inlineStr">
        <is>
          <t>Arman Financial Services Limited</t>
        </is>
      </c>
      <c r="C24" s="31" t="inlineStr">
        <is>
          <t>financials</t>
        </is>
      </c>
      <c r="D24" s="31" t="inlineStr">
        <is>
          <t>finance &amp; investments</t>
        </is>
      </c>
      <c r="E24" s="31" t="inlineStr">
        <is>
          <t>smallcap</t>
        </is>
      </c>
      <c r="F24" s="31" t="n">
        <v>1813.48</v>
      </c>
      <c r="G24" s="31" t="n">
        <v>1820.1</v>
      </c>
      <c r="H24" s="31" t="n">
        <v>5.51</v>
      </c>
      <c r="I24" s="31" t="n">
        <v>122718</v>
      </c>
      <c r="J24" s="31" t="inlineStr">
        <is>
          <t>531179</t>
        </is>
      </c>
    </row>
    <row r="25">
      <c r="A25" s="31" t="inlineStr">
        <is>
          <t>VISAKAIND</t>
        </is>
      </c>
      <c r="B25" s="31" t="inlineStr">
        <is>
          <t>Visaka Industries Limited</t>
        </is>
      </c>
      <c r="C25" s="31" t="inlineStr">
        <is>
          <t>building materials</t>
        </is>
      </c>
      <c r="D25" s="31" t="inlineStr">
        <is>
          <t>cement products</t>
        </is>
      </c>
      <c r="E25" s="31" t="inlineStr">
        <is>
          <t>smallcap</t>
        </is>
      </c>
      <c r="F25" s="31" t="n">
        <v>670.9299999999999</v>
      </c>
      <c r="G25" s="31" t="n">
        <v>81.92</v>
      </c>
      <c r="H25" s="31" t="n">
        <v>5.5</v>
      </c>
      <c r="I25" s="31" t="n">
        <v>209142</v>
      </c>
      <c r="J25" s="31" t="inlineStr">
        <is>
          <t>509055</t>
        </is>
      </c>
    </row>
    <row r="26">
      <c r="A26" s="31" t="inlineStr">
        <is>
          <t>JAYAGROGN</t>
        </is>
      </c>
      <c r="B26" s="31" t="inlineStr">
        <is>
          <t>Jayant Agro Organics Limited</t>
        </is>
      </c>
      <c r="C26" s="31" t="inlineStr">
        <is>
          <t>chemicals</t>
        </is>
      </c>
      <c r="D26" s="31" t="inlineStr">
        <is>
          <t>chemicals</t>
        </is>
      </c>
      <c r="E26" s="31" t="inlineStr">
        <is>
          <t>smallcap</t>
        </is>
      </c>
      <c r="F26" s="31" t="n">
        <v>624.33</v>
      </c>
      <c r="G26" s="31" t="n">
        <v>219.2</v>
      </c>
      <c r="H26" s="31" t="n">
        <v>5.33</v>
      </c>
      <c r="I26" s="31" t="n">
        <v>42434</v>
      </c>
      <c r="J26" s="31" t="inlineStr">
        <is>
          <t>524330</t>
        </is>
      </c>
    </row>
    <row r="27">
      <c r="A27" s="31" t="inlineStr">
        <is>
          <t>CHENNPETRO</t>
        </is>
      </c>
      <c r="B27" s="31" t="inlineStr">
        <is>
          <t>Chennai Petroleum Corporation Limited</t>
        </is>
      </c>
      <c r="C27" s="31" t="inlineStr">
        <is>
          <t>energy</t>
        </is>
      </c>
      <c r="D27" s="31" t="inlineStr">
        <is>
          <t>refineries</t>
        </is>
      </c>
      <c r="E27" s="31" t="inlineStr">
        <is>
          <t>midcap</t>
        </is>
      </c>
      <c r="F27" s="31" t="n">
        <v>16703.39</v>
      </c>
      <c r="G27" s="31" t="n">
        <v>1180.7</v>
      </c>
      <c r="H27" s="31" t="n">
        <v>5.26</v>
      </c>
      <c r="I27" s="31" t="n">
        <v>2011061</v>
      </c>
      <c r="J27" s="31" t="inlineStr">
        <is>
          <t>500110</t>
        </is>
      </c>
    </row>
    <row r="28">
      <c r="A28" s="31" t="inlineStr">
        <is>
          <t>EQUITASBNK</t>
        </is>
      </c>
      <c r="B28" s="31" t="inlineStr">
        <is>
          <t>Equitas Small Finance Bank Ltd</t>
        </is>
      </c>
      <c r="C28" s="31" t="inlineStr">
        <is>
          <t>bank</t>
        </is>
      </c>
      <c r="D28" s="31" t="inlineStr">
        <is>
          <t>banks - private sector</t>
        </is>
      </c>
      <c r="E28" s="31" t="inlineStr">
        <is>
          <t>midcap</t>
        </is>
      </c>
      <c r="F28" s="31" t="n">
        <v>8919.530000000001</v>
      </c>
      <c r="G28" s="31" t="n">
        <v>82.23999999999999</v>
      </c>
      <c r="H28" s="31" t="n">
        <v>5.21</v>
      </c>
      <c r="I28" s="31" t="n">
        <v>9279418</v>
      </c>
      <c r="J28" s="31" t="inlineStr">
        <is>
          <t>543243</t>
        </is>
      </c>
    </row>
    <row r="29">
      <c r="A29" s="31" t="inlineStr">
        <is>
          <t>SANSERA</t>
        </is>
      </c>
      <c r="B29" s="31" t="inlineStr">
        <is>
          <t>Sansera Engineering Ltd</t>
        </is>
      </c>
      <c r="C29" s="31" t="inlineStr">
        <is>
          <t>auto</t>
        </is>
      </c>
      <c r="D29" s="31" t="inlineStr">
        <is>
          <t>auto ancillaries</t>
        </is>
      </c>
      <c r="E29" s="31" t="inlineStr">
        <is>
          <t>midcap</t>
        </is>
      </c>
      <c r="F29" s="31" t="n">
        <v>19584.73</v>
      </c>
      <c r="G29" s="31" t="n">
        <v>3304</v>
      </c>
      <c r="H29" s="31" t="n">
        <v>5.16</v>
      </c>
      <c r="I29" s="31" t="n">
        <v>316772</v>
      </c>
      <c r="J29" s="31" t="inlineStr">
        <is>
          <t>543358</t>
        </is>
      </c>
    </row>
    <row r="30">
      <c r="A30" s="31" t="inlineStr">
        <is>
          <t>GODREJPROP</t>
        </is>
      </c>
      <c r="B30" s="31" t="inlineStr">
        <is>
          <t>Godrej Properties Limited</t>
        </is>
      </c>
      <c r="C30" s="31" t="inlineStr">
        <is>
          <t>realty</t>
        </is>
      </c>
      <c r="D30" s="31" t="inlineStr">
        <is>
          <t>construction</t>
        </is>
      </c>
      <c r="E30" s="31" t="inlineStr">
        <is>
          <t>largecap</t>
        </is>
      </c>
      <c r="F30" s="31" t="n">
        <v>61141.88</v>
      </c>
      <c r="G30" s="31" t="n">
        <v>2133</v>
      </c>
      <c r="H30" s="31" t="n">
        <v>5.08</v>
      </c>
      <c r="I30" s="31" t="n">
        <v>1296675</v>
      </c>
      <c r="J30" s="31" t="inlineStr">
        <is>
          <t>533150</t>
        </is>
      </c>
    </row>
    <row r="31">
      <c r="A31" s="31" t="inlineStr">
        <is>
          <t>BANDHANBNK</t>
        </is>
      </c>
      <c r="B31" s="31" t="inlineStr">
        <is>
          <t>Bandhan Bank Ltd</t>
        </is>
      </c>
      <c r="C31" s="31" t="inlineStr">
        <is>
          <t>bank</t>
        </is>
      </c>
      <c r="D31" s="31" t="inlineStr">
        <is>
          <t>banks - private sector</t>
        </is>
      </c>
      <c r="E31" s="31" t="inlineStr">
        <is>
          <t>largecap</t>
        </is>
      </c>
      <c r="F31" s="31" t="n">
        <v>32196.89</v>
      </c>
      <c r="G31" s="31" t="n">
        <v>210</v>
      </c>
      <c r="H31" s="31" t="n">
        <v>5.07</v>
      </c>
      <c r="I31" s="31" t="n">
        <v>20211773</v>
      </c>
      <c r="J31" s="31" t="inlineStr">
        <is>
          <t>541153</t>
        </is>
      </c>
    </row>
    <row r="32">
      <c r="A32" s="31" t="inlineStr">
        <is>
          <t>GANDHAR</t>
        </is>
      </c>
      <c r="B32" s="31" t="inlineStr">
        <is>
          <t>Gandhar Oil Refinery (India) Ltd</t>
        </is>
      </c>
      <c r="C32" s="31" t="inlineStr">
        <is>
          <t>energy</t>
        </is>
      </c>
      <c r="D32" s="31" t="inlineStr">
        <is>
          <t>refineries</t>
        </is>
      </c>
      <c r="E32" s="31" t="inlineStr">
        <is>
          <t>smallcap</t>
        </is>
      </c>
      <c r="F32" s="31" t="n">
        <v>1892.5</v>
      </c>
      <c r="G32" s="31" t="n">
        <v>203.15</v>
      </c>
      <c r="H32" s="31" t="n">
        <v>5.07</v>
      </c>
      <c r="I32" s="31" t="n">
        <v>3577727</v>
      </c>
      <c r="J32" s="31" t="inlineStr">
        <is>
          <t>544029</t>
        </is>
      </c>
    </row>
    <row r="33">
      <c r="A33" s="31" t="inlineStr">
        <is>
          <t>INDOTECH</t>
        </is>
      </c>
      <c r="B33" s="31" t="inlineStr">
        <is>
          <t>Indo Tech Transformers Limited</t>
        </is>
      </c>
      <c r="C33" s="31" t="inlineStr">
        <is>
          <t>industrials</t>
        </is>
      </c>
      <c r="D33" s="31" t="inlineStr">
        <is>
          <t>electric equipment</t>
        </is>
      </c>
      <c r="E33" s="31" t="inlineStr">
        <is>
          <t>smallcap</t>
        </is>
      </c>
      <c r="F33" s="31" t="n">
        <v>3342.11</v>
      </c>
      <c r="G33" s="31" t="n">
        <v>3304.3</v>
      </c>
      <c r="H33" s="31" t="n">
        <v>5</v>
      </c>
      <c r="I33" s="31" t="n">
        <v>20547</v>
      </c>
      <c r="J33" s="31" t="inlineStr">
        <is>
          <t>532717</t>
        </is>
      </c>
    </row>
    <row r="34">
      <c r="A34" s="31" t="inlineStr">
        <is>
          <t>KANORICHEM</t>
        </is>
      </c>
      <c r="B34" s="31" t="inlineStr">
        <is>
          <t>Kanoria Chemicals &amp; Industries Limited</t>
        </is>
      </c>
      <c r="C34" s="31" t="inlineStr">
        <is>
          <t>chemicals</t>
        </is>
      </c>
      <c r="D34" s="31" t="inlineStr">
        <is>
          <t>chemicals</t>
        </is>
      </c>
      <c r="E34" s="31" t="inlineStr">
        <is>
          <t>smallcap</t>
        </is>
      </c>
      <c r="F34" s="31" t="n">
        <v>568.0599999999999</v>
      </c>
      <c r="G34" s="31" t="n">
        <v>136.51</v>
      </c>
      <c r="H34" s="31" t="n">
        <v>5</v>
      </c>
      <c r="I34" s="31" t="n">
        <v>83546</v>
      </c>
      <c r="J34" s="31" t="inlineStr">
        <is>
          <t>506525</t>
        </is>
      </c>
    </row>
    <row r="35">
      <c r="A35" s="31" t="inlineStr">
        <is>
          <t>SUBEXLTD</t>
        </is>
      </c>
      <c r="B35" s="31" t="inlineStr">
        <is>
          <t>Subex Ltd</t>
        </is>
      </c>
      <c r="C35" s="31" t="inlineStr">
        <is>
          <t>i.t</t>
        </is>
      </c>
      <c r="D35" s="31" t="inlineStr">
        <is>
          <t>computers - software - medium / small</t>
        </is>
      </c>
      <c r="E35" s="31" t="inlineStr">
        <is>
          <t>smallcap</t>
        </is>
      </c>
      <c r="F35" s="31" t="n">
        <v>708.12</v>
      </c>
      <c r="G35" s="31" t="n">
        <v>13.23</v>
      </c>
      <c r="H35" s="31" t="n">
        <v>5</v>
      </c>
      <c r="I35" s="31" t="n">
        <v>2431346</v>
      </c>
      <c r="J35" s="31" t="inlineStr">
        <is>
          <t>532348</t>
        </is>
      </c>
    </row>
    <row r="36">
      <c r="A36" s="31" t="inlineStr">
        <is>
          <t>GEECEE</t>
        </is>
      </c>
      <c r="B36" s="31" t="inlineStr">
        <is>
          <t>Geecee Ventures Limited</t>
        </is>
      </c>
      <c r="C36" s="31" t="inlineStr">
        <is>
          <t>financials</t>
        </is>
      </c>
      <c r="D36" s="31" t="inlineStr">
        <is>
          <t>finance &amp; investments</t>
        </is>
      </c>
      <c r="E36" s="31" t="inlineStr">
        <is>
          <t>smallcap</t>
        </is>
      </c>
      <c r="F36" s="31" t="n">
        <v>695</v>
      </c>
      <c r="G36" s="31" t="n">
        <v>348.95</v>
      </c>
      <c r="H36" s="31" t="n">
        <v>4.99</v>
      </c>
      <c r="I36" s="31" t="n">
        <v>5052</v>
      </c>
      <c r="J36" s="31" t="inlineStr">
        <is>
          <t>532764</t>
        </is>
      </c>
    </row>
    <row r="37">
      <c r="A37" s="31" t="inlineStr">
        <is>
          <t>IDEAFORGE</t>
        </is>
      </c>
      <c r="B37" s="31" t="inlineStr">
        <is>
          <t>Ideaforge Technology Ltd</t>
        </is>
      </c>
      <c r="C37" s="31" t="inlineStr">
        <is>
          <t>aerospace &amp; defence</t>
        </is>
      </c>
      <c r="D37" s="31" t="inlineStr">
        <is>
          <t>engineering</t>
        </is>
      </c>
      <c r="E37" s="31" t="inlineStr">
        <is>
          <t>smallcap</t>
        </is>
      </c>
      <c r="F37" s="31" t="n">
        <v>3722.97</v>
      </c>
      <c r="G37" s="31" t="n">
        <v>900.75</v>
      </c>
      <c r="H37" s="31" t="n">
        <v>4.99</v>
      </c>
      <c r="I37" s="31" t="n">
        <v>376799</v>
      </c>
      <c r="J37" s="31" t="inlineStr">
        <is>
          <t>543932</t>
        </is>
      </c>
    </row>
    <row r="38">
      <c r="A38" s="31" t="inlineStr">
        <is>
          <t>SETL</t>
        </is>
      </c>
      <c r="B38" s="31" t="inlineStr">
        <is>
          <t>Standard Enginnering Technology Ltd</t>
        </is>
      </c>
      <c r="C38" s="31" t="inlineStr">
        <is>
          <t>industrials</t>
        </is>
      </c>
      <c r="D38" s="31" t="inlineStr">
        <is>
          <t>engineering</t>
        </is>
      </c>
      <c r="E38" s="31" t="inlineStr">
        <is>
          <t>midcap</t>
        </is>
      </c>
      <c r="F38" s="31" t="n">
        <v>5523.92</v>
      </c>
      <c r="G38" s="31" t="n">
        <v>290.7</v>
      </c>
      <c r="H38" s="31" t="n">
        <v>4.98</v>
      </c>
      <c r="I38" s="31" t="n">
        <v>842381</v>
      </c>
      <c r="J38" s="31" t="inlineStr">
        <is>
          <t>544333</t>
        </is>
      </c>
    </row>
    <row r="39">
      <c r="A39" s="31" t="inlineStr">
        <is>
          <t>RBLBANK</t>
        </is>
      </c>
      <c r="B39" s="31" t="inlineStr">
        <is>
          <t>Rbl Bank Limited</t>
        </is>
      </c>
      <c r="C39" s="31" t="inlineStr">
        <is>
          <t>bank</t>
        </is>
      </c>
      <c r="D39" s="31" t="inlineStr">
        <is>
          <t>banks - private sector</t>
        </is>
      </c>
      <c r="E39" s="31" t="inlineStr">
        <is>
          <t>largecap</t>
        </is>
      </c>
      <c r="F39" s="31" t="n">
        <v>56181.69</v>
      </c>
      <c r="G39" s="31" t="n">
        <v>380.65</v>
      </c>
      <c r="H39" s="31" t="n">
        <v>4.92</v>
      </c>
      <c r="I39" s="31" t="n">
        <v>9130348</v>
      </c>
      <c r="J39" s="31" t="inlineStr">
        <is>
          <t>540065</t>
        </is>
      </c>
    </row>
    <row r="40">
      <c r="A40" s="31" t="inlineStr">
        <is>
          <t>TMB</t>
        </is>
      </c>
      <c r="B40" s="31" t="inlineStr">
        <is>
          <t>Tamilnad Mercantile Bank Ltd</t>
        </is>
      </c>
      <c r="C40" s="31" t="inlineStr">
        <is>
          <t>bank</t>
        </is>
      </c>
      <c r="D40" s="31" t="inlineStr">
        <is>
          <t>banks - private sector</t>
        </is>
      </c>
      <c r="E40" s="31" t="inlineStr">
        <is>
          <t>midcap</t>
        </is>
      </c>
      <c r="F40" s="31" t="n">
        <v>12180.39</v>
      </c>
      <c r="G40" s="31" t="n">
        <v>807</v>
      </c>
      <c r="H40" s="31" t="n">
        <v>4.91</v>
      </c>
      <c r="I40" s="31" t="n">
        <v>342497</v>
      </c>
      <c r="J40" s="31" t="inlineStr">
        <is>
          <t>543596</t>
        </is>
      </c>
    </row>
    <row r="41">
      <c r="A41" s="31" t="inlineStr">
        <is>
          <t>WABAG</t>
        </is>
      </c>
      <c r="B41" s="31" t="inlineStr">
        <is>
          <t>Va Tech Wabag Limited</t>
        </is>
      </c>
      <c r="C41" s="31" t="inlineStr">
        <is>
          <t>realty</t>
        </is>
      </c>
      <c r="D41" s="31" t="inlineStr">
        <is>
          <t>engineering - turnkey services</t>
        </is>
      </c>
      <c r="E41" s="31" t="inlineStr">
        <is>
          <t>midcap</t>
        </is>
      </c>
      <c r="F41" s="31" t="n">
        <v>13195.3</v>
      </c>
      <c r="G41" s="31" t="n">
        <v>2221.2</v>
      </c>
      <c r="H41" s="31" t="n">
        <v>4.89</v>
      </c>
      <c r="I41" s="31" t="n">
        <v>1382216</v>
      </c>
      <c r="J41" s="31" t="inlineStr">
        <is>
          <t>533269</t>
        </is>
      </c>
    </row>
    <row r="42">
      <c r="A42" s="31" t="inlineStr">
        <is>
          <t>LLOYDSENT</t>
        </is>
      </c>
      <c r="B42" s="31" t="inlineStr">
        <is>
          <t>Lloyds Enterprises Ltd</t>
        </is>
      </c>
      <c r="C42" s="31" t="inlineStr">
        <is>
          <t>services</t>
        </is>
      </c>
      <c r="D42" s="31" t="inlineStr">
        <is>
          <t>trading</t>
        </is>
      </c>
      <c r="E42" s="31" t="inlineStr">
        <is>
          <t>midcap</t>
        </is>
      </c>
      <c r="F42" s="31" t="n">
        <v>11385.02</v>
      </c>
      <c r="G42" s="31" t="n">
        <v>78.18000000000001</v>
      </c>
      <c r="H42" s="31" t="n">
        <v>4.83</v>
      </c>
      <c r="I42" s="31" t="n">
        <v>5818662</v>
      </c>
      <c r="J42" s="31" t="inlineStr">
        <is>
          <t>512463</t>
        </is>
      </c>
    </row>
    <row r="43">
      <c r="A43" s="31" t="inlineStr">
        <is>
          <t>INDOBORAX</t>
        </is>
      </c>
      <c r="B43" s="31" t="inlineStr">
        <is>
          <t>Indo Borax &amp; Chemicals Ltd</t>
        </is>
      </c>
      <c r="C43" s="31" t="inlineStr">
        <is>
          <t>chemicals</t>
        </is>
      </c>
      <c r="D43" s="31" t="inlineStr">
        <is>
          <t>chemicals</t>
        </is>
      </c>
      <c r="E43" s="31" t="inlineStr">
        <is>
          <t>smallcap</t>
        </is>
      </c>
      <c r="F43" s="31" t="n">
        <v>1391.58</v>
      </c>
      <c r="G43" s="31" t="n">
        <v>453.8</v>
      </c>
      <c r="H43" s="31" t="n">
        <v>4.65</v>
      </c>
      <c r="I43" s="31" t="n">
        <v>300056</v>
      </c>
      <c r="J43" s="31" t="inlineStr">
        <is>
          <t>524342</t>
        </is>
      </c>
    </row>
    <row r="44">
      <c r="A44" s="31" t="inlineStr">
        <is>
          <t>OFSS</t>
        </is>
      </c>
      <c r="B44" s="31" t="inlineStr">
        <is>
          <t>Oracle Financial Services Software Limited</t>
        </is>
      </c>
      <c r="C44" s="31" t="inlineStr">
        <is>
          <t>i.t</t>
        </is>
      </c>
      <c r="D44" s="31" t="inlineStr">
        <is>
          <t>computers - software - large</t>
        </is>
      </c>
      <c r="E44" s="31" t="inlineStr">
        <is>
          <t>largecap</t>
        </is>
      </c>
      <c r="F44" s="31" t="n">
        <v>96904.92</v>
      </c>
      <c r="G44" s="31" t="n">
        <v>11651</v>
      </c>
      <c r="H44" s="31" t="n">
        <v>4.64</v>
      </c>
      <c r="I44" s="31" t="n">
        <v>462353</v>
      </c>
      <c r="J44" s="31" t="inlineStr">
        <is>
          <t>532466</t>
        </is>
      </c>
    </row>
    <row r="45">
      <c r="A45" s="31" t="inlineStr">
        <is>
          <t>RUBYMILLS</t>
        </is>
      </c>
      <c r="B45" s="31" t="inlineStr">
        <is>
          <t>The Ruby Mills Limited</t>
        </is>
      </c>
      <c r="C45" s="31" t="inlineStr">
        <is>
          <t>textiles</t>
        </is>
      </c>
      <c r="D45" s="31" t="inlineStr">
        <is>
          <t>textiles - composite</t>
        </is>
      </c>
      <c r="E45" s="31" t="inlineStr">
        <is>
          <t>smallcap</t>
        </is>
      </c>
      <c r="F45" s="31" t="n">
        <v>1222.4</v>
      </c>
      <c r="G45" s="31" t="n">
        <v>382.5</v>
      </c>
      <c r="H45" s="31" t="n">
        <v>4.64</v>
      </c>
      <c r="I45" s="31" t="n">
        <v>64318</v>
      </c>
      <c r="J45" s="31" t="inlineStr">
        <is>
          <t>503169</t>
        </is>
      </c>
    </row>
    <row r="46">
      <c r="A46" s="31" t="inlineStr">
        <is>
          <t>INDSWFTLAB</t>
        </is>
      </c>
      <c r="B46" s="31" t="inlineStr">
        <is>
          <t>Ind-swift Laboratories Limited</t>
        </is>
      </c>
      <c r="C46" s="31" t="inlineStr">
        <is>
          <t>healthcare</t>
        </is>
      </c>
      <c r="D46" s="31" t="inlineStr">
        <is>
          <t>pharmaceuticals - indian - bulk drugs &amp; formln</t>
        </is>
      </c>
      <c r="E46" s="31" t="inlineStr">
        <is>
          <t>smallcap</t>
        </is>
      </c>
      <c r="F46" s="31" t="n">
        <v>2045.7</v>
      </c>
      <c r="G46" s="31" t="n">
        <v>246.44</v>
      </c>
      <c r="H46" s="31" t="n">
        <v>4.61</v>
      </c>
      <c r="I46" s="31" t="n">
        <v>1902514</v>
      </c>
      <c r="J46" s="31" t="inlineStr">
        <is>
          <t>532305</t>
        </is>
      </c>
    </row>
    <row r="47">
      <c r="A47" s="31" t="inlineStr">
        <is>
          <t>APOLLOPIPE</t>
        </is>
      </c>
      <c r="B47" s="31" t="inlineStr">
        <is>
          <t>Apollo Pipes Ltd</t>
        </is>
      </c>
      <c r="C47" s="31" t="inlineStr">
        <is>
          <t>plastic products</t>
        </is>
      </c>
      <c r="D47" s="31" t="inlineStr">
        <is>
          <t>plastics products</t>
        </is>
      </c>
      <c r="E47" s="31" t="inlineStr">
        <is>
          <t>smallcap</t>
        </is>
      </c>
      <c r="F47" s="31" t="n">
        <v>2148.23</v>
      </c>
      <c r="G47" s="31" t="n">
        <v>510</v>
      </c>
      <c r="H47" s="31" t="n">
        <v>4.57</v>
      </c>
      <c r="I47" s="31" t="n">
        <v>391200</v>
      </c>
      <c r="J47" s="31" t="inlineStr">
        <is>
          <t>531761</t>
        </is>
      </c>
    </row>
    <row r="48">
      <c r="A48" s="31" t="inlineStr">
        <is>
          <t>SIGMAADV</t>
        </is>
      </c>
      <c r="B48" s="31" t="inlineStr">
        <is>
          <t>Sigma Advanced System Ltd</t>
        </is>
      </c>
      <c r="C48" s="31" t="inlineStr">
        <is>
          <t>aerospace &amp; defence</t>
        </is>
      </c>
      <c r="D48" s="31" t="inlineStr">
        <is>
          <t>electronics - components</t>
        </is>
      </c>
      <c r="E48" s="31" t="inlineStr">
        <is>
          <t>midcap</t>
        </is>
      </c>
      <c r="F48" s="31" t="n">
        <v>9835.059999999999</v>
      </c>
      <c r="G48" s="31" t="n">
        <v>582.65</v>
      </c>
      <c r="H48" s="31" t="n">
        <v>4.41</v>
      </c>
      <c r="I48" s="31" t="n">
        <v>1121568</v>
      </c>
      <c r="J48" s="31" t="inlineStr">
        <is>
          <t>532408</t>
        </is>
      </c>
    </row>
    <row r="49">
      <c r="A49" s="31" t="inlineStr">
        <is>
          <t>SOTL</t>
        </is>
      </c>
      <c r="B49" s="31" t="inlineStr">
        <is>
          <t>Savita Oil Technologies Limited</t>
        </is>
      </c>
      <c r="C49" s="31" t="inlineStr">
        <is>
          <t>energy</t>
        </is>
      </c>
      <c r="D49" s="31" t="inlineStr">
        <is>
          <t>petrochemicals</t>
        </is>
      </c>
      <c r="E49" s="31" t="inlineStr">
        <is>
          <t>smallcap</t>
        </is>
      </c>
      <c r="F49" s="31" t="n">
        <v>3988.84</v>
      </c>
      <c r="G49" s="31" t="n">
        <v>607.45</v>
      </c>
      <c r="H49" s="31" t="n">
        <v>4.41</v>
      </c>
      <c r="I49" s="31" t="n">
        <v>717523</v>
      </c>
      <c r="J49" s="31" t="inlineStr">
        <is>
          <t>524667</t>
        </is>
      </c>
    </row>
    <row r="50">
      <c r="A50" s="31" t="inlineStr">
        <is>
          <t>STYLAMIND</t>
        </is>
      </c>
      <c r="B50" s="31" t="inlineStr">
        <is>
          <t>Stylam Industries Ltd</t>
        </is>
      </c>
      <c r="C50" s="31" t="inlineStr">
        <is>
          <t>building materials</t>
        </is>
      </c>
      <c r="D50" s="31" t="inlineStr">
        <is>
          <t>miscellaneous</t>
        </is>
      </c>
      <c r="E50" s="31" t="inlineStr">
        <is>
          <t>midcap</t>
        </is>
      </c>
      <c r="F50" s="31" t="n">
        <v>5345.59</v>
      </c>
      <c r="G50" s="31" t="n">
        <v>3292</v>
      </c>
      <c r="H50" s="31" t="n">
        <v>4.37</v>
      </c>
      <c r="I50" s="31" t="n">
        <v>74251</v>
      </c>
      <c r="J50" s="31" t="inlineStr">
        <is>
          <t>526951</t>
        </is>
      </c>
    </row>
    <row r="51">
      <c r="A51" s="31" t="inlineStr">
        <is>
          <t>UJJIVANSFB</t>
        </is>
      </c>
      <c r="B51" s="31" t="inlineStr">
        <is>
          <t>Ujjivan Small Finance Bank Ltd</t>
        </is>
      </c>
      <c r="C51" s="31" t="inlineStr">
        <is>
          <t>bank</t>
        </is>
      </c>
      <c r="D51" s="31" t="inlineStr">
        <is>
          <t>banks - private sector</t>
        </is>
      </c>
      <c r="E51" s="31" t="inlineStr">
        <is>
          <t>midcap</t>
        </is>
      </c>
      <c r="F51" s="31" t="n">
        <v>12157.51</v>
      </c>
      <c r="G51" s="31" t="n">
        <v>65.27</v>
      </c>
      <c r="H51" s="31" t="n">
        <v>4.3</v>
      </c>
      <c r="I51" s="31" t="n">
        <v>39573134</v>
      </c>
      <c r="J51" s="31" t="inlineStr">
        <is>
          <t>542904</t>
        </is>
      </c>
    </row>
    <row r="52">
      <c r="A52" s="31" t="inlineStr">
        <is>
          <t>DATAMATICS</t>
        </is>
      </c>
      <c r="B52" s="31" t="inlineStr">
        <is>
          <t>Datamatics Global Services Limited</t>
        </is>
      </c>
      <c r="C52" s="31" t="inlineStr">
        <is>
          <t>i.t</t>
        </is>
      </c>
      <c r="D52" s="31" t="inlineStr">
        <is>
          <t>computers - software - medium / small</t>
        </is>
      </c>
      <c r="E52" s="31" t="inlineStr">
        <is>
          <t>midcap</t>
        </is>
      </c>
      <c r="F52" s="31" t="n">
        <v>5105.61</v>
      </c>
      <c r="G52" s="31" t="n">
        <v>900.45</v>
      </c>
      <c r="H52" s="31" t="n">
        <v>4.24</v>
      </c>
      <c r="I52" s="31" t="n">
        <v>490965</v>
      </c>
      <c r="J52" s="31" t="inlineStr">
        <is>
          <t>532528</t>
        </is>
      </c>
    </row>
    <row r="53">
      <c r="A53" s="31" t="inlineStr">
        <is>
          <t>JASH</t>
        </is>
      </c>
      <c r="B53" s="31" t="inlineStr">
        <is>
          <t>Jash Engineering Ltd</t>
        </is>
      </c>
      <c r="C53" s="31" t="inlineStr">
        <is>
          <t>industrials</t>
        </is>
      </c>
      <c r="D53" s="31" t="inlineStr">
        <is>
          <t>engineering</t>
        </is>
      </c>
      <c r="E53" s="31" t="inlineStr">
        <is>
          <t>smallcap</t>
        </is>
      </c>
      <c r="F53" s="31" t="n">
        <v>3231.41</v>
      </c>
      <c r="G53" s="31" t="n">
        <v>532.75</v>
      </c>
      <c r="H53" s="31" t="n">
        <v>4.19</v>
      </c>
      <c r="I53" s="31" t="n">
        <v>610140</v>
      </c>
      <c r="J53" s="31" t="inlineStr">
        <is>
          <t>535019</t>
        </is>
      </c>
    </row>
    <row r="54">
      <c r="A54" s="31" t="inlineStr">
        <is>
          <t>BAJAJCON</t>
        </is>
      </c>
      <c r="B54" s="31" t="inlineStr">
        <is>
          <t>Bajaj Consumer Care Ltd</t>
        </is>
      </c>
      <c r="C54" s="31" t="inlineStr">
        <is>
          <t>fmcg</t>
        </is>
      </c>
      <c r="D54" s="31" t="inlineStr">
        <is>
          <t>personal care - indian</t>
        </is>
      </c>
      <c r="E54" s="31" t="inlineStr">
        <is>
          <t>midcap</t>
        </is>
      </c>
      <c r="F54" s="31" t="n">
        <v>8405.940000000001</v>
      </c>
      <c r="G54" s="31" t="n">
        <v>670.25</v>
      </c>
      <c r="H54" s="31" t="n">
        <v>4.15</v>
      </c>
      <c r="I54" s="31" t="n">
        <v>2128239</v>
      </c>
      <c r="J54" s="31" t="inlineStr">
        <is>
          <t>533229</t>
        </is>
      </c>
    </row>
    <row r="55">
      <c r="A55" s="31" t="inlineStr">
        <is>
          <t>OMAXE</t>
        </is>
      </c>
      <c r="B55" s="31" t="inlineStr">
        <is>
          <t>Omaxe Limited</t>
        </is>
      </c>
      <c r="C55" s="31" t="inlineStr">
        <is>
          <t>realty</t>
        </is>
      </c>
      <c r="D55" s="31" t="inlineStr">
        <is>
          <t>construction</t>
        </is>
      </c>
      <c r="E55" s="31" t="inlineStr">
        <is>
          <t>smallcap</t>
        </is>
      </c>
      <c r="F55" s="31" t="n">
        <v>1589.41</v>
      </c>
      <c r="G55" s="31" t="n">
        <v>90.48</v>
      </c>
      <c r="H55" s="31" t="n">
        <v>4.12</v>
      </c>
      <c r="I55" s="31" t="n">
        <v>3960477</v>
      </c>
      <c r="J55" s="31" t="inlineStr">
        <is>
          <t>532880</t>
        </is>
      </c>
    </row>
    <row r="56">
      <c r="A56" s="31" t="inlineStr">
        <is>
          <t>SURYODAY</t>
        </is>
      </c>
      <c r="B56" s="31" t="inlineStr">
        <is>
          <t>Suryoday Small Finance Bank Ltd</t>
        </is>
      </c>
      <c r="C56" s="31" t="inlineStr">
        <is>
          <t>bank</t>
        </is>
      </c>
      <c r="D56" s="31" t="inlineStr">
        <is>
          <t>banks - private sector</t>
        </is>
      </c>
      <c r="E56" s="31" t="inlineStr">
        <is>
          <t>smallcap</t>
        </is>
      </c>
      <c r="F56" s="31" t="n">
        <v>1882.71</v>
      </c>
      <c r="G56" s="31" t="n">
        <v>184.31</v>
      </c>
      <c r="H56" s="31" t="n">
        <v>4.05</v>
      </c>
      <c r="I56" s="31" t="n">
        <v>921226</v>
      </c>
      <c r="J56" s="31" t="inlineStr">
        <is>
          <t>543279</t>
        </is>
      </c>
    </row>
    <row r="57">
      <c r="A57" s="31" t="inlineStr">
        <is>
          <t>UFBL</t>
        </is>
      </c>
      <c r="B57" s="31" t="inlineStr">
        <is>
          <t>United Foodbrands Ltd</t>
        </is>
      </c>
      <c r="C57" s="31" t="inlineStr">
        <is>
          <t>consumer discretionary</t>
        </is>
      </c>
      <c r="D57" s="31" t="inlineStr">
        <is>
          <t>hotels</t>
        </is>
      </c>
      <c r="E57" s="31" t="inlineStr">
        <is>
          <t>smallcap</t>
        </is>
      </c>
      <c r="F57" s="31" t="n">
        <v>2841.58</v>
      </c>
      <c r="G57" s="31" t="n">
        <v>755.8</v>
      </c>
      <c r="H57" s="31" t="n">
        <v>3.96</v>
      </c>
      <c r="I57" s="31" t="n">
        <v>364586</v>
      </c>
      <c r="J57" s="31" t="inlineStr">
        <is>
          <t>543283</t>
        </is>
      </c>
    </row>
    <row r="58">
      <c r="A58" s="31" t="inlineStr">
        <is>
          <t>DLF</t>
        </is>
      </c>
      <c r="B58" s="31" t="inlineStr">
        <is>
          <t>Dlf Limited</t>
        </is>
      </c>
      <c r="C58" s="31" t="inlineStr">
        <is>
          <t>realty</t>
        </is>
      </c>
      <c r="D58" s="31" t="inlineStr">
        <is>
          <t>construction</t>
        </is>
      </c>
      <c r="E58" s="31" t="inlineStr">
        <is>
          <t>largecap</t>
        </is>
      </c>
      <c r="F58" s="31" t="n">
        <v>163271.56</v>
      </c>
      <c r="G58" s="31" t="n">
        <v>685.75</v>
      </c>
      <c r="H58" s="31" t="n">
        <v>3.96</v>
      </c>
      <c r="I58" s="31" t="n">
        <v>11338498</v>
      </c>
      <c r="J58" s="31" t="inlineStr">
        <is>
          <t>532868</t>
        </is>
      </c>
    </row>
    <row r="59">
      <c r="A59" s="31" t="inlineStr">
        <is>
          <t>KOPRAN</t>
        </is>
      </c>
      <c r="B59" s="31" t="inlineStr">
        <is>
          <t>Kopran Limited</t>
        </is>
      </c>
      <c r="C59" s="31" t="inlineStr">
        <is>
          <t>healthcare</t>
        </is>
      </c>
      <c r="D59" s="31" t="inlineStr">
        <is>
          <t>pharmaceuticals - indian - bulk drugs &amp; formln</t>
        </is>
      </c>
      <c r="E59" s="31" t="inlineStr">
        <is>
          <t>smallcap</t>
        </is>
      </c>
      <c r="F59" s="31" t="n">
        <v>914.34</v>
      </c>
      <c r="G59" s="31" t="n">
        <v>196.82</v>
      </c>
      <c r="H59" s="31" t="n">
        <v>3.94</v>
      </c>
      <c r="I59" s="31" t="n">
        <v>191903</v>
      </c>
      <c r="J59" s="31" t="inlineStr">
        <is>
          <t>524280</t>
        </is>
      </c>
    </row>
    <row r="60">
      <c r="A60" s="31" t="inlineStr">
        <is>
          <t>MOTILALOFS</t>
        </is>
      </c>
      <c r="B60" s="31" t="inlineStr">
        <is>
          <t>Motilal Oswal Financial Services Limited</t>
        </is>
      </c>
      <c r="C60" s="31" t="inlineStr">
        <is>
          <t>financials</t>
        </is>
      </c>
      <c r="D60" s="31" t="inlineStr">
        <is>
          <t>finance &amp; investments</t>
        </is>
      </c>
      <c r="E60" s="31" t="inlineStr">
        <is>
          <t>largecap</t>
        </is>
      </c>
      <c r="F60" s="31" t="n">
        <v>56725.31</v>
      </c>
      <c r="G60" s="31" t="n">
        <v>979.35</v>
      </c>
      <c r="H60" s="31" t="n">
        <v>3.91</v>
      </c>
      <c r="I60" s="31" t="n">
        <v>1344275</v>
      </c>
      <c r="J60" s="31" t="inlineStr">
        <is>
          <t>532892</t>
        </is>
      </c>
    </row>
    <row r="61">
      <c r="A61" s="31" t="inlineStr">
        <is>
          <t>SENCO</t>
        </is>
      </c>
      <c r="B61" s="31" t="inlineStr">
        <is>
          <t>Senco Gold Ltd</t>
        </is>
      </c>
      <c r="C61" s="31" t="inlineStr">
        <is>
          <t>consumer discretionary</t>
        </is>
      </c>
      <c r="D61" s="31" t="inlineStr">
        <is>
          <t>diamond cutting / jewellery</t>
        </is>
      </c>
      <c r="E61" s="31" t="inlineStr">
        <is>
          <t>midcap</t>
        </is>
      </c>
      <c r="F61" s="31" t="n">
        <v>5711.12</v>
      </c>
      <c r="G61" s="31" t="n">
        <v>362.15</v>
      </c>
      <c r="H61" s="31" t="n">
        <v>3.87</v>
      </c>
      <c r="I61" s="31" t="n">
        <v>4077839</v>
      </c>
      <c r="J61" s="31" t="inlineStr">
        <is>
          <t>543936</t>
        </is>
      </c>
    </row>
    <row r="62">
      <c r="A62" s="31" t="inlineStr">
        <is>
          <t>ZENTEC</t>
        </is>
      </c>
      <c r="B62" s="31" t="inlineStr">
        <is>
          <t>Zen Technologies Limited</t>
        </is>
      </c>
      <c r="C62" s="31" t="inlineStr">
        <is>
          <t>aerospace &amp; defence</t>
        </is>
      </c>
      <c r="D62" s="31" t="inlineStr">
        <is>
          <t>miscellaneous</t>
        </is>
      </c>
      <c r="E62" s="31" t="inlineStr">
        <is>
          <t>midcap</t>
        </is>
      </c>
      <c r="F62" s="31" t="n">
        <v>16369.64</v>
      </c>
      <c r="G62" s="31" t="n">
        <v>1880.4</v>
      </c>
      <c r="H62" s="31" t="n">
        <v>3.72</v>
      </c>
      <c r="I62" s="31" t="n">
        <v>598673</v>
      </c>
      <c r="J62" s="31" t="inlineStr">
        <is>
          <t>533339</t>
        </is>
      </c>
    </row>
    <row r="63">
      <c r="A63" s="31" t="inlineStr">
        <is>
          <t>ZYDUSWELL</t>
        </is>
      </c>
      <c r="B63" s="31" t="inlineStr">
        <is>
          <t>Zydus Wellness Limited</t>
        </is>
      </c>
      <c r="C63" s="31" t="inlineStr">
        <is>
          <t>fmcg</t>
        </is>
      </c>
      <c r="D63" s="31" t="inlineStr">
        <is>
          <t>food - processing - indian</t>
        </is>
      </c>
      <c r="E63" s="31" t="inlineStr">
        <is>
          <t>midcap</t>
        </is>
      </c>
      <c r="F63" s="31" t="n">
        <v>18182.89</v>
      </c>
      <c r="G63" s="31" t="n">
        <v>592.45</v>
      </c>
      <c r="H63" s="31" t="n">
        <v>3.67</v>
      </c>
      <c r="I63" s="31" t="n">
        <v>557390</v>
      </c>
      <c r="J63" s="31" t="inlineStr">
        <is>
          <t>531335</t>
        </is>
      </c>
    </row>
    <row r="64">
      <c r="A64" s="31" t="inlineStr">
        <is>
          <t>HNDFDS</t>
        </is>
      </c>
      <c r="B64" s="31" t="inlineStr">
        <is>
          <t>Hindustan Foods Ltd</t>
        </is>
      </c>
      <c r="C64" s="31" t="inlineStr">
        <is>
          <t>fmcg</t>
        </is>
      </c>
      <c r="D64" s="31" t="inlineStr">
        <is>
          <t>diversified - large</t>
        </is>
      </c>
      <c r="E64" s="31" t="inlineStr">
        <is>
          <t>midcap</t>
        </is>
      </c>
      <c r="F64" s="31" t="n">
        <v>6547</v>
      </c>
      <c r="G64" s="31" t="n">
        <v>568</v>
      </c>
      <c r="H64" s="31" t="n">
        <v>3.66</v>
      </c>
      <c r="I64" s="31" t="n">
        <v>179372</v>
      </c>
      <c r="J64" s="31" t="inlineStr">
        <is>
          <t>519126</t>
        </is>
      </c>
    </row>
    <row r="65">
      <c r="A65" s="31" t="inlineStr">
        <is>
          <t>UNIPARTS</t>
        </is>
      </c>
      <c r="B65" s="31" t="inlineStr">
        <is>
          <t>Uniparts India Ltd</t>
        </is>
      </c>
      <c r="C65" s="31" t="inlineStr">
        <is>
          <t>industrials</t>
        </is>
      </c>
      <c r="D65" s="31" t="inlineStr">
        <is>
          <t>engineering</t>
        </is>
      </c>
      <c r="E65" s="31" t="inlineStr">
        <is>
          <t>smallcap</t>
        </is>
      </c>
      <c r="F65" s="31" t="n">
        <v>3071.76</v>
      </c>
      <c r="G65" s="31" t="n">
        <v>704.95</v>
      </c>
      <c r="H65" s="31" t="n">
        <v>3.6</v>
      </c>
      <c r="I65" s="31" t="n">
        <v>313875</v>
      </c>
      <c r="J65" s="31" t="inlineStr">
        <is>
          <t>543689</t>
        </is>
      </c>
    </row>
    <row r="66">
      <c r="A66" s="31" t="inlineStr">
        <is>
          <t>PRESTIGE</t>
        </is>
      </c>
      <c r="B66" s="31" t="inlineStr">
        <is>
          <t>Prestige Estates Projects Limited</t>
        </is>
      </c>
      <c r="C66" s="31" t="inlineStr">
        <is>
          <t>realty</t>
        </is>
      </c>
      <c r="D66" s="31" t="inlineStr">
        <is>
          <t>construction</t>
        </is>
      </c>
      <c r="E66" s="31" t="inlineStr">
        <is>
          <t>largecap</t>
        </is>
      </c>
      <c r="F66" s="31" t="n">
        <v>72099.92999999999</v>
      </c>
      <c r="G66" s="31" t="n">
        <v>1733.2</v>
      </c>
      <c r="H66" s="31" t="n">
        <v>3.54</v>
      </c>
      <c r="I66" s="31" t="n">
        <v>871919</v>
      </c>
      <c r="J66" s="31" t="inlineStr">
        <is>
          <t>533274</t>
        </is>
      </c>
    </row>
    <row r="67">
      <c r="A67" s="31" t="inlineStr">
        <is>
          <t>RAJRATAN</t>
        </is>
      </c>
      <c r="B67" s="31" t="inlineStr">
        <is>
          <t>Rajratan Global Wire Ltd</t>
        </is>
      </c>
      <c r="C67" s="31" t="inlineStr">
        <is>
          <t>metals &amp; mining</t>
        </is>
      </c>
      <c r="D67" s="31" t="inlineStr">
        <is>
          <t>steel - medium / small</t>
        </is>
      </c>
      <c r="E67" s="31" t="inlineStr">
        <is>
          <t>smallcap</t>
        </is>
      </c>
      <c r="F67" s="31" t="n">
        <v>2364.66</v>
      </c>
      <c r="G67" s="31" t="n">
        <v>482.05</v>
      </c>
      <c r="H67" s="31" t="n">
        <v>3.5</v>
      </c>
      <c r="I67" s="31" t="n">
        <v>93828</v>
      </c>
      <c r="J67" s="31" t="inlineStr">
        <is>
          <t>517522</t>
        </is>
      </c>
    </row>
    <row r="68">
      <c r="A68" s="31" t="inlineStr">
        <is>
          <t>IKS</t>
        </is>
      </c>
      <c r="B68" s="31" t="inlineStr">
        <is>
          <t>Inventurus Knowledge Solutions Ltd</t>
        </is>
      </c>
      <c r="C68" s="31" t="inlineStr">
        <is>
          <t>i.t</t>
        </is>
      </c>
      <c r="D68" s="31" t="inlineStr">
        <is>
          <t>computers - software - medium / small</t>
        </is>
      </c>
      <c r="E68" s="31" t="inlineStr">
        <is>
          <t>largecap</t>
        </is>
      </c>
      <c r="F68" s="31" t="n">
        <v>31962.36</v>
      </c>
      <c r="G68" s="31" t="n">
        <v>1928.1</v>
      </c>
      <c r="H68" s="31" t="n">
        <v>3.5</v>
      </c>
      <c r="I68" s="31" t="n">
        <v>332100</v>
      </c>
      <c r="J68" s="31" t="inlineStr">
        <is>
          <t>544309</t>
        </is>
      </c>
    </row>
    <row r="69">
      <c r="A69" s="31" t="inlineStr">
        <is>
          <t>AARTIIND</t>
        </is>
      </c>
      <c r="B69" s="31" t="inlineStr">
        <is>
          <t>Aarti Industries Limited</t>
        </is>
      </c>
      <c r="C69" s="31" t="inlineStr">
        <is>
          <t>chemicals</t>
        </is>
      </c>
      <c r="D69" s="31" t="inlineStr">
        <is>
          <t>chemicals</t>
        </is>
      </c>
      <c r="E69" s="31" t="inlineStr">
        <is>
          <t>midcap</t>
        </is>
      </c>
      <c r="F69" s="31" t="n">
        <v>16967.6</v>
      </c>
      <c r="G69" s="31" t="n">
        <v>484.1</v>
      </c>
      <c r="H69" s="31" t="n">
        <v>3.45</v>
      </c>
      <c r="I69" s="31" t="n">
        <v>1096977</v>
      </c>
      <c r="J69" s="31" t="inlineStr">
        <is>
          <t>524208</t>
        </is>
      </c>
    </row>
    <row r="70">
      <c r="A70" s="31" t="inlineStr">
        <is>
          <t>PICCADIL</t>
        </is>
      </c>
      <c r="B70" s="31" t="inlineStr">
        <is>
          <t>Piccadily Agro Industries Ltd</t>
        </is>
      </c>
      <c r="C70" s="31" t="inlineStr">
        <is>
          <t>fmcg</t>
        </is>
      </c>
      <c r="D70" s="31" t="inlineStr">
        <is>
          <t>breweries &amp; distilleries</t>
        </is>
      </c>
      <c r="E70" s="31" t="inlineStr">
        <is>
          <t>midcap</t>
        </is>
      </c>
      <c r="F70" s="31" t="n">
        <v>6401.73</v>
      </c>
      <c r="G70" s="31" t="n">
        <v>671.8</v>
      </c>
      <c r="H70" s="31" t="n">
        <v>3.44</v>
      </c>
      <c r="I70" s="31" t="n">
        <v>211109</v>
      </c>
      <c r="J70" s="31" t="inlineStr">
        <is>
          <t>530305</t>
        </is>
      </c>
    </row>
    <row r="71">
      <c r="A71" s="31" t="inlineStr">
        <is>
          <t>ESAFSFB</t>
        </is>
      </c>
      <c r="B71" s="31" t="inlineStr">
        <is>
          <t>ESAF Small Finance Bank Ltd</t>
        </is>
      </c>
      <c r="C71" s="31" t="inlineStr">
        <is>
          <t>bank</t>
        </is>
      </c>
      <c r="D71" s="31" t="inlineStr">
        <is>
          <t>banks - private sector</t>
        </is>
      </c>
      <c r="E71" s="31" t="inlineStr">
        <is>
          <t>smallcap</t>
        </is>
      </c>
      <c r="F71" s="31" t="n">
        <v>1782.13</v>
      </c>
      <c r="G71" s="31" t="n">
        <v>35.73</v>
      </c>
      <c r="H71" s="31" t="n">
        <v>3.39</v>
      </c>
      <c r="I71" s="31" t="n">
        <v>3641340</v>
      </c>
      <c r="J71" s="31" t="inlineStr">
        <is>
          <t>544020</t>
        </is>
      </c>
    </row>
    <row r="72">
      <c r="A72" s="31" t="inlineStr">
        <is>
          <t>KARURVYSYA</t>
        </is>
      </c>
      <c r="B72" s="31" t="inlineStr">
        <is>
          <t>Karur Vysya Bank Limited</t>
        </is>
      </c>
      <c r="C72" s="31" t="inlineStr">
        <is>
          <t>bank</t>
        </is>
      </c>
      <c r="D72" s="31" t="inlineStr">
        <is>
          <t>banks - private sector</t>
        </is>
      </c>
      <c r="E72" s="31" t="inlineStr">
        <is>
          <t>largecap</t>
        </is>
      </c>
      <c r="F72" s="31" t="n">
        <v>28578.9</v>
      </c>
      <c r="G72" s="31" t="n">
        <v>305.65</v>
      </c>
      <c r="H72" s="31" t="n">
        <v>3.38</v>
      </c>
      <c r="I72" s="31" t="n">
        <v>2191223</v>
      </c>
      <c r="J72" s="31" t="inlineStr">
        <is>
          <t>590003</t>
        </is>
      </c>
    </row>
    <row r="73">
      <c r="A73" s="31" t="inlineStr">
        <is>
          <t>ADANIGREEN</t>
        </is>
      </c>
      <c r="B73" s="31" t="inlineStr">
        <is>
          <t>Adani Green Energy Ltd</t>
        </is>
      </c>
      <c r="C73" s="31" t="inlineStr">
        <is>
          <t>power &amp; utilities</t>
        </is>
      </c>
      <c r="D73" s="31" t="inlineStr">
        <is>
          <t>power generation and supply</t>
        </is>
      </c>
      <c r="E73" s="31" t="inlineStr">
        <is>
          <t>largecap</t>
        </is>
      </c>
      <c r="F73" s="31" t="n">
        <v>244869.21</v>
      </c>
      <c r="G73" s="31" t="n">
        <v>1536.6</v>
      </c>
      <c r="H73" s="31" t="n">
        <v>3.36</v>
      </c>
      <c r="I73" s="31" t="n">
        <v>2070226</v>
      </c>
      <c r="J73" s="31" t="inlineStr">
        <is>
          <t>541450</t>
        </is>
      </c>
    </row>
    <row r="74">
      <c r="A74" s="31" t="inlineStr">
        <is>
          <t>ARTEMISMED</t>
        </is>
      </c>
      <c r="B74" s="31" t="inlineStr">
        <is>
          <t>Artemis Medicare Services Ltd</t>
        </is>
      </c>
      <c r="C74" s="31" t="inlineStr">
        <is>
          <t>healthcare</t>
        </is>
      </c>
      <c r="D74" s="31" t="inlineStr">
        <is>
          <t>healthcare</t>
        </is>
      </c>
      <c r="E74" s="31" t="inlineStr">
        <is>
          <t>smallcap</t>
        </is>
      </c>
      <c r="F74" s="31" t="n">
        <v>4242.61</v>
      </c>
      <c r="G74" s="31" t="n">
        <v>277</v>
      </c>
      <c r="H74" s="31" t="n">
        <v>3.36</v>
      </c>
      <c r="I74" s="31" t="n">
        <v>325443</v>
      </c>
      <c r="J74" s="31" t="inlineStr">
        <is>
          <t>542919</t>
        </is>
      </c>
    </row>
    <row r="75">
      <c r="A75" s="31" t="inlineStr">
        <is>
          <t>AURUM</t>
        </is>
      </c>
      <c r="B75" s="31" t="inlineStr">
        <is>
          <t>Aurum Proptech Ltd</t>
        </is>
      </c>
      <c r="C75" s="31" t="inlineStr">
        <is>
          <t>i.t</t>
        </is>
      </c>
      <c r="D75" s="31" t="inlineStr">
        <is>
          <t>computers - software - medium / small</t>
        </is>
      </c>
      <c r="E75" s="31" t="inlineStr">
        <is>
          <t>smallcap</t>
        </is>
      </c>
      <c r="F75" s="31" t="n">
        <v>1691.85</v>
      </c>
      <c r="G75" s="31" t="n">
        <v>228.1</v>
      </c>
      <c r="H75" s="31" t="n">
        <v>3.35</v>
      </c>
      <c r="I75" s="31" t="n">
        <v>115679</v>
      </c>
      <c r="J75" s="31" t="inlineStr">
        <is>
          <t>539289</t>
        </is>
      </c>
    </row>
    <row r="76">
      <c r="A76" s="31" t="inlineStr">
        <is>
          <t>ONMOBILE</t>
        </is>
      </c>
      <c r="B76" s="31" t="inlineStr">
        <is>
          <t>Onmobile Global Limited</t>
        </is>
      </c>
      <c r="C76" s="31" t="inlineStr">
        <is>
          <t>telecom-service</t>
        </is>
      </c>
      <c r="D76" s="31" t="inlineStr">
        <is>
          <t>telecommunications - service provider</t>
        </is>
      </c>
      <c r="E76" s="31" t="inlineStr">
        <is>
          <t>smallcap</t>
        </is>
      </c>
      <c r="F76" s="31" t="n">
        <v>718.09</v>
      </c>
      <c r="G76" s="31" t="n">
        <v>69.79000000000001</v>
      </c>
      <c r="H76" s="31" t="n">
        <v>3.33</v>
      </c>
      <c r="I76" s="31" t="n">
        <v>136757</v>
      </c>
      <c r="J76" s="31" t="inlineStr">
        <is>
          <t>532944</t>
        </is>
      </c>
    </row>
    <row r="77">
      <c r="A77" s="31" t="inlineStr">
        <is>
          <t>SWANDEF</t>
        </is>
      </c>
      <c r="B77" s="31" t="inlineStr">
        <is>
          <t>Swan Defence and Heavy Industries Ltd</t>
        </is>
      </c>
      <c r="C77" s="31" t="inlineStr">
        <is>
          <t>transportation</t>
        </is>
      </c>
      <c r="D77" s="31" t="inlineStr">
        <is>
          <t>miscellaneous</t>
        </is>
      </c>
      <c r="E77" s="31" t="inlineStr">
        <is>
          <t>midcap</t>
        </is>
      </c>
      <c r="F77" s="31" t="n">
        <v>11387.25</v>
      </c>
      <c r="G77" s="31" t="n">
        <v>2233</v>
      </c>
      <c r="H77" s="31" t="n">
        <v>3.31</v>
      </c>
      <c r="I77" s="31" t="n">
        <v>67117</v>
      </c>
      <c r="J77" s="31" t="inlineStr">
        <is>
          <t>533107</t>
        </is>
      </c>
    </row>
    <row r="78">
      <c r="A78" s="31" t="inlineStr">
        <is>
          <t>KIRLFER</t>
        </is>
      </c>
      <c r="B78" s="31" t="inlineStr">
        <is>
          <t>Kirloskar Ferrous Industries Ltd</t>
        </is>
      </c>
      <c r="C78" s="31" t="inlineStr">
        <is>
          <t>metals &amp; mining</t>
        </is>
      </c>
      <c r="D78" s="31" t="inlineStr">
        <is>
          <t>steel - large</t>
        </is>
      </c>
      <c r="E78" s="31" t="inlineStr">
        <is>
          <t>midcap</t>
        </is>
      </c>
      <c r="F78" s="31" t="n">
        <v>7519.6</v>
      </c>
      <c r="G78" s="31" t="n">
        <v>470.7</v>
      </c>
      <c r="H78" s="31" t="n">
        <v>3.24</v>
      </c>
      <c r="I78" s="31" t="n">
        <v>66177</v>
      </c>
      <c r="J78" s="31" t="inlineStr">
        <is>
          <t>500245</t>
        </is>
      </c>
    </row>
    <row r="79">
      <c r="A79" s="31" t="inlineStr">
        <is>
          <t>SUVEN</t>
        </is>
      </c>
      <c r="B79" s="31" t="inlineStr">
        <is>
          <t>Suven Life Sciences Limited</t>
        </is>
      </c>
      <c r="C79" s="31" t="inlineStr">
        <is>
          <t>healthcare</t>
        </is>
      </c>
      <c r="D79" s="31" t="inlineStr">
        <is>
          <t>miscellaneous</t>
        </is>
      </c>
      <c r="E79" s="31" t="inlineStr">
        <is>
          <t>midcap</t>
        </is>
      </c>
      <c r="F79" s="31" t="n">
        <v>9144.51</v>
      </c>
      <c r="G79" s="31" t="n">
        <v>357.85</v>
      </c>
      <c r="H79" s="31" t="n">
        <v>3.2</v>
      </c>
      <c r="I79" s="31" t="n">
        <v>3537318</v>
      </c>
      <c r="J79" s="31" t="inlineStr">
        <is>
          <t>530239</t>
        </is>
      </c>
    </row>
    <row r="80">
      <c r="A80" s="31" t="inlineStr">
        <is>
          <t>FEDFINA</t>
        </is>
      </c>
      <c r="B80" s="31" t="inlineStr">
        <is>
          <t>Fedbank Financial Services Ltd</t>
        </is>
      </c>
      <c r="C80" s="31" t="inlineStr">
        <is>
          <t>financials</t>
        </is>
      </c>
      <c r="D80" s="31" t="inlineStr">
        <is>
          <t>finance &amp; investments</t>
        </is>
      </c>
      <c r="E80" s="31" t="inlineStr">
        <is>
          <t>midcap</t>
        </is>
      </c>
      <c r="F80" s="31" t="n">
        <v>5781.11</v>
      </c>
      <c r="G80" s="31" t="n">
        <v>159.34</v>
      </c>
      <c r="H80" s="31" t="n">
        <v>3.14</v>
      </c>
      <c r="I80" s="31" t="n">
        <v>2290450</v>
      </c>
      <c r="J80" s="31" t="inlineStr">
        <is>
          <t>544027</t>
        </is>
      </c>
    </row>
    <row r="81">
      <c r="A81" s="31" t="inlineStr">
        <is>
          <t>DEEDEV</t>
        </is>
      </c>
      <c r="B81" s="31" t="inlineStr">
        <is>
          <t>DEE Development Engineers Ltd</t>
        </is>
      </c>
      <c r="C81" s="31" t="inlineStr">
        <is>
          <t>metals &amp; mining</t>
        </is>
      </c>
      <c r="D81" s="31" t="inlineStr">
        <is>
          <t>steel - medium / small</t>
        </is>
      </c>
      <c r="E81" s="31" t="inlineStr">
        <is>
          <t>smallcap</t>
        </is>
      </c>
      <c r="F81" s="31" t="n">
        <v>4692.59</v>
      </c>
      <c r="G81" s="31" t="n">
        <v>698.7</v>
      </c>
      <c r="H81" s="31" t="n">
        <v>3.13</v>
      </c>
      <c r="I81" s="31" t="n">
        <v>129630</v>
      </c>
      <c r="J81" s="31" t="n"/>
    </row>
    <row r="82">
      <c r="A82" s="31" t="inlineStr">
        <is>
          <t>KTKBANK</t>
        </is>
      </c>
      <c r="B82" s="31" t="inlineStr">
        <is>
          <t>The Karnataka Bank Limited</t>
        </is>
      </c>
      <c r="C82" s="31" t="inlineStr">
        <is>
          <t>bank</t>
        </is>
      </c>
      <c r="D82" s="31" t="inlineStr">
        <is>
          <t>banks - private sector</t>
        </is>
      </c>
      <c r="E82" s="31" t="inlineStr">
        <is>
          <t>midcap</t>
        </is>
      </c>
      <c r="F82" s="31" t="n">
        <v>10134.16</v>
      </c>
      <c r="G82" s="31" t="n">
        <v>276.35</v>
      </c>
      <c r="H82" s="31" t="n">
        <v>3.12</v>
      </c>
      <c r="I82" s="31" t="n">
        <v>3418811</v>
      </c>
      <c r="J82" s="31" t="inlineStr">
        <is>
          <t>532652</t>
        </is>
      </c>
    </row>
    <row r="83">
      <c r="A83" s="31" t="inlineStr">
        <is>
          <t>LLOYDSME</t>
        </is>
      </c>
      <c r="B83" s="31" t="inlineStr">
        <is>
          <t>Lloyds Metals &amp; Energy Ltd</t>
        </is>
      </c>
      <c r="C83" s="31" t="inlineStr">
        <is>
          <t>metals &amp; mining</t>
        </is>
      </c>
      <c r="D83" s="31" t="inlineStr">
        <is>
          <t>mining / minerals / metals</t>
        </is>
      </c>
      <c r="E83" s="31" t="inlineStr">
        <is>
          <t>largecap</t>
        </is>
      </c>
      <c r="F83" s="31" t="n">
        <v>98211.63</v>
      </c>
      <c r="G83" s="31" t="n">
        <v>1799.6</v>
      </c>
      <c r="H83" s="31" t="n">
        <v>3.12</v>
      </c>
      <c r="I83" s="31" t="n">
        <v>632423</v>
      </c>
      <c r="J83" s="31" t="inlineStr">
        <is>
          <t>512455</t>
        </is>
      </c>
    </row>
    <row r="84">
      <c r="A84" s="31" t="inlineStr">
        <is>
          <t>NRL</t>
        </is>
      </c>
      <c r="B84" s="31" t="inlineStr">
        <is>
          <t>Nupur Recyclers Ltd</t>
        </is>
      </c>
      <c r="C84" s="31" t="inlineStr">
        <is>
          <t>services</t>
        </is>
      </c>
      <c r="D84" s="31" t="inlineStr">
        <is>
          <t>trading</t>
        </is>
      </c>
      <c r="E84" s="31" t="inlineStr">
        <is>
          <t>smallcap</t>
        </is>
      </c>
      <c r="F84" s="31" t="n">
        <v>663.8200000000001</v>
      </c>
      <c r="G84" s="31" t="n">
        <v>99.09999999999999</v>
      </c>
      <c r="H84" s="31" t="n">
        <v>3.11</v>
      </c>
      <c r="I84" s="31" t="n">
        <v>388269</v>
      </c>
      <c r="J84" s="31" t="inlineStr">
        <is>
          <t>535413</t>
        </is>
      </c>
    </row>
    <row r="85">
      <c r="A85" s="31" t="inlineStr">
        <is>
          <t>MAHASTEEL</t>
        </is>
      </c>
      <c r="B85" s="31" t="inlineStr">
        <is>
          <t>Mahamaya Steel Industries Limited</t>
        </is>
      </c>
      <c r="C85" s="31" t="inlineStr">
        <is>
          <t>metals &amp; mining</t>
        </is>
      </c>
      <c r="D85" s="31" t="inlineStr">
        <is>
          <t>steel - medium / small</t>
        </is>
      </c>
      <c r="E85" s="31" t="inlineStr">
        <is>
          <t>smallcap</t>
        </is>
      </c>
      <c r="F85" s="31" t="n">
        <v>1366.11</v>
      </c>
      <c r="G85" s="31" t="n">
        <v>857</v>
      </c>
      <c r="H85" s="31" t="n">
        <v>3.1</v>
      </c>
      <c r="I85" s="31" t="n">
        <v>9069</v>
      </c>
      <c r="J85" s="31" t="inlineStr">
        <is>
          <t>513554</t>
        </is>
      </c>
    </row>
    <row r="86">
      <c r="A86" s="31" t="inlineStr">
        <is>
          <t>MASFIN</t>
        </is>
      </c>
      <c r="B86" s="31" t="inlineStr">
        <is>
          <t>MAS Financial Services Ltd</t>
        </is>
      </c>
      <c r="C86" s="31" t="inlineStr">
        <is>
          <t>financials</t>
        </is>
      </c>
      <c r="D86" s="31" t="inlineStr">
        <is>
          <t>finance &amp; investments</t>
        </is>
      </c>
      <c r="E86" s="31" t="inlineStr">
        <is>
          <t>midcap</t>
        </is>
      </c>
      <c r="F86" s="31" t="n">
        <v>5684.93</v>
      </c>
      <c r="G86" s="31" t="n">
        <v>323</v>
      </c>
      <c r="H86" s="31" t="n">
        <v>3.1</v>
      </c>
      <c r="I86" s="31" t="n">
        <v>94230</v>
      </c>
      <c r="J86" s="31" t="inlineStr">
        <is>
          <t>540749</t>
        </is>
      </c>
    </row>
    <row r="87">
      <c r="A87" s="31" t="inlineStr">
        <is>
          <t>POLYPLEX</t>
        </is>
      </c>
      <c r="B87" s="31" t="inlineStr">
        <is>
          <t>Polyplex Corporation Limited</t>
        </is>
      </c>
      <c r="C87" s="31" t="inlineStr">
        <is>
          <t>industrials</t>
        </is>
      </c>
      <c r="D87" s="31" t="inlineStr">
        <is>
          <t>packaging</t>
        </is>
      </c>
      <c r="E87" s="31" t="inlineStr">
        <is>
          <t>smallcap</t>
        </is>
      </c>
      <c r="F87" s="31" t="n">
        <v>3231.7</v>
      </c>
      <c r="G87" s="31" t="n">
        <v>1060.55</v>
      </c>
      <c r="H87" s="31" t="n">
        <v>3.02</v>
      </c>
      <c r="I87" s="31" t="n">
        <v>175113</v>
      </c>
      <c r="J87" s="31" t="inlineStr">
        <is>
          <t>524051</t>
        </is>
      </c>
    </row>
    <row r="88">
      <c r="A88" s="31" t="inlineStr">
        <is>
          <t>PPLPHARMA</t>
        </is>
      </c>
      <c r="B88" s="31" t="inlineStr">
        <is>
          <t>Piramal Pharma Ltd</t>
        </is>
      </c>
      <c r="C88" s="31" t="inlineStr">
        <is>
          <t>healthcare</t>
        </is>
      </c>
      <c r="D88" s="31" t="inlineStr">
        <is>
          <t>pharmaceuticals - indian - bulk drugs &amp; formln</t>
        </is>
      </c>
      <c r="E88" s="31" t="inlineStr">
        <is>
          <t>largecap</t>
        </is>
      </c>
      <c r="F88" s="31" t="n">
        <v>22861.74</v>
      </c>
      <c r="G88" s="31" t="n">
        <v>177.16</v>
      </c>
      <c r="H88" s="31" t="n">
        <v>3.01</v>
      </c>
      <c r="I88" s="31" t="n">
        <v>5345365</v>
      </c>
      <c r="J88" s="31" t="inlineStr">
        <is>
          <t>543635</t>
        </is>
      </c>
    </row>
    <row r="89">
      <c r="A89" s="31" t="inlineStr">
        <is>
          <t>PGHL</t>
        </is>
      </c>
      <c r="B89" s="31" t="inlineStr">
        <is>
          <t>Procter &amp; Gamble Health Ltd</t>
        </is>
      </c>
      <c r="C89" s="31" t="inlineStr">
        <is>
          <t>healthcare</t>
        </is>
      </c>
      <c r="D89" s="31" t="inlineStr">
        <is>
          <t>pharmaceuticals - multinational</t>
        </is>
      </c>
      <c r="E89" s="31" t="inlineStr">
        <is>
          <t>midcap</t>
        </is>
      </c>
      <c r="F89" s="31" t="n">
        <v>10975.51</v>
      </c>
      <c r="G89" s="31" t="n">
        <v>6810</v>
      </c>
      <c r="H89" s="31" t="n">
        <v>2.99</v>
      </c>
      <c r="I89" s="31" t="n">
        <v>82938</v>
      </c>
      <c r="J89" s="31" t="inlineStr">
        <is>
          <t>500126</t>
        </is>
      </c>
    </row>
    <row r="90">
      <c r="A90" s="31" t="inlineStr">
        <is>
          <t>PARAS</t>
        </is>
      </c>
      <c r="B90" s="31" t="inlineStr">
        <is>
          <t>Paras Defence and Space Technologies Ltd</t>
        </is>
      </c>
      <c r="C90" s="31" t="inlineStr">
        <is>
          <t>aerospace &amp; defence</t>
        </is>
      </c>
      <c r="D90" s="31" t="inlineStr">
        <is>
          <t>engineering</t>
        </is>
      </c>
      <c r="E90" s="31" t="inlineStr">
        <is>
          <t>midcap</t>
        </is>
      </c>
      <c r="F90" s="31" t="n">
        <v>9805.870000000001</v>
      </c>
      <c r="G90" s="31" t="n">
        <v>1253.1</v>
      </c>
      <c r="H90" s="31" t="n">
        <v>2.98</v>
      </c>
      <c r="I90" s="31" t="n">
        <v>3217050</v>
      </c>
      <c r="J90" s="31" t="inlineStr">
        <is>
          <t>543367</t>
        </is>
      </c>
    </row>
    <row r="91">
      <c r="A91" s="31" t="inlineStr">
        <is>
          <t>MAHLIFE</t>
        </is>
      </c>
      <c r="B91" s="31" t="inlineStr">
        <is>
          <t>Mahindra Lifespace Developers Limited</t>
        </is>
      </c>
      <c r="C91" s="31" t="inlineStr">
        <is>
          <t>realty</t>
        </is>
      </c>
      <c r="D91" s="31" t="inlineStr">
        <is>
          <t>construction</t>
        </is>
      </c>
      <c r="E91" s="31" t="inlineStr">
        <is>
          <t>midcap</t>
        </is>
      </c>
      <c r="F91" s="31" t="n">
        <v>7851.01</v>
      </c>
      <c r="G91" s="31" t="n">
        <v>378.9</v>
      </c>
      <c r="H91" s="31" t="n">
        <v>2.96</v>
      </c>
      <c r="I91" s="31" t="n">
        <v>1292910</v>
      </c>
      <c r="J91" s="31" t="inlineStr">
        <is>
          <t>532313</t>
        </is>
      </c>
    </row>
    <row r="92">
      <c r="A92" s="31" t="inlineStr">
        <is>
          <t>RSWM</t>
        </is>
      </c>
      <c r="B92" s="31" t="inlineStr">
        <is>
          <t>Rswm Limited</t>
        </is>
      </c>
      <c r="C92" s="31" t="inlineStr">
        <is>
          <t>textiles</t>
        </is>
      </c>
      <c r="D92" s="31" t="inlineStr">
        <is>
          <t>textiles - cotton/blended</t>
        </is>
      </c>
      <c r="E92" s="31" t="inlineStr">
        <is>
          <t>smallcap</t>
        </is>
      </c>
      <c r="F92" s="31" t="n">
        <v>915.23</v>
      </c>
      <c r="G92" s="31" t="n">
        <v>200</v>
      </c>
      <c r="H92" s="31" t="n">
        <v>2.93</v>
      </c>
      <c r="I92" s="31" t="n">
        <v>29472</v>
      </c>
      <c r="J92" s="31" t="inlineStr">
        <is>
          <t>500350</t>
        </is>
      </c>
    </row>
    <row r="93">
      <c r="A93" s="31" t="inlineStr">
        <is>
          <t>HAL</t>
        </is>
      </c>
      <c r="B93" s="31" t="inlineStr">
        <is>
          <t>Hindustan Aeronautics Ltd</t>
        </is>
      </c>
      <c r="C93" s="31" t="inlineStr">
        <is>
          <t>aerospace &amp; defence</t>
        </is>
      </c>
      <c r="D93" s="31" t="inlineStr">
        <is>
          <t>engineering</t>
        </is>
      </c>
      <c r="E93" s="31" t="inlineStr">
        <is>
          <t>largecap</t>
        </is>
      </c>
      <c r="F93" s="31" t="n">
        <v>292849.88</v>
      </c>
      <c r="G93" s="31" t="n">
        <v>4506.8</v>
      </c>
      <c r="H93" s="31" t="n">
        <v>2.92</v>
      </c>
      <c r="I93" s="31" t="n">
        <v>1080290</v>
      </c>
      <c r="J93" s="31" t="inlineStr">
        <is>
          <t>541154</t>
        </is>
      </c>
    </row>
    <row r="94">
      <c r="A94" s="31" t="inlineStr">
        <is>
          <t>NEOGEN</t>
        </is>
      </c>
      <c r="B94" s="31" t="inlineStr">
        <is>
          <t>Neogen Chemicals Ltd</t>
        </is>
      </c>
      <c r="C94" s="31" t="inlineStr">
        <is>
          <t>chemicals</t>
        </is>
      </c>
      <c r="D94" s="31" t="inlineStr">
        <is>
          <t>chemicals</t>
        </is>
      </c>
      <c r="E94" s="31" t="inlineStr">
        <is>
          <t>midcap</t>
        </is>
      </c>
      <c r="F94" s="31" t="n">
        <v>5549.44</v>
      </c>
      <c r="G94" s="31" t="n">
        <v>2085.1</v>
      </c>
      <c r="H94" s="31" t="n">
        <v>2.88</v>
      </c>
      <c r="I94" s="31" t="n">
        <v>137815</v>
      </c>
      <c r="J94" s="31" t="inlineStr">
        <is>
          <t>542665</t>
        </is>
      </c>
    </row>
    <row r="95">
      <c r="A95" s="31" t="inlineStr">
        <is>
          <t>INDHOTEL</t>
        </is>
      </c>
      <c r="B95" s="31" t="inlineStr">
        <is>
          <t>The Indian Hotels Company Limited</t>
        </is>
      </c>
      <c r="C95" s="31" t="inlineStr">
        <is>
          <t>services</t>
        </is>
      </c>
      <c r="D95" s="31" t="inlineStr">
        <is>
          <t>hotels</t>
        </is>
      </c>
      <c r="E95" s="31" t="inlineStr">
        <is>
          <t>largecap</t>
        </is>
      </c>
      <c r="F95" s="31" t="n">
        <v>104116.95</v>
      </c>
      <c r="G95" s="31" t="n">
        <v>752.3</v>
      </c>
      <c r="H95" s="31" t="n">
        <v>2.85</v>
      </c>
      <c r="I95" s="31" t="n">
        <v>3032336</v>
      </c>
      <c r="J95" s="31" t="inlineStr">
        <is>
          <t>500850</t>
        </is>
      </c>
    </row>
    <row r="96">
      <c r="A96" s="31" t="inlineStr">
        <is>
          <t>POONAWALLA</t>
        </is>
      </c>
      <c r="B96" s="31" t="inlineStr">
        <is>
          <t>Poonawalla Fincorp Ltd</t>
        </is>
      </c>
      <c r="C96" s="31" t="inlineStr">
        <is>
          <t>financials</t>
        </is>
      </c>
      <c r="D96" s="31" t="inlineStr">
        <is>
          <t>finance &amp; investments</t>
        </is>
      </c>
      <c r="E96" s="31" t="inlineStr">
        <is>
          <t>largecap</t>
        </is>
      </c>
      <c r="F96" s="31" t="n">
        <v>40830.33</v>
      </c>
      <c r="G96" s="31" t="n">
        <v>477</v>
      </c>
      <c r="H96" s="31" t="n">
        <v>2.84</v>
      </c>
      <c r="I96" s="31" t="n">
        <v>1564947</v>
      </c>
      <c r="J96" s="31" t="inlineStr">
        <is>
          <t>524000</t>
        </is>
      </c>
    </row>
    <row r="97">
      <c r="A97" s="31" t="inlineStr">
        <is>
          <t>SOBHA</t>
        </is>
      </c>
      <c r="B97" s="31" t="inlineStr">
        <is>
          <t>Sobha Limited</t>
        </is>
      </c>
      <c r="C97" s="31" t="inlineStr">
        <is>
          <t>realty</t>
        </is>
      </c>
      <c r="D97" s="31" t="inlineStr">
        <is>
          <t>construction</t>
        </is>
      </c>
      <c r="E97" s="31" t="inlineStr">
        <is>
          <t>midcap</t>
        </is>
      </c>
      <c r="F97" s="31" t="n">
        <v>15720.07</v>
      </c>
      <c r="G97" s="31" t="n">
        <v>1511.3</v>
      </c>
      <c r="H97" s="31" t="n">
        <v>2.82</v>
      </c>
      <c r="I97" s="31" t="n">
        <v>378345</v>
      </c>
      <c r="J97" s="31" t="inlineStr">
        <is>
          <t>532784</t>
        </is>
      </c>
    </row>
    <row r="98">
      <c r="A98" s="31" t="inlineStr">
        <is>
          <t>SHYAMMETL</t>
        </is>
      </c>
      <c r="B98" s="31" t="inlineStr">
        <is>
          <t>Shyam Metalics &amp; Energy Ltd</t>
        </is>
      </c>
      <c r="C98" s="31" t="inlineStr">
        <is>
          <t>metals &amp; mining</t>
        </is>
      </c>
      <c r="D98" s="31" t="inlineStr">
        <is>
          <t>steel - large</t>
        </is>
      </c>
      <c r="E98" s="31" t="inlineStr">
        <is>
          <t>largecap</t>
        </is>
      </c>
      <c r="F98" s="31" t="n">
        <v>26472.86</v>
      </c>
      <c r="G98" s="31" t="n">
        <v>975.1</v>
      </c>
      <c r="H98" s="31" t="n">
        <v>2.82</v>
      </c>
      <c r="I98" s="31" t="n">
        <v>303572</v>
      </c>
      <c r="J98" s="31" t="inlineStr">
        <is>
          <t>543299</t>
        </is>
      </c>
    </row>
    <row r="99">
      <c r="A99" s="31" t="inlineStr">
        <is>
          <t>HDBFS</t>
        </is>
      </c>
      <c r="B99" s="31" t="inlineStr">
        <is>
          <t>HDB Financial Services Ltd</t>
        </is>
      </c>
      <c r="C99" s="31" t="inlineStr">
        <is>
          <t>financials</t>
        </is>
      </c>
      <c r="D99" s="31" t="inlineStr">
        <is>
          <t>finance &amp; investments</t>
        </is>
      </c>
      <c r="E99" s="31" t="inlineStr">
        <is>
          <t>largecap</t>
        </is>
      </c>
      <c r="F99" s="31" t="n">
        <v>61020.75</v>
      </c>
      <c r="G99" s="31" t="n">
        <v>755.45</v>
      </c>
      <c r="H99" s="31" t="n">
        <v>2.8</v>
      </c>
      <c r="I99" s="31" t="n">
        <v>802191</v>
      </c>
      <c r="J99" s="31" t="inlineStr">
        <is>
          <t>544429</t>
        </is>
      </c>
    </row>
    <row r="100">
      <c r="A100" s="31" t="inlineStr">
        <is>
          <t>AEGISVOPAK</t>
        </is>
      </c>
      <c r="B100" s="31" t="inlineStr">
        <is>
          <t>Aegis Vopak Terminals Ltd</t>
        </is>
      </c>
      <c r="C100" s="31" t="inlineStr">
        <is>
          <t>transportation</t>
        </is>
      </c>
      <c r="D100" s="31" t="inlineStr">
        <is>
          <t>miscellaneous</t>
        </is>
      </c>
      <c r="E100" s="31" t="inlineStr">
        <is>
          <t>largecap</t>
        </is>
      </c>
      <c r="F100" s="31" t="n">
        <v>30528.49</v>
      </c>
      <c r="G100" s="31" t="n">
        <v>283.18</v>
      </c>
      <c r="H100" s="31" t="n">
        <v>2.78</v>
      </c>
      <c r="I100" s="31" t="n">
        <v>1701430</v>
      </c>
      <c r="J100" s="31" t="inlineStr">
        <is>
          <t>544407</t>
        </is>
      </c>
    </row>
    <row r="101">
      <c r="A101" s="31" t="inlineStr">
        <is>
          <t>BHARTIHEXA</t>
        </is>
      </c>
      <c r="B101" s="31" t="inlineStr">
        <is>
          <t>Bharti Hexacom Ltd</t>
        </is>
      </c>
      <c r="C101" s="31" t="inlineStr">
        <is>
          <t>telecom-service</t>
        </is>
      </c>
      <c r="D101" s="31" t="inlineStr">
        <is>
          <t>telecommunications - service provider</t>
        </is>
      </c>
      <c r="E101" s="31" t="inlineStr">
        <is>
          <t>largecap</t>
        </is>
      </c>
      <c r="F101" s="31" t="n">
        <v>78575</v>
      </c>
      <c r="G101" s="31" t="n">
        <v>1615</v>
      </c>
      <c r="H101" s="31" t="n">
        <v>2.77</v>
      </c>
      <c r="I101" s="31" t="n">
        <v>159659</v>
      </c>
      <c r="J101" s="31" t="inlineStr">
        <is>
          <t>544162</t>
        </is>
      </c>
    </row>
    <row r="102">
      <c r="A102" s="31" t="inlineStr">
        <is>
          <t>EIFFL</t>
        </is>
      </c>
      <c r="B102" s="31" t="inlineStr">
        <is>
          <t>Euro India Fresh Foods Ltd</t>
        </is>
      </c>
      <c r="C102" s="31" t="inlineStr">
        <is>
          <t>fmcg</t>
        </is>
      </c>
      <c r="D102" s="31" t="inlineStr">
        <is>
          <t>food - processing - indian</t>
        </is>
      </c>
      <c r="E102" s="31" t="inlineStr">
        <is>
          <t>smallcap</t>
        </is>
      </c>
      <c r="F102" s="31" t="n">
        <v>784.3</v>
      </c>
      <c r="G102" s="31" t="n">
        <v>325</v>
      </c>
      <c r="H102" s="31" t="n">
        <v>2.77</v>
      </c>
      <c r="I102" s="31" t="n">
        <v>48658</v>
      </c>
      <c r="J102" s="31" t="inlineStr">
        <is>
          <t>538412</t>
        </is>
      </c>
    </row>
    <row r="103">
      <c r="A103" s="31" t="inlineStr">
        <is>
          <t>KIRLOSENG</t>
        </is>
      </c>
      <c r="B103" s="31" t="inlineStr">
        <is>
          <t>Kirloskar Oil Engines Limited</t>
        </is>
      </c>
      <c r="C103" s="31" t="inlineStr">
        <is>
          <t>industrials</t>
        </is>
      </c>
      <c r="D103" s="31" t="inlineStr">
        <is>
          <t>engines</t>
        </is>
      </c>
      <c r="E103" s="31" t="inlineStr">
        <is>
          <t>largecap</t>
        </is>
      </c>
      <c r="F103" s="31" t="n">
        <v>35246.7</v>
      </c>
      <c r="G103" s="31" t="n">
        <v>2491.9</v>
      </c>
      <c r="H103" s="31" t="n">
        <v>2.77</v>
      </c>
      <c r="I103" s="31" t="n">
        <v>615739</v>
      </c>
      <c r="J103" s="31" t="inlineStr">
        <is>
          <t>533293</t>
        </is>
      </c>
    </row>
    <row r="104">
      <c r="A104" s="31" t="inlineStr">
        <is>
          <t>ABCAPITAL</t>
        </is>
      </c>
      <c r="B104" s="31" t="inlineStr">
        <is>
          <t>Aditya Birla Capital Ltd</t>
        </is>
      </c>
      <c r="C104" s="31" t="inlineStr">
        <is>
          <t>financials</t>
        </is>
      </c>
      <c r="D104" s="31" t="inlineStr">
        <is>
          <t>finance &amp; investments</t>
        </is>
      </c>
      <c r="E104" s="31" t="inlineStr">
        <is>
          <t>largecap</t>
        </is>
      </c>
      <c r="F104" s="31" t="n">
        <v>108643.69</v>
      </c>
      <c r="G104" s="31" t="n">
        <v>408.3</v>
      </c>
      <c r="H104" s="31" t="n">
        <v>2.76</v>
      </c>
      <c r="I104" s="31" t="n">
        <v>3040426</v>
      </c>
      <c r="J104" s="31" t="inlineStr">
        <is>
          <t>540691</t>
        </is>
      </c>
    </row>
    <row r="105">
      <c r="A105" s="31" t="inlineStr">
        <is>
          <t>OBEROIRLTY</t>
        </is>
      </c>
      <c r="B105" s="31" t="inlineStr">
        <is>
          <t>Oberoi Realty Limited</t>
        </is>
      </c>
      <c r="C105" s="31" t="inlineStr">
        <is>
          <t>realty</t>
        </is>
      </c>
      <c r="D105" s="31" t="inlineStr">
        <is>
          <t>construction</t>
        </is>
      </c>
      <c r="E105" s="31" t="inlineStr">
        <is>
          <t>largecap</t>
        </is>
      </c>
      <c r="F105" s="31" t="n">
        <v>68109.97</v>
      </c>
      <c r="G105" s="31" t="n">
        <v>1924.8</v>
      </c>
      <c r="H105" s="31" t="n">
        <v>2.75</v>
      </c>
      <c r="I105" s="31" t="n">
        <v>752700</v>
      </c>
      <c r="J105" s="31" t="inlineStr">
        <is>
          <t>533273</t>
        </is>
      </c>
    </row>
    <row r="106">
      <c r="A106" s="31" t="inlineStr">
        <is>
          <t>KSL</t>
        </is>
      </c>
      <c r="B106" s="31" t="inlineStr">
        <is>
          <t>Kalyani Steels Limited</t>
        </is>
      </c>
      <c r="C106" s="31" t="inlineStr">
        <is>
          <t>metals &amp; mining</t>
        </is>
      </c>
      <c r="D106" s="31" t="inlineStr">
        <is>
          <t>steel - medium / small</t>
        </is>
      </c>
      <c r="E106" s="31" t="inlineStr">
        <is>
          <t>smallcap</t>
        </is>
      </c>
      <c r="F106" s="31" t="n">
        <v>4075.01</v>
      </c>
      <c r="G106" s="31" t="n">
        <v>959.2</v>
      </c>
      <c r="H106" s="31" t="n">
        <v>2.75</v>
      </c>
      <c r="I106" s="31" t="n">
        <v>183090</v>
      </c>
      <c r="J106" s="31" t="inlineStr">
        <is>
          <t>500235</t>
        </is>
      </c>
    </row>
    <row r="107">
      <c r="A107" s="31" t="inlineStr">
        <is>
          <t>CARTRADE</t>
        </is>
      </c>
      <c r="B107" s="31" t="inlineStr">
        <is>
          <t>Cartrade Tech Ltd</t>
        </is>
      </c>
      <c r="C107" s="31" t="inlineStr">
        <is>
          <t>consumer discretionary</t>
        </is>
      </c>
      <c r="D107" s="31" t="inlineStr">
        <is>
          <t>miscellaneous</t>
        </is>
      </c>
      <c r="E107" s="31" t="inlineStr">
        <is>
          <t>midcap</t>
        </is>
      </c>
      <c r="F107" s="31" t="n">
        <v>13095.6</v>
      </c>
      <c r="G107" s="31" t="n">
        <v>2809.9</v>
      </c>
      <c r="H107" s="31" t="n">
        <v>2.73</v>
      </c>
      <c r="I107" s="31" t="n">
        <v>511141</v>
      </c>
      <c r="J107" s="31" t="inlineStr">
        <is>
          <t>543333</t>
        </is>
      </c>
    </row>
    <row r="108">
      <c r="A108" s="31" t="inlineStr">
        <is>
          <t>MONARCH</t>
        </is>
      </c>
      <c r="B108" s="31" t="inlineStr">
        <is>
          <t>Monarch Networth Capital Ltd</t>
        </is>
      </c>
      <c r="C108" s="31" t="inlineStr">
        <is>
          <t>financials</t>
        </is>
      </c>
      <c r="D108" s="31" t="inlineStr">
        <is>
          <t>finance &amp; investments</t>
        </is>
      </c>
      <c r="E108" s="31" t="inlineStr">
        <is>
          <t>smallcap</t>
        </is>
      </c>
      <c r="F108" s="31" t="n">
        <v>2783.9</v>
      </c>
      <c r="G108" s="31" t="n">
        <v>360.7</v>
      </c>
      <c r="H108" s="31" t="n">
        <v>2.71</v>
      </c>
      <c r="I108" s="31" t="n">
        <v>159221</v>
      </c>
      <c r="J108" s="31" t="inlineStr">
        <is>
          <t>511551</t>
        </is>
      </c>
    </row>
    <row r="109">
      <c r="A109" s="31" t="inlineStr">
        <is>
          <t>SUPRAJIT</t>
        </is>
      </c>
      <c r="B109" s="31" t="inlineStr">
        <is>
          <t>Suprajit Engineering Limited</t>
        </is>
      </c>
      <c r="C109" s="31" t="inlineStr">
        <is>
          <t>auto</t>
        </is>
      </c>
      <c r="D109" s="31" t="inlineStr">
        <is>
          <t>auto ancillaries</t>
        </is>
      </c>
      <c r="E109" s="31" t="inlineStr">
        <is>
          <t>midcap</t>
        </is>
      </c>
      <c r="F109" s="31" t="n">
        <v>6798.89</v>
      </c>
      <c r="G109" s="31" t="n">
        <v>509</v>
      </c>
      <c r="H109" s="31" t="n">
        <v>2.69</v>
      </c>
      <c r="I109" s="31" t="n">
        <v>253487</v>
      </c>
      <c r="J109" s="31" t="inlineStr">
        <is>
          <t>532509</t>
        </is>
      </c>
    </row>
    <row r="110">
      <c r="A110" s="31" t="inlineStr">
        <is>
          <t>SSWL</t>
        </is>
      </c>
      <c r="B110" s="31" t="inlineStr">
        <is>
          <t>Steel Strips Wheels Limited</t>
        </is>
      </c>
      <c r="C110" s="31" t="inlineStr">
        <is>
          <t>auto</t>
        </is>
      </c>
      <c r="D110" s="31" t="inlineStr">
        <is>
          <t>auto ancillaries</t>
        </is>
      </c>
      <c r="E110" s="31" t="inlineStr">
        <is>
          <t>smallcap</t>
        </is>
      </c>
      <c r="F110" s="31" t="n">
        <v>3773.12</v>
      </c>
      <c r="G110" s="31" t="n">
        <v>246.5</v>
      </c>
      <c r="H110" s="31" t="n">
        <v>2.69</v>
      </c>
      <c r="I110" s="31" t="n">
        <v>354663</v>
      </c>
      <c r="J110" s="31" t="inlineStr">
        <is>
          <t>513262</t>
        </is>
      </c>
    </row>
    <row r="111">
      <c r="A111" s="31" t="inlineStr">
        <is>
          <t>BHAGYANGR</t>
        </is>
      </c>
      <c r="B111" s="31" t="inlineStr">
        <is>
          <t>Bhagyanagar India</t>
        </is>
      </c>
      <c r="C111" s="31" t="inlineStr">
        <is>
          <t>power &amp; utilities</t>
        </is>
      </c>
      <c r="D111" s="31" t="inlineStr">
        <is>
          <t>power generation and supply</t>
        </is>
      </c>
      <c r="E111" s="31" t="inlineStr">
        <is>
          <t>smallcap</t>
        </is>
      </c>
      <c r="F111" s="31" t="n">
        <v>1196.45</v>
      </c>
      <c r="G111" s="31" t="n">
        <v>383.95</v>
      </c>
      <c r="H111" s="31" t="n">
        <v>2.67</v>
      </c>
      <c r="I111" s="31" t="n">
        <v>79716</v>
      </c>
      <c r="J111" s="31" t="inlineStr">
        <is>
          <t>512296</t>
        </is>
      </c>
    </row>
    <row r="112">
      <c r="A112" s="31" t="inlineStr">
        <is>
          <t>MANAPPURAM</t>
        </is>
      </c>
      <c r="B112" s="31" t="inlineStr">
        <is>
          <t>Manappuram Finance Limited</t>
        </is>
      </c>
      <c r="C112" s="31" t="inlineStr">
        <is>
          <t>financials</t>
        </is>
      </c>
      <c r="D112" s="31" t="inlineStr">
        <is>
          <t>finance &amp; investments</t>
        </is>
      </c>
      <c r="E112" s="31" t="inlineStr">
        <is>
          <t>largecap</t>
        </is>
      </c>
      <c r="F112" s="31" t="n">
        <v>31228.23</v>
      </c>
      <c r="G112" s="31" t="n">
        <v>341.3</v>
      </c>
      <c r="H112" s="31" t="n">
        <v>2.66</v>
      </c>
      <c r="I112" s="31" t="n">
        <v>1912160</v>
      </c>
      <c r="J112" s="31" t="inlineStr">
        <is>
          <t>531213</t>
        </is>
      </c>
    </row>
    <row r="113">
      <c r="A113" s="31" t="inlineStr">
        <is>
          <t>ASAHIINDIA</t>
        </is>
      </c>
      <c r="B113" s="31" t="inlineStr">
        <is>
          <t>Asahi India Glass Limited</t>
        </is>
      </c>
      <c r="C113" s="31" t="inlineStr">
        <is>
          <t>building materials</t>
        </is>
      </c>
      <c r="D113" s="31" t="inlineStr">
        <is>
          <t>glass &amp; glass products</t>
        </is>
      </c>
      <c r="E113" s="31" t="inlineStr">
        <is>
          <t>largecap</t>
        </is>
      </c>
      <c r="F113" s="31" t="n">
        <v>22728.03</v>
      </c>
      <c r="G113" s="31" t="n">
        <v>914.9</v>
      </c>
      <c r="H113" s="31" t="n">
        <v>2.62</v>
      </c>
      <c r="I113" s="31" t="n">
        <v>379949</v>
      </c>
      <c r="J113" s="31" t="inlineStr">
        <is>
          <t>515030</t>
        </is>
      </c>
    </row>
    <row r="114">
      <c r="A114" s="31" t="inlineStr">
        <is>
          <t>360ONE</t>
        </is>
      </c>
      <c r="B114" s="31" t="inlineStr">
        <is>
          <t>360 ONE WAM Ltd</t>
        </is>
      </c>
      <c r="C114" s="31" t="inlineStr">
        <is>
          <t>financials</t>
        </is>
      </c>
      <c r="D114" s="31" t="inlineStr">
        <is>
          <t>finance &amp; investments</t>
        </is>
      </c>
      <c r="E114" s="31" t="inlineStr">
        <is>
          <t>largecap</t>
        </is>
      </c>
      <c r="F114" s="31" t="n">
        <v>44683.35</v>
      </c>
      <c r="G114" s="31" t="n">
        <v>1129</v>
      </c>
      <c r="H114" s="31" t="n">
        <v>2.62</v>
      </c>
      <c r="I114" s="31" t="n">
        <v>2189050</v>
      </c>
      <c r="J114" s="31" t="inlineStr">
        <is>
          <t>542772</t>
        </is>
      </c>
    </row>
    <row r="115">
      <c r="A115" s="31" t="inlineStr">
        <is>
          <t>JKPAPER</t>
        </is>
      </c>
      <c r="B115" s="31" t="inlineStr">
        <is>
          <t>Jk Paper Limited</t>
        </is>
      </c>
      <c r="C115" s="31" t="inlineStr">
        <is>
          <t>building materials</t>
        </is>
      </c>
      <c r="D115" s="31" t="inlineStr">
        <is>
          <t>paper</t>
        </is>
      </c>
      <c r="E115" s="31" t="inlineStr">
        <is>
          <t>midcap</t>
        </is>
      </c>
      <c r="F115" s="31" t="n">
        <v>6450.42</v>
      </c>
      <c r="G115" s="31" t="n">
        <v>365</v>
      </c>
      <c r="H115" s="31" t="n">
        <v>2.6</v>
      </c>
      <c r="I115" s="31" t="n">
        <v>402868</v>
      </c>
      <c r="J115" s="31" t="inlineStr">
        <is>
          <t>532162</t>
        </is>
      </c>
    </row>
    <row r="116">
      <c r="A116" s="31" t="inlineStr">
        <is>
          <t>SFL</t>
        </is>
      </c>
      <c r="B116" s="31" t="inlineStr">
        <is>
          <t>Sheela Foam Limited</t>
        </is>
      </c>
      <c r="C116" s="31" t="inlineStr">
        <is>
          <t>consumer discretionary</t>
        </is>
      </c>
      <c r="D116" s="31" t="inlineStr">
        <is>
          <t>miscellaneous</t>
        </is>
      </c>
      <c r="E116" s="31" t="inlineStr">
        <is>
          <t>midcap</t>
        </is>
      </c>
      <c r="F116" s="31" t="n">
        <v>8180.49</v>
      </c>
      <c r="G116" s="31" t="n">
        <v>772</v>
      </c>
      <c r="H116" s="31" t="n">
        <v>2.59</v>
      </c>
      <c r="I116" s="31" t="n">
        <v>183623</v>
      </c>
      <c r="J116" s="31" t="inlineStr">
        <is>
          <t>540203</t>
        </is>
      </c>
    </row>
    <row r="117">
      <c r="A117" s="31" t="inlineStr">
        <is>
          <t>PREMIERENE</t>
        </is>
      </c>
      <c r="B117" s="31" t="inlineStr">
        <is>
          <t>Premier Energies Ltd</t>
        </is>
      </c>
      <c r="C117" s="31" t="inlineStr">
        <is>
          <t>services</t>
        </is>
      </c>
      <c r="D117" s="31" t="inlineStr">
        <is>
          <t>trading</t>
        </is>
      </c>
      <c r="E117" s="31" t="inlineStr">
        <is>
          <t>largecap</t>
        </is>
      </c>
      <c r="F117" s="31" t="n">
        <v>49340.15</v>
      </c>
      <c r="G117" s="31" t="n">
        <v>1117.2</v>
      </c>
      <c r="H117" s="31" t="n">
        <v>2.57</v>
      </c>
      <c r="I117" s="31" t="n">
        <v>2453790</v>
      </c>
      <c r="J117" s="31" t="n"/>
    </row>
    <row r="118">
      <c r="A118" s="31" t="inlineStr">
        <is>
          <t>LMW</t>
        </is>
      </c>
      <c r="B118" s="31" t="inlineStr">
        <is>
          <t>LMW Ltd</t>
        </is>
      </c>
      <c r="C118" s="31" t="inlineStr">
        <is>
          <t>industrials</t>
        </is>
      </c>
      <c r="D118" s="31" t="inlineStr">
        <is>
          <t>textile machinery</t>
        </is>
      </c>
      <c r="E118" s="31" t="inlineStr">
        <is>
          <t>midcap</t>
        </is>
      </c>
      <c r="F118" s="31" t="n">
        <v>16807.56</v>
      </c>
      <c r="G118" s="31" t="n">
        <v>16134</v>
      </c>
      <c r="H118" s="31" t="n">
        <v>2.55</v>
      </c>
      <c r="I118" s="31" t="n">
        <v>6928</v>
      </c>
      <c r="J118" s="31" t="inlineStr">
        <is>
          <t>500252</t>
        </is>
      </c>
    </row>
    <row r="119">
      <c r="A119" s="31" t="inlineStr">
        <is>
          <t>DHANBANK</t>
        </is>
      </c>
      <c r="B119" s="31" t="inlineStr">
        <is>
          <t>Dhanlaxmi Bank Limited</t>
        </is>
      </c>
      <c r="C119" s="31" t="inlineStr">
        <is>
          <t>bank</t>
        </is>
      </c>
      <c r="D119" s="31" t="inlineStr">
        <is>
          <t>banks - private sector</t>
        </is>
      </c>
      <c r="E119" s="31" t="inlineStr">
        <is>
          <t>smallcap</t>
        </is>
      </c>
      <c r="F119" s="31" t="n">
        <v>1337.63</v>
      </c>
      <c r="G119" s="31" t="n">
        <v>34.75</v>
      </c>
      <c r="H119" s="31" t="n">
        <v>2.54</v>
      </c>
      <c r="I119" s="31" t="n">
        <v>1807921</v>
      </c>
      <c r="J119" s="31" t="inlineStr">
        <is>
          <t>532180</t>
        </is>
      </c>
    </row>
    <row r="120">
      <c r="A120" s="31" t="inlineStr">
        <is>
          <t>APLLTD</t>
        </is>
      </c>
      <c r="B120" s="31" t="inlineStr">
        <is>
          <t>Alembic Pharmaceuticals Limited</t>
        </is>
      </c>
      <c r="C120" s="31" t="inlineStr">
        <is>
          <t>healthcare</t>
        </is>
      </c>
      <c r="D120" s="31" t="inlineStr">
        <is>
          <t>pharmaceuticals - indian - bulk drugs &amp; formln</t>
        </is>
      </c>
      <c r="E120" s="31" t="inlineStr">
        <is>
          <t>midcap</t>
        </is>
      </c>
      <c r="F120" s="31" t="n">
        <v>16057.24</v>
      </c>
      <c r="G120" s="31" t="n">
        <v>837.4</v>
      </c>
      <c r="H120" s="31" t="n">
        <v>2.51</v>
      </c>
      <c r="I120" s="31" t="n">
        <v>109731</v>
      </c>
      <c r="J120" s="31" t="inlineStr">
        <is>
          <t>533573</t>
        </is>
      </c>
    </row>
    <row r="121">
      <c r="A121" s="31" t="inlineStr">
        <is>
          <t>ACMESOLAR</t>
        </is>
      </c>
      <c r="B121" s="31" t="inlineStr">
        <is>
          <t>ACME Solar Holdings Ltd</t>
        </is>
      </c>
      <c r="C121" s="31" t="inlineStr">
        <is>
          <t>realty</t>
        </is>
      </c>
      <c r="D121" s="31" t="inlineStr">
        <is>
          <t>engineering - turnkey services</t>
        </is>
      </c>
      <c r="E121" s="31" t="inlineStr">
        <is>
          <t>largecap</t>
        </is>
      </c>
      <c r="F121" s="31" t="n">
        <v>25972.22</v>
      </c>
      <c r="G121" s="31" t="n">
        <v>377</v>
      </c>
      <c r="H121" s="31" t="n">
        <v>2.5</v>
      </c>
      <c r="I121" s="31" t="n">
        <v>1486538</v>
      </c>
      <c r="J121" s="31" t="inlineStr">
        <is>
          <t>544283</t>
        </is>
      </c>
    </row>
    <row r="122">
      <c r="A122" s="31" t="inlineStr">
        <is>
          <t>JGCHEM</t>
        </is>
      </c>
      <c r="B122" s="31" t="inlineStr">
        <is>
          <t>J.G.Chemicals Ltd</t>
        </is>
      </c>
      <c r="C122" s="31" t="inlineStr">
        <is>
          <t>chemicals</t>
        </is>
      </c>
      <c r="D122" s="31" t="inlineStr">
        <is>
          <t>chemicals</t>
        </is>
      </c>
      <c r="E122" s="31" t="inlineStr">
        <is>
          <t>smallcap</t>
        </is>
      </c>
      <c r="F122" s="31" t="n">
        <v>1744.76</v>
      </c>
      <c r="G122" s="31" t="n">
        <v>456.35</v>
      </c>
      <c r="H122" s="31" t="n">
        <v>2.49</v>
      </c>
      <c r="I122" s="31" t="n">
        <v>175249</v>
      </c>
      <c r="J122" s="31" t="n"/>
    </row>
    <row r="123">
      <c r="A123" s="31" t="inlineStr">
        <is>
          <t>SAILIFE</t>
        </is>
      </c>
      <c r="B123" s="31" t="inlineStr">
        <is>
          <t>Sai Life Sciences Ltd</t>
        </is>
      </c>
      <c r="C123" s="31" t="inlineStr">
        <is>
          <t>healthcare</t>
        </is>
      </c>
      <c r="D123" s="31" t="inlineStr">
        <is>
          <t>pharmaceuticals - indian - bulk drugs &amp; formln</t>
        </is>
      </c>
      <c r="E123" s="31" t="inlineStr">
        <is>
          <t>largecap</t>
        </is>
      </c>
      <c r="F123" s="31" t="n">
        <v>26142.03</v>
      </c>
      <c r="G123" s="31" t="n">
        <v>1265</v>
      </c>
      <c r="H123" s="31" t="n">
        <v>2.48</v>
      </c>
      <c r="I123" s="31" t="n">
        <v>905331</v>
      </c>
      <c r="J123" s="31" t="inlineStr">
        <is>
          <t>544306</t>
        </is>
      </c>
    </row>
    <row r="124">
      <c r="A124" s="31" t="inlineStr">
        <is>
          <t>KDDL</t>
        </is>
      </c>
      <c r="B124" s="31" t="inlineStr">
        <is>
          <t>Kddl Limited</t>
        </is>
      </c>
      <c r="C124" s="31" t="inlineStr">
        <is>
          <t>consumer discretionary</t>
        </is>
      </c>
      <c r="D124" s="31" t="inlineStr">
        <is>
          <t>miscellaneous</t>
        </is>
      </c>
      <c r="E124" s="31" t="inlineStr">
        <is>
          <t>smallcap</t>
        </is>
      </c>
      <c r="F124" s="31" t="n">
        <v>3918.92</v>
      </c>
      <c r="G124" s="31" t="n">
        <v>3264.9</v>
      </c>
      <c r="H124" s="31" t="n">
        <v>2.47</v>
      </c>
      <c r="I124" s="31" t="n">
        <v>16245</v>
      </c>
      <c r="J124" s="31" t="inlineStr">
        <is>
          <t>532054</t>
        </is>
      </c>
    </row>
    <row r="125">
      <c r="A125" s="31" t="inlineStr">
        <is>
          <t>PNBHOUSING</t>
        </is>
      </c>
      <c r="B125" s="31" t="inlineStr">
        <is>
          <t>Pnb Housing Finance Limited</t>
        </is>
      </c>
      <c r="C125" s="31" t="inlineStr">
        <is>
          <t>financials</t>
        </is>
      </c>
      <c r="D125" s="31" t="inlineStr">
        <is>
          <t>finance - housing</t>
        </is>
      </c>
      <c r="E125" s="31" t="inlineStr">
        <is>
          <t>largecap</t>
        </is>
      </c>
      <c r="F125" s="31" t="n">
        <v>28239.13</v>
      </c>
      <c r="G125" s="31" t="n">
        <v>1110.6</v>
      </c>
      <c r="H125" s="31" t="n">
        <v>2.45</v>
      </c>
      <c r="I125" s="31" t="n">
        <v>981785</v>
      </c>
      <c r="J125" s="31" t="inlineStr">
        <is>
          <t>540173</t>
        </is>
      </c>
    </row>
    <row r="126">
      <c r="A126" s="31" t="inlineStr">
        <is>
          <t>ANANDRATHI</t>
        </is>
      </c>
      <c r="B126" s="31" t="inlineStr">
        <is>
          <t>Anand Rathi Wealth Ltd</t>
        </is>
      </c>
      <c r="C126" s="31" t="inlineStr">
        <is>
          <t>financials</t>
        </is>
      </c>
      <c r="D126" s="31" t="inlineStr">
        <is>
          <t>finance &amp; investments</t>
        </is>
      </c>
      <c r="E126" s="31" t="inlineStr">
        <is>
          <t>largecap</t>
        </is>
      </c>
      <c r="F126" s="31" t="n">
        <v>34795.61</v>
      </c>
      <c r="G126" s="31" t="n">
        <v>2146.8</v>
      </c>
      <c r="H126" s="31" t="n">
        <v>2.44</v>
      </c>
      <c r="I126" s="31" t="n">
        <v>1767986</v>
      </c>
      <c r="J126" s="31" t="inlineStr">
        <is>
          <t>543415</t>
        </is>
      </c>
    </row>
    <row r="127">
      <c r="A127" s="31" t="inlineStr">
        <is>
          <t>PHOENIXLTD</t>
        </is>
      </c>
      <c r="B127" s="31" t="inlineStr">
        <is>
          <t>The Phoenix Mills Limited</t>
        </is>
      </c>
      <c r="C127" s="31" t="inlineStr">
        <is>
          <t>realty</t>
        </is>
      </c>
      <c r="D127" s="31" t="inlineStr">
        <is>
          <t>construction</t>
        </is>
      </c>
      <c r="E127" s="31" t="inlineStr">
        <is>
          <t>largecap</t>
        </is>
      </c>
      <c r="F127" s="31" t="n">
        <v>74674.11</v>
      </c>
      <c r="G127" s="31" t="n">
        <v>2138.9</v>
      </c>
      <c r="H127" s="31" t="n">
        <v>2.44</v>
      </c>
      <c r="I127" s="31" t="n">
        <v>914479</v>
      </c>
      <c r="J127" s="31" t="inlineStr">
        <is>
          <t>503100</t>
        </is>
      </c>
    </row>
    <row r="128">
      <c r="A128" s="31" t="inlineStr">
        <is>
          <t>LODHA</t>
        </is>
      </c>
      <c r="B128" s="31" t="inlineStr">
        <is>
          <t>Lodha Developers Ltd</t>
        </is>
      </c>
      <c r="C128" s="31" t="inlineStr">
        <is>
          <t>realty</t>
        </is>
      </c>
      <c r="D128" s="31" t="inlineStr">
        <is>
          <t>construction</t>
        </is>
      </c>
      <c r="E128" s="31" t="inlineStr">
        <is>
          <t>largecap</t>
        </is>
      </c>
      <c r="F128" s="31" t="n">
        <v>119085.67</v>
      </c>
      <c r="G128" s="31" t="n">
        <v>1220.75</v>
      </c>
      <c r="H128" s="31" t="n">
        <v>2.4</v>
      </c>
      <c r="I128" s="31" t="n">
        <v>6417830</v>
      </c>
      <c r="J128" s="31" t="inlineStr">
        <is>
          <t>543287</t>
        </is>
      </c>
    </row>
    <row r="129">
      <c r="A129" s="31" t="inlineStr">
        <is>
          <t>INDIAGLYCO</t>
        </is>
      </c>
      <c r="B129" s="31" t="inlineStr">
        <is>
          <t>India Glycols Limited</t>
        </is>
      </c>
      <c r="C129" s="31" t="inlineStr">
        <is>
          <t>fmcg</t>
        </is>
      </c>
      <c r="D129" s="31" t="inlineStr">
        <is>
          <t>breweries &amp; distilleries</t>
        </is>
      </c>
      <c r="E129" s="31" t="inlineStr">
        <is>
          <t>midcap</t>
        </is>
      </c>
      <c r="F129" s="31" t="n">
        <v>6988.88</v>
      </c>
      <c r="G129" s="31" t="n">
        <v>1067.75</v>
      </c>
      <c r="H129" s="31" t="n">
        <v>2.4</v>
      </c>
      <c r="I129" s="31" t="n">
        <v>118841</v>
      </c>
      <c r="J129" s="31" t="inlineStr">
        <is>
          <t>500201</t>
        </is>
      </c>
    </row>
    <row r="130">
      <c r="A130" s="31" t="inlineStr">
        <is>
          <t>ADANIENT</t>
        </is>
      </c>
      <c r="B130" s="31" t="inlineStr">
        <is>
          <t>Adani Enterprises Limited</t>
        </is>
      </c>
      <c r="C130" s="31" t="inlineStr">
        <is>
          <t>services</t>
        </is>
      </c>
      <c r="D130" s="31" t="inlineStr">
        <is>
          <t>trading</t>
        </is>
      </c>
      <c r="E130" s="31" t="inlineStr">
        <is>
          <t>largecap</t>
        </is>
      </c>
      <c r="F130" s="31" t="n">
        <v>398611.55</v>
      </c>
      <c r="G130" s="31" t="n">
        <v>3157.3</v>
      </c>
      <c r="H130" s="31" t="n">
        <v>2.39</v>
      </c>
      <c r="I130" s="31" t="n">
        <v>2145335</v>
      </c>
      <c r="J130" s="31" t="inlineStr">
        <is>
          <t>512599</t>
        </is>
      </c>
    </row>
    <row r="131">
      <c r="A131" s="31" t="inlineStr">
        <is>
          <t>GRAVITA</t>
        </is>
      </c>
      <c r="B131" s="31" t="inlineStr">
        <is>
          <t>Gravita India Limited</t>
        </is>
      </c>
      <c r="C131" s="31" t="inlineStr">
        <is>
          <t>metals &amp; mining</t>
        </is>
      </c>
      <c r="D131" s="31" t="inlineStr">
        <is>
          <t>mining / minerals / metals</t>
        </is>
      </c>
      <c r="E131" s="31" t="inlineStr">
        <is>
          <t>midcap</t>
        </is>
      </c>
      <c r="F131" s="31" t="n">
        <v>13369.66</v>
      </c>
      <c r="G131" s="31" t="n">
        <v>1854.6</v>
      </c>
      <c r="H131" s="31" t="n">
        <v>2.38</v>
      </c>
      <c r="I131" s="31" t="n">
        <v>597601</v>
      </c>
      <c r="J131" s="31" t="inlineStr">
        <is>
          <t>533282</t>
        </is>
      </c>
    </row>
    <row r="132">
      <c r="A132" s="31" t="inlineStr">
        <is>
          <t>ARE&amp;M</t>
        </is>
      </c>
      <c r="B132" s="31" t="inlineStr">
        <is>
          <t>Amara Raja Energy &amp; Mobility Ltd</t>
        </is>
      </c>
      <c r="C132" s="31" t="inlineStr">
        <is>
          <t>auto</t>
        </is>
      </c>
      <c r="D132" s="31" t="inlineStr">
        <is>
          <t>auto ancillaries</t>
        </is>
      </c>
      <c r="E132" s="31" t="inlineStr">
        <is>
          <t>midcap</t>
        </is>
      </c>
      <c r="F132" s="31" t="n">
        <v>15914.06</v>
      </c>
      <c r="G132" s="31" t="n">
        <v>890.05</v>
      </c>
      <c r="H132" s="31" t="n">
        <v>2.36</v>
      </c>
      <c r="I132" s="31" t="n">
        <v>1615916</v>
      </c>
      <c r="J132" s="31" t="inlineStr">
        <is>
          <t>500008</t>
        </is>
      </c>
    </row>
    <row r="133">
      <c r="A133" s="31" t="inlineStr">
        <is>
          <t>AUBANK</t>
        </is>
      </c>
      <c r="B133" s="31" t="inlineStr">
        <is>
          <t>AU Small Finance Bank Ltd</t>
        </is>
      </c>
      <c r="C133" s="31" t="inlineStr">
        <is>
          <t>bank</t>
        </is>
      </c>
      <c r="D133" s="31" t="inlineStr">
        <is>
          <t>banks - private sector</t>
        </is>
      </c>
      <c r="E133" s="31" t="inlineStr">
        <is>
          <t>largecap</t>
        </is>
      </c>
      <c r="F133" s="31" t="n">
        <v>78373.5</v>
      </c>
      <c r="G133" s="31" t="n">
        <v>1072.1</v>
      </c>
      <c r="H133" s="31" t="n">
        <v>2.36</v>
      </c>
      <c r="I133" s="31" t="n">
        <v>1470963</v>
      </c>
      <c r="J133" s="31" t="inlineStr">
        <is>
          <t>540611</t>
        </is>
      </c>
    </row>
    <row r="134">
      <c r="A134" s="31" t="inlineStr">
        <is>
          <t>CENTUM</t>
        </is>
      </c>
      <c r="B134" s="31" t="inlineStr">
        <is>
          <t>Centum Electronics Limited</t>
        </is>
      </c>
      <c r="C134" s="31" t="inlineStr">
        <is>
          <t>consumer discretionary</t>
        </is>
      </c>
      <c r="D134" s="31" t="inlineStr">
        <is>
          <t>electronics - components</t>
        </is>
      </c>
      <c r="E134" s="31" t="inlineStr">
        <is>
          <t>midcap</t>
        </is>
      </c>
      <c r="F134" s="31" t="n">
        <v>5244.69</v>
      </c>
      <c r="G134" s="31" t="n">
        <v>3641.3</v>
      </c>
      <c r="H134" s="31" t="n">
        <v>2.34</v>
      </c>
      <c r="I134" s="31" t="n">
        <v>49991</v>
      </c>
      <c r="J134" s="31" t="inlineStr">
        <is>
          <t>517544</t>
        </is>
      </c>
    </row>
    <row r="135">
      <c r="A135" s="31" t="inlineStr">
        <is>
          <t>NATCOPHARM</t>
        </is>
      </c>
      <c r="B135" s="31" t="inlineStr">
        <is>
          <t>Natco Pharma Limited</t>
        </is>
      </c>
      <c r="C135" s="31" t="inlineStr">
        <is>
          <t>healthcare</t>
        </is>
      </c>
      <c r="D135" s="31" t="inlineStr">
        <is>
          <t>pharmaceuticals - indian - bulk drugs &amp; formln</t>
        </is>
      </c>
      <c r="E135" s="31" t="inlineStr">
        <is>
          <t>midcap</t>
        </is>
      </c>
      <c r="F135" s="31" t="n">
        <v>17223.21</v>
      </c>
      <c r="G135" s="31" t="n">
        <v>984.1</v>
      </c>
      <c r="H135" s="31" t="n">
        <v>2.34</v>
      </c>
      <c r="I135" s="31" t="n">
        <v>706316</v>
      </c>
      <c r="J135" s="31" t="inlineStr">
        <is>
          <t>524816</t>
        </is>
      </c>
    </row>
    <row r="136">
      <c r="A136" s="31" t="inlineStr">
        <is>
          <t>PRECOT</t>
        </is>
      </c>
      <c r="B136" s="31" t="inlineStr">
        <is>
          <t>Precot Meridian Limited</t>
        </is>
      </c>
      <c r="C136" s="31" t="inlineStr">
        <is>
          <t>textiles</t>
        </is>
      </c>
      <c r="D136" s="31" t="inlineStr">
        <is>
          <t>textiles - cotton/blended</t>
        </is>
      </c>
      <c r="E136" s="31" t="inlineStr">
        <is>
          <t>smallcap</t>
        </is>
      </c>
      <c r="F136" s="31" t="n">
        <v>960.54</v>
      </c>
      <c r="G136" s="31" t="n">
        <v>818.9</v>
      </c>
      <c r="H136" s="31" t="n">
        <v>2.31</v>
      </c>
      <c r="I136" s="31" t="n">
        <v>8403</v>
      </c>
      <c r="J136" s="31" t="inlineStr">
        <is>
          <t>521184</t>
        </is>
      </c>
    </row>
    <row r="137">
      <c r="A137" s="31" t="inlineStr">
        <is>
          <t>AVALON</t>
        </is>
      </c>
      <c r="B137" s="31" t="inlineStr">
        <is>
          <t>Avalon Technologies Ltd</t>
        </is>
      </c>
      <c r="C137" s="31" t="inlineStr">
        <is>
          <t>consumer discretionary</t>
        </is>
      </c>
      <c r="D137" s="31" t="inlineStr">
        <is>
          <t>electronics - components</t>
        </is>
      </c>
      <c r="E137" s="31" t="inlineStr">
        <is>
          <t>midcap</t>
        </is>
      </c>
      <c r="F137" s="31" t="n">
        <v>11541.2</v>
      </c>
      <c r="G137" s="31" t="n">
        <v>1768.1</v>
      </c>
      <c r="H137" s="31" t="n">
        <v>2.29</v>
      </c>
      <c r="I137" s="31" t="n">
        <v>219467</v>
      </c>
      <c r="J137" s="31" t="inlineStr">
        <is>
          <t>543896</t>
        </is>
      </c>
    </row>
    <row r="138">
      <c r="A138" s="31" t="inlineStr">
        <is>
          <t>RATNAMANI</t>
        </is>
      </c>
      <c r="B138" s="31" t="inlineStr">
        <is>
          <t>Ratnamani Metals &amp; Tubes Limited</t>
        </is>
      </c>
      <c r="C138" s="31" t="inlineStr">
        <is>
          <t>industrials</t>
        </is>
      </c>
      <c r="D138" s="31" t="inlineStr">
        <is>
          <t>steel - medium / small</t>
        </is>
      </c>
      <c r="E138" s="31" t="inlineStr">
        <is>
          <t>midcap</t>
        </is>
      </c>
      <c r="F138" s="31" t="n">
        <v>18461.53</v>
      </c>
      <c r="G138" s="31" t="n">
        <v>2693.8</v>
      </c>
      <c r="H138" s="31" t="n">
        <v>2.27</v>
      </c>
      <c r="I138" s="31" t="n">
        <v>29901</v>
      </c>
      <c r="J138" s="31" t="inlineStr">
        <is>
          <t>520111</t>
        </is>
      </c>
    </row>
    <row r="139">
      <c r="A139" s="31" t="inlineStr">
        <is>
          <t>MIRZAINT</t>
        </is>
      </c>
      <c r="B139" s="31" t="inlineStr">
        <is>
          <t>Mirza International Limited</t>
        </is>
      </c>
      <c r="C139" s="31" t="inlineStr">
        <is>
          <t>consumer discretionary</t>
        </is>
      </c>
      <c r="D139" s="31" t="inlineStr">
        <is>
          <t>leather / leather products</t>
        </is>
      </c>
      <c r="E139" s="31" t="inlineStr">
        <is>
          <t>smallcap</t>
        </is>
      </c>
      <c r="F139" s="31" t="n">
        <v>538.85</v>
      </c>
      <c r="G139" s="31" t="n">
        <v>39.86</v>
      </c>
      <c r="H139" s="31" t="n">
        <v>2.23</v>
      </c>
      <c r="I139" s="31" t="n">
        <v>977955</v>
      </c>
      <c r="J139" s="31" t="inlineStr">
        <is>
          <t>526642</t>
        </is>
      </c>
    </row>
    <row r="140">
      <c r="A140" s="31" t="inlineStr">
        <is>
          <t>NUVAMA</t>
        </is>
      </c>
      <c r="B140" s="31" t="inlineStr">
        <is>
          <t>Nuvama Wealth Management Ltd</t>
        </is>
      </c>
      <c r="C140" s="31" t="inlineStr">
        <is>
          <t>financials</t>
        </is>
      </c>
      <c r="D140" s="31" t="inlineStr">
        <is>
          <t>finance &amp; investments</t>
        </is>
      </c>
      <c r="E140" s="31" t="inlineStr">
        <is>
          <t>largecap</t>
        </is>
      </c>
      <c r="F140" s="31" t="n">
        <v>35217.75</v>
      </c>
      <c r="G140" s="31" t="n">
        <v>1977.6</v>
      </c>
      <c r="H140" s="31" t="n">
        <v>2.22</v>
      </c>
      <c r="I140" s="31" t="n">
        <v>512294</v>
      </c>
      <c r="J140" s="31" t="inlineStr">
        <is>
          <t>543988</t>
        </is>
      </c>
    </row>
    <row r="141">
      <c r="A141" s="31" t="inlineStr">
        <is>
          <t>MUNJALSHOW</t>
        </is>
      </c>
      <c r="B141" s="31" t="inlineStr">
        <is>
          <t>Munjal Showa Limited</t>
        </is>
      </c>
      <c r="C141" s="31" t="inlineStr">
        <is>
          <t>auto</t>
        </is>
      </c>
      <c r="D141" s="31" t="inlineStr">
        <is>
          <t>auto ancillaries</t>
        </is>
      </c>
      <c r="E141" s="31" t="inlineStr">
        <is>
          <t>smallcap</t>
        </is>
      </c>
      <c r="F141" s="31" t="n">
        <v>527.73</v>
      </c>
      <c r="G141" s="31" t="n">
        <v>134.84</v>
      </c>
      <c r="H141" s="31" t="n">
        <v>2.19</v>
      </c>
      <c r="I141" s="31" t="n">
        <v>32512</v>
      </c>
      <c r="J141" s="31" t="inlineStr">
        <is>
          <t>520043</t>
        </is>
      </c>
    </row>
    <row r="142">
      <c r="A142" s="31" t="inlineStr">
        <is>
          <t>ADANIENSOL</t>
        </is>
      </c>
      <c r="B142" s="31" t="inlineStr">
        <is>
          <t>Adani Energy Solutions Ltd</t>
        </is>
      </c>
      <c r="C142" s="31" t="inlineStr">
        <is>
          <t>power &amp; utilities</t>
        </is>
      </c>
      <c r="D142" s="31" t="inlineStr">
        <is>
          <t>power generation and supply</t>
        </is>
      </c>
      <c r="E142" s="31" t="inlineStr">
        <is>
          <t>largecap</t>
        </is>
      </c>
      <c r="F142" s="31" t="n">
        <v>194427.6</v>
      </c>
      <c r="G142" s="31" t="n">
        <v>1654</v>
      </c>
      <c r="H142" s="31" t="n">
        <v>2.19</v>
      </c>
      <c r="I142" s="31" t="n">
        <v>1603831</v>
      </c>
      <c r="J142" s="31" t="inlineStr">
        <is>
          <t>539254</t>
        </is>
      </c>
    </row>
    <row r="143">
      <c r="A143" s="31" t="inlineStr">
        <is>
          <t>STEELCAS</t>
        </is>
      </c>
      <c r="B143" s="31" t="inlineStr">
        <is>
          <t>Steelcast Ltd</t>
        </is>
      </c>
      <c r="C143" s="31" t="inlineStr">
        <is>
          <t>industrials</t>
        </is>
      </c>
      <c r="D143" s="31" t="inlineStr">
        <is>
          <t>castings &amp; forgings</t>
        </is>
      </c>
      <c r="E143" s="31" t="inlineStr">
        <is>
          <t>smallcap</t>
        </is>
      </c>
      <c r="F143" s="31" t="n">
        <v>3094.19</v>
      </c>
      <c r="G143" s="31" t="n">
        <v>312.45</v>
      </c>
      <c r="H143" s="31" t="n">
        <v>2.19</v>
      </c>
      <c r="I143" s="31" t="n">
        <v>79532</v>
      </c>
      <c r="J143" s="31" t="inlineStr">
        <is>
          <t>513517</t>
        </is>
      </c>
    </row>
    <row r="144">
      <c r="A144" s="31" t="inlineStr">
        <is>
          <t>VAIBHAVGBL</t>
        </is>
      </c>
      <c r="B144" s="31" t="inlineStr">
        <is>
          <t>Vaibhav Global Limited</t>
        </is>
      </c>
      <c r="C144" s="31" t="inlineStr">
        <is>
          <t>consumer discretionary</t>
        </is>
      </c>
      <c r="D144" s="31" t="inlineStr">
        <is>
          <t>diamond cutting / jewellery</t>
        </is>
      </c>
      <c r="E144" s="31" t="inlineStr">
        <is>
          <t>smallcap</t>
        </is>
      </c>
      <c r="F144" s="31" t="n">
        <v>4273.26</v>
      </c>
      <c r="G144" s="31" t="n">
        <v>261.36</v>
      </c>
      <c r="H144" s="31" t="n">
        <v>2.18</v>
      </c>
      <c r="I144" s="31" t="n">
        <v>1227833</v>
      </c>
      <c r="J144" s="31" t="inlineStr">
        <is>
          <t>532156</t>
        </is>
      </c>
    </row>
    <row r="145">
      <c r="A145" s="31" t="inlineStr">
        <is>
          <t>DOMS</t>
        </is>
      </c>
      <c r="B145" s="31" t="inlineStr">
        <is>
          <t>Doms Industries Ltd</t>
        </is>
      </c>
      <c r="C145" s="31" t="inlineStr">
        <is>
          <t>miscellaneous</t>
        </is>
      </c>
      <c r="D145" s="31" t="inlineStr">
        <is>
          <t>printing &amp; stationery</t>
        </is>
      </c>
      <c r="E145" s="31" t="inlineStr">
        <is>
          <t>midcap</t>
        </is>
      </c>
      <c r="F145" s="31" t="n">
        <v>14092.44</v>
      </c>
      <c r="G145" s="31" t="n">
        <v>2372</v>
      </c>
      <c r="H145" s="31" t="n">
        <v>2.15</v>
      </c>
      <c r="I145" s="31" t="n">
        <v>111700</v>
      </c>
      <c r="J145" s="31" t="inlineStr">
        <is>
          <t>544045</t>
        </is>
      </c>
    </row>
    <row r="146">
      <c r="A146" s="31" t="inlineStr">
        <is>
          <t>BALAMINES</t>
        </is>
      </c>
      <c r="B146" s="31" t="inlineStr">
        <is>
          <t>Balaji Amines Limited</t>
        </is>
      </c>
      <c r="C146" s="31" t="inlineStr">
        <is>
          <t>chemicals</t>
        </is>
      </c>
      <c r="D146" s="31" t="inlineStr">
        <is>
          <t>chemicals</t>
        </is>
      </c>
      <c r="E146" s="31" t="inlineStr">
        <is>
          <t>midcap</t>
        </is>
      </c>
      <c r="F146" s="31" t="n">
        <v>7659.6</v>
      </c>
      <c r="G146" s="31" t="n">
        <v>2414.9</v>
      </c>
      <c r="H146" s="31" t="n">
        <v>2.15</v>
      </c>
      <c r="I146" s="31" t="n">
        <v>443698</v>
      </c>
      <c r="J146" s="31" t="inlineStr">
        <is>
          <t>530999</t>
        </is>
      </c>
    </row>
    <row r="147">
      <c r="A147" s="31" t="inlineStr">
        <is>
          <t>PIXTRANS</t>
        </is>
      </c>
      <c r="B147" s="31" t="inlineStr">
        <is>
          <t>Pix Transmission Ltd</t>
        </is>
      </c>
      <c r="C147" s="31" t="inlineStr">
        <is>
          <t>fmcg</t>
        </is>
      </c>
      <c r="D147" s="31" t="inlineStr">
        <is>
          <t>miscellaneous</t>
        </is>
      </c>
      <c r="E147" s="31" t="inlineStr">
        <is>
          <t>smallcap</t>
        </is>
      </c>
      <c r="F147" s="31" t="n">
        <v>2428.42</v>
      </c>
      <c r="G147" s="31" t="n">
        <v>1820</v>
      </c>
      <c r="H147" s="31" t="n">
        <v>2.12</v>
      </c>
      <c r="I147" s="31" t="n">
        <v>27303</v>
      </c>
      <c r="J147" s="31" t="inlineStr">
        <is>
          <t>500333</t>
        </is>
      </c>
    </row>
    <row r="148">
      <c r="A148" s="31" t="inlineStr">
        <is>
          <t>CENTURYPLY</t>
        </is>
      </c>
      <c r="B148" s="31" t="inlineStr">
        <is>
          <t>Century Plyboards (india) Limited</t>
        </is>
      </c>
      <c r="C148" s="31" t="inlineStr">
        <is>
          <t>building materials</t>
        </is>
      </c>
      <c r="D148" s="31" t="inlineStr">
        <is>
          <t>miscellaneous</t>
        </is>
      </c>
      <c r="E148" s="31" t="inlineStr">
        <is>
          <t>midcap</t>
        </is>
      </c>
      <c r="F148" s="31" t="n">
        <v>17187.3</v>
      </c>
      <c r="G148" s="31" t="n">
        <v>790</v>
      </c>
      <c r="H148" s="31" t="n">
        <v>2.12</v>
      </c>
      <c r="I148" s="31" t="n">
        <v>142659</v>
      </c>
      <c r="J148" s="31" t="inlineStr">
        <is>
          <t>532548</t>
        </is>
      </c>
    </row>
    <row r="149">
      <c r="A149" s="31" t="inlineStr">
        <is>
          <t>HCG</t>
        </is>
      </c>
      <c r="B149" s="31" t="inlineStr">
        <is>
          <t>Healthcare Global Enterprises Limited</t>
        </is>
      </c>
      <c r="C149" s="31" t="inlineStr">
        <is>
          <t>healthcare</t>
        </is>
      </c>
      <c r="D149" s="31" t="inlineStr">
        <is>
          <t>healthcare</t>
        </is>
      </c>
      <c r="E149" s="31" t="inlineStr">
        <is>
          <t>midcap</t>
        </is>
      </c>
      <c r="F149" s="31" t="n">
        <v>9744.950000000001</v>
      </c>
      <c r="G149" s="31" t="n">
        <v>666.4</v>
      </c>
      <c r="H149" s="31" t="n">
        <v>2.1</v>
      </c>
      <c r="I149" s="31" t="n">
        <v>273486</v>
      </c>
      <c r="J149" s="31" t="inlineStr">
        <is>
          <t>539787</t>
        </is>
      </c>
    </row>
    <row r="150">
      <c r="A150" s="31" t="inlineStr">
        <is>
          <t>FUSION</t>
        </is>
      </c>
      <c r="B150" s="31" t="inlineStr">
        <is>
          <t>Fusion Micro Finance Ltd</t>
        </is>
      </c>
      <c r="C150" s="31" t="inlineStr">
        <is>
          <t>financials</t>
        </is>
      </c>
      <c r="D150" s="31" t="inlineStr">
        <is>
          <t>finance &amp; investments</t>
        </is>
      </c>
      <c r="E150" s="31" t="inlineStr">
        <is>
          <t>smallcap</t>
        </is>
      </c>
      <c r="F150" s="31" t="n">
        <v>3716.87</v>
      </c>
      <c r="G150" s="31" t="n">
        <v>234.04</v>
      </c>
      <c r="H150" s="31" t="n">
        <v>2.06</v>
      </c>
      <c r="I150" s="31" t="n">
        <v>1991587</v>
      </c>
      <c r="J150" s="31" t="inlineStr">
        <is>
          <t>543652</t>
        </is>
      </c>
    </row>
    <row r="151">
      <c r="A151" s="31" t="inlineStr">
        <is>
          <t>PDSL</t>
        </is>
      </c>
      <c r="B151" s="31" t="inlineStr">
        <is>
          <t>PDS Ltd</t>
        </is>
      </c>
      <c r="C151" s="31" t="inlineStr">
        <is>
          <t>textiles</t>
        </is>
      </c>
      <c r="D151" s="31" t="inlineStr">
        <is>
          <t>trading</t>
        </is>
      </c>
      <c r="E151" s="31" t="inlineStr">
        <is>
          <t>smallcap</t>
        </is>
      </c>
      <c r="F151" s="31" t="n">
        <v>4945.52</v>
      </c>
      <c r="G151" s="31" t="n">
        <v>356.85</v>
      </c>
      <c r="H151" s="31" t="n">
        <v>2.06</v>
      </c>
      <c r="I151" s="31" t="n">
        <v>37490</v>
      </c>
      <c r="J151" s="31" t="inlineStr">
        <is>
          <t>538730</t>
        </is>
      </c>
    </row>
    <row r="152">
      <c r="A152" s="31" t="inlineStr">
        <is>
          <t>REDINGTON</t>
        </is>
      </c>
      <c r="B152" s="31" t="inlineStr">
        <is>
          <t>Redington (india) Limited</t>
        </is>
      </c>
      <c r="C152" s="31" t="inlineStr">
        <is>
          <t>services</t>
        </is>
      </c>
      <c r="D152" s="31" t="inlineStr">
        <is>
          <t>trading</t>
        </is>
      </c>
      <c r="E152" s="31" t="inlineStr">
        <is>
          <t>largecap</t>
        </is>
      </c>
      <c r="F152" s="31" t="n">
        <v>21479.25</v>
      </c>
      <c r="G152" s="31" t="n">
        <v>280.4</v>
      </c>
      <c r="H152" s="31" t="n">
        <v>2.06</v>
      </c>
      <c r="I152" s="31" t="n">
        <v>2211416</v>
      </c>
      <c r="J152" s="31" t="inlineStr">
        <is>
          <t>532805</t>
        </is>
      </c>
    </row>
    <row r="153">
      <c r="A153" s="31" t="inlineStr">
        <is>
          <t>BUTTERFLY</t>
        </is>
      </c>
      <c r="B153" s="31" t="inlineStr">
        <is>
          <t>Butterfly Gandhimathi Appliances Limited</t>
        </is>
      </c>
      <c r="C153" s="31" t="inlineStr">
        <is>
          <t>consumer discretionary</t>
        </is>
      </c>
      <c r="D153" s="31" t="inlineStr">
        <is>
          <t>domestic appliances</t>
        </is>
      </c>
      <c r="E153" s="31" t="inlineStr">
        <is>
          <t>smallcap</t>
        </is>
      </c>
      <c r="F153" s="31" t="n">
        <v>1289.56</v>
      </c>
      <c r="G153" s="31" t="n">
        <v>736</v>
      </c>
      <c r="H153" s="31" t="n">
        <v>2.05</v>
      </c>
      <c r="I153" s="31" t="n">
        <v>37469</v>
      </c>
      <c r="J153" s="31" t="inlineStr">
        <is>
          <t>517421</t>
        </is>
      </c>
    </row>
    <row r="154">
      <c r="A154" s="31" t="inlineStr">
        <is>
          <t>LAURUSLABS</t>
        </is>
      </c>
      <c r="B154" s="31" t="inlineStr">
        <is>
          <t>Laurus Labs Limited</t>
        </is>
      </c>
      <c r="C154" s="31" t="inlineStr">
        <is>
          <t>healthcare</t>
        </is>
      </c>
      <c r="D154" s="31" t="inlineStr">
        <is>
          <t>pharmaceuticals - indian - bulk drugs &amp; formln</t>
        </is>
      </c>
      <c r="E154" s="31" t="inlineStr">
        <is>
          <t>largecap</t>
        </is>
      </c>
      <c r="F154" s="31" t="n">
        <v>81377.98</v>
      </c>
      <c r="G154" s="31" t="n">
        <v>1537.8</v>
      </c>
      <c r="H154" s="31" t="n">
        <v>2.02</v>
      </c>
      <c r="I154" s="31" t="n">
        <v>2041629</v>
      </c>
      <c r="J154" s="31" t="inlineStr">
        <is>
          <t>540222</t>
        </is>
      </c>
    </row>
    <row r="155">
      <c r="A155" s="31" t="inlineStr">
        <is>
          <t>FLUOROCHEM</t>
        </is>
      </c>
      <c r="B155" s="31" t="inlineStr">
        <is>
          <t>Gujarat Fluorochemicals Ltd</t>
        </is>
      </c>
      <c r="C155" s="31" t="inlineStr">
        <is>
          <t>chemicals</t>
        </is>
      </c>
      <c r="D155" s="31" t="inlineStr">
        <is>
          <t>chemicals</t>
        </is>
      </c>
      <c r="E155" s="31" t="inlineStr">
        <is>
          <t>largecap</t>
        </is>
      </c>
      <c r="F155" s="31" t="n">
        <v>42441.65</v>
      </c>
      <c r="G155" s="31" t="n">
        <v>3941.5</v>
      </c>
      <c r="H155" s="31" t="n">
        <v>2.02</v>
      </c>
      <c r="I155" s="31" t="n">
        <v>108651</v>
      </c>
      <c r="J155" s="31" t="inlineStr">
        <is>
          <t>542812</t>
        </is>
      </c>
    </row>
    <row r="156">
      <c r="A156" s="31" t="inlineStr">
        <is>
          <t>FILATEX</t>
        </is>
      </c>
      <c r="B156" s="31" t="inlineStr">
        <is>
          <t>Filatex India Limited</t>
        </is>
      </c>
      <c r="C156" s="31" t="inlineStr">
        <is>
          <t>textiles</t>
        </is>
      </c>
      <c r="D156" s="31" t="inlineStr">
        <is>
          <t>textiles - manmade</t>
        </is>
      </c>
      <c r="E156" s="31" t="inlineStr">
        <is>
          <t>smallcap</t>
        </is>
      </c>
      <c r="F156" s="31" t="n">
        <v>2711.42</v>
      </c>
      <c r="G156" s="31" t="n">
        <v>62.25</v>
      </c>
      <c r="H156" s="31" t="n">
        <v>1.95</v>
      </c>
      <c r="I156" s="31" t="n">
        <v>3948925</v>
      </c>
      <c r="J156" s="31" t="inlineStr">
        <is>
          <t>526227</t>
        </is>
      </c>
    </row>
    <row r="157">
      <c r="A157" s="31" t="inlineStr">
        <is>
          <t>MMFL</t>
        </is>
      </c>
      <c r="B157" s="31" t="inlineStr">
        <is>
          <t>Mm Forgings Limited</t>
        </is>
      </c>
      <c r="C157" s="31" t="inlineStr">
        <is>
          <t>industrials</t>
        </is>
      </c>
      <c r="D157" s="31" t="inlineStr">
        <is>
          <t>castings &amp; forgings</t>
        </is>
      </c>
      <c r="E157" s="31" t="inlineStr">
        <is>
          <t>smallcap</t>
        </is>
      </c>
      <c r="F157" s="31" t="n">
        <v>2462.84</v>
      </c>
      <c r="G157" s="31" t="n">
        <v>520</v>
      </c>
      <c r="H157" s="31" t="n">
        <v>1.94</v>
      </c>
      <c r="I157" s="31" t="n">
        <v>245573</v>
      </c>
      <c r="J157" s="31" t="inlineStr">
        <is>
          <t>522241</t>
        </is>
      </c>
    </row>
    <row r="158">
      <c r="A158" s="31" t="inlineStr">
        <is>
          <t>NOVARTIND</t>
        </is>
      </c>
      <c r="B158" s="31" t="inlineStr">
        <is>
          <t>Novartis India Ltd</t>
        </is>
      </c>
      <c r="C158" s="31" t="inlineStr">
        <is>
          <t>healthcare</t>
        </is>
      </c>
      <c r="D158" s="31" t="inlineStr">
        <is>
          <t>pharmaceuticals - multinational</t>
        </is>
      </c>
      <c r="E158" s="31" t="inlineStr">
        <is>
          <t>smallcap</t>
        </is>
      </c>
      <c r="F158" s="31" t="n">
        <v>3620.41</v>
      </c>
      <c r="G158" s="31" t="n">
        <v>1494.6</v>
      </c>
      <c r="H158" s="31" t="n">
        <v>1.93</v>
      </c>
      <c r="I158" s="31" t="n">
        <v>18912</v>
      </c>
      <c r="J158" s="31" t="inlineStr">
        <is>
          <t>500672</t>
        </is>
      </c>
    </row>
    <row r="159">
      <c r="A159" s="31" t="inlineStr">
        <is>
          <t>MANGLMCEM</t>
        </is>
      </c>
      <c r="B159" s="31" t="inlineStr">
        <is>
          <t>Mangalam Cement Limited</t>
        </is>
      </c>
      <c r="C159" s="31" t="inlineStr">
        <is>
          <t>building materials</t>
        </is>
      </c>
      <c r="D159" s="31" t="inlineStr">
        <is>
          <t>cement - north india</t>
        </is>
      </c>
      <c r="E159" s="31" t="inlineStr">
        <is>
          <t>smallcap</t>
        </is>
      </c>
      <c r="F159" s="31" t="n">
        <v>2597.39</v>
      </c>
      <c r="G159" s="31" t="n">
        <v>962.75</v>
      </c>
      <c r="H159" s="31" t="n">
        <v>1.92</v>
      </c>
      <c r="I159" s="31" t="n">
        <v>68345</v>
      </c>
      <c r="J159" s="31" t="inlineStr">
        <is>
          <t>502157</t>
        </is>
      </c>
    </row>
    <row r="160">
      <c r="A160" s="31" t="inlineStr">
        <is>
          <t>JSWINFRA</t>
        </is>
      </c>
      <c r="B160" s="31" t="inlineStr">
        <is>
          <t>JSW Infrastructure Ltd</t>
        </is>
      </c>
      <c r="C160" s="31" t="inlineStr">
        <is>
          <t>transportation</t>
        </is>
      </c>
      <c r="D160" s="31" t="inlineStr">
        <is>
          <t>miscellaneous</t>
        </is>
      </c>
      <c r="E160" s="31" t="inlineStr">
        <is>
          <t>largecap</t>
        </is>
      </c>
      <c r="F160" s="31" t="n">
        <v>75468.75</v>
      </c>
      <c r="G160" s="31" t="n">
        <v>330.05</v>
      </c>
      <c r="H160" s="31" t="n">
        <v>1.9</v>
      </c>
      <c r="I160" s="31" t="n">
        <v>3265699</v>
      </c>
      <c r="J160" s="31" t="inlineStr">
        <is>
          <t>543994</t>
        </is>
      </c>
    </row>
    <row r="161">
      <c r="A161" s="31" t="inlineStr">
        <is>
          <t>NYKAA</t>
        </is>
      </c>
      <c r="B161" s="31" t="inlineStr">
        <is>
          <t>FSN E-Commerce Ventures Ltd</t>
        </is>
      </c>
      <c r="C161" s="31" t="inlineStr">
        <is>
          <t>i.t</t>
        </is>
      </c>
      <c r="D161" s="31" t="inlineStr">
        <is>
          <t>trading</t>
        </is>
      </c>
      <c r="E161" s="31" t="inlineStr">
        <is>
          <t>largecap</t>
        </is>
      </c>
      <c r="F161" s="31" t="n">
        <v>92782.88</v>
      </c>
      <c r="G161" s="31" t="n">
        <v>330.1</v>
      </c>
      <c r="H161" s="31" t="n">
        <v>1.87</v>
      </c>
      <c r="I161" s="31" t="n">
        <v>10556295</v>
      </c>
      <c r="J161" s="31" t="inlineStr">
        <is>
          <t>543384</t>
        </is>
      </c>
    </row>
    <row r="162">
      <c r="A162" s="31" t="inlineStr">
        <is>
          <t>BEPL</t>
        </is>
      </c>
      <c r="B162" s="31" t="inlineStr">
        <is>
          <t>Bhansali Engineering Polymers Limited</t>
        </is>
      </c>
      <c r="C162" s="31" t="inlineStr">
        <is>
          <t>energy</t>
        </is>
      </c>
      <c r="D162" s="31" t="inlineStr">
        <is>
          <t>petrochemicals</t>
        </is>
      </c>
      <c r="E162" s="31" t="inlineStr">
        <is>
          <t>smallcap</t>
        </is>
      </c>
      <c r="F162" s="31" t="n">
        <v>2519.69</v>
      </c>
      <c r="G162" s="31" t="n">
        <v>103.14</v>
      </c>
      <c r="H162" s="31" t="n">
        <v>1.87</v>
      </c>
      <c r="I162" s="31" t="n">
        <v>1461554</v>
      </c>
      <c r="J162" s="31" t="inlineStr">
        <is>
          <t>500052</t>
        </is>
      </c>
    </row>
    <row r="163">
      <c r="A163" s="31" t="inlineStr">
        <is>
          <t>IKIO</t>
        </is>
      </c>
      <c r="B163" s="31" t="inlineStr">
        <is>
          <t>IKIO Lighting Ltd</t>
        </is>
      </c>
      <c r="C163" s="31" t="inlineStr">
        <is>
          <t>consumer discretionary</t>
        </is>
      </c>
      <c r="D163" s="31" t="inlineStr">
        <is>
          <t>electric equipment</t>
        </is>
      </c>
      <c r="E163" s="31" t="inlineStr">
        <is>
          <t>smallcap</t>
        </is>
      </c>
      <c r="F163" s="31" t="n">
        <v>1598.78</v>
      </c>
      <c r="G163" s="31" t="n">
        <v>210.75</v>
      </c>
      <c r="H163" s="31" t="n">
        <v>1.87</v>
      </c>
      <c r="I163" s="31" t="n">
        <v>4530310</v>
      </c>
      <c r="J163" s="31" t="inlineStr">
        <is>
          <t>543923</t>
        </is>
      </c>
    </row>
    <row r="164">
      <c r="A164" s="31" t="inlineStr">
        <is>
          <t>RAYMOND</t>
        </is>
      </c>
      <c r="B164" s="31" t="inlineStr">
        <is>
          <t>Raymond Limited</t>
        </is>
      </c>
      <c r="C164" s="31" t="inlineStr">
        <is>
          <t>transportation</t>
        </is>
      </c>
      <c r="D164" s="31" t="inlineStr">
        <is>
          <t>transport - airlines</t>
        </is>
      </c>
      <c r="E164" s="31" t="inlineStr">
        <is>
          <t>smallcap</t>
        </is>
      </c>
      <c r="F164" s="31" t="n">
        <v>4131.23</v>
      </c>
      <c r="G164" s="31" t="n">
        <v>631.7</v>
      </c>
      <c r="H164" s="31" t="n">
        <v>1.8</v>
      </c>
      <c r="I164" s="31" t="n">
        <v>526223</v>
      </c>
      <c r="J164" s="31" t="inlineStr">
        <is>
          <t>500330</t>
        </is>
      </c>
    </row>
    <row r="165">
      <c r="A165" s="31" t="inlineStr">
        <is>
          <t>3MINDIA</t>
        </is>
      </c>
      <c r="B165" s="31" t="inlineStr">
        <is>
          <t>3m India Limited</t>
        </is>
      </c>
      <c r="C165" s="31" t="inlineStr">
        <is>
          <t>miscellaneous</t>
        </is>
      </c>
      <c r="D165" s="31" t="inlineStr">
        <is>
          <t>diversified - large</t>
        </is>
      </c>
      <c r="E165" s="31" t="inlineStr">
        <is>
          <t>largecap</t>
        </is>
      </c>
      <c r="F165" s="31" t="n">
        <v>39140.49</v>
      </c>
      <c r="G165" s="31" t="n">
        <v>35370</v>
      </c>
      <c r="H165" s="31" t="n">
        <v>1.8</v>
      </c>
      <c r="I165" s="31" t="n">
        <v>2908</v>
      </c>
      <c r="J165" s="31" t="inlineStr">
        <is>
          <t>523395</t>
        </is>
      </c>
    </row>
    <row r="166">
      <c r="A166" s="31" t="inlineStr">
        <is>
          <t>RML</t>
        </is>
      </c>
      <c r="B166" s="31" t="inlineStr">
        <is>
          <t>Rane (madras) Limited</t>
        </is>
      </c>
      <c r="C166" s="31" t="inlineStr">
        <is>
          <t>auto</t>
        </is>
      </c>
      <c r="D166" s="31" t="inlineStr">
        <is>
          <t>auto ancillaries</t>
        </is>
      </c>
      <c r="E166" s="31" t="inlineStr">
        <is>
          <t>smallcap</t>
        </is>
      </c>
      <c r="F166" s="31" t="n">
        <v>3530.09</v>
      </c>
      <c r="G166" s="31" t="n">
        <v>1299.6</v>
      </c>
      <c r="H166" s="31" t="n">
        <v>1.75</v>
      </c>
      <c r="I166" s="31" t="n">
        <v>40058</v>
      </c>
      <c r="J166" s="31" t="inlineStr">
        <is>
          <t>532661</t>
        </is>
      </c>
    </row>
    <row r="167">
      <c r="A167" s="31" t="inlineStr">
        <is>
          <t>IOLCP</t>
        </is>
      </c>
      <c r="B167" s="31" t="inlineStr">
        <is>
          <t>Iol Chemicals And Pharmaceuticals Limited</t>
        </is>
      </c>
      <c r="C167" s="31" t="inlineStr">
        <is>
          <t>healthcare</t>
        </is>
      </c>
      <c r="D167" s="31" t="inlineStr">
        <is>
          <t>pharmaceuticals - indian - bulk drugs &amp; formln</t>
        </is>
      </c>
      <c r="E167" s="31" t="inlineStr">
        <is>
          <t>smallcap</t>
        </is>
      </c>
      <c r="F167" s="31" t="n">
        <v>4935.67</v>
      </c>
      <c r="G167" s="31" t="n">
        <v>171.06</v>
      </c>
      <c r="H167" s="31" t="n">
        <v>1.73</v>
      </c>
      <c r="I167" s="31" t="n">
        <v>4120562</v>
      </c>
      <c r="J167" s="31" t="inlineStr">
        <is>
          <t>524164</t>
        </is>
      </c>
    </row>
    <row r="168">
      <c r="A168" s="31" t="inlineStr">
        <is>
          <t>IDFCFIRSTB</t>
        </is>
      </c>
      <c r="B168" s="31" t="inlineStr">
        <is>
          <t>IDFC First Bank Ltd</t>
        </is>
      </c>
      <c r="C168" s="31" t="inlineStr">
        <is>
          <t>bank</t>
        </is>
      </c>
      <c r="D168" s="31" t="inlineStr">
        <is>
          <t>banks - private sector</t>
        </is>
      </c>
      <c r="E168" s="31" t="inlineStr">
        <is>
          <t>largecap</t>
        </is>
      </c>
      <c r="F168" s="31" t="n">
        <v>68349.10000000001</v>
      </c>
      <c r="G168" s="31" t="n">
        <v>80.83</v>
      </c>
      <c r="H168" s="31" t="n">
        <v>1.72</v>
      </c>
      <c r="I168" s="31" t="n">
        <v>14703289</v>
      </c>
      <c r="J168" s="31" t="inlineStr">
        <is>
          <t>539437</t>
        </is>
      </c>
    </row>
    <row r="169">
      <c r="A169" s="31" t="inlineStr">
        <is>
          <t>NH</t>
        </is>
      </c>
      <c r="B169" s="31" t="inlineStr">
        <is>
          <t>Narayana Hrudayalaya Ltd.</t>
        </is>
      </c>
      <c r="C169" s="31" t="inlineStr">
        <is>
          <t>healthcare</t>
        </is>
      </c>
      <c r="D169" s="31" t="inlineStr">
        <is>
          <t>healthcare</t>
        </is>
      </c>
      <c r="E169" s="31" t="inlineStr">
        <is>
          <t>largecap</t>
        </is>
      </c>
      <c r="F169" s="31" t="n">
        <v>40733.2</v>
      </c>
      <c r="G169" s="31" t="n">
        <v>2027.3</v>
      </c>
      <c r="H169" s="31" t="n">
        <v>1.71</v>
      </c>
      <c r="I169" s="31" t="n">
        <v>158548</v>
      </c>
      <c r="J169" s="31" t="inlineStr">
        <is>
          <t>539551</t>
        </is>
      </c>
    </row>
    <row r="170">
      <c r="A170" s="31" t="inlineStr">
        <is>
          <t>RAMRAT</t>
        </is>
      </c>
      <c r="B170" s="31" t="inlineStr">
        <is>
          <t>Ram Ratna Wires Ltd</t>
        </is>
      </c>
      <c r="C170" s="31" t="inlineStr">
        <is>
          <t>metals &amp; mining</t>
        </is>
      </c>
      <c r="D170" s="31" t="inlineStr">
        <is>
          <t>mining / minerals / metals</t>
        </is>
      </c>
      <c r="E170" s="31" t="inlineStr">
        <is>
          <t>smallcap</t>
        </is>
      </c>
      <c r="F170" s="31" t="n">
        <v>3845.98</v>
      </c>
      <c r="G170" s="31" t="n">
        <v>419.05</v>
      </c>
      <c r="H170" s="31" t="n">
        <v>1.71</v>
      </c>
      <c r="I170" s="31" t="n">
        <v>204458</v>
      </c>
      <c r="J170" s="31" t="inlineStr">
        <is>
          <t>522281</t>
        </is>
      </c>
    </row>
    <row r="171">
      <c r="A171" s="31" t="inlineStr">
        <is>
          <t>HOMEFIRST</t>
        </is>
      </c>
      <c r="B171" s="31" t="inlineStr">
        <is>
          <t>Home First Finance Company India Ltd</t>
        </is>
      </c>
      <c r="C171" s="31" t="inlineStr">
        <is>
          <t>financials</t>
        </is>
      </c>
      <c r="D171" s="31" t="inlineStr">
        <is>
          <t>finance - housing</t>
        </is>
      </c>
      <c r="E171" s="31" t="inlineStr">
        <is>
          <t>midcap</t>
        </is>
      </c>
      <c r="F171" s="31" t="n">
        <v>12543.36</v>
      </c>
      <c r="G171" s="31" t="n">
        <v>1222.7</v>
      </c>
      <c r="H171" s="31" t="n">
        <v>1.7</v>
      </c>
      <c r="I171" s="31" t="n">
        <v>144207</v>
      </c>
      <c r="J171" s="31" t="inlineStr">
        <is>
          <t>543259</t>
        </is>
      </c>
    </row>
    <row r="172">
      <c r="A172" s="31" t="inlineStr">
        <is>
          <t>SGIL</t>
        </is>
      </c>
      <c r="B172" s="31" t="inlineStr">
        <is>
          <t>Synergy Green Industries Ltd</t>
        </is>
      </c>
      <c r="C172" s="31" t="inlineStr">
        <is>
          <t>industrials</t>
        </is>
      </c>
      <c r="D172" s="31" t="inlineStr">
        <is>
          <t>castings &amp; forgings</t>
        </is>
      </c>
      <c r="E172" s="31" t="inlineStr">
        <is>
          <t>smallcap</t>
        </is>
      </c>
      <c r="F172" s="31" t="n">
        <v>923.1</v>
      </c>
      <c r="G172" s="31" t="n">
        <v>603.8</v>
      </c>
      <c r="H172" s="31" t="n">
        <v>1.67</v>
      </c>
      <c r="I172" s="31" t="n">
        <v>23899</v>
      </c>
      <c r="J172" s="31" t="inlineStr">
        <is>
          <t>541929</t>
        </is>
      </c>
    </row>
    <row r="173">
      <c r="A173" s="31" t="inlineStr">
        <is>
          <t>BAJFINANCE</t>
        </is>
      </c>
      <c r="B173" s="31" t="inlineStr">
        <is>
          <t>Bajaj Finance Limited</t>
        </is>
      </c>
      <c r="C173" s="31" t="inlineStr">
        <is>
          <t>financials</t>
        </is>
      </c>
      <c r="D173" s="31" t="inlineStr">
        <is>
          <t>finance &amp; investments</t>
        </is>
      </c>
      <c r="E173" s="31" t="inlineStr">
        <is>
          <t>largecap</t>
        </is>
      </c>
      <c r="F173" s="31" t="n">
        <v>624612.73</v>
      </c>
      <c r="G173" s="31" t="n">
        <v>1020.5</v>
      </c>
      <c r="H173" s="31" t="n">
        <v>1.66</v>
      </c>
      <c r="I173" s="31" t="n">
        <v>7039305</v>
      </c>
      <c r="J173" s="31" t="inlineStr">
        <is>
          <t>500034</t>
        </is>
      </c>
    </row>
    <row r="174">
      <c r="A174" s="31" t="inlineStr">
        <is>
          <t>HARSHA</t>
        </is>
      </c>
      <c r="B174" s="31" t="inlineStr">
        <is>
          <t>Harsha Engineers International Ltd</t>
        </is>
      </c>
      <c r="C174" s="31" t="inlineStr">
        <is>
          <t>industrials</t>
        </is>
      </c>
      <c r="D174" s="31" t="inlineStr">
        <is>
          <t>engineering</t>
        </is>
      </c>
      <c r="E174" s="31" t="inlineStr">
        <is>
          <t>smallcap</t>
        </is>
      </c>
      <c r="F174" s="31" t="n">
        <v>3830.23</v>
      </c>
      <c r="G174" s="31" t="n">
        <v>427.7</v>
      </c>
      <c r="H174" s="31" t="n">
        <v>1.66</v>
      </c>
      <c r="I174" s="31" t="n">
        <v>112033</v>
      </c>
      <c r="J174" s="31" t="inlineStr">
        <is>
          <t>543600</t>
        </is>
      </c>
    </row>
    <row r="175">
      <c r="A175" s="31" t="inlineStr">
        <is>
          <t>SKMEGGPROD</t>
        </is>
      </c>
      <c r="B175" s="31" t="inlineStr">
        <is>
          <t>Skm Egg Products Export (india) Limited</t>
        </is>
      </c>
      <c r="C175" s="31" t="inlineStr">
        <is>
          <t>fmcg</t>
        </is>
      </c>
      <c r="D175" s="31" t="inlineStr">
        <is>
          <t>food - processing - indian</t>
        </is>
      </c>
      <c r="E175" s="31" t="inlineStr">
        <is>
          <t>smallcap</t>
        </is>
      </c>
      <c r="F175" s="31" t="n">
        <v>1664.85</v>
      </c>
      <c r="G175" s="31" t="n">
        <v>321.35</v>
      </c>
      <c r="H175" s="31" t="n">
        <v>1.64</v>
      </c>
      <c r="I175" s="31" t="n">
        <v>514750</v>
      </c>
      <c r="J175" s="31" t="inlineStr">
        <is>
          <t>532143</t>
        </is>
      </c>
    </row>
    <row r="176">
      <c r="A176" s="31" t="inlineStr">
        <is>
          <t>TRIVENI</t>
        </is>
      </c>
      <c r="B176" s="31" t="inlineStr">
        <is>
          <t>Triveni Engineering &amp; Industries Limited</t>
        </is>
      </c>
      <c r="C176" s="31" t="inlineStr">
        <is>
          <t>fmcg</t>
        </is>
      </c>
      <c r="D176" s="31" t="inlineStr">
        <is>
          <t>sugar</t>
        </is>
      </c>
      <c r="E176" s="31" t="inlineStr">
        <is>
          <t>midcap</t>
        </is>
      </c>
      <c r="F176" s="31" t="n">
        <v>9960.950000000001</v>
      </c>
      <c r="G176" s="31" t="n">
        <v>462.4</v>
      </c>
      <c r="H176" s="31" t="n">
        <v>1.62</v>
      </c>
      <c r="I176" s="31" t="n">
        <v>356033</v>
      </c>
      <c r="J176" s="31" t="inlineStr">
        <is>
          <t>532356</t>
        </is>
      </c>
    </row>
    <row r="177">
      <c r="A177" s="31" t="inlineStr">
        <is>
          <t>COMSYN</t>
        </is>
      </c>
      <c r="B177" s="31" t="inlineStr">
        <is>
          <t>Commercial Syn Bags Ltd</t>
        </is>
      </c>
      <c r="C177" s="31" t="inlineStr">
        <is>
          <t>industrials</t>
        </is>
      </c>
      <c r="D177" s="31" t="inlineStr">
        <is>
          <t>packaging</t>
        </is>
      </c>
      <c r="E177" s="31" t="inlineStr">
        <is>
          <t>smallcap</t>
        </is>
      </c>
      <c r="F177" s="31" t="n">
        <v>769.95</v>
      </c>
      <c r="G177" s="31" t="n">
        <v>193.94</v>
      </c>
      <c r="H177" s="31" t="n">
        <v>1.61</v>
      </c>
      <c r="I177" s="31" t="n">
        <v>1825380</v>
      </c>
      <c r="J177" s="31" t="inlineStr">
        <is>
          <t>539986</t>
        </is>
      </c>
    </row>
    <row r="178">
      <c r="A178" s="31" t="inlineStr">
        <is>
          <t>SIMPLEXINF</t>
        </is>
      </c>
      <c r="B178" s="31" t="inlineStr">
        <is>
          <t>Simplex Infrastructures Limited</t>
        </is>
      </c>
      <c r="C178" s="31" t="inlineStr">
        <is>
          <t>realty</t>
        </is>
      </c>
      <c r="D178" s="31" t="inlineStr">
        <is>
          <t>construction</t>
        </is>
      </c>
      <c r="E178" s="31" t="inlineStr">
        <is>
          <t>smallcap</t>
        </is>
      </c>
      <c r="F178" s="31" t="n">
        <v>2117.78</v>
      </c>
      <c r="G178" s="31" t="n">
        <v>272.05</v>
      </c>
      <c r="H178" s="31" t="n">
        <v>1.61</v>
      </c>
      <c r="I178" s="31" t="n">
        <v>277658</v>
      </c>
      <c r="J178" s="31" t="inlineStr">
        <is>
          <t>523838</t>
        </is>
      </c>
    </row>
    <row r="179">
      <c r="A179" s="31" t="inlineStr">
        <is>
          <t>NAHARSPING</t>
        </is>
      </c>
      <c r="B179" s="31" t="inlineStr">
        <is>
          <t>Nahar Spinning Mills Limited</t>
        </is>
      </c>
      <c r="C179" s="31" t="inlineStr">
        <is>
          <t>textiles</t>
        </is>
      </c>
      <c r="D179" s="31" t="inlineStr">
        <is>
          <t>textiles - cotton/blended</t>
        </is>
      </c>
      <c r="E179" s="31" t="inlineStr">
        <is>
          <t>smallcap</t>
        </is>
      </c>
      <c r="F179" s="31" t="n">
        <v>960.42</v>
      </c>
      <c r="G179" s="31" t="n">
        <v>270.5</v>
      </c>
      <c r="H179" s="31" t="n">
        <v>1.58</v>
      </c>
      <c r="I179" s="31" t="n">
        <v>12541</v>
      </c>
      <c r="J179" s="31" t="inlineStr">
        <is>
          <t>500296</t>
        </is>
      </c>
    </row>
    <row r="180">
      <c r="A180" s="31" t="inlineStr">
        <is>
          <t>KERNEX</t>
        </is>
      </c>
      <c r="B180" s="31" t="inlineStr">
        <is>
          <t>Kernex Microsystems (india) Limited</t>
        </is>
      </c>
      <c r="C180" s="31" t="inlineStr">
        <is>
          <t>consumer discretionary</t>
        </is>
      </c>
      <c r="D180" s="31" t="inlineStr">
        <is>
          <t>electronics - components</t>
        </is>
      </c>
      <c r="E180" s="31" t="inlineStr">
        <is>
          <t>smallcap</t>
        </is>
      </c>
      <c r="F180" s="31" t="n">
        <v>3568.83</v>
      </c>
      <c r="G180" s="31" t="n">
        <v>2157.5</v>
      </c>
      <c r="H180" s="31" t="n">
        <v>1.58</v>
      </c>
      <c r="I180" s="31" t="n">
        <v>161832</v>
      </c>
      <c r="J180" s="31" t="inlineStr">
        <is>
          <t>532686</t>
        </is>
      </c>
    </row>
    <row r="181">
      <c r="A181" s="31" t="inlineStr">
        <is>
          <t>INDIGO</t>
        </is>
      </c>
      <c r="B181" s="31" t="inlineStr">
        <is>
          <t>Interglobe Aviation Limited</t>
        </is>
      </c>
      <c r="C181" s="31" t="inlineStr">
        <is>
          <t>transportation</t>
        </is>
      </c>
      <c r="D181" s="31" t="inlineStr">
        <is>
          <t>transport - airlines</t>
        </is>
      </c>
      <c r="E181" s="31" t="inlineStr">
        <is>
          <t>largecap</t>
        </is>
      </c>
      <c r="F181" s="31" t="n">
        <v>202179.27</v>
      </c>
      <c r="G181" s="31" t="n">
        <v>5312</v>
      </c>
      <c r="H181" s="31" t="n">
        <v>1.58</v>
      </c>
      <c r="I181" s="31" t="n">
        <v>458039</v>
      </c>
      <c r="J181" s="31" t="inlineStr">
        <is>
          <t>539448</t>
        </is>
      </c>
    </row>
    <row r="182">
      <c r="A182" s="31" t="inlineStr">
        <is>
          <t>USHAMART</t>
        </is>
      </c>
      <c r="B182" s="31" t="inlineStr">
        <is>
          <t>Usha Martin Limited</t>
        </is>
      </c>
      <c r="C182" s="31" t="inlineStr">
        <is>
          <t>metals &amp; mining</t>
        </is>
      </c>
      <c r="D182" s="31" t="inlineStr">
        <is>
          <t>steel - medium / small</t>
        </is>
      </c>
      <c r="E182" s="31" t="inlineStr">
        <is>
          <t>midcap</t>
        </is>
      </c>
      <c r="F182" s="31" t="n">
        <v>15304.14</v>
      </c>
      <c r="G182" s="31" t="n">
        <v>510.1</v>
      </c>
      <c r="H182" s="31" t="n">
        <v>1.57</v>
      </c>
      <c r="I182" s="31" t="n">
        <v>356231</v>
      </c>
      <c r="J182" s="31" t="inlineStr">
        <is>
          <t>517146</t>
        </is>
      </c>
    </row>
    <row r="183">
      <c r="A183" s="31" t="inlineStr">
        <is>
          <t>CENTENKA</t>
        </is>
      </c>
      <c r="B183" s="31" t="inlineStr">
        <is>
          <t>Century Enka Limited</t>
        </is>
      </c>
      <c r="C183" s="31" t="inlineStr">
        <is>
          <t>textiles</t>
        </is>
      </c>
      <c r="D183" s="31" t="inlineStr">
        <is>
          <t>textiles - manmade</t>
        </is>
      </c>
      <c r="E183" s="31" t="inlineStr">
        <is>
          <t>smallcap</t>
        </is>
      </c>
      <c r="F183" s="31" t="n">
        <v>1127.6</v>
      </c>
      <c r="G183" s="31" t="n">
        <v>524</v>
      </c>
      <c r="H183" s="31" t="n">
        <v>1.54</v>
      </c>
      <c r="I183" s="31" t="n">
        <v>17452</v>
      </c>
      <c r="J183" s="31" t="inlineStr">
        <is>
          <t>500280</t>
        </is>
      </c>
    </row>
    <row r="184">
      <c r="A184" s="31" t="inlineStr">
        <is>
          <t>NHPC</t>
        </is>
      </c>
      <c r="B184" s="31" t="inlineStr">
        <is>
          <t>Nhpc Limited</t>
        </is>
      </c>
      <c r="C184" s="31" t="inlineStr">
        <is>
          <t>power &amp; utilities</t>
        </is>
      </c>
      <c r="D184" s="31" t="inlineStr">
        <is>
          <t>power generation and supply</t>
        </is>
      </c>
      <c r="E184" s="31" t="inlineStr">
        <is>
          <t>largecap</t>
        </is>
      </c>
      <c r="F184" s="31" t="n">
        <v>78964.02</v>
      </c>
      <c r="G184" s="31" t="n">
        <v>79.81999999999999</v>
      </c>
      <c r="H184" s="31" t="n">
        <v>1.54</v>
      </c>
      <c r="I184" s="31" t="n">
        <v>6253523</v>
      </c>
      <c r="J184" s="31" t="inlineStr">
        <is>
          <t>533098</t>
        </is>
      </c>
    </row>
    <row r="185">
      <c r="A185" s="31" t="inlineStr">
        <is>
          <t>MANORAMA</t>
        </is>
      </c>
      <c r="B185" s="31" t="inlineStr">
        <is>
          <t>Manorama Industries Ltd</t>
        </is>
      </c>
      <c r="C185" s="31" t="inlineStr">
        <is>
          <t>fmcg</t>
        </is>
      </c>
      <c r="D185" s="31" t="inlineStr">
        <is>
          <t>food - processing - indian</t>
        </is>
      </c>
      <c r="E185" s="31" t="inlineStr">
        <is>
          <t>midcap</t>
        </is>
      </c>
      <c r="F185" s="31" t="n">
        <v>9429.17</v>
      </c>
      <c r="G185" s="31" t="n">
        <v>1603.4</v>
      </c>
      <c r="H185" s="31" t="n">
        <v>1.53</v>
      </c>
      <c r="I185" s="31" t="n">
        <v>180543</v>
      </c>
      <c r="J185" s="31" t="inlineStr">
        <is>
          <t>541974</t>
        </is>
      </c>
    </row>
    <row r="186">
      <c r="A186" s="31" t="inlineStr">
        <is>
          <t>ARROWGREEN</t>
        </is>
      </c>
      <c r="B186" s="31" t="inlineStr">
        <is>
          <t>Arrow Greentech Limited</t>
        </is>
      </c>
      <c r="C186" s="31" t="inlineStr">
        <is>
          <t>plastic products</t>
        </is>
      </c>
      <c r="D186" s="31" t="inlineStr">
        <is>
          <t>plastics products</t>
        </is>
      </c>
      <c r="E186" s="31" t="inlineStr">
        <is>
          <t>smallcap</t>
        </is>
      </c>
      <c r="F186" s="31" t="n">
        <v>1038.8</v>
      </c>
      <c r="G186" s="31" t="n">
        <v>699</v>
      </c>
      <c r="H186" s="31" t="n">
        <v>1.53</v>
      </c>
      <c r="I186" s="31" t="n">
        <v>36938</v>
      </c>
      <c r="J186" s="31" t="inlineStr">
        <is>
          <t>516064</t>
        </is>
      </c>
    </row>
    <row r="187">
      <c r="A187" s="31" t="inlineStr">
        <is>
          <t>GHCLTEXTIL</t>
        </is>
      </c>
      <c r="B187" s="31" t="inlineStr">
        <is>
          <t>GHCL Textiles Ltd</t>
        </is>
      </c>
      <c r="C187" s="31" t="inlineStr">
        <is>
          <t>textiles</t>
        </is>
      </c>
      <c r="D187" s="31" t="inlineStr">
        <is>
          <t>textiles - spinning - synthetic / blended</t>
        </is>
      </c>
      <c r="E187" s="31" t="inlineStr">
        <is>
          <t>smallcap</t>
        </is>
      </c>
      <c r="F187" s="31" t="n">
        <v>1029.55</v>
      </c>
      <c r="G187" s="31" t="n">
        <v>109.35</v>
      </c>
      <c r="H187" s="31" t="n">
        <v>1.52</v>
      </c>
      <c r="I187" s="31" t="n">
        <v>460141</v>
      </c>
      <c r="J187" s="31" t="inlineStr">
        <is>
          <t>543918</t>
        </is>
      </c>
    </row>
    <row r="188">
      <c r="A188" s="31" t="inlineStr">
        <is>
          <t>GUFICBIO</t>
        </is>
      </c>
      <c r="B188" s="31" t="inlineStr">
        <is>
          <t>Gufic Biosciences Limited</t>
        </is>
      </c>
      <c r="C188" s="31" t="inlineStr">
        <is>
          <t>healthcare</t>
        </is>
      </c>
      <c r="D188" s="31" t="inlineStr">
        <is>
          <t>pharmaceuticals - indian - bulk drugs &amp; formln</t>
        </is>
      </c>
      <c r="E188" s="31" t="inlineStr">
        <is>
          <t>smallcap</t>
        </is>
      </c>
      <c r="F188" s="31" t="n">
        <v>3880.43</v>
      </c>
      <c r="G188" s="31" t="n">
        <v>392.8</v>
      </c>
      <c r="H188" s="31" t="n">
        <v>1.51</v>
      </c>
      <c r="I188" s="31" t="n">
        <v>132576</v>
      </c>
      <c r="J188" s="31" t="inlineStr">
        <is>
          <t>509079</t>
        </is>
      </c>
    </row>
    <row r="189">
      <c r="A189" s="31" t="inlineStr">
        <is>
          <t>PREMIERPOL</t>
        </is>
      </c>
      <c r="B189" s="31" t="inlineStr">
        <is>
          <t>Premier Polyfilm Limited</t>
        </is>
      </c>
      <c r="C189" s="31" t="inlineStr">
        <is>
          <t>plastic products</t>
        </is>
      </c>
      <c r="D189" s="31" t="inlineStr">
        <is>
          <t>plastics products</t>
        </is>
      </c>
      <c r="E189" s="31" t="inlineStr">
        <is>
          <t>smallcap</t>
        </is>
      </c>
      <c r="F189" s="31" t="n">
        <v>668.05</v>
      </c>
      <c r="G189" s="31" t="n">
        <v>64.73999999999999</v>
      </c>
      <c r="H189" s="31" t="n">
        <v>1.51</v>
      </c>
      <c r="I189" s="31" t="n">
        <v>183385</v>
      </c>
      <c r="J189" s="31" t="inlineStr">
        <is>
          <t>514354</t>
        </is>
      </c>
    </row>
    <row r="190">
      <c r="A190" s="31" t="inlineStr">
        <is>
          <t>SHREECEM</t>
        </is>
      </c>
      <c r="B190" s="31" t="inlineStr">
        <is>
          <t>Shree Cements Limited</t>
        </is>
      </c>
      <c r="C190" s="31" t="inlineStr">
        <is>
          <t>building materials</t>
        </is>
      </c>
      <c r="D190" s="31" t="inlineStr">
        <is>
          <t>cement - north india</t>
        </is>
      </c>
      <c r="E190" s="31" t="inlineStr">
        <is>
          <t>largecap</t>
        </is>
      </c>
      <c r="F190" s="31" t="n">
        <v>94874.33</v>
      </c>
      <c r="G190" s="31" t="n">
        <v>26690</v>
      </c>
      <c r="H190" s="31" t="n">
        <v>1.5</v>
      </c>
      <c r="I190" s="31" t="n">
        <v>6542</v>
      </c>
      <c r="J190" s="31" t="inlineStr">
        <is>
          <t>500387</t>
        </is>
      </c>
    </row>
    <row r="191">
      <c r="A191" s="31" t="inlineStr">
        <is>
          <t>NRBBEARING</t>
        </is>
      </c>
      <c r="B191" s="31" t="inlineStr">
        <is>
          <t>Nrb Bearing Limited</t>
        </is>
      </c>
      <c r="C191" s="31" t="inlineStr">
        <is>
          <t>industrials</t>
        </is>
      </c>
      <c r="D191" s="31" t="inlineStr">
        <is>
          <t>bearings</t>
        </is>
      </c>
      <c r="E191" s="31" t="inlineStr">
        <is>
          <t>smallcap</t>
        </is>
      </c>
      <c r="F191" s="31" t="n">
        <v>4096.43</v>
      </c>
      <c r="G191" s="31" t="n">
        <v>428.95</v>
      </c>
      <c r="H191" s="31" t="n">
        <v>1.49</v>
      </c>
      <c r="I191" s="31" t="n">
        <v>186523</v>
      </c>
      <c r="J191" s="31" t="inlineStr">
        <is>
          <t>530367</t>
        </is>
      </c>
    </row>
    <row r="192">
      <c r="A192" s="31" t="inlineStr">
        <is>
          <t>ALIVUS</t>
        </is>
      </c>
      <c r="B192" s="31" t="inlineStr">
        <is>
          <t>Alivus Life Sciences Ltd</t>
        </is>
      </c>
      <c r="C192" s="31" t="inlineStr">
        <is>
          <t>healthcare</t>
        </is>
      </c>
      <c r="D192" s="31" t="inlineStr">
        <is>
          <t>pharmaceuticals - indian - bulk drugs &amp; formln</t>
        </is>
      </c>
      <c r="E192" s="31" t="inlineStr">
        <is>
          <t>midcap</t>
        </is>
      </c>
      <c r="F192" s="31" t="n">
        <v>14027.54</v>
      </c>
      <c r="G192" s="31" t="n">
        <v>1159.9</v>
      </c>
      <c r="H192" s="31" t="n">
        <v>1.49</v>
      </c>
      <c r="I192" s="31" t="n">
        <v>73798</v>
      </c>
      <c r="J192" s="31" t="inlineStr">
        <is>
          <t>543322</t>
        </is>
      </c>
    </row>
    <row r="193">
      <c r="A193" s="31" t="inlineStr">
        <is>
          <t>ICICIBANK</t>
        </is>
      </c>
      <c r="B193" s="31" t="inlineStr">
        <is>
          <t>Icici Bank Limited</t>
        </is>
      </c>
      <c r="C193" s="31" t="inlineStr">
        <is>
          <t>bank</t>
        </is>
      </c>
      <c r="D193" s="31" t="inlineStr">
        <is>
          <t>banks - private sector</t>
        </is>
      </c>
      <c r="E193" s="31" t="inlineStr">
        <is>
          <t>largecap</t>
        </is>
      </c>
      <c r="F193" s="31" t="n">
        <v>988596.74</v>
      </c>
      <c r="G193" s="31" t="n">
        <v>1401.2</v>
      </c>
      <c r="H193" s="31" t="n">
        <v>1.48</v>
      </c>
      <c r="I193" s="31" t="n">
        <v>6409645</v>
      </c>
      <c r="J193" s="31" t="inlineStr">
        <is>
          <t>532174</t>
        </is>
      </c>
    </row>
    <row r="194">
      <c r="A194" s="31" t="inlineStr">
        <is>
          <t>IIFL</t>
        </is>
      </c>
      <c r="B194" s="31" t="inlineStr">
        <is>
          <t>IIFL Finance Ltd</t>
        </is>
      </c>
      <c r="C194" s="31" t="inlineStr">
        <is>
          <t>financials</t>
        </is>
      </c>
      <c r="D194" s="31" t="inlineStr">
        <is>
          <t>finance &amp; investments</t>
        </is>
      </c>
      <c r="E194" s="31" t="inlineStr">
        <is>
          <t>largecap</t>
        </is>
      </c>
      <c r="F194" s="31" t="n">
        <v>23165.52</v>
      </c>
      <c r="G194" s="31" t="n">
        <v>552.7</v>
      </c>
      <c r="H194" s="31" t="n">
        <v>1.47</v>
      </c>
      <c r="I194" s="31" t="n">
        <v>1836486</v>
      </c>
      <c r="J194" s="31" t="inlineStr">
        <is>
          <t>532636</t>
        </is>
      </c>
    </row>
    <row r="195">
      <c r="A195" s="31" t="inlineStr">
        <is>
          <t>RISHABH</t>
        </is>
      </c>
      <c r="B195" s="31" t="inlineStr">
        <is>
          <t>Rishabh Instruments Ltd</t>
        </is>
      </c>
      <c r="C195" s="31" t="inlineStr">
        <is>
          <t>industrials</t>
        </is>
      </c>
      <c r="D195" s="31" t="inlineStr">
        <is>
          <t>electric equipment</t>
        </is>
      </c>
      <c r="E195" s="31" t="inlineStr">
        <is>
          <t>smallcap</t>
        </is>
      </c>
      <c r="F195" s="31" t="n">
        <v>2515.51</v>
      </c>
      <c r="G195" s="31" t="n">
        <v>662.1</v>
      </c>
      <c r="H195" s="31" t="n">
        <v>1.46</v>
      </c>
      <c r="I195" s="31" t="n">
        <v>520133</v>
      </c>
      <c r="J195" s="31" t="inlineStr">
        <is>
          <t>543977</t>
        </is>
      </c>
    </row>
    <row r="196">
      <c r="A196" s="31" t="inlineStr">
        <is>
          <t>PRICOLLTD</t>
        </is>
      </c>
      <c r="B196" s="31" t="inlineStr">
        <is>
          <t>Pricol Ltd.</t>
        </is>
      </c>
      <c r="C196" s="31" t="inlineStr">
        <is>
          <t>auto</t>
        </is>
      </c>
      <c r="D196" s="31" t="inlineStr">
        <is>
          <t>auto ancillaries</t>
        </is>
      </c>
      <c r="E196" s="31" t="inlineStr">
        <is>
          <t>midcap</t>
        </is>
      </c>
      <c r="F196" s="31" t="n">
        <v>7534.71</v>
      </c>
      <c r="G196" s="31" t="n">
        <v>627.25</v>
      </c>
      <c r="H196" s="31" t="n">
        <v>1.46</v>
      </c>
      <c r="I196" s="31" t="n">
        <v>375998</v>
      </c>
      <c r="J196" s="31" t="inlineStr">
        <is>
          <t>540293</t>
        </is>
      </c>
    </row>
    <row r="197">
      <c r="A197" s="31" t="inlineStr">
        <is>
          <t>DCBBANK</t>
        </is>
      </c>
      <c r="B197" s="31" t="inlineStr">
        <is>
          <t>Dcb Bank Limited</t>
        </is>
      </c>
      <c r="C197" s="31" t="inlineStr">
        <is>
          <t>bank</t>
        </is>
      </c>
      <c r="D197" s="31" t="inlineStr">
        <is>
          <t>banks - private sector</t>
        </is>
      </c>
      <c r="E197" s="31" t="inlineStr">
        <is>
          <t>midcap</t>
        </is>
      </c>
      <c r="F197" s="31" t="n">
        <v>5987.7</v>
      </c>
      <c r="G197" s="31" t="n">
        <v>188.67</v>
      </c>
      <c r="H197" s="31" t="n">
        <v>1.43</v>
      </c>
      <c r="I197" s="31" t="n">
        <v>830642</v>
      </c>
      <c r="J197" s="31" t="inlineStr">
        <is>
          <t>532772</t>
        </is>
      </c>
    </row>
    <row r="198">
      <c r="A198" s="31" t="inlineStr">
        <is>
          <t>METROPOLIS</t>
        </is>
      </c>
      <c r="B198" s="31" t="inlineStr">
        <is>
          <t>Metropolis Healthcare Ltd</t>
        </is>
      </c>
      <c r="C198" s="31" t="inlineStr">
        <is>
          <t>healthcare</t>
        </is>
      </c>
      <c r="D198" s="31" t="inlineStr">
        <is>
          <t>healthcare</t>
        </is>
      </c>
      <c r="E198" s="31" t="inlineStr">
        <is>
          <t>midcap</t>
        </is>
      </c>
      <c r="F198" s="31" t="n">
        <v>11611.39</v>
      </c>
      <c r="G198" s="31" t="n">
        <v>567.95</v>
      </c>
      <c r="H198" s="31" t="n">
        <v>1.41</v>
      </c>
      <c r="I198" s="31" t="n">
        <v>139878</v>
      </c>
      <c r="J198" s="31" t="inlineStr">
        <is>
          <t>542650</t>
        </is>
      </c>
    </row>
    <row r="199">
      <c r="A199" s="31" t="inlineStr">
        <is>
          <t>POKARNA</t>
        </is>
      </c>
      <c r="B199" s="31" t="inlineStr">
        <is>
          <t>Pokarna Limited</t>
        </is>
      </c>
      <c r="C199" s="31" t="inlineStr">
        <is>
          <t>consumer discretionary</t>
        </is>
      </c>
      <c r="D199" s="31" t="inlineStr">
        <is>
          <t>miscellaneous</t>
        </is>
      </c>
      <c r="E199" s="31" t="inlineStr">
        <is>
          <t>smallcap</t>
        </is>
      </c>
      <c r="F199" s="31" t="n">
        <v>3210.15</v>
      </c>
      <c r="G199" s="31" t="n">
        <v>1049.9</v>
      </c>
      <c r="H199" s="31" t="n">
        <v>1.4</v>
      </c>
      <c r="I199" s="31" t="n">
        <v>62916</v>
      </c>
      <c r="J199" s="31" t="inlineStr">
        <is>
          <t>532486</t>
        </is>
      </c>
    </row>
    <row r="200">
      <c r="A200" s="31" t="inlineStr">
        <is>
          <t>AADHARHFC</t>
        </is>
      </c>
      <c r="B200" s="31" t="inlineStr">
        <is>
          <t>Aadhar Housing Finance Ltd</t>
        </is>
      </c>
      <c r="C200" s="31" t="inlineStr">
        <is>
          <t>financials</t>
        </is>
      </c>
      <c r="D200" s="31" t="inlineStr">
        <is>
          <t>finance - housing</t>
        </is>
      </c>
      <c r="E200" s="31" t="inlineStr">
        <is>
          <t>largecap</t>
        </is>
      </c>
      <c r="F200" s="31" t="n">
        <v>23162.01</v>
      </c>
      <c r="G200" s="31" t="n">
        <v>539</v>
      </c>
      <c r="H200" s="31" t="n">
        <v>1.39</v>
      </c>
      <c r="I200" s="31" t="n">
        <v>743299</v>
      </c>
      <c r="J200" s="31" t="inlineStr">
        <is>
          <t>544176</t>
        </is>
      </c>
    </row>
    <row r="201">
      <c r="A201" s="31" t="inlineStr">
        <is>
          <t>XPROINDIA</t>
        </is>
      </c>
      <c r="B201" s="31" t="inlineStr">
        <is>
          <t>Xpro India Limited</t>
        </is>
      </c>
      <c r="C201" s="31" t="inlineStr">
        <is>
          <t>industrials</t>
        </is>
      </c>
      <c r="D201" s="31" t="inlineStr">
        <is>
          <t>packaging</t>
        </is>
      </c>
      <c r="E201" s="31" t="inlineStr">
        <is>
          <t>smallcap</t>
        </is>
      </c>
      <c r="F201" s="31" t="n">
        <v>3368.47</v>
      </c>
      <c r="G201" s="31" t="n">
        <v>1455</v>
      </c>
      <c r="H201" s="31" t="n">
        <v>1.38</v>
      </c>
      <c r="I201" s="31" t="n">
        <v>33490</v>
      </c>
      <c r="J201" s="31" t="inlineStr">
        <is>
          <t>590013</t>
        </is>
      </c>
    </row>
    <row r="202">
      <c r="A202" s="31" t="inlineStr">
        <is>
          <t>CYIENTDLM</t>
        </is>
      </c>
      <c r="B202" s="31" t="inlineStr">
        <is>
          <t>Cyient DLM Ltd</t>
        </is>
      </c>
      <c r="C202" s="31" t="inlineStr">
        <is>
          <t>consumer discretionary</t>
        </is>
      </c>
      <c r="D202" s="31" t="inlineStr">
        <is>
          <t>electronics - components</t>
        </is>
      </c>
      <c r="E202" s="31" t="inlineStr">
        <is>
          <t>smallcap</t>
        </is>
      </c>
      <c r="F202" s="31" t="n">
        <v>4272.19</v>
      </c>
      <c r="G202" s="31" t="n">
        <v>545.65</v>
      </c>
      <c r="H202" s="31" t="n">
        <v>1.37</v>
      </c>
      <c r="I202" s="31" t="n">
        <v>573931</v>
      </c>
      <c r="J202" s="31" t="inlineStr">
        <is>
          <t>543933</t>
        </is>
      </c>
    </row>
    <row r="203">
      <c r="A203" s="31" t="inlineStr">
        <is>
          <t>TIRUPATIFL</t>
        </is>
      </c>
      <c r="B203" s="31" t="inlineStr">
        <is>
          <t>Tirupati Forge Ltd</t>
        </is>
      </c>
      <c r="C203" s="31" t="inlineStr">
        <is>
          <t>industrials</t>
        </is>
      </c>
      <c r="D203" s="31" t="inlineStr">
        <is>
          <t>castings &amp; forgings</t>
        </is>
      </c>
      <c r="E203" s="31" t="inlineStr">
        <is>
          <t>smallcap</t>
        </is>
      </c>
      <c r="F203" s="31" t="n">
        <v>866.74</v>
      </c>
      <c r="G203" s="31" t="n">
        <v>68</v>
      </c>
      <c r="H203" s="31" t="n">
        <v>1.36</v>
      </c>
      <c r="I203" s="31" t="n">
        <v>490593</v>
      </c>
      <c r="J203" s="31" t="inlineStr">
        <is>
          <t>535021</t>
        </is>
      </c>
    </row>
    <row r="204">
      <c r="A204" s="31" t="inlineStr">
        <is>
          <t>CAPITALSFB</t>
        </is>
      </c>
      <c r="B204" s="31" t="inlineStr">
        <is>
          <t>Capital Small Finance Bank Ltd</t>
        </is>
      </c>
      <c r="C204" s="31" t="inlineStr">
        <is>
          <t>bank</t>
        </is>
      </c>
      <c r="D204" s="31" t="inlineStr">
        <is>
          <t>banks - private sector</t>
        </is>
      </c>
      <c r="E204" s="31" t="inlineStr">
        <is>
          <t>smallcap</t>
        </is>
      </c>
      <c r="F204" s="31" t="n">
        <v>1320.31</v>
      </c>
      <c r="G204" s="31" t="n">
        <v>294.3</v>
      </c>
      <c r="H204" s="31" t="n">
        <v>1.34</v>
      </c>
      <c r="I204" s="31" t="n">
        <v>31780</v>
      </c>
      <c r="J204" s="31" t="n"/>
    </row>
    <row r="205">
      <c r="A205" s="31" t="inlineStr">
        <is>
          <t>TINNARUBR</t>
        </is>
      </c>
      <c r="B205" s="31" t="inlineStr">
        <is>
          <t>Tinna Rubber &amp; Infrastructure Ltd</t>
        </is>
      </c>
      <c r="C205" s="31" t="inlineStr">
        <is>
          <t>fmcg</t>
        </is>
      </c>
      <c r="D205" s="31" t="inlineStr">
        <is>
          <t>miscellaneous</t>
        </is>
      </c>
      <c r="E205" s="31" t="inlineStr">
        <is>
          <t>smallcap</t>
        </is>
      </c>
      <c r="F205" s="31" t="n">
        <v>1726.81</v>
      </c>
      <c r="G205" s="31" t="n">
        <v>971.35</v>
      </c>
      <c r="H205" s="31" t="n">
        <v>1.34</v>
      </c>
      <c r="I205" s="31" t="n">
        <v>52110</v>
      </c>
      <c r="J205" s="31" t="inlineStr">
        <is>
          <t>530475</t>
        </is>
      </c>
    </row>
    <row r="206">
      <c r="A206" s="31" t="inlineStr">
        <is>
          <t>RAIN</t>
        </is>
      </c>
      <c r="B206" s="31" t="inlineStr">
        <is>
          <t>Rain Industries Limited</t>
        </is>
      </c>
      <c r="C206" s="31" t="inlineStr">
        <is>
          <t>miscellaneous</t>
        </is>
      </c>
      <c r="D206" s="31" t="inlineStr">
        <is>
          <t>miscellaneous</t>
        </is>
      </c>
      <c r="E206" s="31" t="inlineStr">
        <is>
          <t>midcap</t>
        </is>
      </c>
      <c r="F206" s="31" t="n">
        <v>6873.56</v>
      </c>
      <c r="G206" s="31" t="n">
        <v>207.05</v>
      </c>
      <c r="H206" s="31" t="n">
        <v>1.32</v>
      </c>
      <c r="I206" s="31" t="n">
        <v>4247575</v>
      </c>
      <c r="J206" s="31" t="inlineStr">
        <is>
          <t>500339</t>
        </is>
      </c>
    </row>
    <row r="207">
      <c r="A207" s="31" t="inlineStr">
        <is>
          <t>MMP</t>
        </is>
      </c>
      <c r="B207" s="31" t="inlineStr">
        <is>
          <t>MMP Industries Ltd</t>
        </is>
      </c>
      <c r="C207" s="31" t="inlineStr">
        <is>
          <t>metals &amp; mining</t>
        </is>
      </c>
      <c r="D207" s="31" t="inlineStr">
        <is>
          <t>aluminium and aluminium products</t>
        </is>
      </c>
      <c r="E207" s="31" t="inlineStr">
        <is>
          <t>smallcap</t>
        </is>
      </c>
      <c r="F207" s="31" t="n">
        <v>718</v>
      </c>
      <c r="G207" s="31" t="n">
        <v>286.35</v>
      </c>
      <c r="H207" s="31" t="n">
        <v>1.31</v>
      </c>
      <c r="I207" s="31" t="n">
        <v>54489</v>
      </c>
      <c r="J207" s="31" t="inlineStr">
        <is>
          <t>535071</t>
        </is>
      </c>
    </row>
    <row r="208">
      <c r="A208" s="31" t="inlineStr">
        <is>
          <t>JINDALSAW</t>
        </is>
      </c>
      <c r="B208" s="31" t="inlineStr">
        <is>
          <t>Jindal Saw Limited</t>
        </is>
      </c>
      <c r="C208" s="31" t="inlineStr">
        <is>
          <t>industrials</t>
        </is>
      </c>
      <c r="D208" s="31" t="inlineStr">
        <is>
          <t>steel - large</t>
        </is>
      </c>
      <c r="E208" s="31" t="inlineStr">
        <is>
          <t>midcap</t>
        </is>
      </c>
      <c r="F208" s="31" t="n">
        <v>17413.81</v>
      </c>
      <c r="G208" s="31" t="n">
        <v>275.8</v>
      </c>
      <c r="H208" s="31" t="n">
        <v>1.29</v>
      </c>
      <c r="I208" s="31" t="n">
        <v>2969482</v>
      </c>
      <c r="J208" s="31" t="inlineStr">
        <is>
          <t>500378</t>
        </is>
      </c>
    </row>
    <row r="209">
      <c r="A209" s="31" t="inlineStr">
        <is>
          <t>ACE</t>
        </is>
      </c>
      <c r="B209" s="31" t="inlineStr">
        <is>
          <t>Action Construction Equipment Limited</t>
        </is>
      </c>
      <c r="C209" s="31" t="inlineStr">
        <is>
          <t>industrials</t>
        </is>
      </c>
      <c r="D209" s="31" t="inlineStr">
        <is>
          <t>engineering</t>
        </is>
      </c>
      <c r="E209" s="31" t="inlineStr">
        <is>
          <t>midcap</t>
        </is>
      </c>
      <c r="F209" s="31" t="n">
        <v>11629.66</v>
      </c>
      <c r="G209" s="31" t="n">
        <v>989</v>
      </c>
      <c r="H209" s="31" t="n">
        <v>1.27</v>
      </c>
      <c r="I209" s="31" t="n">
        <v>259105</v>
      </c>
      <c r="J209" s="31" t="inlineStr">
        <is>
          <t>532762</t>
        </is>
      </c>
    </row>
    <row r="210">
      <c r="A210" s="31" t="inlineStr">
        <is>
          <t>GREENPLY</t>
        </is>
      </c>
      <c r="B210" s="31" t="inlineStr">
        <is>
          <t>Greenply Industries Limited</t>
        </is>
      </c>
      <c r="C210" s="31" t="inlineStr">
        <is>
          <t>building materials</t>
        </is>
      </c>
      <c r="D210" s="31" t="inlineStr">
        <is>
          <t>miscellaneous</t>
        </is>
      </c>
      <c r="E210" s="31" t="inlineStr">
        <is>
          <t>smallcap</t>
        </is>
      </c>
      <c r="F210" s="31" t="n">
        <v>3885.08</v>
      </c>
      <c r="G210" s="31" t="n">
        <v>314.9</v>
      </c>
      <c r="H210" s="31" t="n">
        <v>1.24</v>
      </c>
      <c r="I210" s="31" t="n">
        <v>195697</v>
      </c>
      <c r="J210" s="31" t="inlineStr">
        <is>
          <t>526797</t>
        </is>
      </c>
    </row>
    <row r="211">
      <c r="A211" s="31" t="inlineStr">
        <is>
          <t>AJANTPHARM</t>
        </is>
      </c>
      <c r="B211" s="31" t="inlineStr">
        <is>
          <t>Ajanta Pharma Limited</t>
        </is>
      </c>
      <c r="C211" s="31" t="inlineStr">
        <is>
          <t>healthcare</t>
        </is>
      </c>
      <c r="D211" s="31" t="inlineStr">
        <is>
          <t>pharmaceuticals - indian - formulations</t>
        </is>
      </c>
      <c r="E211" s="31" t="inlineStr">
        <is>
          <t>largecap</t>
        </is>
      </c>
      <c r="F211" s="31" t="n">
        <v>41323.71</v>
      </c>
      <c r="G211" s="31" t="n">
        <v>3348.6</v>
      </c>
      <c r="H211" s="31" t="n">
        <v>1.24</v>
      </c>
      <c r="I211" s="31" t="n">
        <v>55151</v>
      </c>
      <c r="J211" s="31" t="inlineStr">
        <is>
          <t>532331</t>
        </is>
      </c>
    </row>
    <row r="212">
      <c r="A212" s="31" t="inlineStr">
        <is>
          <t>HMVL</t>
        </is>
      </c>
      <c r="B212" s="31" t="inlineStr">
        <is>
          <t>Hindustan Media Ventures Limited</t>
        </is>
      </c>
      <c r="C212" s="31" t="inlineStr">
        <is>
          <t>media</t>
        </is>
      </c>
      <c r="D212" s="31" t="inlineStr">
        <is>
          <t>entertainment / electronic media software</t>
        </is>
      </c>
      <c r="E212" s="31" t="inlineStr">
        <is>
          <t>smallcap</t>
        </is>
      </c>
      <c r="F212" s="31" t="n">
        <v>662.23</v>
      </c>
      <c r="G212" s="31" t="n">
        <v>91</v>
      </c>
      <c r="H212" s="31" t="n">
        <v>1.23</v>
      </c>
      <c r="I212" s="31" t="n">
        <v>23473</v>
      </c>
      <c r="J212" s="31" t="inlineStr">
        <is>
          <t>533217</t>
        </is>
      </c>
    </row>
    <row r="213">
      <c r="A213" s="31" t="inlineStr">
        <is>
          <t>M&amp;MFIN</t>
        </is>
      </c>
      <c r="B213" s="31" t="inlineStr">
        <is>
          <t>Mahindra &amp; Mahindra Financial Services Limited</t>
        </is>
      </c>
      <c r="C213" s="31" t="inlineStr">
        <is>
          <t>financials</t>
        </is>
      </c>
      <c r="D213" s="31" t="inlineStr">
        <is>
          <t>finance &amp; investments</t>
        </is>
      </c>
      <c r="E213" s="31" t="inlineStr">
        <is>
          <t>largecap</t>
        </is>
      </c>
      <c r="F213" s="31" t="n">
        <v>46807.28</v>
      </c>
      <c r="G213" s="31" t="n">
        <v>340.85</v>
      </c>
      <c r="H213" s="31" t="n">
        <v>1.22</v>
      </c>
      <c r="I213" s="31" t="n">
        <v>4269618</v>
      </c>
      <c r="J213" s="31" t="inlineStr">
        <is>
          <t>532720</t>
        </is>
      </c>
    </row>
    <row r="214">
      <c r="A214" s="31" t="inlineStr">
        <is>
          <t>SPECTRUM</t>
        </is>
      </c>
      <c r="B214" s="31" t="inlineStr">
        <is>
          <t>Spectrum Electrical Industries Ltd</t>
        </is>
      </c>
      <c r="C214" s="31" t="inlineStr">
        <is>
          <t>industrials</t>
        </is>
      </c>
      <c r="D214" s="31" t="inlineStr">
        <is>
          <t>electric equipment</t>
        </is>
      </c>
      <c r="E214" s="31" t="inlineStr">
        <is>
          <t>smallcap</t>
        </is>
      </c>
      <c r="F214" s="31" t="n">
        <v>2996.63</v>
      </c>
      <c r="G214" s="31" t="n">
        <v>1930</v>
      </c>
      <c r="H214" s="31" t="n">
        <v>1.21</v>
      </c>
      <c r="I214" s="31" t="n">
        <v>13717</v>
      </c>
      <c r="J214" s="31" t="inlineStr">
        <is>
          <t>535112</t>
        </is>
      </c>
    </row>
    <row r="215">
      <c r="A215" s="31" t="inlineStr">
        <is>
          <t>HFCL</t>
        </is>
      </c>
      <c r="B215" s="31" t="inlineStr">
        <is>
          <t>HFCL Ltd</t>
        </is>
      </c>
      <c r="C215" s="31" t="inlineStr">
        <is>
          <t>telecom</t>
        </is>
      </c>
      <c r="D215" s="31" t="inlineStr">
        <is>
          <t>cables - telephone</t>
        </is>
      </c>
      <c r="E215" s="31" t="inlineStr">
        <is>
          <t>largecap</t>
        </is>
      </c>
      <c r="F215" s="31" t="n">
        <v>32858.97</v>
      </c>
      <c r="G215" s="31" t="n">
        <v>217.25</v>
      </c>
      <c r="H215" s="31" t="n">
        <v>1.2</v>
      </c>
      <c r="I215" s="31" t="n">
        <v>16018388</v>
      </c>
      <c r="J215" s="31" t="inlineStr">
        <is>
          <t>500183</t>
        </is>
      </c>
    </row>
    <row r="216">
      <c r="A216" s="31" t="inlineStr">
        <is>
          <t>YASHO</t>
        </is>
      </c>
      <c r="B216" s="31" t="inlineStr">
        <is>
          <t>Yasho Industries Ltd</t>
        </is>
      </c>
      <c r="C216" s="31" t="inlineStr">
        <is>
          <t>chemicals</t>
        </is>
      </c>
      <c r="D216" s="31" t="inlineStr">
        <is>
          <t>chemicals</t>
        </is>
      </c>
      <c r="E216" s="31" t="inlineStr">
        <is>
          <t>smallcap</t>
        </is>
      </c>
      <c r="F216" s="31" t="n">
        <v>3623.16</v>
      </c>
      <c r="G216" s="31" t="n">
        <v>3041</v>
      </c>
      <c r="H216" s="31" t="n">
        <v>1.2</v>
      </c>
      <c r="I216" s="31" t="n">
        <v>10997</v>
      </c>
      <c r="J216" s="31" t="inlineStr">
        <is>
          <t>541167</t>
        </is>
      </c>
    </row>
    <row r="217">
      <c r="A217" s="31" t="inlineStr">
        <is>
          <t>SHRIRAMFIN</t>
        </is>
      </c>
      <c r="B217" s="31" t="inlineStr">
        <is>
          <t>Shriram Finance Ltd</t>
        </is>
      </c>
      <c r="C217" s="31" t="inlineStr">
        <is>
          <t>financials</t>
        </is>
      </c>
      <c r="D217" s="31" t="inlineStr">
        <is>
          <t>finance &amp; investments</t>
        </is>
      </c>
      <c r="E217" s="31" t="inlineStr">
        <is>
          <t>largecap</t>
        </is>
      </c>
      <c r="F217" s="31" t="n">
        <v>242726.66</v>
      </c>
      <c r="G217" s="31" t="n">
        <v>1044.1</v>
      </c>
      <c r="H217" s="31" t="n">
        <v>1.2</v>
      </c>
      <c r="I217" s="31" t="n">
        <v>2773549</v>
      </c>
      <c r="J217" s="31" t="inlineStr">
        <is>
          <t>511218</t>
        </is>
      </c>
    </row>
    <row r="218">
      <c r="A218" s="31" t="inlineStr">
        <is>
          <t>GNA</t>
        </is>
      </c>
      <c r="B218" s="31" t="inlineStr">
        <is>
          <t>Gna Axles Limited</t>
        </is>
      </c>
      <c r="C218" s="31" t="inlineStr">
        <is>
          <t>auto</t>
        </is>
      </c>
      <c r="D218" s="31" t="inlineStr">
        <is>
          <t>auto ancillaries</t>
        </is>
      </c>
      <c r="E218" s="31" t="inlineStr">
        <is>
          <t>smallcap</t>
        </is>
      </c>
      <c r="F218" s="31" t="n">
        <v>2017.32</v>
      </c>
      <c r="G218" s="31" t="n">
        <v>475.4</v>
      </c>
      <c r="H218" s="31" t="n">
        <v>1.17</v>
      </c>
      <c r="I218" s="31" t="n">
        <v>287605</v>
      </c>
      <c r="J218" s="31" t="inlineStr">
        <is>
          <t>540124</t>
        </is>
      </c>
    </row>
    <row r="219">
      <c r="A219" s="31" t="inlineStr">
        <is>
          <t>NAVNETEDUL</t>
        </is>
      </c>
      <c r="B219" s="31" t="inlineStr">
        <is>
          <t>Navneet Education Limited</t>
        </is>
      </c>
      <c r="C219" s="31" t="inlineStr">
        <is>
          <t>miscellaneous</t>
        </is>
      </c>
      <c r="D219" s="31" t="inlineStr">
        <is>
          <t>printing &amp; stationery</t>
        </is>
      </c>
      <c r="E219" s="31" t="inlineStr">
        <is>
          <t>smallcap</t>
        </is>
      </c>
      <c r="F219" s="31" t="n">
        <v>3289.88</v>
      </c>
      <c r="G219" s="31" t="n">
        <v>150.46</v>
      </c>
      <c r="H219" s="31" t="n">
        <v>1.17</v>
      </c>
      <c r="I219" s="31" t="n">
        <v>155654</v>
      </c>
      <c r="J219" s="31" t="inlineStr">
        <is>
          <t>508989</t>
        </is>
      </c>
    </row>
    <row r="220">
      <c r="A220" s="31" t="inlineStr">
        <is>
          <t>PAISALO</t>
        </is>
      </c>
      <c r="B220" s="31" t="inlineStr">
        <is>
          <t>Paisalo Digital Ltd</t>
        </is>
      </c>
      <c r="C220" s="31" t="inlineStr">
        <is>
          <t>financials</t>
        </is>
      </c>
      <c r="D220" s="31" t="inlineStr">
        <is>
          <t>finance &amp; investments</t>
        </is>
      </c>
      <c r="E220" s="31" t="inlineStr">
        <is>
          <t>midcap</t>
        </is>
      </c>
      <c r="F220" s="31" t="n">
        <v>6584.94</v>
      </c>
      <c r="G220" s="31" t="n">
        <v>73.23999999999999</v>
      </c>
      <c r="H220" s="31" t="n">
        <v>1.16</v>
      </c>
      <c r="I220" s="31" t="n">
        <v>16383012</v>
      </c>
      <c r="J220" s="31" t="inlineStr">
        <is>
          <t>532900</t>
        </is>
      </c>
    </row>
    <row r="221">
      <c r="A221" s="31" t="inlineStr">
        <is>
          <t>PRIVISCL</t>
        </is>
      </c>
      <c r="B221" s="31" t="inlineStr">
        <is>
          <t>Privi Speciality Chemicals Ltd</t>
        </is>
      </c>
      <c r="C221" s="31" t="inlineStr">
        <is>
          <t>chemicals</t>
        </is>
      </c>
      <c r="D221" s="31" t="inlineStr">
        <is>
          <t>chemicals</t>
        </is>
      </c>
      <c r="E221" s="31" t="inlineStr">
        <is>
          <t>midcap</t>
        </is>
      </c>
      <c r="F221" s="31" t="n">
        <v>14145.78</v>
      </c>
      <c r="G221" s="31" t="n">
        <v>3662.8</v>
      </c>
      <c r="H221" s="31" t="n">
        <v>1.15</v>
      </c>
      <c r="I221" s="31" t="n">
        <v>46115</v>
      </c>
      <c r="J221" s="31" t="inlineStr">
        <is>
          <t>530117</t>
        </is>
      </c>
    </row>
    <row r="222">
      <c r="A222" s="31" t="inlineStr">
        <is>
          <t>AVADHSUGAR</t>
        </is>
      </c>
      <c r="B222" s="31" t="inlineStr">
        <is>
          <t>Avadh Sugar &amp; Energy</t>
        </is>
      </c>
      <c r="C222" s="31" t="inlineStr">
        <is>
          <t>fmcg</t>
        </is>
      </c>
      <c r="D222" s="31" t="inlineStr">
        <is>
          <t>sugar</t>
        </is>
      </c>
      <c r="E222" s="31" t="inlineStr">
        <is>
          <t>smallcap</t>
        </is>
      </c>
      <c r="F222" s="31" t="n">
        <v>1039.16</v>
      </c>
      <c r="G222" s="31" t="n">
        <v>525</v>
      </c>
      <c r="H222" s="31" t="n">
        <v>1.14</v>
      </c>
      <c r="I222" s="31" t="n">
        <v>15880</v>
      </c>
      <c r="J222" s="31" t="inlineStr">
        <is>
          <t>540649</t>
        </is>
      </c>
    </row>
    <row r="223">
      <c r="A223" s="31" t="inlineStr">
        <is>
          <t>BAJAJFINSV</t>
        </is>
      </c>
      <c r="B223" s="31" t="inlineStr">
        <is>
          <t>Bajaj Finserv Limited</t>
        </is>
      </c>
      <c r="C223" s="31" t="inlineStr">
        <is>
          <t>financials</t>
        </is>
      </c>
      <c r="D223" s="31" t="inlineStr">
        <is>
          <t>finance &amp; investments</t>
        </is>
      </c>
      <c r="E223" s="31" t="inlineStr">
        <is>
          <t>largecap</t>
        </is>
      </c>
      <c r="F223" s="31" t="n">
        <v>303304.22</v>
      </c>
      <c r="G223" s="31" t="n">
        <v>1916</v>
      </c>
      <c r="H223" s="31" t="n">
        <v>1.11</v>
      </c>
      <c r="I223" s="31" t="n">
        <v>822382</v>
      </c>
      <c r="J223" s="31" t="inlineStr">
        <is>
          <t>532978</t>
        </is>
      </c>
    </row>
    <row r="224">
      <c r="A224" s="31" t="inlineStr">
        <is>
          <t>GREENLAM</t>
        </is>
      </c>
      <c r="B224" s="31" t="inlineStr">
        <is>
          <t>Greenlam Industries Limited</t>
        </is>
      </c>
      <c r="C224" s="31" t="inlineStr">
        <is>
          <t>building materials</t>
        </is>
      </c>
      <c r="D224" s="31" t="inlineStr">
        <is>
          <t>miscellaneous</t>
        </is>
      </c>
      <c r="E224" s="31" t="inlineStr">
        <is>
          <t>midcap</t>
        </is>
      </c>
      <c r="F224" s="31" t="n">
        <v>6516.47</v>
      </c>
      <c r="G224" s="31" t="n">
        <v>258.15</v>
      </c>
      <c r="H224" s="31" t="n">
        <v>1.08</v>
      </c>
      <c r="I224" s="31" t="n">
        <v>24641</v>
      </c>
      <c r="J224" s="31" t="inlineStr">
        <is>
          <t>538979</t>
        </is>
      </c>
    </row>
    <row r="225">
      <c r="A225" s="31" t="inlineStr">
        <is>
          <t>BOROSCI</t>
        </is>
      </c>
      <c r="B225" s="31" t="inlineStr">
        <is>
          <t>Borosil Scientific Ltd</t>
        </is>
      </c>
      <c r="C225" s="31" t="inlineStr">
        <is>
          <t>building materials</t>
        </is>
      </c>
      <c r="D225" s="31" t="inlineStr">
        <is>
          <t>glass &amp; glass products</t>
        </is>
      </c>
      <c r="E225" s="31" t="inlineStr">
        <is>
          <t>smallcap</t>
        </is>
      </c>
      <c r="F225" s="31" t="n">
        <v>1408.12</v>
      </c>
      <c r="G225" s="31" t="n">
        <v>160</v>
      </c>
      <c r="H225" s="31" t="n">
        <v>1.07</v>
      </c>
      <c r="I225" s="31" t="n">
        <v>76753</v>
      </c>
      <c r="J225" s="31" t="inlineStr">
        <is>
          <t>544184</t>
        </is>
      </c>
    </row>
    <row r="226">
      <c r="A226" s="31" t="inlineStr">
        <is>
          <t>CUPID</t>
        </is>
      </c>
      <c r="B226" s="31" t="inlineStr">
        <is>
          <t>Cupid Limited</t>
        </is>
      </c>
      <c r="C226" s="31" t="inlineStr">
        <is>
          <t>fmcg</t>
        </is>
      </c>
      <c r="D226" s="31" t="inlineStr">
        <is>
          <t>personal care - indian</t>
        </is>
      </c>
      <c r="E226" s="31" t="inlineStr">
        <is>
          <t>largecap</t>
        </is>
      </c>
      <c r="F226" s="31" t="n">
        <v>28239.22</v>
      </c>
      <c r="G226" s="31" t="n">
        <v>212.24</v>
      </c>
      <c r="H226" s="31" t="n">
        <v>1.06</v>
      </c>
      <c r="I226" s="31" t="n">
        <v>101356189</v>
      </c>
      <c r="J226" s="31" t="inlineStr">
        <is>
          <t>530843</t>
        </is>
      </c>
    </row>
    <row r="227">
      <c r="A227" s="31" t="inlineStr">
        <is>
          <t>LICI</t>
        </is>
      </c>
      <c r="B227" s="31" t="inlineStr">
        <is>
          <t>Life Insurance Corporation of India Ltd</t>
        </is>
      </c>
      <c r="C227" s="31" t="inlineStr">
        <is>
          <t>financials</t>
        </is>
      </c>
      <c r="D227" s="31" t="inlineStr">
        <is>
          <t>finance &amp; investments</t>
        </is>
      </c>
      <c r="E227" s="31" t="inlineStr">
        <is>
          <t>largecap</t>
        </is>
      </c>
      <c r="F227" s="31" t="n">
        <v>554639.05</v>
      </c>
      <c r="G227" s="31" t="n">
        <v>443.05</v>
      </c>
      <c r="H227" s="31" t="n">
        <v>1.05</v>
      </c>
      <c r="I227" s="31" t="n">
        <v>3239046</v>
      </c>
      <c r="J227" s="31" t="inlineStr">
        <is>
          <t>543526</t>
        </is>
      </c>
    </row>
    <row r="228">
      <c r="A228" s="31" t="inlineStr">
        <is>
          <t>GOODLUCK</t>
        </is>
      </c>
      <c r="B228" s="31" t="inlineStr">
        <is>
          <t>Goodluck India Limited</t>
        </is>
      </c>
      <c r="C228" s="31" t="inlineStr">
        <is>
          <t>metals &amp; mining</t>
        </is>
      </c>
      <c r="D228" s="31" t="inlineStr">
        <is>
          <t>steel - medium / small</t>
        </is>
      </c>
      <c r="E228" s="31" t="inlineStr">
        <is>
          <t>midcap</t>
        </is>
      </c>
      <c r="F228" s="31" t="n">
        <v>5151.3</v>
      </c>
      <c r="G228" s="31" t="n">
        <v>1565.9</v>
      </c>
      <c r="H228" s="31" t="n">
        <v>1.04</v>
      </c>
      <c r="I228" s="31" t="n">
        <v>211600</v>
      </c>
      <c r="J228" s="31" t="inlineStr">
        <is>
          <t>530655</t>
        </is>
      </c>
    </row>
    <row r="229">
      <c r="A229" s="31" t="inlineStr">
        <is>
          <t>RANEHOLDIN</t>
        </is>
      </c>
      <c r="B229" s="31" t="inlineStr">
        <is>
          <t>Rane Holdings Limited</t>
        </is>
      </c>
      <c r="C229" s="31" t="inlineStr">
        <is>
          <t>financials</t>
        </is>
      </c>
      <c r="D229" s="31" t="inlineStr">
        <is>
          <t>finance &amp; investments</t>
        </is>
      </c>
      <c r="E229" s="31" t="inlineStr">
        <is>
          <t>smallcap</t>
        </is>
      </c>
      <c r="F229" s="31" t="n">
        <v>2534.45</v>
      </c>
      <c r="G229" s="31" t="n">
        <v>1793.4</v>
      </c>
      <c r="H229" s="31" t="n">
        <v>1.03</v>
      </c>
      <c r="I229" s="31" t="n">
        <v>32398</v>
      </c>
      <c r="J229" s="31" t="inlineStr">
        <is>
          <t>505800</t>
        </is>
      </c>
    </row>
    <row r="230">
      <c r="A230" s="31" t="inlineStr">
        <is>
          <t>HAPPYFORGE</t>
        </is>
      </c>
      <c r="B230" s="31" t="inlineStr">
        <is>
          <t>Happy Forgings Ltd</t>
        </is>
      </c>
      <c r="C230" s="31" t="inlineStr">
        <is>
          <t>industrials</t>
        </is>
      </c>
      <c r="D230" s="31" t="inlineStr">
        <is>
          <t>castings &amp; forgings</t>
        </is>
      </c>
      <c r="E230" s="31" t="inlineStr">
        <is>
          <t>midcap</t>
        </is>
      </c>
      <c r="F230" s="31" t="n">
        <v>14757.36</v>
      </c>
      <c r="G230" s="31" t="n">
        <v>1580</v>
      </c>
      <c r="H230" s="31" t="n">
        <v>1.02</v>
      </c>
      <c r="I230" s="31" t="n">
        <v>65522</v>
      </c>
      <c r="J230" s="31" t="inlineStr">
        <is>
          <t>544057</t>
        </is>
      </c>
    </row>
    <row r="231">
      <c r="A231" s="31" t="inlineStr">
        <is>
          <t>PGIL</t>
        </is>
      </c>
      <c r="B231" s="31" t="inlineStr">
        <is>
          <t>Pearl Global Industries Limited</t>
        </is>
      </c>
      <c r="C231" s="31" t="inlineStr">
        <is>
          <t>consumer discretionary</t>
        </is>
      </c>
      <c r="D231" s="31" t="inlineStr">
        <is>
          <t>textiles - products</t>
        </is>
      </c>
      <c r="E231" s="31" t="inlineStr">
        <is>
          <t>midcap</t>
        </is>
      </c>
      <c r="F231" s="31" t="n">
        <v>9135.99</v>
      </c>
      <c r="G231" s="31" t="n">
        <v>2000</v>
      </c>
      <c r="H231" s="31" t="n">
        <v>1.02</v>
      </c>
      <c r="I231" s="31" t="n">
        <v>56526</v>
      </c>
      <c r="J231" s="31" t="inlineStr">
        <is>
          <t>532808</t>
        </is>
      </c>
    </row>
    <row r="232">
      <c r="A232" s="31" t="inlineStr">
        <is>
          <t>TTKPRESTIG</t>
        </is>
      </c>
      <c r="B232" s="31" t="inlineStr">
        <is>
          <t>Ttk Prestige Limited</t>
        </is>
      </c>
      <c r="C232" s="31" t="inlineStr">
        <is>
          <t>consumer discretionary</t>
        </is>
      </c>
      <c r="D232" s="31" t="inlineStr">
        <is>
          <t>domestic appliances</t>
        </is>
      </c>
      <c r="E232" s="31" t="inlineStr">
        <is>
          <t>midcap</t>
        </is>
      </c>
      <c r="F232" s="31" t="n">
        <v>8582.719999999999</v>
      </c>
      <c r="G232" s="31" t="n">
        <v>633</v>
      </c>
      <c r="H232" s="31" t="n">
        <v>1.01</v>
      </c>
      <c r="I232" s="31" t="n">
        <v>40705</v>
      </c>
      <c r="J232" s="31" t="inlineStr">
        <is>
          <t>517506</t>
        </is>
      </c>
    </row>
    <row r="233">
      <c r="A233" s="31" t="inlineStr">
        <is>
          <t>AETHER</t>
        </is>
      </c>
      <c r="B233" s="31" t="inlineStr">
        <is>
          <t>Aether Industries Ltd</t>
        </is>
      </c>
      <c r="C233" s="31" t="inlineStr">
        <is>
          <t>chemicals</t>
        </is>
      </c>
      <c r="D233" s="31" t="inlineStr">
        <is>
          <t>chemicals</t>
        </is>
      </c>
      <c r="E233" s="31" t="inlineStr">
        <is>
          <t>midcap</t>
        </is>
      </c>
      <c r="F233" s="31" t="n">
        <v>19713.57</v>
      </c>
      <c r="G233" s="31" t="n">
        <v>1500.8</v>
      </c>
      <c r="H233" s="31" t="n">
        <v>1.01</v>
      </c>
      <c r="I233" s="31" t="n">
        <v>699280</v>
      </c>
      <c r="J233" s="31" t="inlineStr">
        <is>
          <t>543534</t>
        </is>
      </c>
    </row>
    <row r="234">
      <c r="A234" s="31" t="inlineStr">
        <is>
          <t>UNOMINDA</t>
        </is>
      </c>
      <c r="B234" s="31" t="inlineStr">
        <is>
          <t>Uno Minda Ltd</t>
        </is>
      </c>
      <c r="C234" s="31" t="inlineStr">
        <is>
          <t>auto</t>
        </is>
      </c>
      <c r="D234" s="31" t="inlineStr">
        <is>
          <t>auto ancillaries</t>
        </is>
      </c>
      <c r="E234" s="31" t="inlineStr">
        <is>
          <t>largecap</t>
        </is>
      </c>
      <c r="F234" s="31" t="n">
        <v>66663.35000000001</v>
      </c>
      <c r="G234" s="31" t="n">
        <v>1166.1</v>
      </c>
      <c r="H234" s="31" t="n">
        <v>1</v>
      </c>
      <c r="I234" s="31" t="n">
        <v>925292</v>
      </c>
      <c r="J234" s="31" t="inlineStr">
        <is>
          <t>532539</t>
        </is>
      </c>
    </row>
    <row r="235">
      <c r="A235" s="31" t="inlineStr">
        <is>
          <t>CHEVIOT</t>
        </is>
      </c>
      <c r="B235" s="31" t="inlineStr">
        <is>
          <t>Cheviot Company Ltd</t>
        </is>
      </c>
      <c r="C235" s="31" t="inlineStr">
        <is>
          <t>textiles</t>
        </is>
      </c>
      <c r="D235" s="31" t="inlineStr">
        <is>
          <t>textiles - jute - yarn / products</t>
        </is>
      </c>
      <c r="E235" s="31" t="inlineStr">
        <is>
          <t>smallcap</t>
        </is>
      </c>
      <c r="F235" s="31" t="n">
        <v>656.5700000000001</v>
      </c>
      <c r="G235" s="31" t="n">
        <v>1135</v>
      </c>
      <c r="H235" s="31" t="n">
        <v>0.99</v>
      </c>
      <c r="I235" s="31" t="n">
        <v>3278</v>
      </c>
      <c r="J235" s="31" t="inlineStr">
        <is>
          <t>526817</t>
        </is>
      </c>
    </row>
    <row r="236">
      <c r="A236" s="31" t="inlineStr">
        <is>
          <t>ELECTHERM</t>
        </is>
      </c>
      <c r="B236" s="31" t="inlineStr">
        <is>
          <t>Electrotherm (india) Limited</t>
        </is>
      </c>
      <c r="C236" s="31" t="inlineStr">
        <is>
          <t>metals &amp; mining</t>
        </is>
      </c>
      <c r="D236" s="31" t="inlineStr">
        <is>
          <t>steel - medium / small</t>
        </is>
      </c>
      <c r="E236" s="31" t="inlineStr">
        <is>
          <t>smallcap</t>
        </is>
      </c>
      <c r="F236" s="31" t="n">
        <v>1426.05</v>
      </c>
      <c r="G236" s="31" t="n">
        <v>1130</v>
      </c>
      <c r="H236" s="31" t="n">
        <v>0.97</v>
      </c>
      <c r="I236" s="31" t="n">
        <v>9284</v>
      </c>
      <c r="J236" s="31" t="inlineStr">
        <is>
          <t>526608</t>
        </is>
      </c>
    </row>
    <row r="237">
      <c r="A237" s="31" t="inlineStr">
        <is>
          <t>KSB</t>
        </is>
      </c>
      <c r="B237" s="31" t="inlineStr">
        <is>
          <t>KSB Ltd</t>
        </is>
      </c>
      <c r="C237" s="31" t="inlineStr">
        <is>
          <t>industrials</t>
        </is>
      </c>
      <c r="D237" s="31" t="inlineStr">
        <is>
          <t>pumps</t>
        </is>
      </c>
      <c r="E237" s="31" t="inlineStr">
        <is>
          <t>midcap</t>
        </is>
      </c>
      <c r="F237" s="31" t="n">
        <v>16232.64</v>
      </c>
      <c r="G237" s="31" t="n">
        <v>941.7</v>
      </c>
      <c r="H237" s="31" t="n">
        <v>0.96</v>
      </c>
      <c r="I237" s="31" t="n">
        <v>49230</v>
      </c>
      <c r="J237" s="31" t="inlineStr">
        <is>
          <t>500249</t>
        </is>
      </c>
    </row>
    <row r="238">
      <c r="A238" s="31" t="inlineStr">
        <is>
          <t>MANBA</t>
        </is>
      </c>
      <c r="B238" s="31" t="inlineStr">
        <is>
          <t>Manba Finance Ltd</t>
        </is>
      </c>
      <c r="C238" s="31" t="inlineStr">
        <is>
          <t>financials</t>
        </is>
      </c>
      <c r="D238" s="31" t="inlineStr">
        <is>
          <t>finance &amp; investments</t>
        </is>
      </c>
      <c r="E238" s="31" t="inlineStr">
        <is>
          <t>smallcap</t>
        </is>
      </c>
      <c r="F238" s="31" t="n">
        <v>686.77</v>
      </c>
      <c r="G238" s="31" t="n">
        <v>138</v>
      </c>
      <c r="H238" s="31" t="n">
        <v>0.95</v>
      </c>
      <c r="I238" s="31" t="n">
        <v>89728</v>
      </c>
      <c r="J238" s="31" t="inlineStr">
        <is>
          <t>544262</t>
        </is>
      </c>
    </row>
    <row r="239">
      <c r="A239" s="31" t="inlineStr">
        <is>
          <t>JUBLINGREA</t>
        </is>
      </c>
      <c r="B239" s="31" t="inlineStr">
        <is>
          <t>Jubilant Ingrevia Ltd</t>
        </is>
      </c>
      <c r="C239" s="31" t="inlineStr">
        <is>
          <t>chemicals</t>
        </is>
      </c>
      <c r="D239" s="31" t="inlineStr">
        <is>
          <t>chemicals</t>
        </is>
      </c>
      <c r="E239" s="31" t="inlineStr">
        <is>
          <t>midcap</t>
        </is>
      </c>
      <c r="F239" s="31" t="n">
        <v>11396.57</v>
      </c>
      <c r="G239" s="31" t="n">
        <v>722.3</v>
      </c>
      <c r="H239" s="31" t="n">
        <v>0.95</v>
      </c>
      <c r="I239" s="31" t="n">
        <v>631923</v>
      </c>
      <c r="J239" s="31" t="inlineStr">
        <is>
          <t>543271</t>
        </is>
      </c>
    </row>
    <row r="240">
      <c r="A240" s="31" t="inlineStr">
        <is>
          <t>DELHIVERY</t>
        </is>
      </c>
      <c r="B240" s="31" t="inlineStr">
        <is>
          <t>Delhivery Ltd</t>
        </is>
      </c>
      <c r="C240" s="31" t="inlineStr">
        <is>
          <t>transportation</t>
        </is>
      </c>
      <c r="D240" s="31" t="inlineStr">
        <is>
          <t>miscellaneous</t>
        </is>
      </c>
      <c r="E240" s="31" t="inlineStr">
        <is>
          <t>largecap</t>
        </is>
      </c>
      <c r="F240" s="31" t="n">
        <v>38601.98</v>
      </c>
      <c r="G240" s="31" t="n">
        <v>520.3</v>
      </c>
      <c r="H240" s="31" t="n">
        <v>0.9</v>
      </c>
      <c r="I240" s="31" t="n">
        <v>13915121</v>
      </c>
      <c r="J240" s="31" t="inlineStr">
        <is>
          <t>543529</t>
        </is>
      </c>
    </row>
    <row r="241">
      <c r="A241" s="31" t="inlineStr">
        <is>
          <t>CHOLAFIN</t>
        </is>
      </c>
      <c r="B241" s="31" t="inlineStr">
        <is>
          <t>Cholamandalam Investment And Finance Company Limited</t>
        </is>
      </c>
      <c r="C241" s="31" t="inlineStr">
        <is>
          <t>financials</t>
        </is>
      </c>
      <c r="D241" s="31" t="inlineStr">
        <is>
          <t>finance &amp; investments</t>
        </is>
      </c>
      <c r="E241" s="31" t="inlineStr">
        <is>
          <t>largecap</t>
        </is>
      </c>
      <c r="F241" s="31" t="n">
        <v>152676.54</v>
      </c>
      <c r="G241" s="31" t="n">
        <v>1807.8</v>
      </c>
      <c r="H241" s="31" t="n">
        <v>0.89</v>
      </c>
      <c r="I241" s="31" t="n">
        <v>741857</v>
      </c>
      <c r="J241" s="31" t="inlineStr">
        <is>
          <t>511243</t>
        </is>
      </c>
    </row>
    <row r="242">
      <c r="A242" s="31" t="inlineStr">
        <is>
          <t>HDFCAMC</t>
        </is>
      </c>
      <c r="B242" s="31" t="inlineStr">
        <is>
          <t>HDFC Asset Management Company Ltd</t>
        </is>
      </c>
      <c r="C242" s="31" t="inlineStr">
        <is>
          <t>financials</t>
        </is>
      </c>
      <c r="D242" s="31" t="inlineStr">
        <is>
          <t>finance &amp; investments</t>
        </is>
      </c>
      <c r="E242" s="31" t="inlineStr">
        <is>
          <t>largecap</t>
        </is>
      </c>
      <c r="F242" s="31" t="n">
        <v>117257.41</v>
      </c>
      <c r="G242" s="31" t="n">
        <v>2761.2</v>
      </c>
      <c r="H242" s="31" t="n">
        <v>0.88</v>
      </c>
      <c r="I242" s="31" t="n">
        <v>846286</v>
      </c>
      <c r="J242" s="31" t="inlineStr">
        <is>
          <t>541729</t>
        </is>
      </c>
    </row>
    <row r="243">
      <c r="A243" s="31" t="inlineStr">
        <is>
          <t>GRANULES</t>
        </is>
      </c>
      <c r="B243" s="31" t="inlineStr">
        <is>
          <t>Granules India Limited</t>
        </is>
      </c>
      <c r="C243" s="31" t="inlineStr">
        <is>
          <t>healthcare</t>
        </is>
      </c>
      <c r="D243" s="31" t="inlineStr">
        <is>
          <t>pharmaceuticals - indian - bulk drugs &amp; formln</t>
        </is>
      </c>
      <c r="E243" s="31" t="inlineStr">
        <is>
          <t>largecap</t>
        </is>
      </c>
      <c r="F243" s="31" t="n">
        <v>21856.93</v>
      </c>
      <c r="G243" s="31" t="n">
        <v>889.85</v>
      </c>
      <c r="H243" s="31" t="n">
        <v>0.88</v>
      </c>
      <c r="I243" s="31" t="n">
        <v>1450106</v>
      </c>
      <c r="J243" s="31" t="inlineStr">
        <is>
          <t>532482</t>
        </is>
      </c>
    </row>
    <row r="244">
      <c r="A244" s="31" t="inlineStr">
        <is>
          <t>VADILALIND</t>
        </is>
      </c>
      <c r="B244" s="31" t="inlineStr">
        <is>
          <t>Vadilal Industries Limited</t>
        </is>
      </c>
      <c r="C244" s="31" t="inlineStr">
        <is>
          <t>fmcg</t>
        </is>
      </c>
      <c r="D244" s="31" t="inlineStr">
        <is>
          <t>food - processing - indian</t>
        </is>
      </c>
      <c r="E244" s="31" t="inlineStr">
        <is>
          <t>smallcap</t>
        </is>
      </c>
      <c r="F244" s="31" t="n">
        <v>4568.23</v>
      </c>
      <c r="G244" s="31" t="n">
        <v>6410</v>
      </c>
      <c r="H244" s="31" t="n">
        <v>0.86</v>
      </c>
      <c r="I244" s="31" t="n">
        <v>8838</v>
      </c>
      <c r="J244" s="31" t="inlineStr">
        <is>
          <t>519156</t>
        </is>
      </c>
    </row>
    <row r="245">
      <c r="A245" s="31" t="inlineStr">
        <is>
          <t>VIJAYA</t>
        </is>
      </c>
      <c r="B245" s="31" t="inlineStr">
        <is>
          <t>Vijaya Diagnostic Centre Ltd</t>
        </is>
      </c>
      <c r="C245" s="31" t="inlineStr">
        <is>
          <t>healthcare</t>
        </is>
      </c>
      <c r="D245" s="31" t="inlineStr">
        <is>
          <t>healthcare</t>
        </is>
      </c>
      <c r="E245" s="31" t="inlineStr">
        <is>
          <t>midcap</t>
        </is>
      </c>
      <c r="F245" s="31" t="n">
        <v>14177.11</v>
      </c>
      <c r="G245" s="31" t="n">
        <v>1389.1</v>
      </c>
      <c r="H245" s="31" t="n">
        <v>0.82</v>
      </c>
      <c r="I245" s="31" t="n">
        <v>186094</v>
      </c>
      <c r="J245" s="31" t="inlineStr">
        <is>
          <t>543350</t>
        </is>
      </c>
    </row>
    <row r="246">
      <c r="A246" s="31" t="inlineStr">
        <is>
          <t>CEMPRO</t>
        </is>
      </c>
      <c r="B246" s="31" t="inlineStr">
        <is>
          <t>Cemindia Projects Ltd</t>
        </is>
      </c>
      <c r="C246" s="31" t="inlineStr">
        <is>
          <t>realty</t>
        </is>
      </c>
      <c r="D246" s="31" t="inlineStr">
        <is>
          <t>construction</t>
        </is>
      </c>
      <c r="E246" s="31" t="inlineStr">
        <is>
          <t>largecap</t>
        </is>
      </c>
      <c r="F246" s="31" t="n">
        <v>26697.51</v>
      </c>
      <c r="G246" s="31" t="n">
        <v>1566.8</v>
      </c>
      <c r="H246" s="31" t="n">
        <v>0.82</v>
      </c>
      <c r="I246" s="31" t="n">
        <v>319589</v>
      </c>
      <c r="J246" s="31" t="inlineStr">
        <is>
          <t>509496</t>
        </is>
      </c>
    </row>
    <row r="247">
      <c r="A247" s="31" t="inlineStr">
        <is>
          <t>SPANDANA</t>
        </is>
      </c>
      <c r="B247" s="31" t="inlineStr">
        <is>
          <t>Spandana Sphoorty Financial Ltd</t>
        </is>
      </c>
      <c r="C247" s="31" t="inlineStr">
        <is>
          <t>financials</t>
        </is>
      </c>
      <c r="D247" s="31" t="inlineStr">
        <is>
          <t>finance &amp; investments</t>
        </is>
      </c>
      <c r="E247" s="31" t="inlineStr">
        <is>
          <t>smallcap</t>
        </is>
      </c>
      <c r="F247" s="31" t="n">
        <v>2689.77</v>
      </c>
      <c r="G247" s="31" t="n">
        <v>305.85</v>
      </c>
      <c r="H247" s="31" t="n">
        <v>0.79</v>
      </c>
      <c r="I247" s="31" t="n">
        <v>211902</v>
      </c>
      <c r="J247" s="31" t="inlineStr">
        <is>
          <t>542759</t>
        </is>
      </c>
    </row>
    <row r="248">
      <c r="A248" s="31" t="inlineStr">
        <is>
          <t>SHILPAMED</t>
        </is>
      </c>
      <c r="B248" s="31" t="inlineStr">
        <is>
          <t>Shilpa Medicare Limited</t>
        </is>
      </c>
      <c r="C248" s="31" t="inlineStr">
        <is>
          <t>healthcare</t>
        </is>
      </c>
      <c r="D248" s="31" t="inlineStr">
        <is>
          <t>pharmaceuticals - indian - formulations</t>
        </is>
      </c>
      <c r="E248" s="31" t="inlineStr">
        <is>
          <t>midcap</t>
        </is>
      </c>
      <c r="F248" s="31" t="n">
        <v>12171.06</v>
      </c>
      <c r="G248" s="31" t="n">
        <v>627.15</v>
      </c>
      <c r="H248" s="31" t="n">
        <v>0.78</v>
      </c>
      <c r="I248" s="31" t="n">
        <v>614292</v>
      </c>
      <c r="J248" s="31" t="inlineStr">
        <is>
          <t>530549</t>
        </is>
      </c>
    </row>
    <row r="249">
      <c r="A249" s="31" t="inlineStr">
        <is>
          <t>ADFFOODS</t>
        </is>
      </c>
      <c r="B249" s="31" t="inlineStr">
        <is>
          <t>Adf Foods Limited</t>
        </is>
      </c>
      <c r="C249" s="31" t="inlineStr">
        <is>
          <t>fmcg</t>
        </is>
      </c>
      <c r="D249" s="31" t="inlineStr">
        <is>
          <t>food - processing - indian</t>
        </is>
      </c>
      <c r="E249" s="31" t="inlineStr">
        <is>
          <t>smallcap</t>
        </is>
      </c>
      <c r="F249" s="31" t="n">
        <v>3488.72</v>
      </c>
      <c r="G249" s="31" t="n">
        <v>320</v>
      </c>
      <c r="H249" s="31" t="n">
        <v>0.77</v>
      </c>
      <c r="I249" s="31" t="n">
        <v>188401</v>
      </c>
      <c r="J249" s="31" t="inlineStr">
        <is>
          <t>519183</t>
        </is>
      </c>
    </row>
    <row r="250">
      <c r="A250" s="31" t="inlineStr">
        <is>
          <t>SYRMA</t>
        </is>
      </c>
      <c r="B250" s="31" t="inlineStr">
        <is>
          <t>Syrma SGS Technology Ltd</t>
        </is>
      </c>
      <c r="C250" s="31" t="inlineStr">
        <is>
          <t>consumer discretionary</t>
        </is>
      </c>
      <c r="D250" s="31" t="inlineStr">
        <is>
          <t>electronics - components</t>
        </is>
      </c>
      <c r="E250" s="31" t="inlineStr">
        <is>
          <t>largecap</t>
        </is>
      </c>
      <c r="F250" s="31" t="n">
        <v>27786.87</v>
      </c>
      <c r="G250" s="31" t="n">
        <v>1451.9</v>
      </c>
      <c r="H250" s="31" t="n">
        <v>0.76</v>
      </c>
      <c r="I250" s="31" t="n">
        <v>1261915</v>
      </c>
      <c r="J250" s="31" t="inlineStr">
        <is>
          <t>543573</t>
        </is>
      </c>
    </row>
    <row r="251">
      <c r="A251" s="31" t="inlineStr">
        <is>
          <t>KAMDHENU</t>
        </is>
      </c>
      <c r="B251" s="31" t="inlineStr">
        <is>
          <t>Kamdhenu Limited</t>
        </is>
      </c>
      <c r="C251" s="31" t="inlineStr">
        <is>
          <t>metals &amp; mining</t>
        </is>
      </c>
      <c r="D251" s="31" t="inlineStr">
        <is>
          <t>steel - medium / small</t>
        </is>
      </c>
      <c r="E251" s="31" t="inlineStr">
        <is>
          <t>smallcap</t>
        </is>
      </c>
      <c r="F251" s="31" t="n">
        <v>917.8099999999999</v>
      </c>
      <c r="G251" s="31" t="n">
        <v>32.8</v>
      </c>
      <c r="H251" s="31" t="n">
        <v>0.74</v>
      </c>
      <c r="I251" s="31" t="n">
        <v>2809986</v>
      </c>
      <c r="J251" s="31" t="inlineStr">
        <is>
          <t>532741</t>
        </is>
      </c>
    </row>
    <row r="252">
      <c r="A252" s="31" t="inlineStr">
        <is>
          <t>BLSE</t>
        </is>
      </c>
      <c r="B252" s="31" t="inlineStr">
        <is>
          <t>BLS E-Services Ltd</t>
        </is>
      </c>
      <c r="C252" s="31" t="inlineStr">
        <is>
          <t>i.t</t>
        </is>
      </c>
      <c r="D252" s="31" t="inlineStr">
        <is>
          <t>computers - software - medium / small</t>
        </is>
      </c>
      <c r="E252" s="31" t="inlineStr">
        <is>
          <t>smallcap</t>
        </is>
      </c>
      <c r="F252" s="31" t="n">
        <v>2374.53</v>
      </c>
      <c r="G252" s="31" t="n">
        <v>263.25</v>
      </c>
      <c r="H252" s="31" t="n">
        <v>0.73</v>
      </c>
      <c r="I252" s="31" t="n">
        <v>321796</v>
      </c>
      <c r="J252" s="31" t="inlineStr">
        <is>
          <t>544107</t>
        </is>
      </c>
    </row>
    <row r="253">
      <c r="A253" s="31" t="inlineStr">
        <is>
          <t>CONSOFINVT</t>
        </is>
      </c>
      <c r="B253" s="31" t="inlineStr">
        <is>
          <t>Consolidated Finvest &amp; Holdings Limited</t>
        </is>
      </c>
      <c r="C253" s="31" t="inlineStr">
        <is>
          <t>financials</t>
        </is>
      </c>
      <c r="D253" s="31" t="inlineStr">
        <is>
          <t>finance &amp; investments</t>
        </is>
      </c>
      <c r="E253" s="31" t="inlineStr">
        <is>
          <t>smallcap</t>
        </is>
      </c>
      <c r="F253" s="31" t="n">
        <v>845.14</v>
      </c>
      <c r="G253" s="31" t="n">
        <v>263.33</v>
      </c>
      <c r="H253" s="31" t="n">
        <v>0.72</v>
      </c>
      <c r="I253" s="31" t="n">
        <v>23670</v>
      </c>
      <c r="J253" s="31" t="inlineStr">
        <is>
          <t>500226</t>
        </is>
      </c>
    </row>
    <row r="254">
      <c r="A254" s="31" t="inlineStr">
        <is>
          <t>DIFFNKG</t>
        </is>
      </c>
      <c r="B254" s="31" t="inlineStr">
        <is>
          <t>Diffusion Engineers Ltd</t>
        </is>
      </c>
      <c r="C254" s="31" t="inlineStr">
        <is>
          <t>industrials</t>
        </is>
      </c>
      <c r="D254" s="31" t="inlineStr">
        <is>
          <t>electrodes - welding equipment</t>
        </is>
      </c>
      <c r="E254" s="31" t="inlineStr">
        <is>
          <t>smallcap</t>
        </is>
      </c>
      <c r="F254" s="31" t="n">
        <v>1497.8</v>
      </c>
      <c r="G254" s="31" t="n">
        <v>403.1</v>
      </c>
      <c r="H254" s="31" t="n">
        <v>0.72</v>
      </c>
      <c r="I254" s="31" t="n">
        <v>50987</v>
      </c>
      <c r="J254" s="31" t="inlineStr">
        <is>
          <t>544264</t>
        </is>
      </c>
    </row>
    <row r="255">
      <c r="A255" s="31" t="inlineStr">
        <is>
          <t>GLENMARK</t>
        </is>
      </c>
      <c r="B255" s="31" t="inlineStr">
        <is>
          <t>Glenmark Pharmaceuticals Limited</t>
        </is>
      </c>
      <c r="C255" s="31" t="inlineStr">
        <is>
          <t>healthcare</t>
        </is>
      </c>
      <c r="D255" s="31" t="inlineStr">
        <is>
          <t>pharmaceuticals - indian - bulk drugs &amp; formln</t>
        </is>
      </c>
      <c r="E255" s="31" t="inlineStr">
        <is>
          <t>largecap</t>
        </is>
      </c>
      <c r="F255" s="31" t="n">
        <v>63980.57</v>
      </c>
      <c r="G255" s="31" t="n">
        <v>2282.9</v>
      </c>
      <c r="H255" s="31" t="n">
        <v>0.6899999999999999</v>
      </c>
      <c r="I255" s="31" t="n">
        <v>602449</v>
      </c>
      <c r="J255" s="31" t="inlineStr">
        <is>
          <t>532296</t>
        </is>
      </c>
    </row>
    <row r="256">
      <c r="A256" s="31" t="inlineStr">
        <is>
          <t>GRASIM</t>
        </is>
      </c>
      <c r="B256" s="31" t="inlineStr">
        <is>
          <t>Grasim Industries Limited</t>
        </is>
      </c>
      <c r="C256" s="31" t="inlineStr">
        <is>
          <t>textiles</t>
        </is>
      </c>
      <c r="D256" s="31" t="inlineStr">
        <is>
          <t>textiles - manmade</t>
        </is>
      </c>
      <c r="E256" s="31" t="inlineStr">
        <is>
          <t>largecap</t>
        </is>
      </c>
      <c r="F256" s="31" t="n">
        <v>217234.51</v>
      </c>
      <c r="G256" s="31" t="n">
        <v>3213.6</v>
      </c>
      <c r="H256" s="31" t="n">
        <v>0.68</v>
      </c>
      <c r="I256" s="31" t="n">
        <v>515711</v>
      </c>
      <c r="J256" s="31" t="inlineStr">
        <is>
          <t>500300</t>
        </is>
      </c>
    </row>
    <row r="257">
      <c r="A257" s="31" t="inlineStr">
        <is>
          <t>WELCORP</t>
        </is>
      </c>
      <c r="B257" s="31" t="inlineStr">
        <is>
          <t>Welspun Corp Limited</t>
        </is>
      </c>
      <c r="C257" s="31" t="inlineStr">
        <is>
          <t>industrials</t>
        </is>
      </c>
      <c r="D257" s="31" t="inlineStr">
        <is>
          <t>steel - large</t>
        </is>
      </c>
      <c r="E257" s="31" t="inlineStr">
        <is>
          <t>largecap</t>
        </is>
      </c>
      <c r="F257" s="31" t="n">
        <v>42256.62</v>
      </c>
      <c r="G257" s="31" t="n">
        <v>1612.6</v>
      </c>
      <c r="H257" s="31" t="n">
        <v>0.67</v>
      </c>
      <c r="I257" s="31" t="n">
        <v>1353803</v>
      </c>
      <c r="J257" s="31" t="inlineStr">
        <is>
          <t>532144</t>
        </is>
      </c>
    </row>
    <row r="258">
      <c r="A258" s="31" t="inlineStr">
        <is>
          <t>GRWRHITECH</t>
        </is>
      </c>
      <c r="B258" s="31" t="inlineStr">
        <is>
          <t>Garware Hi Tech Films Ltd</t>
        </is>
      </c>
      <c r="C258" s="31" t="inlineStr">
        <is>
          <t>industrials</t>
        </is>
      </c>
      <c r="D258" s="31" t="inlineStr">
        <is>
          <t>packaging</t>
        </is>
      </c>
      <c r="E258" s="31" t="inlineStr">
        <is>
          <t>midcap</t>
        </is>
      </c>
      <c r="F258" s="31" t="n">
        <v>16081.46</v>
      </c>
      <c r="G258" s="31" t="n">
        <v>6968</v>
      </c>
      <c r="H258" s="31" t="n">
        <v>0.66</v>
      </c>
      <c r="I258" s="31" t="n">
        <v>66250</v>
      </c>
      <c r="J258" s="31" t="inlineStr">
        <is>
          <t>500655</t>
        </is>
      </c>
    </row>
    <row r="259">
      <c r="A259" s="31" t="inlineStr">
        <is>
          <t>MUNJALAU</t>
        </is>
      </c>
      <c r="B259" s="31" t="inlineStr">
        <is>
          <t>Munjal Auto Industries Limited</t>
        </is>
      </c>
      <c r="C259" s="31" t="inlineStr">
        <is>
          <t>auto</t>
        </is>
      </c>
      <c r="D259" s="31" t="inlineStr">
        <is>
          <t>auto ancillaries</t>
        </is>
      </c>
      <c r="E259" s="31" t="inlineStr">
        <is>
          <t>smallcap</t>
        </is>
      </c>
      <c r="F259" s="31" t="n">
        <v>1006.7</v>
      </c>
      <c r="G259" s="31" t="n">
        <v>101.33</v>
      </c>
      <c r="H259" s="31" t="n">
        <v>0.66</v>
      </c>
      <c r="I259" s="31" t="n">
        <v>399503</v>
      </c>
      <c r="J259" s="31" t="inlineStr">
        <is>
          <t>520059</t>
        </is>
      </c>
    </row>
    <row r="260">
      <c r="A260" s="31" t="inlineStr">
        <is>
          <t>SAREGAMA</t>
        </is>
      </c>
      <c r="B260" s="31" t="inlineStr">
        <is>
          <t>Saregama India Limited</t>
        </is>
      </c>
      <c r="C260" s="31" t="inlineStr">
        <is>
          <t>media</t>
        </is>
      </c>
      <c r="D260" s="31" t="inlineStr">
        <is>
          <t>entertainment / electronic media software</t>
        </is>
      </c>
      <c r="E260" s="31" t="inlineStr">
        <is>
          <t>midcap</t>
        </is>
      </c>
      <c r="F260" s="31" t="n">
        <v>9179.66</v>
      </c>
      <c r="G260" s="31" t="n">
        <v>479.2</v>
      </c>
      <c r="H260" s="31" t="n">
        <v>0.65</v>
      </c>
      <c r="I260" s="31" t="n">
        <v>345801</v>
      </c>
      <c r="J260" s="31" t="inlineStr">
        <is>
          <t>532163</t>
        </is>
      </c>
    </row>
    <row r="261">
      <c r="A261" s="31" t="inlineStr">
        <is>
          <t>FEDERALBNK</t>
        </is>
      </c>
      <c r="B261" s="31" t="inlineStr">
        <is>
          <t>The Federal Bank  Limited</t>
        </is>
      </c>
      <c r="C261" s="31" t="inlineStr">
        <is>
          <t>bank</t>
        </is>
      </c>
      <c r="D261" s="31" t="inlineStr">
        <is>
          <t>banks - private sector</t>
        </is>
      </c>
      <c r="E261" s="31" t="inlineStr">
        <is>
          <t>largecap</t>
        </is>
      </c>
      <c r="F261" s="31" t="n">
        <v>80766.85000000001</v>
      </c>
      <c r="G261" s="31" t="n">
        <v>329.85</v>
      </c>
      <c r="H261" s="31" t="n">
        <v>0.64</v>
      </c>
      <c r="I261" s="31" t="n">
        <v>5400203</v>
      </c>
      <c r="J261" s="31" t="inlineStr">
        <is>
          <t>500469</t>
        </is>
      </c>
    </row>
    <row r="262">
      <c r="A262" s="31" t="inlineStr">
        <is>
          <t>SBC</t>
        </is>
      </c>
      <c r="B262" s="31" t="inlineStr">
        <is>
          <t>SBC Exports Ltd</t>
        </is>
      </c>
      <c r="C262" s="31" t="inlineStr">
        <is>
          <t>textiles</t>
        </is>
      </c>
      <c r="D262" s="31" t="inlineStr">
        <is>
          <t>textiles - products</t>
        </is>
      </c>
      <c r="E262" s="31" t="inlineStr">
        <is>
          <t>smallcap</t>
        </is>
      </c>
      <c r="F262" s="31" t="n">
        <v>2005.24</v>
      </c>
      <c r="G262" s="31" t="n">
        <v>42.38</v>
      </c>
      <c r="H262" s="31" t="n">
        <v>0.64</v>
      </c>
      <c r="I262" s="31" t="n">
        <v>7193318</v>
      </c>
      <c r="J262" s="31" t="inlineStr">
        <is>
          <t>542725</t>
        </is>
      </c>
    </row>
    <row r="263">
      <c r="A263" s="31" t="inlineStr">
        <is>
          <t>TITAN</t>
        </is>
      </c>
      <c r="B263" s="31" t="inlineStr">
        <is>
          <t>Titan Company Limited</t>
        </is>
      </c>
      <c r="C263" s="31" t="inlineStr">
        <is>
          <t>consumer discretionary</t>
        </is>
      </c>
      <c r="D263" s="31" t="inlineStr">
        <is>
          <t>diamond cutting / jewellery</t>
        </is>
      </c>
      <c r="E263" s="31" t="inlineStr">
        <is>
          <t>largecap</t>
        </is>
      </c>
      <c r="F263" s="31" t="n">
        <v>404457.62</v>
      </c>
      <c r="G263" s="31" t="n">
        <v>4584.4</v>
      </c>
      <c r="H263" s="31" t="n">
        <v>0.63</v>
      </c>
      <c r="I263" s="31" t="n">
        <v>652687</v>
      </c>
      <c r="J263" s="31" t="inlineStr">
        <is>
          <t>500114</t>
        </is>
      </c>
    </row>
    <row r="264">
      <c r="A264" s="31" t="inlineStr">
        <is>
          <t>MAXHEALTH</t>
        </is>
      </c>
      <c r="B264" s="31" t="inlineStr">
        <is>
          <t>Max Healthcare Institute Ltd</t>
        </is>
      </c>
      <c r="C264" s="31" t="inlineStr">
        <is>
          <t>healthcare</t>
        </is>
      </c>
      <c r="D264" s="31" t="inlineStr">
        <is>
          <t>healthcare</t>
        </is>
      </c>
      <c r="E264" s="31" t="inlineStr">
        <is>
          <t>largecap</t>
        </is>
      </c>
      <c r="F264" s="31" t="n">
        <v>107171.36</v>
      </c>
      <c r="G264" s="31" t="n">
        <v>1108.1</v>
      </c>
      <c r="H264" s="31" t="n">
        <v>0.62</v>
      </c>
      <c r="I264" s="31" t="n">
        <v>1749090</v>
      </c>
      <c r="J264" s="31" t="inlineStr">
        <is>
          <t>543220</t>
        </is>
      </c>
    </row>
    <row r="265">
      <c r="A265" s="31" t="inlineStr">
        <is>
          <t>CERA</t>
        </is>
      </c>
      <c r="B265" s="31" t="inlineStr">
        <is>
          <t>Cera Sanitaryware Limited</t>
        </is>
      </c>
      <c r="C265" s="31" t="inlineStr">
        <is>
          <t>building materials</t>
        </is>
      </c>
      <c r="D265" s="31" t="inlineStr">
        <is>
          <t>ceramics - tiles / sanitaryware</t>
        </is>
      </c>
      <c r="E265" s="31" t="inlineStr">
        <is>
          <t>midcap</t>
        </is>
      </c>
      <c r="F265" s="31" t="n">
        <v>8113.84</v>
      </c>
      <c r="G265" s="31" t="n">
        <v>6330</v>
      </c>
      <c r="H265" s="31" t="n">
        <v>0.62</v>
      </c>
      <c r="I265" s="31" t="n">
        <v>5409</v>
      </c>
      <c r="J265" s="31" t="inlineStr">
        <is>
          <t>532443</t>
        </is>
      </c>
    </row>
    <row r="266">
      <c r="A266" s="31" t="inlineStr">
        <is>
          <t>PRUDENT</t>
        </is>
      </c>
      <c r="B266" s="31" t="inlineStr">
        <is>
          <t>Prudent Corporate Advisory Services Ltd</t>
        </is>
      </c>
      <c r="C266" s="31" t="inlineStr">
        <is>
          <t>financials</t>
        </is>
      </c>
      <c r="D266" s="31" t="inlineStr">
        <is>
          <t>finance &amp; investments</t>
        </is>
      </c>
      <c r="E266" s="31" t="inlineStr">
        <is>
          <t>midcap</t>
        </is>
      </c>
      <c r="F266" s="31" t="n">
        <v>12256.38</v>
      </c>
      <c r="G266" s="31" t="n">
        <v>2978.3</v>
      </c>
      <c r="H266" s="31" t="n">
        <v>0.62</v>
      </c>
      <c r="I266" s="31" t="n">
        <v>34135</v>
      </c>
      <c r="J266" s="31" t="inlineStr">
        <is>
          <t>543527</t>
        </is>
      </c>
    </row>
    <row r="267">
      <c r="A267" s="31" t="inlineStr">
        <is>
          <t>ATHERENERG</t>
        </is>
      </c>
      <c r="B267" s="31" t="inlineStr">
        <is>
          <t>Ather Energy Ltd</t>
        </is>
      </c>
      <c r="C267" s="31" t="inlineStr">
        <is>
          <t>auto</t>
        </is>
      </c>
      <c r="D267" s="31" t="inlineStr">
        <is>
          <t>automobiles - scooters and 3 - wheelers</t>
        </is>
      </c>
      <c r="E267" s="31" t="inlineStr">
        <is>
          <t>largecap</t>
        </is>
      </c>
      <c r="F267" s="31" t="n">
        <v>46624.9</v>
      </c>
      <c r="G267" s="31" t="n">
        <v>1225.8</v>
      </c>
      <c r="H267" s="31" t="n">
        <v>0.61</v>
      </c>
      <c r="I267" s="31" t="n">
        <v>2268185</v>
      </c>
      <c r="J267" s="31" t="inlineStr">
        <is>
          <t>544397</t>
        </is>
      </c>
    </row>
    <row r="268">
      <c r="A268" s="31" t="inlineStr">
        <is>
          <t>SATIN</t>
        </is>
      </c>
      <c r="B268" s="31" t="inlineStr">
        <is>
          <t>Satin Creditcare Network Limited</t>
        </is>
      </c>
      <c r="C268" s="31" t="inlineStr">
        <is>
          <t>financials</t>
        </is>
      </c>
      <c r="D268" s="31" t="inlineStr">
        <is>
          <t>finance &amp; investments</t>
        </is>
      </c>
      <c r="E268" s="31" t="inlineStr">
        <is>
          <t>smallcap</t>
        </is>
      </c>
      <c r="F268" s="31" t="n">
        <v>2818.34</v>
      </c>
      <c r="G268" s="31" t="n">
        <v>256.68</v>
      </c>
      <c r="H268" s="31" t="n">
        <v>0.61</v>
      </c>
      <c r="I268" s="31" t="n">
        <v>315486</v>
      </c>
      <c r="J268" s="31" t="inlineStr">
        <is>
          <t>539404</t>
        </is>
      </c>
    </row>
    <row r="269">
      <c r="A269" s="31" t="inlineStr">
        <is>
          <t>GMRAIRPORT</t>
        </is>
      </c>
      <c r="B269" s="31" t="inlineStr">
        <is>
          <t>GMR Airports Ltd</t>
        </is>
      </c>
      <c r="C269" s="31" t="inlineStr">
        <is>
          <t>miscellaneous</t>
        </is>
      </c>
      <c r="D269" s="31" t="inlineStr">
        <is>
          <t>miscellaneous</t>
        </is>
      </c>
      <c r="E269" s="31" t="inlineStr">
        <is>
          <t>largecap</t>
        </is>
      </c>
      <c r="F269" s="31" t="n">
        <v>118081.03</v>
      </c>
      <c r="G269" s="31" t="n">
        <v>112.51</v>
      </c>
      <c r="H269" s="31" t="n">
        <v>0.61</v>
      </c>
      <c r="I269" s="31" t="n">
        <v>10389709</v>
      </c>
      <c r="J269" s="31" t="inlineStr">
        <is>
          <t>532754</t>
        </is>
      </c>
    </row>
    <row r="270">
      <c r="A270" s="31" t="inlineStr">
        <is>
          <t>SUNDRMFAST</t>
        </is>
      </c>
      <c r="B270" s="31" t="inlineStr">
        <is>
          <t>Sundram Fasteners Limited</t>
        </is>
      </c>
      <c r="C270" s="31" t="inlineStr">
        <is>
          <t>auto</t>
        </is>
      </c>
      <c r="D270" s="31" t="inlineStr">
        <is>
          <t>auto ancillaries</t>
        </is>
      </c>
      <c r="E270" s="31" t="inlineStr">
        <is>
          <t>midcap</t>
        </is>
      </c>
      <c r="F270" s="31" t="n">
        <v>19675.37</v>
      </c>
      <c r="G270" s="31" t="n">
        <v>942</v>
      </c>
      <c r="H270" s="31" t="n">
        <v>0.6</v>
      </c>
      <c r="I270" s="31" t="n">
        <v>46373</v>
      </c>
      <c r="J270" s="31" t="inlineStr">
        <is>
          <t>500403</t>
        </is>
      </c>
    </row>
    <row r="271">
      <c r="A271" s="31" t="inlineStr">
        <is>
          <t>POCL</t>
        </is>
      </c>
      <c r="B271" s="31" t="inlineStr">
        <is>
          <t>Pondy Oxides &amp; Chemicals Ltd</t>
        </is>
      </c>
      <c r="C271" s="31" t="inlineStr">
        <is>
          <t>metals &amp; mining</t>
        </is>
      </c>
      <c r="D271" s="31" t="inlineStr">
        <is>
          <t>mining / minerals / metals</t>
        </is>
      </c>
      <c r="E271" s="31" t="inlineStr">
        <is>
          <t>smallcap</t>
        </is>
      </c>
      <c r="F271" s="31" t="n">
        <v>4322.23</v>
      </c>
      <c r="G271" s="31" t="n">
        <v>1425</v>
      </c>
      <c r="H271" s="31" t="n">
        <v>0.59</v>
      </c>
      <c r="I271" s="31" t="n">
        <v>334104</v>
      </c>
      <c r="J271" s="31" t="inlineStr">
        <is>
          <t>532626</t>
        </is>
      </c>
    </row>
    <row r="272">
      <c r="A272" s="31" t="inlineStr">
        <is>
          <t>ARVSMART</t>
        </is>
      </c>
      <c r="B272" s="31" t="inlineStr">
        <is>
          <t>Arvind Smartspaces Limited</t>
        </is>
      </c>
      <c r="C272" s="31" t="inlineStr">
        <is>
          <t>realty</t>
        </is>
      </c>
      <c r="D272" s="31" t="inlineStr">
        <is>
          <t>construction</t>
        </is>
      </c>
      <c r="E272" s="31" t="inlineStr">
        <is>
          <t>smallcap</t>
        </is>
      </c>
      <c r="F272" s="31" t="n">
        <v>2793.76</v>
      </c>
      <c r="G272" s="31" t="n">
        <v>612.5</v>
      </c>
      <c r="H272" s="31" t="n">
        <v>0.5600000000000001</v>
      </c>
      <c r="I272" s="31" t="n">
        <v>19680</v>
      </c>
      <c r="J272" s="31" t="inlineStr">
        <is>
          <t>539301</t>
        </is>
      </c>
    </row>
    <row r="273">
      <c r="A273" s="31" t="inlineStr">
        <is>
          <t>AVL</t>
        </is>
      </c>
      <c r="B273" s="31" t="inlineStr">
        <is>
          <t>Aditya Vision Ltd</t>
        </is>
      </c>
      <c r="C273" s="31" t="inlineStr">
        <is>
          <t>consumer discretionary</t>
        </is>
      </c>
      <c r="D273" s="31" t="inlineStr">
        <is>
          <t>trading</t>
        </is>
      </c>
      <c r="E273" s="31" t="inlineStr">
        <is>
          <t>midcap</t>
        </is>
      </c>
      <c r="F273" s="31" t="n">
        <v>8164.75</v>
      </c>
      <c r="G273" s="31" t="n">
        <v>635.8</v>
      </c>
      <c r="H273" s="31" t="n">
        <v>0.5600000000000001</v>
      </c>
      <c r="I273" s="31" t="n">
        <v>133416</v>
      </c>
      <c r="J273" s="31" t="inlineStr">
        <is>
          <t>540205</t>
        </is>
      </c>
    </row>
    <row r="274">
      <c r="A274" s="31" t="inlineStr">
        <is>
          <t>PANACHE</t>
        </is>
      </c>
      <c r="B274" s="31" t="inlineStr">
        <is>
          <t>Panache Digilife Ltd</t>
        </is>
      </c>
      <c r="C274" s="31" t="inlineStr">
        <is>
          <t>i.t</t>
        </is>
      </c>
      <c r="D274" s="31" t="inlineStr">
        <is>
          <t>computers - hardware</t>
        </is>
      </c>
      <c r="E274" s="31" t="inlineStr">
        <is>
          <t>smallcap</t>
        </is>
      </c>
      <c r="F274" s="31" t="n">
        <v>704.38</v>
      </c>
      <c r="G274" s="31" t="n">
        <v>442.3</v>
      </c>
      <c r="H274" s="31" t="n">
        <v>0.5600000000000001</v>
      </c>
      <c r="I274" s="31" t="n">
        <v>15379</v>
      </c>
      <c r="J274" s="31" t="inlineStr">
        <is>
          <t>538424</t>
        </is>
      </c>
    </row>
    <row r="275">
      <c r="A275" s="31" t="inlineStr">
        <is>
          <t>CHOICEIN</t>
        </is>
      </c>
      <c r="B275" s="31" t="inlineStr">
        <is>
          <t>Choice International Ltd</t>
        </is>
      </c>
      <c r="C275" s="31" t="inlineStr">
        <is>
          <t>financials</t>
        </is>
      </c>
      <c r="D275" s="31" t="inlineStr">
        <is>
          <t>finance &amp; investments</t>
        </is>
      </c>
      <c r="E275" s="31" t="inlineStr">
        <is>
          <t>midcap</t>
        </is>
      </c>
      <c r="F275" s="31" t="n">
        <v>18500.47</v>
      </c>
      <c r="G275" s="31" t="n">
        <v>835</v>
      </c>
      <c r="H275" s="31" t="n">
        <v>0.55</v>
      </c>
      <c r="I275" s="31" t="n">
        <v>3009940</v>
      </c>
      <c r="J275" s="31" t="inlineStr">
        <is>
          <t>531358</t>
        </is>
      </c>
    </row>
    <row r="276">
      <c r="A276" s="31" t="inlineStr">
        <is>
          <t>IPCALAB</t>
        </is>
      </c>
      <c r="B276" s="31" t="inlineStr">
        <is>
          <t>Ipca Laboratories Limited</t>
        </is>
      </c>
      <c r="C276" s="31" t="inlineStr">
        <is>
          <t>healthcare</t>
        </is>
      </c>
      <c r="D276" s="31" t="inlineStr">
        <is>
          <t>pharmaceuticals - indian - bulk drugs &amp; formln</t>
        </is>
      </c>
      <c r="E276" s="31" t="inlineStr">
        <is>
          <t>largecap</t>
        </is>
      </c>
      <c r="F276" s="31" t="n">
        <v>44915.79</v>
      </c>
      <c r="G276" s="31" t="n">
        <v>1780</v>
      </c>
      <c r="H276" s="31" t="n">
        <v>0.54</v>
      </c>
      <c r="I276" s="31" t="n">
        <v>146862</v>
      </c>
      <c r="J276" s="31" t="inlineStr">
        <is>
          <t>524494</t>
        </is>
      </c>
    </row>
    <row r="277">
      <c r="A277" s="31" t="inlineStr">
        <is>
          <t>GALAPREC</t>
        </is>
      </c>
      <c r="B277" s="31" t="inlineStr">
        <is>
          <t>Gala Precision Engineering Ltd</t>
        </is>
      </c>
      <c r="C277" s="31" t="inlineStr">
        <is>
          <t>industrials</t>
        </is>
      </c>
      <c r="D277" s="31" t="inlineStr">
        <is>
          <t>fasteners</t>
        </is>
      </c>
      <c r="E277" s="31" t="inlineStr">
        <is>
          <t>smallcap</t>
        </is>
      </c>
      <c r="F277" s="31" t="n">
        <v>1507.85</v>
      </c>
      <c r="G277" s="31" t="n">
        <v>1189</v>
      </c>
      <c r="H277" s="31" t="n">
        <v>0.54</v>
      </c>
      <c r="I277" s="31" t="n">
        <v>29081</v>
      </c>
      <c r="J277" s="31" t="inlineStr">
        <is>
          <t>544244</t>
        </is>
      </c>
    </row>
    <row r="278">
      <c r="A278" s="31" t="inlineStr">
        <is>
          <t>TBOTEK</t>
        </is>
      </c>
      <c r="B278" s="31" t="inlineStr">
        <is>
          <t>TBO Tek Ltd</t>
        </is>
      </c>
      <c r="C278" s="31" t="inlineStr">
        <is>
          <t>i.t</t>
        </is>
      </c>
      <c r="D278" s="31" t="inlineStr">
        <is>
          <t>travel agencies</t>
        </is>
      </c>
      <c r="E278" s="31" t="inlineStr">
        <is>
          <t>midcap</t>
        </is>
      </c>
      <c r="F278" s="31" t="n">
        <v>16254.51</v>
      </c>
      <c r="G278" s="31" t="n">
        <v>1504.9</v>
      </c>
      <c r="H278" s="31" t="n">
        <v>0.53</v>
      </c>
      <c r="I278" s="31" t="n">
        <v>442591</v>
      </c>
      <c r="J278" s="31" t="inlineStr">
        <is>
          <t>544174</t>
        </is>
      </c>
    </row>
    <row r="279">
      <c r="A279" s="31" t="inlineStr">
        <is>
          <t>PIDILITIND</t>
        </is>
      </c>
      <c r="B279" s="31" t="inlineStr">
        <is>
          <t>Pidilite Industries Limited</t>
        </is>
      </c>
      <c r="C279" s="31" t="inlineStr">
        <is>
          <t>chemicals</t>
        </is>
      </c>
      <c r="D279" s="31" t="inlineStr">
        <is>
          <t>chemicals</t>
        </is>
      </c>
      <c r="E279" s="31" t="inlineStr">
        <is>
          <t>largecap</t>
        </is>
      </c>
      <c r="F279" s="31" t="n">
        <v>161865.55</v>
      </c>
      <c r="G279" s="31" t="n">
        <v>1598.5</v>
      </c>
      <c r="H279" s="31" t="n">
        <v>0.51</v>
      </c>
      <c r="I279" s="31" t="n">
        <v>738374</v>
      </c>
      <c r="J279" s="31" t="inlineStr">
        <is>
          <t>500331</t>
        </is>
      </c>
    </row>
    <row r="280">
      <c r="A280" s="31" t="inlineStr">
        <is>
          <t>HONAUT</t>
        </is>
      </c>
      <c r="B280" s="31" t="inlineStr">
        <is>
          <t>Honeywell Automation India Limited</t>
        </is>
      </c>
      <c r="C280" s="31" t="inlineStr">
        <is>
          <t>consumer discretionary</t>
        </is>
      </c>
      <c r="D280" s="31" t="inlineStr">
        <is>
          <t>electronics - components</t>
        </is>
      </c>
      <c r="E280" s="31" t="inlineStr">
        <is>
          <t>largecap</t>
        </is>
      </c>
      <c r="F280" s="31" t="n">
        <v>33611.05</v>
      </c>
      <c r="G280" s="31" t="n">
        <v>38205</v>
      </c>
      <c r="H280" s="31" t="n">
        <v>0.5</v>
      </c>
      <c r="I280" s="31" t="n">
        <v>4860</v>
      </c>
      <c r="J280" s="31" t="inlineStr">
        <is>
          <t>517174</t>
        </is>
      </c>
    </row>
    <row r="281">
      <c r="A281" s="31" t="inlineStr">
        <is>
          <t>ALKEM</t>
        </is>
      </c>
      <c r="B281" s="31" t="inlineStr">
        <is>
          <t>Alkem Laboratories Limited</t>
        </is>
      </c>
      <c r="C281" s="31" t="inlineStr">
        <is>
          <t>healthcare</t>
        </is>
      </c>
      <c r="D281" s="31" t="inlineStr">
        <is>
          <t>pharmaceuticals - indian - bulk drugs &amp; formln</t>
        </is>
      </c>
      <c r="E281" s="31" t="inlineStr">
        <is>
          <t>largecap</t>
        </is>
      </c>
      <c r="F281" s="31" t="n">
        <v>67536.28999999999</v>
      </c>
      <c r="G281" s="31" t="n">
        <v>5676</v>
      </c>
      <c r="H281" s="31" t="n">
        <v>0.49</v>
      </c>
      <c r="I281" s="31" t="n">
        <v>104140</v>
      </c>
      <c r="J281" s="31" t="inlineStr">
        <is>
          <t>539523</t>
        </is>
      </c>
    </row>
    <row r="282">
      <c r="A282" s="31" t="inlineStr">
        <is>
          <t>LALPATHLAB</t>
        </is>
      </c>
      <c r="B282" s="31" t="inlineStr">
        <is>
          <t>Dr. Lal Path Labs Ltd.</t>
        </is>
      </c>
      <c r="C282" s="31" t="inlineStr">
        <is>
          <t>healthcare</t>
        </is>
      </c>
      <c r="D282" s="31" t="inlineStr">
        <is>
          <t>healthcare</t>
        </is>
      </c>
      <c r="E282" s="31" t="inlineStr">
        <is>
          <t>largecap</t>
        </is>
      </c>
      <c r="F282" s="31" t="n">
        <v>28226.32</v>
      </c>
      <c r="G282" s="31" t="n">
        <v>1692.8</v>
      </c>
      <c r="H282" s="31" t="n">
        <v>0.49</v>
      </c>
      <c r="I282" s="31" t="n">
        <v>207596</v>
      </c>
      <c r="J282" s="31" t="inlineStr">
        <is>
          <t>539524</t>
        </is>
      </c>
    </row>
    <row r="283">
      <c r="A283" s="31" t="inlineStr">
        <is>
          <t>MOREPENLAB</t>
        </is>
      </c>
      <c r="B283" s="31" t="inlineStr">
        <is>
          <t>Morepen Laboratories Limited</t>
        </is>
      </c>
      <c r="C283" s="31" t="inlineStr">
        <is>
          <t>healthcare</t>
        </is>
      </c>
      <c r="D283" s="31" t="inlineStr">
        <is>
          <t>pharmaceuticals - indian - bulk drugs &amp; formln</t>
        </is>
      </c>
      <c r="E283" s="31" t="inlineStr">
        <is>
          <t>smallcap</t>
        </is>
      </c>
      <c r="F283" s="31" t="n">
        <v>3340.33</v>
      </c>
      <c r="G283" s="31" t="n">
        <v>61.22</v>
      </c>
      <c r="H283" s="31" t="n">
        <v>0.43</v>
      </c>
      <c r="I283" s="31" t="n">
        <v>7960104</v>
      </c>
      <c r="J283" s="31" t="inlineStr">
        <is>
          <t>500288</t>
        </is>
      </c>
    </row>
    <row r="284">
      <c r="A284" s="31" t="inlineStr">
        <is>
          <t>GANESHHOU</t>
        </is>
      </c>
      <c r="B284" s="31" t="inlineStr">
        <is>
          <t>Ganesh Housing Ltd</t>
        </is>
      </c>
      <c r="C284" s="31" t="inlineStr">
        <is>
          <t>realty</t>
        </is>
      </c>
      <c r="D284" s="31" t="inlineStr">
        <is>
          <t>construction</t>
        </is>
      </c>
      <c r="E284" s="31" t="inlineStr">
        <is>
          <t>midcap</t>
        </is>
      </c>
      <c r="F284" s="31" t="n">
        <v>7222.57</v>
      </c>
      <c r="G284" s="31" t="n">
        <v>869.85</v>
      </c>
      <c r="H284" s="31" t="n">
        <v>0.43</v>
      </c>
      <c r="I284" s="31" t="n">
        <v>52341</v>
      </c>
      <c r="J284" s="31" t="inlineStr">
        <is>
          <t>526367</t>
        </is>
      </c>
    </row>
    <row r="285">
      <c r="A285" s="31" t="inlineStr">
        <is>
          <t>KRYSTAL</t>
        </is>
      </c>
      <c r="B285" s="31" t="inlineStr">
        <is>
          <t>Krystal Integrated Services Ltd</t>
        </is>
      </c>
      <c r="C285" s="31" t="inlineStr">
        <is>
          <t>miscellaneous</t>
        </is>
      </c>
      <c r="D285" s="31" t="inlineStr">
        <is>
          <t>miscellaneous</t>
        </is>
      </c>
      <c r="E285" s="31" t="inlineStr">
        <is>
          <t>smallcap</t>
        </is>
      </c>
      <c r="F285" s="31" t="n">
        <v>840.13</v>
      </c>
      <c r="G285" s="31" t="n">
        <v>603.8</v>
      </c>
      <c r="H285" s="31" t="n">
        <v>0.42</v>
      </c>
      <c r="I285" s="31" t="n">
        <v>12569</v>
      </c>
      <c r="J285" s="31" t="inlineStr">
        <is>
          <t>544149</t>
        </is>
      </c>
    </row>
    <row r="286">
      <c r="A286" s="31" t="inlineStr">
        <is>
          <t>KOVAI</t>
        </is>
      </c>
      <c r="B286" s="31" t="inlineStr">
        <is>
          <t>Kovai Medical Center &amp; Hospital Ltd</t>
        </is>
      </c>
      <c r="C286" s="31" t="inlineStr">
        <is>
          <t>healthcare</t>
        </is>
      </c>
      <c r="D286" s="31" t="inlineStr">
        <is>
          <t>healthcare</t>
        </is>
      </c>
      <c r="E286" s="31" t="inlineStr">
        <is>
          <t>midcap</t>
        </is>
      </c>
      <c r="F286" s="31" t="n">
        <v>6533.08</v>
      </c>
      <c r="G286" s="31" t="n">
        <v>5995</v>
      </c>
      <c r="H286" s="31" t="n">
        <v>0.41</v>
      </c>
      <c r="I286" s="31" t="n">
        <v>4445</v>
      </c>
      <c r="J286" s="31" t="inlineStr">
        <is>
          <t>523323</t>
        </is>
      </c>
    </row>
    <row r="287">
      <c r="A287" s="31" t="inlineStr">
        <is>
          <t>GLAND</t>
        </is>
      </c>
      <c r="B287" s="31" t="inlineStr">
        <is>
          <t>Gland Pharma Ltd</t>
        </is>
      </c>
      <c r="C287" s="31" t="inlineStr">
        <is>
          <t>healthcare</t>
        </is>
      </c>
      <c r="D287" s="31" t="inlineStr">
        <is>
          <t>pharmaceuticals - indian - formulations</t>
        </is>
      </c>
      <c r="E287" s="31" t="inlineStr">
        <is>
          <t>largecap</t>
        </is>
      </c>
      <c r="F287" s="31" t="n">
        <v>40686.6</v>
      </c>
      <c r="G287" s="31" t="n">
        <v>2479.4</v>
      </c>
      <c r="H287" s="31" t="n">
        <v>0.4</v>
      </c>
      <c r="I287" s="31" t="n">
        <v>329308</v>
      </c>
      <c r="J287" s="31" t="inlineStr">
        <is>
          <t>543245</t>
        </is>
      </c>
    </row>
    <row r="288">
      <c r="A288" s="31" t="inlineStr">
        <is>
          <t>CCL</t>
        </is>
      </c>
      <c r="B288" s="31" t="inlineStr">
        <is>
          <t>Ccl Products (india) Limited</t>
        </is>
      </c>
      <c r="C288" s="31" t="inlineStr">
        <is>
          <t>fmcg</t>
        </is>
      </c>
      <c r="D288" s="31" t="inlineStr">
        <is>
          <t>tea</t>
        </is>
      </c>
      <c r="E288" s="31" t="inlineStr">
        <is>
          <t>midcap</t>
        </is>
      </c>
      <c r="F288" s="31" t="n">
        <v>16146.2</v>
      </c>
      <c r="G288" s="31" t="n">
        <v>1214</v>
      </c>
      <c r="H288" s="31" t="n">
        <v>0.4</v>
      </c>
      <c r="I288" s="31" t="n">
        <v>192140</v>
      </c>
      <c r="J288" s="31" t="inlineStr">
        <is>
          <t>519600</t>
        </is>
      </c>
    </row>
    <row r="289">
      <c r="A289" s="31" t="inlineStr">
        <is>
          <t>RPEL</t>
        </is>
      </c>
      <c r="B289" s="31" t="inlineStr">
        <is>
          <t>Raghav Productivity Enhancers Ltd</t>
        </is>
      </c>
      <c r="C289" s="31" t="inlineStr">
        <is>
          <t>building materials</t>
        </is>
      </c>
      <c r="D289" s="31" t="inlineStr">
        <is>
          <t>refractories / intermediates</t>
        </is>
      </c>
      <c r="E289" s="31" t="inlineStr">
        <is>
          <t>midcap</t>
        </is>
      </c>
      <c r="F289" s="31" t="n">
        <v>5919.34</v>
      </c>
      <c r="G289" s="31" t="n">
        <v>1294</v>
      </c>
      <c r="H289" s="31" t="n">
        <v>0.39</v>
      </c>
      <c r="I289" s="31" t="n">
        <v>35762</v>
      </c>
      <c r="J289" s="31" t="inlineStr">
        <is>
          <t>539837</t>
        </is>
      </c>
    </row>
    <row r="290">
      <c r="A290" s="31" t="inlineStr">
        <is>
          <t>NIVABUPA</t>
        </is>
      </c>
      <c r="B290" s="31" t="inlineStr">
        <is>
          <t>Niva Bupa Health Insurance Company Ltd</t>
        </is>
      </c>
      <c r="C290" s="31" t="inlineStr">
        <is>
          <t>financials</t>
        </is>
      </c>
      <c r="D290" s="31" t="inlineStr">
        <is>
          <t>finance &amp; investments</t>
        </is>
      </c>
      <c r="E290" s="31" t="inlineStr">
        <is>
          <t>midcap</t>
        </is>
      </c>
      <c r="F290" s="31" t="n">
        <v>15840.09</v>
      </c>
      <c r="G290" s="31" t="n">
        <v>86.05</v>
      </c>
      <c r="H290" s="31" t="n">
        <v>0.36</v>
      </c>
      <c r="I290" s="31" t="n">
        <v>1664154</v>
      </c>
      <c r="J290" s="31" t="n"/>
    </row>
    <row r="291">
      <c r="A291" s="31" t="inlineStr">
        <is>
          <t>KICL</t>
        </is>
      </c>
      <c r="B291" s="31" t="inlineStr">
        <is>
          <t>Kalyani Investment Company Limited</t>
        </is>
      </c>
      <c r="C291" s="31" t="inlineStr">
        <is>
          <t>financials</t>
        </is>
      </c>
      <c r="D291" s="31" t="inlineStr">
        <is>
          <t>finance &amp; investments</t>
        </is>
      </c>
      <c r="E291" s="31" t="inlineStr">
        <is>
          <t>smallcap</t>
        </is>
      </c>
      <c r="F291" s="31" t="n">
        <v>2403.1</v>
      </c>
      <c r="G291" s="31" t="n">
        <v>5524</v>
      </c>
      <c r="H291" s="31" t="n">
        <v>0.35</v>
      </c>
      <c r="I291" s="31" t="n">
        <v>2618</v>
      </c>
      <c r="J291" s="31" t="inlineStr">
        <is>
          <t>533302</t>
        </is>
      </c>
    </row>
    <row r="292">
      <c r="A292" s="31" t="inlineStr">
        <is>
          <t>DIVISLAB</t>
        </is>
      </c>
      <c r="B292" s="31" t="inlineStr">
        <is>
          <t>Divi's Laboratories Limited</t>
        </is>
      </c>
      <c r="C292" s="31" t="inlineStr">
        <is>
          <t>healthcare</t>
        </is>
      </c>
      <c r="D292" s="31" t="inlineStr">
        <is>
          <t>pharmaceuticals - indian - bulk drugs</t>
        </is>
      </c>
      <c r="E292" s="31" t="inlineStr">
        <is>
          <t>largecap</t>
        </is>
      </c>
      <c r="F292" s="31" t="n">
        <v>180863.74</v>
      </c>
      <c r="G292" s="31" t="n">
        <v>6836</v>
      </c>
      <c r="H292" s="31" t="n">
        <v>0.34</v>
      </c>
      <c r="I292" s="31" t="n">
        <v>222861</v>
      </c>
      <c r="J292" s="31" t="inlineStr">
        <is>
          <t>532488</t>
        </is>
      </c>
    </row>
    <row r="293">
      <c r="A293" s="31" t="inlineStr">
        <is>
          <t>JAYBARMARU</t>
        </is>
      </c>
      <c r="B293" s="31" t="inlineStr">
        <is>
          <t>Jay Bharat Maruti Limited</t>
        </is>
      </c>
      <c r="C293" s="31" t="inlineStr">
        <is>
          <t>auto</t>
        </is>
      </c>
      <c r="D293" s="31" t="inlineStr">
        <is>
          <t>auto ancillaries</t>
        </is>
      </c>
      <c r="E293" s="31" t="inlineStr">
        <is>
          <t>smallcap</t>
        </is>
      </c>
      <c r="F293" s="31" t="n">
        <v>2025.68</v>
      </c>
      <c r="G293" s="31" t="n">
        <v>187.77</v>
      </c>
      <c r="H293" s="31" t="n">
        <v>0.34</v>
      </c>
      <c r="I293" s="31" t="n">
        <v>1055669</v>
      </c>
      <c r="J293" s="31" t="inlineStr">
        <is>
          <t>520066</t>
        </is>
      </c>
    </row>
    <row r="294">
      <c r="A294" s="31" t="inlineStr">
        <is>
          <t>RBZJEWEL</t>
        </is>
      </c>
      <c r="B294" s="31" t="inlineStr">
        <is>
          <t>RBZ Jewellers Ltd</t>
        </is>
      </c>
      <c r="C294" s="31" t="inlineStr">
        <is>
          <t>consumer discretionary</t>
        </is>
      </c>
      <c r="D294" s="31" t="inlineStr">
        <is>
          <t>diamond cutting / jewellery</t>
        </is>
      </c>
      <c r="E294" s="31" t="inlineStr">
        <is>
          <t>smallcap</t>
        </is>
      </c>
      <c r="F294" s="31" t="n">
        <v>614.84</v>
      </c>
      <c r="G294" s="31" t="n">
        <v>154.24</v>
      </c>
      <c r="H294" s="31" t="n">
        <v>0.34</v>
      </c>
      <c r="I294" s="31" t="n">
        <v>367679</v>
      </c>
      <c r="J294" s="31" t="inlineStr">
        <is>
          <t>544060</t>
        </is>
      </c>
    </row>
    <row r="295">
      <c r="A295" s="31" t="inlineStr">
        <is>
          <t>TVSHLTD</t>
        </is>
      </c>
      <c r="B295" s="31" t="inlineStr">
        <is>
          <t>TVS Holdings Ltd</t>
        </is>
      </c>
      <c r="C295" s="31" t="inlineStr">
        <is>
          <t>financials</t>
        </is>
      </c>
      <c r="D295" s="31" t="inlineStr">
        <is>
          <t>finance &amp; investments</t>
        </is>
      </c>
      <c r="E295" s="31" t="inlineStr">
        <is>
          <t>largecap</t>
        </is>
      </c>
      <c r="F295" s="31" t="n">
        <v>28231.88</v>
      </c>
      <c r="G295" s="31" t="n">
        <v>14000</v>
      </c>
      <c r="H295" s="31" t="n">
        <v>0.33</v>
      </c>
      <c r="I295" s="31" t="n">
        <v>2317</v>
      </c>
      <c r="J295" s="31" t="inlineStr">
        <is>
          <t>520056</t>
        </is>
      </c>
    </row>
    <row r="296">
      <c r="A296" s="31" t="inlineStr">
        <is>
          <t>UNITDSPR</t>
        </is>
      </c>
      <c r="B296" s="31" t="inlineStr">
        <is>
          <t>United Spirits Ltd</t>
        </is>
      </c>
      <c r="C296" s="31" t="inlineStr">
        <is>
          <t>fmcg</t>
        </is>
      </c>
      <c r="D296" s="31" t="inlineStr">
        <is>
          <t>breweries &amp; distilleries</t>
        </is>
      </c>
      <c r="E296" s="31" t="inlineStr">
        <is>
          <t>largecap</t>
        </is>
      </c>
      <c r="F296" s="31" t="n">
        <v>100461.7</v>
      </c>
      <c r="G296" s="31" t="n">
        <v>1385.7</v>
      </c>
      <c r="H296" s="31" t="n">
        <v>0.33</v>
      </c>
      <c r="I296" s="31" t="n">
        <v>568746</v>
      </c>
      <c r="J296" s="31" t="inlineStr">
        <is>
          <t>532432</t>
        </is>
      </c>
    </row>
    <row r="297">
      <c r="A297" s="31" t="inlineStr">
        <is>
          <t>JAMNAAUTO</t>
        </is>
      </c>
      <c r="B297" s="31" t="inlineStr">
        <is>
          <t>Jamna Auto Industries Limited</t>
        </is>
      </c>
      <c r="C297" s="31" t="inlineStr">
        <is>
          <t>auto</t>
        </is>
      </c>
      <c r="D297" s="31" t="inlineStr">
        <is>
          <t>auto ancillaries</t>
        </is>
      </c>
      <c r="E297" s="31" t="inlineStr">
        <is>
          <t>midcap</t>
        </is>
      </c>
      <c r="F297" s="31" t="n">
        <v>5440.87</v>
      </c>
      <c r="G297" s="31" t="n">
        <v>136.56</v>
      </c>
      <c r="H297" s="31" t="n">
        <v>0.32</v>
      </c>
      <c r="I297" s="31" t="n">
        <v>968032</v>
      </c>
      <c r="J297" s="31" t="inlineStr">
        <is>
          <t>520051</t>
        </is>
      </c>
    </row>
    <row r="298">
      <c r="A298" s="31" t="inlineStr">
        <is>
          <t>RATEGAIN</t>
        </is>
      </c>
      <c r="B298" s="31" t="inlineStr">
        <is>
          <t>Rategain Travel Technologies Ltd</t>
        </is>
      </c>
      <c r="C298" s="31" t="inlineStr">
        <is>
          <t>i.t</t>
        </is>
      </c>
      <c r="D298" s="31" t="inlineStr">
        <is>
          <t>computers - software - medium / small</t>
        </is>
      </c>
      <c r="E298" s="31" t="inlineStr">
        <is>
          <t>midcap</t>
        </is>
      </c>
      <c r="F298" s="31" t="n">
        <v>11128.23</v>
      </c>
      <c r="G298" s="31" t="n">
        <v>944.7</v>
      </c>
      <c r="H298" s="31" t="n">
        <v>0.31</v>
      </c>
      <c r="I298" s="31" t="n">
        <v>238215</v>
      </c>
      <c r="J298" s="31" t="inlineStr">
        <is>
          <t>543417</t>
        </is>
      </c>
    </row>
    <row r="299">
      <c r="A299" s="31" t="inlineStr">
        <is>
          <t>VARROC</t>
        </is>
      </c>
      <c r="B299" s="31" t="inlineStr">
        <is>
          <t>Varroc Engineering Ltd</t>
        </is>
      </c>
      <c r="C299" s="31" t="inlineStr">
        <is>
          <t>auto</t>
        </is>
      </c>
      <c r="D299" s="31" t="inlineStr">
        <is>
          <t>auto ancillaries</t>
        </is>
      </c>
      <c r="E299" s="31" t="inlineStr">
        <is>
          <t>midcap</t>
        </is>
      </c>
      <c r="F299" s="31" t="n">
        <v>10074.74</v>
      </c>
      <c r="G299" s="31" t="n">
        <v>661.45</v>
      </c>
      <c r="H299" s="31" t="n">
        <v>0.31</v>
      </c>
      <c r="I299" s="31" t="n">
        <v>188249</v>
      </c>
      <c r="J299" s="31" t="inlineStr">
        <is>
          <t>541578</t>
        </is>
      </c>
    </row>
    <row r="300">
      <c r="A300" s="31" t="inlineStr">
        <is>
          <t>TEXINFRA</t>
        </is>
      </c>
      <c r="B300" s="31" t="inlineStr">
        <is>
          <t>Texmaco Infrastructure &amp; Holdings Limited</t>
        </is>
      </c>
      <c r="C300" s="31" t="inlineStr">
        <is>
          <t>realty</t>
        </is>
      </c>
      <c r="D300" s="31" t="inlineStr">
        <is>
          <t>construction</t>
        </is>
      </c>
      <c r="E300" s="31" t="inlineStr">
        <is>
          <t>smallcap</t>
        </is>
      </c>
      <c r="F300" s="31" t="n">
        <v>1454.57</v>
      </c>
      <c r="G300" s="31" t="n">
        <v>114.5</v>
      </c>
      <c r="H300" s="31" t="n">
        <v>0.31</v>
      </c>
      <c r="I300" s="31" t="n">
        <v>80387</v>
      </c>
      <c r="J300" s="31" t="inlineStr">
        <is>
          <t>505400</t>
        </is>
      </c>
    </row>
    <row r="301">
      <c r="A301" s="31" t="inlineStr">
        <is>
          <t>NAVINFLUOR</t>
        </is>
      </c>
      <c r="B301" s="31" t="inlineStr">
        <is>
          <t>Navin Fluorine International Limited</t>
        </is>
      </c>
      <c r="C301" s="31" t="inlineStr">
        <is>
          <t>chemicals</t>
        </is>
      </c>
      <c r="D301" s="31" t="inlineStr">
        <is>
          <t>chemicals</t>
        </is>
      </c>
      <c r="E301" s="31" t="inlineStr">
        <is>
          <t>largecap</t>
        </is>
      </c>
      <c r="F301" s="31" t="n">
        <v>39405.03</v>
      </c>
      <c r="G301" s="31" t="n">
        <v>7712</v>
      </c>
      <c r="H301" s="31" t="n">
        <v>0.3</v>
      </c>
      <c r="I301" s="31" t="n">
        <v>85310</v>
      </c>
      <c r="J301" s="31" t="inlineStr">
        <is>
          <t>532504</t>
        </is>
      </c>
    </row>
    <row r="302">
      <c r="A302" s="31" t="inlineStr">
        <is>
          <t>PANAMAPET</t>
        </is>
      </c>
      <c r="B302" s="31" t="inlineStr">
        <is>
          <t>Panama Petrochem Limited</t>
        </is>
      </c>
      <c r="C302" s="31" t="inlineStr">
        <is>
          <t>energy</t>
        </is>
      </c>
      <c r="D302" s="31" t="inlineStr">
        <is>
          <t>petrochemicals</t>
        </is>
      </c>
      <c r="E302" s="31" t="inlineStr">
        <is>
          <t>smallcap</t>
        </is>
      </c>
      <c r="F302" s="31" t="n">
        <v>2583.08</v>
      </c>
      <c r="G302" s="31" t="n">
        <v>428.1</v>
      </c>
      <c r="H302" s="31" t="n">
        <v>0.26</v>
      </c>
      <c r="I302" s="31" t="n">
        <v>89418</v>
      </c>
      <c r="J302" s="31" t="inlineStr">
        <is>
          <t>524820</t>
        </is>
      </c>
    </row>
    <row r="303">
      <c r="A303" s="31" t="inlineStr">
        <is>
          <t>VENUSPIPES</t>
        </is>
      </c>
      <c r="B303" s="31" t="inlineStr">
        <is>
          <t>Venus Pipes &amp; Tubes Ltd</t>
        </is>
      </c>
      <c r="C303" s="31" t="inlineStr">
        <is>
          <t>metals &amp; mining</t>
        </is>
      </c>
      <c r="D303" s="31" t="inlineStr">
        <is>
          <t>steel - medium / small</t>
        </is>
      </c>
      <c r="E303" s="31" t="inlineStr">
        <is>
          <t>smallcap</t>
        </is>
      </c>
      <c r="F303" s="31" t="n">
        <v>3735.74</v>
      </c>
      <c r="G303" s="31" t="n">
        <v>1807.9</v>
      </c>
      <c r="H303" s="31" t="n">
        <v>0.26</v>
      </c>
      <c r="I303" s="31" t="n">
        <v>71082</v>
      </c>
      <c r="J303" s="31" t="inlineStr">
        <is>
          <t>543528</t>
        </is>
      </c>
    </row>
    <row r="304">
      <c r="A304" s="31" t="inlineStr">
        <is>
          <t>KAJARIACER</t>
        </is>
      </c>
      <c r="B304" s="31" t="inlineStr">
        <is>
          <t>Kajaria Ceramics Limited</t>
        </is>
      </c>
      <c r="C304" s="31" t="inlineStr">
        <is>
          <t>building materials</t>
        </is>
      </c>
      <c r="D304" s="31" t="inlineStr">
        <is>
          <t>ceramics - tiles / sanitaryware</t>
        </is>
      </c>
      <c r="E304" s="31" t="inlineStr">
        <is>
          <t>midcap</t>
        </is>
      </c>
      <c r="F304" s="31" t="n">
        <v>19351.58</v>
      </c>
      <c r="G304" s="31" t="n">
        <v>1218</v>
      </c>
      <c r="H304" s="31" t="n">
        <v>0.25</v>
      </c>
      <c r="I304" s="31" t="n">
        <v>160692</v>
      </c>
      <c r="J304" s="31" t="inlineStr">
        <is>
          <t>500233</t>
        </is>
      </c>
    </row>
    <row r="305">
      <c r="A305" s="31" t="inlineStr">
        <is>
          <t>MUFIN</t>
        </is>
      </c>
      <c r="B305" s="31" t="inlineStr">
        <is>
          <t>Mufin Green Finance Ltd</t>
        </is>
      </c>
      <c r="C305" s="31" t="inlineStr">
        <is>
          <t>financials</t>
        </is>
      </c>
      <c r="D305" s="31" t="inlineStr">
        <is>
          <t>finance &amp; investments</t>
        </is>
      </c>
      <c r="E305" s="31" t="inlineStr">
        <is>
          <t>smallcap</t>
        </is>
      </c>
      <c r="F305" s="31" t="n">
        <v>2575.71</v>
      </c>
      <c r="G305" s="31" t="n">
        <v>130.29</v>
      </c>
      <c r="H305" s="31" t="n">
        <v>0.24</v>
      </c>
      <c r="I305" s="31" t="n">
        <v>609701</v>
      </c>
      <c r="J305" s="31" t="inlineStr">
        <is>
          <t>542774</t>
        </is>
      </c>
    </row>
    <row r="306">
      <c r="A306" s="31" t="inlineStr">
        <is>
          <t>ASTERDM</t>
        </is>
      </c>
      <c r="B306" s="31" t="inlineStr">
        <is>
          <t>Aster DM Healthcare Ltd</t>
        </is>
      </c>
      <c r="C306" s="31" t="inlineStr">
        <is>
          <t>healthcare</t>
        </is>
      </c>
      <c r="D306" s="31" t="inlineStr">
        <is>
          <t>healthcare</t>
        </is>
      </c>
      <c r="E306" s="31" t="inlineStr">
        <is>
          <t>largecap</t>
        </is>
      </c>
      <c r="F306" s="31" t="n">
        <v>41820.14</v>
      </c>
      <c r="G306" s="31" t="n">
        <v>808.9</v>
      </c>
      <c r="H306" s="31" t="n">
        <v>0.22</v>
      </c>
      <c r="I306" s="31" t="n">
        <v>381074</v>
      </c>
      <c r="J306" s="31" t="inlineStr">
        <is>
          <t>540975</t>
        </is>
      </c>
    </row>
    <row r="307">
      <c r="A307" s="31" t="inlineStr">
        <is>
          <t>TVSSCS</t>
        </is>
      </c>
      <c r="B307" s="31" t="inlineStr">
        <is>
          <t>TVS Supply Chain Solutions Ltd</t>
        </is>
      </c>
      <c r="C307" s="31" t="inlineStr">
        <is>
          <t>transportation</t>
        </is>
      </c>
      <c r="D307" s="31" t="inlineStr">
        <is>
          <t>miscellaneous</t>
        </is>
      </c>
      <c r="E307" s="31" t="inlineStr">
        <is>
          <t>midcap</t>
        </is>
      </c>
      <c r="F307" s="31" t="n">
        <v>6236.96</v>
      </c>
      <c r="G307" s="31" t="n">
        <v>141.66</v>
      </c>
      <c r="H307" s="31" t="n">
        <v>0.21</v>
      </c>
      <c r="I307" s="31" t="n">
        <v>1218557</v>
      </c>
      <c r="J307" s="31" t="inlineStr">
        <is>
          <t>543965</t>
        </is>
      </c>
    </row>
    <row r="308">
      <c r="A308" s="31" t="inlineStr">
        <is>
          <t>AVANTEL</t>
        </is>
      </c>
      <c r="B308" s="31" t="inlineStr">
        <is>
          <t>Avantel Ltd</t>
        </is>
      </c>
      <c r="C308" s="31" t="inlineStr">
        <is>
          <t>aerospace &amp; defence</t>
        </is>
      </c>
      <c r="D308" s="31" t="inlineStr">
        <is>
          <t>telecommunications - equipment</t>
        </is>
      </c>
      <c r="E308" s="31" t="inlineStr">
        <is>
          <t>smallcap</t>
        </is>
      </c>
      <c r="F308" s="31" t="n">
        <v>4777.75</v>
      </c>
      <c r="G308" s="31" t="n">
        <v>180.19</v>
      </c>
      <c r="H308" s="31" t="n">
        <v>0.21</v>
      </c>
      <c r="I308" s="31" t="n">
        <v>2916167</v>
      </c>
      <c r="J308" s="31" t="inlineStr">
        <is>
          <t>532406</t>
        </is>
      </c>
    </row>
    <row r="309">
      <c r="A309" s="31" t="inlineStr">
        <is>
          <t>CRAFTSMAN</t>
        </is>
      </c>
      <c r="B309" s="31" t="inlineStr">
        <is>
          <t>Craftsman Automation Ltd</t>
        </is>
      </c>
      <c r="C309" s="31" t="inlineStr">
        <is>
          <t>auto</t>
        </is>
      </c>
      <c r="D309" s="31" t="inlineStr">
        <is>
          <t>auto ancillaries</t>
        </is>
      </c>
      <c r="E309" s="31" t="inlineStr">
        <is>
          <t>largecap</t>
        </is>
      </c>
      <c r="F309" s="31" t="n">
        <v>24277.85</v>
      </c>
      <c r="G309" s="31" t="n">
        <v>9301</v>
      </c>
      <c r="H309" s="31" t="n">
        <v>0.2</v>
      </c>
      <c r="I309" s="31" t="n">
        <v>16644</v>
      </c>
      <c r="J309" s="31" t="inlineStr">
        <is>
          <t>543276</t>
        </is>
      </c>
    </row>
    <row r="310">
      <c r="A310" s="31" t="inlineStr">
        <is>
          <t>IBULLSLTD</t>
        </is>
      </c>
      <c r="B310" s="31" t="inlineStr">
        <is>
          <t>Indiabulls Limited</t>
        </is>
      </c>
      <c r="C310" s="31" t="inlineStr">
        <is>
          <t>miscellaneous</t>
        </is>
      </c>
      <c r="D310" s="31" t="inlineStr">
        <is>
          <t>diversified - medium / small</t>
        </is>
      </c>
      <c r="E310" s="31" t="inlineStr">
        <is>
          <t>midcap</t>
        </is>
      </c>
      <c r="F310" s="31" t="n">
        <v>6873.2</v>
      </c>
      <c r="G310" s="31" t="n">
        <v>29.63</v>
      </c>
      <c r="H310" s="31" t="n">
        <v>0.2</v>
      </c>
      <c r="I310" s="31" t="n">
        <v>3431801</v>
      </c>
      <c r="J310" s="31" t="inlineStr">
        <is>
          <t>533520</t>
        </is>
      </c>
    </row>
    <row r="311">
      <c r="A311" s="31" t="inlineStr">
        <is>
          <t>JLHL</t>
        </is>
      </c>
      <c r="B311" s="31" t="inlineStr">
        <is>
          <t>Jupiter Life Line Hospitals Ltd</t>
        </is>
      </c>
      <c r="C311" s="31" t="inlineStr">
        <is>
          <t>healthcare</t>
        </is>
      </c>
      <c r="D311" s="31" t="inlineStr">
        <is>
          <t>healthcare</t>
        </is>
      </c>
      <c r="E311" s="31" t="inlineStr">
        <is>
          <t>midcap</t>
        </is>
      </c>
      <c r="F311" s="31" t="n">
        <v>9599.52</v>
      </c>
      <c r="G311" s="31" t="n">
        <v>1467</v>
      </c>
      <c r="H311" s="31" t="n">
        <v>0.2</v>
      </c>
      <c r="I311" s="31" t="n">
        <v>14180</v>
      </c>
      <c r="J311" s="31" t="inlineStr">
        <is>
          <t>543980</t>
        </is>
      </c>
    </row>
    <row r="312">
      <c r="A312" s="31" t="inlineStr">
        <is>
          <t>STOVEKRAFT</t>
        </is>
      </c>
      <c r="B312" s="31" t="inlineStr">
        <is>
          <t>Stove Kraft Ltd</t>
        </is>
      </c>
      <c r="C312" s="31" t="inlineStr">
        <is>
          <t>consumer discretionary</t>
        </is>
      </c>
      <c r="D312" s="31" t="inlineStr">
        <is>
          <t>domestic appliances</t>
        </is>
      </c>
      <c r="E312" s="31" t="inlineStr">
        <is>
          <t>smallcap</t>
        </is>
      </c>
      <c r="F312" s="31" t="n">
        <v>2639.98</v>
      </c>
      <c r="G312" s="31" t="n">
        <v>798.95</v>
      </c>
      <c r="H312" s="31" t="n">
        <v>0.19</v>
      </c>
      <c r="I312" s="31" t="n">
        <v>152530</v>
      </c>
      <c r="J312" s="31" t="inlineStr">
        <is>
          <t>543260</t>
        </is>
      </c>
    </row>
    <row r="313">
      <c r="A313" s="31" t="inlineStr">
        <is>
          <t>NAUKRI</t>
        </is>
      </c>
      <c r="B313" s="31" t="inlineStr">
        <is>
          <t>Info Edge (india) Limited</t>
        </is>
      </c>
      <c r="C313" s="31" t="inlineStr">
        <is>
          <t>i.t</t>
        </is>
      </c>
      <c r="D313" s="31" t="inlineStr">
        <is>
          <t>miscellaneous</t>
        </is>
      </c>
      <c r="E313" s="31" t="inlineStr">
        <is>
          <t>largecap</t>
        </is>
      </c>
      <c r="F313" s="31" t="n">
        <v>77930.42999999999</v>
      </c>
      <c r="G313" s="31" t="n">
        <v>1204.05</v>
      </c>
      <c r="H313" s="31" t="n">
        <v>0.18</v>
      </c>
      <c r="I313" s="31" t="n">
        <v>2000869</v>
      </c>
      <c r="J313" s="31" t="inlineStr">
        <is>
          <t>532777</t>
        </is>
      </c>
    </row>
    <row r="314">
      <c r="A314" s="31" t="inlineStr">
        <is>
          <t>SHAREINDIA</t>
        </is>
      </c>
      <c r="B314" s="31" t="inlineStr">
        <is>
          <t>Share India Securities Ltd</t>
        </is>
      </c>
      <c r="C314" s="31" t="inlineStr">
        <is>
          <t>financials</t>
        </is>
      </c>
      <c r="D314" s="31" t="inlineStr">
        <is>
          <t>finance &amp; investments</t>
        </is>
      </c>
      <c r="E314" s="31" t="inlineStr">
        <is>
          <t>smallcap</t>
        </is>
      </c>
      <c r="F314" s="31" t="n">
        <v>3917.63</v>
      </c>
      <c r="G314" s="31" t="n">
        <v>179.34</v>
      </c>
      <c r="H314" s="31" t="n">
        <v>0.17</v>
      </c>
      <c r="I314" s="31" t="n">
        <v>5405243</v>
      </c>
      <c r="J314" s="31" t="inlineStr">
        <is>
          <t>540725</t>
        </is>
      </c>
    </row>
    <row r="315">
      <c r="A315" s="31" t="inlineStr">
        <is>
          <t>NIACL</t>
        </is>
      </c>
      <c r="B315" s="31" t="inlineStr">
        <is>
          <t>New India Assurance Company Ltd</t>
        </is>
      </c>
      <c r="C315" s="31" t="inlineStr">
        <is>
          <t>financials</t>
        </is>
      </c>
      <c r="D315" s="31" t="inlineStr">
        <is>
          <t>finance &amp; investments</t>
        </is>
      </c>
      <c r="E315" s="31" t="inlineStr">
        <is>
          <t>largecap</t>
        </is>
      </c>
      <c r="F315" s="31" t="n">
        <v>30260.58</v>
      </c>
      <c r="G315" s="31" t="n">
        <v>183.92</v>
      </c>
      <c r="H315" s="31" t="n">
        <v>0.16</v>
      </c>
      <c r="I315" s="31" t="n">
        <v>767460</v>
      </c>
      <c r="J315" s="31" t="inlineStr">
        <is>
          <t>540769</t>
        </is>
      </c>
    </row>
    <row r="316">
      <c r="A316" s="31" t="inlineStr">
        <is>
          <t>NAZARA</t>
        </is>
      </c>
      <c r="B316" s="31" t="inlineStr">
        <is>
          <t>Nazara Technologies Ltd</t>
        </is>
      </c>
      <c r="C316" s="31" t="inlineStr">
        <is>
          <t>i.t</t>
        </is>
      </c>
      <c r="D316" s="31" t="inlineStr">
        <is>
          <t>telecommunications - service provider</t>
        </is>
      </c>
      <c r="E316" s="31" t="inlineStr">
        <is>
          <t>midcap</t>
        </is>
      </c>
      <c r="F316" s="31" t="n">
        <v>11254.73</v>
      </c>
      <c r="G316" s="31" t="n">
        <v>304.3</v>
      </c>
      <c r="H316" s="31" t="n">
        <v>0.16</v>
      </c>
      <c r="I316" s="31" t="n">
        <v>1345409</v>
      </c>
      <c r="J316" s="31" t="inlineStr">
        <is>
          <t>543280</t>
        </is>
      </c>
    </row>
    <row r="317">
      <c r="A317" s="31" t="inlineStr">
        <is>
          <t>KIMS</t>
        </is>
      </c>
      <c r="B317" s="31" t="inlineStr">
        <is>
          <t>Krishna Institute of Medical Sciences Ltd</t>
        </is>
      </c>
      <c r="C317" s="31" t="inlineStr">
        <is>
          <t>healthcare</t>
        </is>
      </c>
      <c r="D317" s="31" t="inlineStr">
        <is>
          <t>healthcare</t>
        </is>
      </c>
      <c r="E317" s="31" t="inlineStr">
        <is>
          <t>largecap</t>
        </is>
      </c>
      <c r="F317" s="31" t="n">
        <v>32561.31</v>
      </c>
      <c r="G317" s="31" t="n">
        <v>814.9</v>
      </c>
      <c r="H317" s="31" t="n">
        <v>0.14</v>
      </c>
      <c r="I317" s="31" t="n">
        <v>405414</v>
      </c>
      <c r="J317" s="31" t="inlineStr">
        <is>
          <t>543307</t>
        </is>
      </c>
    </row>
    <row r="318">
      <c r="A318" s="31" t="inlineStr">
        <is>
          <t>AZAD</t>
        </is>
      </c>
      <c r="B318" s="31" t="inlineStr">
        <is>
          <t>Azad Engineering Ltd</t>
        </is>
      </c>
      <c r="C318" s="31" t="inlineStr">
        <is>
          <t>aerospace &amp; defence</t>
        </is>
      </c>
      <c r="D318" s="31" t="inlineStr">
        <is>
          <t>engineering</t>
        </is>
      </c>
      <c r="E318" s="31" t="inlineStr">
        <is>
          <t>midcap</t>
        </is>
      </c>
      <c r="F318" s="31" t="n">
        <v>15991.09</v>
      </c>
      <c r="G318" s="31" t="n">
        <v>2479.5</v>
      </c>
      <c r="H318" s="31" t="n">
        <v>0.14</v>
      </c>
      <c r="I318" s="31" t="n">
        <v>923623</v>
      </c>
      <c r="J318" s="31" t="inlineStr">
        <is>
          <t>544061</t>
        </is>
      </c>
    </row>
    <row r="319">
      <c r="A319" s="31" t="inlineStr">
        <is>
          <t>IMPAL</t>
        </is>
      </c>
      <c r="B319" s="31" t="inlineStr">
        <is>
          <t>India Motor Parts And Accessories Limited</t>
        </is>
      </c>
      <c r="C319" s="31" t="inlineStr">
        <is>
          <t>auto</t>
        </is>
      </c>
      <c r="D319" s="31" t="inlineStr">
        <is>
          <t>auto ancillaries</t>
        </is>
      </c>
      <c r="E319" s="31" t="inlineStr">
        <is>
          <t>smallcap</t>
        </is>
      </c>
      <c r="F319" s="31" t="n">
        <v>1442.06</v>
      </c>
      <c r="G319" s="31" t="n">
        <v>1157</v>
      </c>
      <c r="H319" s="31" t="n">
        <v>0.13</v>
      </c>
      <c r="I319" s="31" t="n">
        <v>4130</v>
      </c>
      <c r="J319" s="31" t="inlineStr">
        <is>
          <t>590065</t>
        </is>
      </c>
    </row>
    <row r="320">
      <c r="A320" s="31" t="inlineStr">
        <is>
          <t>GOKEX</t>
        </is>
      </c>
      <c r="B320" s="31" t="inlineStr">
        <is>
          <t>Gokaldas Exports Limited</t>
        </is>
      </c>
      <c r="C320" s="31" t="inlineStr">
        <is>
          <t>consumer discretionary</t>
        </is>
      </c>
      <c r="D320" s="31" t="inlineStr">
        <is>
          <t>textiles - products</t>
        </is>
      </c>
      <c r="E320" s="31" t="inlineStr">
        <is>
          <t>midcap</t>
        </is>
      </c>
      <c r="F320" s="31" t="n">
        <v>6091.61</v>
      </c>
      <c r="G320" s="31" t="n">
        <v>832.75</v>
      </c>
      <c r="H320" s="31" t="n">
        <v>0.13</v>
      </c>
      <c r="I320" s="31" t="n">
        <v>167781</v>
      </c>
      <c r="J320" s="31" t="inlineStr">
        <is>
          <t>532630</t>
        </is>
      </c>
    </row>
    <row r="321">
      <c r="A321" s="31" t="inlineStr">
        <is>
          <t>FDC</t>
        </is>
      </c>
      <c r="B321" s="31" t="inlineStr">
        <is>
          <t>Fdc Limited</t>
        </is>
      </c>
      <c r="C321" s="31" t="inlineStr">
        <is>
          <t>healthcare</t>
        </is>
      </c>
      <c r="D321" s="31" t="inlineStr">
        <is>
          <t>pharmaceuticals - indian - bulk drugs &amp; formln</t>
        </is>
      </c>
      <c r="E321" s="31" t="inlineStr">
        <is>
          <t>midcap</t>
        </is>
      </c>
      <c r="F321" s="31" t="n">
        <v>7035.02</v>
      </c>
      <c r="G321" s="31" t="n">
        <v>432.6</v>
      </c>
      <c r="H321" s="31" t="n">
        <v>0.12</v>
      </c>
      <c r="I321" s="31" t="n">
        <v>171808</v>
      </c>
      <c r="J321" s="31" t="inlineStr">
        <is>
          <t>531599</t>
        </is>
      </c>
    </row>
    <row r="322">
      <c r="A322" s="31" t="inlineStr">
        <is>
          <t>HONASA</t>
        </is>
      </c>
      <c r="B322" s="31" t="inlineStr">
        <is>
          <t>Honasa Consumer Ltd</t>
        </is>
      </c>
      <c r="C322" s="31" t="inlineStr">
        <is>
          <t>services</t>
        </is>
      </c>
      <c r="D322" s="31" t="inlineStr">
        <is>
          <t>trading</t>
        </is>
      </c>
      <c r="E322" s="31" t="inlineStr">
        <is>
          <t>midcap</t>
        </is>
      </c>
      <c r="F322" s="31" t="n">
        <v>15344.44</v>
      </c>
      <c r="G322" s="31" t="n">
        <v>472.1</v>
      </c>
      <c r="H322" s="31" t="n">
        <v>0.11</v>
      </c>
      <c r="I322" s="31" t="n">
        <v>1069474</v>
      </c>
      <c r="J322" s="31" t="inlineStr">
        <is>
          <t>544014</t>
        </is>
      </c>
    </row>
    <row r="323">
      <c r="A323" s="31" t="inlineStr">
        <is>
          <t>CANFINHOME</t>
        </is>
      </c>
      <c r="B323" s="31" t="inlineStr">
        <is>
          <t>Can Fin Homes Limited</t>
        </is>
      </c>
      <c r="C323" s="31" t="inlineStr">
        <is>
          <t>financials</t>
        </is>
      </c>
      <c r="D323" s="31" t="inlineStr">
        <is>
          <t>finance - housing</t>
        </is>
      </c>
      <c r="E323" s="31" t="inlineStr">
        <is>
          <t>midcap</t>
        </is>
      </c>
      <c r="F323" s="31" t="n">
        <v>12198.25</v>
      </c>
      <c r="G323" s="31" t="n">
        <v>917</v>
      </c>
      <c r="H323" s="31" t="n">
        <v>0.1</v>
      </c>
      <c r="I323" s="31" t="n">
        <v>241688</v>
      </c>
      <c r="J323" s="31" t="inlineStr">
        <is>
          <t>511196</t>
        </is>
      </c>
    </row>
    <row r="324">
      <c r="A324" s="31" t="inlineStr">
        <is>
          <t>CUB</t>
        </is>
      </c>
      <c r="B324" s="31" t="inlineStr">
        <is>
          <t>City Union Bank Limited</t>
        </is>
      </c>
      <c r="C324" s="31" t="inlineStr">
        <is>
          <t>bank</t>
        </is>
      </c>
      <c r="D324" s="31" t="inlineStr">
        <is>
          <t>banks - private sector</t>
        </is>
      </c>
      <c r="E324" s="31" t="inlineStr">
        <is>
          <t>midcap</t>
        </is>
      </c>
      <c r="F324" s="31" t="n">
        <v>17022.47</v>
      </c>
      <c r="G324" s="31" t="n">
        <v>229.33</v>
      </c>
      <c r="H324" s="31" t="n">
        <v>0.1</v>
      </c>
      <c r="I324" s="31" t="n">
        <v>2655713</v>
      </c>
      <c r="J324" s="31" t="inlineStr">
        <is>
          <t>532210</t>
        </is>
      </c>
    </row>
    <row r="325">
      <c r="A325" s="31" t="inlineStr">
        <is>
          <t>TPLPLASTEH</t>
        </is>
      </c>
      <c r="B325" s="31" t="inlineStr">
        <is>
          <t>Tpl Plastech Limited</t>
        </is>
      </c>
      <c r="C325" s="31" t="inlineStr">
        <is>
          <t>industrials</t>
        </is>
      </c>
      <c r="D325" s="31" t="inlineStr">
        <is>
          <t>packaging</t>
        </is>
      </c>
      <c r="E325" s="31" t="inlineStr">
        <is>
          <t>smallcap</t>
        </is>
      </c>
      <c r="F325" s="31" t="n">
        <v>643.76</v>
      </c>
      <c r="G325" s="31" t="n">
        <v>82.61</v>
      </c>
      <c r="H325" s="31" t="n">
        <v>0.1</v>
      </c>
      <c r="I325" s="31" t="n">
        <v>145256</v>
      </c>
      <c r="J325" s="31" t="inlineStr">
        <is>
          <t>526582</t>
        </is>
      </c>
    </row>
    <row r="326">
      <c r="A326" s="31" t="inlineStr">
        <is>
          <t>ORBTEXP</t>
        </is>
      </c>
      <c r="B326" s="31" t="inlineStr">
        <is>
          <t>Orbit Exports Limited</t>
        </is>
      </c>
      <c r="C326" s="31" t="inlineStr">
        <is>
          <t>textiles</t>
        </is>
      </c>
      <c r="D326" s="31" t="inlineStr">
        <is>
          <t>textiles - processing</t>
        </is>
      </c>
      <c r="E326" s="31" t="inlineStr">
        <is>
          <t>smallcap</t>
        </is>
      </c>
      <c r="F326" s="31" t="n">
        <v>614.48</v>
      </c>
      <c r="G326" s="31" t="n">
        <v>232</v>
      </c>
      <c r="H326" s="31" t="n">
        <v>0.09</v>
      </c>
      <c r="I326" s="31" t="n">
        <v>9344</v>
      </c>
      <c r="J326" s="31" t="inlineStr">
        <is>
          <t>512626</t>
        </is>
      </c>
    </row>
    <row r="327">
      <c r="A327" s="31" t="inlineStr">
        <is>
          <t>SKYGOLD</t>
        </is>
      </c>
      <c r="B327" s="31" t="inlineStr">
        <is>
          <t>Sky Gold Ltd</t>
        </is>
      </c>
      <c r="C327" s="31" t="inlineStr">
        <is>
          <t>consumer discretionary</t>
        </is>
      </c>
      <c r="D327" s="31" t="inlineStr">
        <is>
          <t>diamond cutting / jewellery</t>
        </is>
      </c>
      <c r="E327" s="31" t="inlineStr">
        <is>
          <t>midcap</t>
        </is>
      </c>
      <c r="F327" s="31" t="n">
        <v>9653.290000000001</v>
      </c>
      <c r="G327" s="31" t="n">
        <v>623.85</v>
      </c>
      <c r="H327" s="31" t="n">
        <v>0.09</v>
      </c>
      <c r="I327" s="31" t="n">
        <v>1634612</v>
      </c>
      <c r="J327" s="31" t="inlineStr">
        <is>
          <t>541967</t>
        </is>
      </c>
    </row>
    <row r="328">
      <c r="A328" s="31" t="inlineStr">
        <is>
          <t>TORNTPHARM</t>
        </is>
      </c>
      <c r="B328" s="31" t="inlineStr">
        <is>
          <t>Torrent Pharmaceuticals Limited</t>
        </is>
      </c>
      <c r="C328" s="31" t="inlineStr">
        <is>
          <t>healthcare</t>
        </is>
      </c>
      <c r="D328" s="31" t="inlineStr">
        <is>
          <t>pharmaceuticals - indian - formulations</t>
        </is>
      </c>
      <c r="E328" s="31" t="inlineStr">
        <is>
          <t>largecap</t>
        </is>
      </c>
      <c r="F328" s="31" t="n">
        <v>165777.35</v>
      </c>
      <c r="G328" s="31" t="n">
        <v>4901.5</v>
      </c>
      <c r="H328" s="31" t="n">
        <v>0.07000000000000001</v>
      </c>
      <c r="I328" s="31" t="n">
        <v>963170</v>
      </c>
      <c r="J328" s="31" t="inlineStr">
        <is>
          <t>500420</t>
        </is>
      </c>
    </row>
    <row r="329">
      <c r="A329" s="31" t="inlineStr">
        <is>
          <t>ALKYLAMINE</t>
        </is>
      </c>
      <c r="B329" s="31" t="inlineStr">
        <is>
          <t>Alkyl Amines Chemicals Limited</t>
        </is>
      </c>
      <c r="C329" s="31" t="inlineStr">
        <is>
          <t>chemicals</t>
        </is>
      </c>
      <c r="D329" s="31" t="inlineStr">
        <is>
          <t>chemicals</t>
        </is>
      </c>
      <c r="E329" s="31" t="inlineStr">
        <is>
          <t>midcap</t>
        </is>
      </c>
      <c r="F329" s="31" t="n">
        <v>9996.620000000001</v>
      </c>
      <c r="G329" s="31" t="n">
        <v>1956</v>
      </c>
      <c r="H329" s="31" t="n">
        <v>0.07000000000000001</v>
      </c>
      <c r="I329" s="31" t="n">
        <v>174667</v>
      </c>
      <c r="J329" s="31" t="inlineStr">
        <is>
          <t>506767</t>
        </is>
      </c>
    </row>
    <row r="330">
      <c r="A330" s="31" t="inlineStr">
        <is>
          <t>PSPPROJECT</t>
        </is>
      </c>
      <c r="B330" s="31" t="inlineStr">
        <is>
          <t>PSP Projects Ltd</t>
        </is>
      </c>
      <c r="C330" s="31" t="inlineStr">
        <is>
          <t>realty</t>
        </is>
      </c>
      <c r="D330" s="31" t="inlineStr">
        <is>
          <t>construction</t>
        </is>
      </c>
      <c r="E330" s="31" t="inlineStr">
        <is>
          <t>smallcap</t>
        </is>
      </c>
      <c r="F330" s="31" t="n">
        <v>4240.48</v>
      </c>
      <c r="G330" s="31" t="n">
        <v>1070.4</v>
      </c>
      <c r="H330" s="31" t="n">
        <v>0.07000000000000001</v>
      </c>
      <c r="I330" s="31" t="n">
        <v>56070</v>
      </c>
      <c r="J330" s="31" t="inlineStr">
        <is>
          <t>540544</t>
        </is>
      </c>
    </row>
    <row r="331">
      <c r="A331" s="31" t="inlineStr">
        <is>
          <t>TIPSMUSIC</t>
        </is>
      </c>
      <c r="B331" s="31" t="inlineStr">
        <is>
          <t>Tips Music Ltd</t>
        </is>
      </c>
      <c r="C331" s="31" t="inlineStr">
        <is>
          <t>media</t>
        </is>
      </c>
      <c r="D331" s="31" t="inlineStr">
        <is>
          <t>entertainment / electronic media software</t>
        </is>
      </c>
      <c r="E331" s="31" t="inlineStr">
        <is>
          <t>midcap</t>
        </is>
      </c>
      <c r="F331" s="31" t="n">
        <v>9090.74</v>
      </c>
      <c r="G331" s="31" t="n">
        <v>711.55</v>
      </c>
      <c r="H331" s="31" t="n">
        <v>0.06</v>
      </c>
      <c r="I331" s="31" t="n">
        <v>306650</v>
      </c>
      <c r="J331" s="31" t="inlineStr">
        <is>
          <t>532375</t>
        </is>
      </c>
    </row>
    <row r="332">
      <c r="A332" s="31" t="inlineStr">
        <is>
          <t>INDUSINDBK</t>
        </is>
      </c>
      <c r="B332" s="31" t="inlineStr">
        <is>
          <t>Indusind Bank Limited</t>
        </is>
      </c>
      <c r="C332" s="31" t="inlineStr">
        <is>
          <t>bank</t>
        </is>
      </c>
      <c r="D332" s="31" t="inlineStr">
        <is>
          <t>banks - private sector</t>
        </is>
      </c>
      <c r="E332" s="31" t="inlineStr">
        <is>
          <t>largecap</t>
        </is>
      </c>
      <c r="F332" s="31" t="n">
        <v>79090.95</v>
      </c>
      <c r="G332" s="31" t="n">
        <v>1015.8</v>
      </c>
      <c r="H332" s="31" t="n">
        <v>0.06</v>
      </c>
      <c r="I332" s="31" t="n">
        <v>1084133</v>
      </c>
      <c r="J332" s="31" t="inlineStr">
        <is>
          <t>532187</t>
        </is>
      </c>
    </row>
    <row r="333">
      <c r="A333" s="31" t="inlineStr">
        <is>
          <t>GEOJITFSL</t>
        </is>
      </c>
      <c r="B333" s="31" t="inlineStr">
        <is>
          <t>Geojit Financial Services Ltd</t>
        </is>
      </c>
      <c r="C333" s="31" t="inlineStr">
        <is>
          <t>financials</t>
        </is>
      </c>
      <c r="D333" s="31" t="inlineStr">
        <is>
          <t>finance &amp; investments</t>
        </is>
      </c>
      <c r="E333" s="31" t="inlineStr">
        <is>
          <t>smallcap</t>
        </is>
      </c>
      <c r="F333" s="31" t="n">
        <v>2209.53</v>
      </c>
      <c r="G333" s="31" t="n">
        <v>79.2</v>
      </c>
      <c r="H333" s="31" t="n">
        <v>0.05</v>
      </c>
      <c r="I333" s="31" t="n">
        <v>323675</v>
      </c>
      <c r="J333" s="31" t="inlineStr">
        <is>
          <t>532285</t>
        </is>
      </c>
    </row>
    <row r="334">
      <c r="A334" s="31" t="inlineStr">
        <is>
          <t>LTF</t>
        </is>
      </c>
      <c r="B334" s="31" t="inlineStr">
        <is>
          <t>L&amp;T Finance Ltd</t>
        </is>
      </c>
      <c r="C334" s="31" t="inlineStr">
        <is>
          <t>financials</t>
        </is>
      </c>
      <c r="D334" s="31" t="inlineStr">
        <is>
          <t>finance &amp; investments</t>
        </is>
      </c>
      <c r="E334" s="31" t="inlineStr">
        <is>
          <t>largecap</t>
        </is>
      </c>
      <c r="F334" s="31" t="n">
        <v>80451.8</v>
      </c>
      <c r="G334" s="31" t="n">
        <v>321.25</v>
      </c>
      <c r="H334" s="31" t="n">
        <v>0.05</v>
      </c>
      <c r="I334" s="31" t="n">
        <v>9600349</v>
      </c>
      <c r="J334" s="31" t="inlineStr">
        <is>
          <t>533519</t>
        </is>
      </c>
    </row>
    <row r="335">
      <c r="A335" s="31" t="inlineStr">
        <is>
          <t>SIS</t>
        </is>
      </c>
      <c r="B335" s="31" t="inlineStr">
        <is>
          <t>Security &amp; Intelligence Services India</t>
        </is>
      </c>
      <c r="C335" s="31" t="inlineStr">
        <is>
          <t>miscellaneous</t>
        </is>
      </c>
      <c r="D335" s="31" t="inlineStr">
        <is>
          <t>miscellaneous</t>
        </is>
      </c>
      <c r="E335" s="31" t="inlineStr">
        <is>
          <t>midcap</t>
        </is>
      </c>
      <c r="F335" s="31" t="n">
        <v>6184.9</v>
      </c>
      <c r="G335" s="31" t="n">
        <v>438</v>
      </c>
      <c r="H335" s="31" t="n">
        <v>0.05</v>
      </c>
      <c r="I335" s="31" t="n">
        <v>91055</v>
      </c>
      <c r="J335" s="31" t="inlineStr">
        <is>
          <t>540673</t>
        </is>
      </c>
    </row>
    <row r="336">
      <c r="A336" s="31" t="inlineStr">
        <is>
          <t>BLISSGVS</t>
        </is>
      </c>
      <c r="B336" s="31" t="inlineStr">
        <is>
          <t>Bliss Gvs Pharma Limited</t>
        </is>
      </c>
      <c r="C336" s="31" t="inlineStr">
        <is>
          <t>healthcare</t>
        </is>
      </c>
      <c r="D336" s="31" t="inlineStr">
        <is>
          <t>pharmaceuticals - indian - formulations</t>
        </is>
      </c>
      <c r="E336" s="31" t="inlineStr">
        <is>
          <t>midcap</t>
        </is>
      </c>
      <c r="F336" s="31" t="n">
        <v>5544.93</v>
      </c>
      <c r="G336" s="31" t="n">
        <v>524.3</v>
      </c>
      <c r="H336" s="31" t="n">
        <v>0.03</v>
      </c>
      <c r="I336" s="31" t="n">
        <v>456537</v>
      </c>
      <c r="J336" s="31" t="inlineStr">
        <is>
          <t>506197</t>
        </is>
      </c>
    </row>
    <row r="337">
      <c r="A337" s="31" t="inlineStr">
        <is>
          <t>MAYURUNIQ</t>
        </is>
      </c>
      <c r="B337" s="31" t="inlineStr">
        <is>
          <t>Mayur Uniquoters Ltd</t>
        </is>
      </c>
      <c r="C337" s="31" t="inlineStr">
        <is>
          <t>consumer discretionary</t>
        </is>
      </c>
      <c r="D337" s="31" t="inlineStr">
        <is>
          <t>leather / leather products</t>
        </is>
      </c>
      <c r="E337" s="31" t="inlineStr">
        <is>
          <t>smallcap</t>
        </is>
      </c>
      <c r="F337" s="31" t="n">
        <v>3620.91</v>
      </c>
      <c r="G337" s="31" t="n">
        <v>833.55</v>
      </c>
      <c r="H337" s="31" t="n">
        <v>0.03</v>
      </c>
      <c r="I337" s="31" t="n">
        <v>118732</v>
      </c>
      <c r="J337" s="31" t="inlineStr">
        <is>
          <t>522249</t>
        </is>
      </c>
    </row>
    <row r="338">
      <c r="A338" s="31" t="inlineStr">
        <is>
          <t>PANSARI</t>
        </is>
      </c>
      <c r="B338" s="31" t="inlineStr">
        <is>
          <t>Pansari Developers Ltd</t>
        </is>
      </c>
      <c r="C338" s="31" t="inlineStr">
        <is>
          <t>realty</t>
        </is>
      </c>
      <c r="D338" s="31" t="inlineStr">
        <is>
          <t>construction</t>
        </is>
      </c>
      <c r="E338" s="31" t="inlineStr">
        <is>
          <t>smallcap</t>
        </is>
      </c>
      <c r="F338" s="31" t="n">
        <v>628</v>
      </c>
      <c r="G338" s="31" t="n">
        <v>360</v>
      </c>
      <c r="H338" s="31" t="n">
        <v>0.01</v>
      </c>
      <c r="I338" s="31" t="n">
        <v>445253</v>
      </c>
      <c r="J338" s="31" t="inlineStr">
        <is>
          <t>538381</t>
        </is>
      </c>
    </row>
    <row r="339">
      <c r="A339" s="31" t="inlineStr">
        <is>
          <t>MENONBE</t>
        </is>
      </c>
      <c r="B339" s="31" t="inlineStr">
        <is>
          <t>Menon Bearings Limited</t>
        </is>
      </c>
      <c r="C339" s="31" t="inlineStr">
        <is>
          <t>auto</t>
        </is>
      </c>
      <c r="D339" s="31" t="inlineStr">
        <is>
          <t>auto ancillaries</t>
        </is>
      </c>
      <c r="E339" s="31" t="inlineStr">
        <is>
          <t>smallcap</t>
        </is>
      </c>
      <c r="F339" s="31" t="n">
        <v>974.42</v>
      </c>
      <c r="G339" s="31" t="n">
        <v>173.9</v>
      </c>
      <c r="H339" s="31" t="n">
        <v>0.01</v>
      </c>
      <c r="I339" s="31" t="n">
        <v>32077</v>
      </c>
      <c r="J339" s="31" t="inlineStr">
        <is>
          <t>523828</t>
        </is>
      </c>
    </row>
    <row r="340">
      <c r="A340" s="31" t="inlineStr">
        <is>
          <t>ATULAUTO</t>
        </is>
      </c>
      <c r="B340" s="31" t="inlineStr">
        <is>
          <t>Atul Auto Limited</t>
        </is>
      </c>
      <c r="C340" s="31" t="inlineStr">
        <is>
          <t>auto</t>
        </is>
      </c>
      <c r="D340" s="31" t="inlineStr">
        <is>
          <t>automobiles - scooters and 3 - wheelers</t>
        </is>
      </c>
      <c r="E340" s="31" t="inlineStr">
        <is>
          <t>smallcap</t>
        </is>
      </c>
      <c r="F340" s="31" t="n">
        <v>1363.28</v>
      </c>
      <c r="G340" s="31" t="n">
        <v>491.25</v>
      </c>
      <c r="H340" s="31" t="n">
        <v>0</v>
      </c>
      <c r="I340" s="31" t="n">
        <v>88661</v>
      </c>
      <c r="J340" s="31" t="inlineStr">
        <is>
          <t>531795</t>
        </is>
      </c>
    </row>
    <row r="341">
      <c r="A341" s="31" t="inlineStr">
        <is>
          <t>STARHEALTH</t>
        </is>
      </c>
      <c r="B341" s="31" t="inlineStr">
        <is>
          <t>Star Health &amp; Allied Insurance Company Ltd</t>
        </is>
      </c>
      <c r="C341" s="31" t="inlineStr">
        <is>
          <t>financials</t>
        </is>
      </c>
      <c r="D341" s="31" t="inlineStr">
        <is>
          <t>finance &amp; investments</t>
        </is>
      </c>
      <c r="E341" s="31" t="inlineStr">
        <is>
          <t>largecap</t>
        </is>
      </c>
      <c r="F341" s="31" t="n">
        <v>35495.44</v>
      </c>
      <c r="G341" s="31" t="n">
        <v>603.25</v>
      </c>
      <c r="H341" s="31" t="n">
        <v>0</v>
      </c>
      <c r="I341" s="31" t="n">
        <v>427962</v>
      </c>
      <c r="J341" s="31" t="inlineStr">
        <is>
          <t>543412</t>
        </is>
      </c>
    </row>
    <row r="342">
      <c r="A342" s="31" t="inlineStr">
        <is>
          <t>WELENT</t>
        </is>
      </c>
      <c r="B342" s="31" t="inlineStr">
        <is>
          <t>Welspun Enterprises Limited</t>
        </is>
      </c>
      <c r="C342" s="31" t="inlineStr">
        <is>
          <t>realty</t>
        </is>
      </c>
      <c r="D342" s="31" t="inlineStr">
        <is>
          <t>construction</t>
        </is>
      </c>
      <c r="E342" s="31" t="inlineStr">
        <is>
          <t>midcap</t>
        </is>
      </c>
      <c r="F342" s="31" t="n">
        <v>8498.610000000001</v>
      </c>
      <c r="G342" s="31" t="n">
        <v>614</v>
      </c>
      <c r="H342" s="31" t="n">
        <v>0</v>
      </c>
      <c r="I342" s="31" t="n">
        <v>612395</v>
      </c>
      <c r="J342" s="31" t="inlineStr">
        <is>
          <t>532553</t>
        </is>
      </c>
    </row>
    <row r="343">
      <c r="A343" s="31" t="inlineStr">
        <is>
          <t>JNKINDIA</t>
        </is>
      </c>
      <c r="B343" s="31" t="inlineStr">
        <is>
          <t>JNK India Ltd</t>
        </is>
      </c>
      <c r="C343" s="31" t="inlineStr">
        <is>
          <t>realty</t>
        </is>
      </c>
      <c r="D343" s="31" t="inlineStr">
        <is>
          <t>engineering - turnkey services</t>
        </is>
      </c>
      <c r="E343" s="31" t="inlineStr">
        <is>
          <t>smallcap</t>
        </is>
      </c>
      <c r="F343" s="31" t="n">
        <v>2850.57</v>
      </c>
      <c r="G343" s="31" t="n">
        <v>509.35</v>
      </c>
      <c r="H343" s="31" t="n">
        <v>-0.02</v>
      </c>
      <c r="I343" s="31" t="n">
        <v>585428</v>
      </c>
      <c r="J343" s="31" t="inlineStr">
        <is>
          <t>544167</t>
        </is>
      </c>
    </row>
    <row r="344">
      <c r="A344" s="31" t="inlineStr">
        <is>
          <t>MACPOWER</t>
        </is>
      </c>
      <c r="B344" s="31" t="inlineStr">
        <is>
          <t>Macpower CNC Machines Ltd</t>
        </is>
      </c>
      <c r="C344" s="31" t="inlineStr">
        <is>
          <t>industrials</t>
        </is>
      </c>
      <c r="D344" s="31" t="inlineStr">
        <is>
          <t>engineering</t>
        </is>
      </c>
      <c r="E344" s="31" t="inlineStr">
        <is>
          <t>midcap</t>
        </is>
      </c>
      <c r="F344" s="31" t="n">
        <v>11478.79</v>
      </c>
      <c r="G344" s="31" t="n">
        <v>1371.7</v>
      </c>
      <c r="H344" s="31" t="n">
        <v>-0.04</v>
      </c>
      <c r="I344" s="31" t="n">
        <v>7528</v>
      </c>
      <c r="J344" s="31" t="inlineStr">
        <is>
          <t>535057</t>
        </is>
      </c>
    </row>
    <row r="345">
      <c r="A345" s="31" t="inlineStr">
        <is>
          <t>APOLLOHOSP</t>
        </is>
      </c>
      <c r="B345" s="31" t="inlineStr">
        <is>
          <t>Apollo Hospitals Enterprise Limited</t>
        </is>
      </c>
      <c r="C345" s="31" t="inlineStr">
        <is>
          <t>healthcare</t>
        </is>
      </c>
      <c r="D345" s="31" t="inlineStr">
        <is>
          <t>healthcare</t>
        </is>
      </c>
      <c r="E345" s="31" t="inlineStr">
        <is>
          <t>largecap</t>
        </is>
      </c>
      <c r="F345" s="31" t="n">
        <v>127184.72</v>
      </c>
      <c r="G345" s="31" t="n">
        <v>8841</v>
      </c>
      <c r="H345" s="31" t="n">
        <v>-0.05</v>
      </c>
      <c r="I345" s="31" t="n">
        <v>264699</v>
      </c>
      <c r="J345" s="31" t="inlineStr">
        <is>
          <t>508869</t>
        </is>
      </c>
    </row>
    <row r="346">
      <c r="A346" s="31" t="inlineStr">
        <is>
          <t>KKCL</t>
        </is>
      </c>
      <c r="B346" s="31" t="inlineStr">
        <is>
          <t>Kewal Kiran Clothing Limited</t>
        </is>
      </c>
      <c r="C346" s="31" t="inlineStr">
        <is>
          <t>consumer discretionary</t>
        </is>
      </c>
      <c r="D346" s="31" t="inlineStr">
        <is>
          <t>textiles - products</t>
        </is>
      </c>
      <c r="E346" s="31" t="inlineStr">
        <is>
          <t>smallcap</t>
        </is>
      </c>
      <c r="F346" s="31" t="n">
        <v>3053.84</v>
      </c>
      <c r="G346" s="31" t="n">
        <v>495.3</v>
      </c>
      <c r="H346" s="31" t="n">
        <v>-0.05</v>
      </c>
      <c r="I346" s="31" t="n">
        <v>44421</v>
      </c>
      <c r="J346" s="31" t="inlineStr">
        <is>
          <t>532732</t>
        </is>
      </c>
    </row>
    <row r="347">
      <c r="A347" s="31" t="inlineStr">
        <is>
          <t>TVSMOTOR</t>
        </is>
      </c>
      <c r="B347" s="31" t="inlineStr">
        <is>
          <t>Tvs Motor Company Limited</t>
        </is>
      </c>
      <c r="C347" s="31" t="inlineStr">
        <is>
          <t>auto</t>
        </is>
      </c>
      <c r="D347" s="31" t="inlineStr">
        <is>
          <t>automobiles - motorcycles / mopeds</t>
        </is>
      </c>
      <c r="E347" s="31" t="inlineStr">
        <is>
          <t>largecap</t>
        </is>
      </c>
      <c r="F347" s="31" t="n">
        <v>172271.34</v>
      </c>
      <c r="G347" s="31" t="n">
        <v>3623.1</v>
      </c>
      <c r="H347" s="31" t="n">
        <v>-0.08</v>
      </c>
      <c r="I347" s="31" t="n">
        <v>345846</v>
      </c>
      <c r="J347" s="31" t="inlineStr">
        <is>
          <t>532343</t>
        </is>
      </c>
    </row>
    <row r="348">
      <c r="A348" s="31" t="inlineStr">
        <is>
          <t>INNOVACAP</t>
        </is>
      </c>
      <c r="B348" s="31" t="inlineStr">
        <is>
          <t>Innova Captab Ltd</t>
        </is>
      </c>
      <c r="C348" s="31" t="inlineStr">
        <is>
          <t>healthcare</t>
        </is>
      </c>
      <c r="D348" s="31" t="inlineStr">
        <is>
          <t>pharmaceuticals - indian - bulk drugs &amp; formln</t>
        </is>
      </c>
      <c r="E348" s="31" t="inlineStr">
        <is>
          <t>midcap</t>
        </is>
      </c>
      <c r="F348" s="31" t="n">
        <v>5670.13</v>
      </c>
      <c r="G348" s="31" t="n">
        <v>990</v>
      </c>
      <c r="H348" s="31" t="n">
        <v>-0.09</v>
      </c>
      <c r="I348" s="31" t="n">
        <v>65327</v>
      </c>
      <c r="J348" s="31" t="inlineStr">
        <is>
          <t>544067</t>
        </is>
      </c>
    </row>
    <row r="349">
      <c r="A349" s="31" t="inlineStr">
        <is>
          <t>BALRAMCHIN</t>
        </is>
      </c>
      <c r="B349" s="31" t="inlineStr">
        <is>
          <t>Balrampur Chini Mills Limited</t>
        </is>
      </c>
      <c r="C349" s="31" t="inlineStr">
        <is>
          <t>fmcg</t>
        </is>
      </c>
      <c r="D349" s="31" t="inlineStr">
        <is>
          <t>sugar</t>
        </is>
      </c>
      <c r="E349" s="31" t="inlineStr">
        <is>
          <t>midcap</t>
        </is>
      </c>
      <c r="F349" s="31" t="n">
        <v>11988.36</v>
      </c>
      <c r="G349" s="31" t="n">
        <v>566.9</v>
      </c>
      <c r="H349" s="31" t="n">
        <v>-0.1</v>
      </c>
      <c r="I349" s="31" t="n">
        <v>220276</v>
      </c>
      <c r="J349" s="31" t="inlineStr">
        <is>
          <t>500038</t>
        </is>
      </c>
    </row>
    <row r="350">
      <c r="A350" s="31" t="inlineStr">
        <is>
          <t>THELEELA</t>
        </is>
      </c>
      <c r="B350" s="31" t="inlineStr">
        <is>
          <t>Leela Palaces Hotels &amp; Resorts Ltd</t>
        </is>
      </c>
      <c r="C350" s="31" t="inlineStr">
        <is>
          <t>services</t>
        </is>
      </c>
      <c r="D350" s="31" t="inlineStr">
        <is>
          <t>hotels</t>
        </is>
      </c>
      <c r="E350" s="31" t="inlineStr">
        <is>
          <t>midcap</t>
        </is>
      </c>
      <c r="F350" s="31" t="n">
        <v>16717.93</v>
      </c>
      <c r="G350" s="31" t="n">
        <v>500</v>
      </c>
      <c r="H350" s="31" t="n">
        <v>-0.12</v>
      </c>
      <c r="I350" s="31" t="n">
        <v>325109</v>
      </c>
      <c r="J350" s="31" t="inlineStr">
        <is>
          <t>544408</t>
        </is>
      </c>
    </row>
    <row r="351">
      <c r="A351" s="31" t="inlineStr">
        <is>
          <t>CIPLA</t>
        </is>
      </c>
      <c r="B351" s="31" t="inlineStr">
        <is>
          <t>Cipla Limited</t>
        </is>
      </c>
      <c r="C351" s="31" t="inlineStr">
        <is>
          <t>healthcare</t>
        </is>
      </c>
      <c r="D351" s="31" t="inlineStr">
        <is>
          <t>pharmaceuticals - indian - bulk drugs &amp; formln</t>
        </is>
      </c>
      <c r="E351" s="31" t="inlineStr">
        <is>
          <t>largecap</t>
        </is>
      </c>
      <c r="F351" s="31" t="n">
        <v>116425.71</v>
      </c>
      <c r="G351" s="31" t="n">
        <v>1439.4</v>
      </c>
      <c r="H351" s="31" t="n">
        <v>-0.13</v>
      </c>
      <c r="I351" s="31" t="n">
        <v>746186</v>
      </c>
      <c r="J351" s="31" t="inlineStr">
        <is>
          <t>500087</t>
        </is>
      </c>
    </row>
    <row r="352">
      <c r="A352" s="31" t="inlineStr">
        <is>
          <t>OAL</t>
        </is>
      </c>
      <c r="B352" s="31" t="inlineStr">
        <is>
          <t>Oriental Aromatics Ltd</t>
        </is>
      </c>
      <c r="C352" s="31" t="inlineStr">
        <is>
          <t>chemicals</t>
        </is>
      </c>
      <c r="D352" s="31" t="inlineStr">
        <is>
          <t>chemicals</t>
        </is>
      </c>
      <c r="E352" s="31" t="inlineStr">
        <is>
          <t>smallcap</t>
        </is>
      </c>
      <c r="F352" s="31" t="n">
        <v>1170.3</v>
      </c>
      <c r="G352" s="31" t="n">
        <v>347.3</v>
      </c>
      <c r="H352" s="31" t="n">
        <v>-0.13</v>
      </c>
      <c r="I352" s="31" t="n">
        <v>27021</v>
      </c>
      <c r="J352" s="31" t="inlineStr">
        <is>
          <t>500078</t>
        </is>
      </c>
    </row>
    <row r="353">
      <c r="A353" s="31" t="inlineStr">
        <is>
          <t>SENORES</t>
        </is>
      </c>
      <c r="B353" s="31" t="inlineStr">
        <is>
          <t>Senores Pharmaceuticals Ltd</t>
        </is>
      </c>
      <c r="C353" s="31" t="inlineStr">
        <is>
          <t>healthcare</t>
        </is>
      </c>
      <c r="D353" s="31" t="inlineStr">
        <is>
          <t>pharmaceuticals - indian - formulations</t>
        </is>
      </c>
      <c r="E353" s="31" t="inlineStr">
        <is>
          <t>midcap</t>
        </is>
      </c>
      <c r="F353" s="31" t="n">
        <v>6538.23</v>
      </c>
      <c r="G353" s="31" t="n">
        <v>1417.8</v>
      </c>
      <c r="H353" s="31" t="n">
        <v>-0.13</v>
      </c>
      <c r="I353" s="31" t="n">
        <v>194925</v>
      </c>
      <c r="J353" s="31" t="inlineStr">
        <is>
          <t>544319</t>
        </is>
      </c>
    </row>
    <row r="354">
      <c r="A354" s="31" t="inlineStr">
        <is>
          <t>ZOTA</t>
        </is>
      </c>
      <c r="B354" s="31" t="inlineStr">
        <is>
          <t>Zota Health Care Ltd</t>
        </is>
      </c>
      <c r="C354" s="31" t="inlineStr">
        <is>
          <t>healthcare</t>
        </is>
      </c>
      <c r="D354" s="31" t="inlineStr">
        <is>
          <t>pharmaceuticals - indian - bulk drugs &amp; formln</t>
        </is>
      </c>
      <c r="E354" s="31" t="inlineStr">
        <is>
          <t>smallcap</t>
        </is>
      </c>
      <c r="F354" s="31" t="n">
        <v>4910.21</v>
      </c>
      <c r="G354" s="31" t="n">
        <v>1415.5</v>
      </c>
      <c r="H354" s="31" t="n">
        <v>-0.16</v>
      </c>
      <c r="I354" s="31" t="n">
        <v>99493</v>
      </c>
      <c r="J354" s="31" t="inlineStr">
        <is>
          <t>538426</t>
        </is>
      </c>
    </row>
    <row r="355">
      <c r="A355" s="31" t="inlineStr">
        <is>
          <t>RPTECH</t>
        </is>
      </c>
      <c r="B355" s="31" t="inlineStr">
        <is>
          <t>Rashi Peripherals Ltd</t>
        </is>
      </c>
      <c r="C355" s="31" t="inlineStr">
        <is>
          <t>services</t>
        </is>
      </c>
      <c r="D355" s="31" t="inlineStr">
        <is>
          <t>trading</t>
        </is>
      </c>
      <c r="E355" s="31" t="inlineStr">
        <is>
          <t>midcap</t>
        </is>
      </c>
      <c r="F355" s="31" t="n">
        <v>5135.23</v>
      </c>
      <c r="G355" s="31" t="n">
        <v>778</v>
      </c>
      <c r="H355" s="31" t="n">
        <v>-0.16</v>
      </c>
      <c r="I355" s="31" t="n">
        <v>493196</v>
      </c>
      <c r="J355" s="31" t="n"/>
    </row>
    <row r="356">
      <c r="A356" s="31" t="inlineStr">
        <is>
          <t>TALBROAUTO</t>
        </is>
      </c>
      <c r="B356" s="31" t="inlineStr">
        <is>
          <t>Talbros Automotive Components Limited</t>
        </is>
      </c>
      <c r="C356" s="31" t="inlineStr">
        <is>
          <t>auto</t>
        </is>
      </c>
      <c r="D356" s="31" t="inlineStr">
        <is>
          <t>auto ancillaries</t>
        </is>
      </c>
      <c r="E356" s="31" t="inlineStr">
        <is>
          <t>smallcap</t>
        </is>
      </c>
      <c r="F356" s="31" t="n">
        <v>2523.45</v>
      </c>
      <c r="G356" s="31" t="n">
        <v>408.1</v>
      </c>
      <c r="H356" s="31" t="n">
        <v>-0.17</v>
      </c>
      <c r="I356" s="31" t="n">
        <v>116005</v>
      </c>
      <c r="J356" s="31" t="inlineStr">
        <is>
          <t>505160</t>
        </is>
      </c>
    </row>
    <row r="357">
      <c r="A357" s="31" t="inlineStr">
        <is>
          <t>CGCL</t>
        </is>
      </c>
      <c r="B357" s="31" t="inlineStr">
        <is>
          <t>Capri Global Capital Limited</t>
        </is>
      </c>
      <c r="C357" s="31" t="inlineStr">
        <is>
          <t>financials</t>
        </is>
      </c>
      <c r="D357" s="31" t="inlineStr">
        <is>
          <t>finance &amp; investments</t>
        </is>
      </c>
      <c r="E357" s="31" t="inlineStr">
        <is>
          <t>largecap</t>
        </is>
      </c>
      <c r="F357" s="31" t="n">
        <v>24307.86</v>
      </c>
      <c r="G357" s="31" t="n">
        <v>252.22</v>
      </c>
      <c r="H357" s="31" t="n">
        <v>-0.17</v>
      </c>
      <c r="I357" s="31" t="n">
        <v>10208879</v>
      </c>
      <c r="J357" s="31" t="inlineStr">
        <is>
          <t>531595</t>
        </is>
      </c>
    </row>
    <row r="358">
      <c r="A358" s="31" t="inlineStr">
        <is>
          <t>SUNPHARMA</t>
        </is>
      </c>
      <c r="B358" s="31" t="inlineStr">
        <is>
          <t>Sun Pharmaceuticals Industries Limited</t>
        </is>
      </c>
      <c r="C358" s="31" t="inlineStr">
        <is>
          <t>healthcare</t>
        </is>
      </c>
      <c r="D358" s="31" t="inlineStr">
        <is>
          <t>pharmaceuticals - indian - bulk drugs &amp; formln</t>
        </is>
      </c>
      <c r="E358" s="31" t="inlineStr">
        <is>
          <t>largecap</t>
        </is>
      </c>
      <c r="F358" s="31" t="n">
        <v>465159.07</v>
      </c>
      <c r="G358" s="31" t="n">
        <v>1935.5</v>
      </c>
      <c r="H358" s="31" t="n">
        <v>-0.17</v>
      </c>
      <c r="I358" s="31" t="n">
        <v>1478320</v>
      </c>
      <c r="J358" s="31" t="inlineStr">
        <is>
          <t>524715</t>
        </is>
      </c>
    </row>
    <row r="359">
      <c r="A359" s="31" t="inlineStr">
        <is>
          <t>NEULANDLAB</t>
        </is>
      </c>
      <c r="B359" s="31" t="inlineStr">
        <is>
          <t>Neuland Laboratories Limited</t>
        </is>
      </c>
      <c r="C359" s="31" t="inlineStr">
        <is>
          <t>healthcare</t>
        </is>
      </c>
      <c r="D359" s="31" t="inlineStr">
        <is>
          <t>pharmaceuticals - indian - bulk drugs</t>
        </is>
      </c>
      <c r="E359" s="31" t="inlineStr">
        <is>
          <t>largecap</t>
        </is>
      </c>
      <c r="F359" s="31" t="n">
        <v>25072.17</v>
      </c>
      <c r="G359" s="31" t="n">
        <v>19506</v>
      </c>
      <c r="H359" s="31" t="n">
        <v>-0.18</v>
      </c>
      <c r="I359" s="31" t="n">
        <v>24864</v>
      </c>
      <c r="J359" s="31" t="inlineStr">
        <is>
          <t>524558</t>
        </is>
      </c>
    </row>
    <row r="360">
      <c r="A360" s="31" t="inlineStr">
        <is>
          <t>EXIDEIND</t>
        </is>
      </c>
      <c r="B360" s="31" t="inlineStr">
        <is>
          <t>Exide Industries Limited</t>
        </is>
      </c>
      <c r="C360" s="31" t="inlineStr">
        <is>
          <t>auto</t>
        </is>
      </c>
      <c r="D360" s="31" t="inlineStr">
        <is>
          <t>auto ancillaries</t>
        </is>
      </c>
      <c r="E360" s="31" t="inlineStr">
        <is>
          <t>largecap</t>
        </is>
      </c>
      <c r="F360" s="31" t="n">
        <v>36142</v>
      </c>
      <c r="G360" s="31" t="n">
        <v>424.4</v>
      </c>
      <c r="H360" s="31" t="n">
        <v>-0.19</v>
      </c>
      <c r="I360" s="31" t="n">
        <v>3514011</v>
      </c>
      <c r="J360" s="31" t="inlineStr">
        <is>
          <t>500086</t>
        </is>
      </c>
    </row>
    <row r="361">
      <c r="A361" s="31" t="inlineStr">
        <is>
          <t>SANGAMIND</t>
        </is>
      </c>
      <c r="B361" s="31" t="inlineStr">
        <is>
          <t>Sangam (india) Limited</t>
        </is>
      </c>
      <c r="C361" s="31" t="inlineStr">
        <is>
          <t>textiles</t>
        </is>
      </c>
      <c r="D361" s="31" t="inlineStr">
        <is>
          <t>textiles - spinning - synthetic / blended</t>
        </is>
      </c>
      <c r="E361" s="31" t="inlineStr">
        <is>
          <t>smallcap</t>
        </is>
      </c>
      <c r="F361" s="31" t="n">
        <v>2812.8</v>
      </c>
      <c r="G361" s="31" t="n">
        <v>558.75</v>
      </c>
      <c r="H361" s="31" t="n">
        <v>-0.19</v>
      </c>
      <c r="I361" s="31" t="n">
        <v>14846</v>
      </c>
      <c r="J361" s="31" t="inlineStr">
        <is>
          <t>514234</t>
        </is>
      </c>
    </row>
    <row r="362">
      <c r="A362" s="31" t="inlineStr">
        <is>
          <t>KIRLOSIND</t>
        </is>
      </c>
      <c r="B362" s="31" t="inlineStr">
        <is>
          <t>Kirloskar Industries Limited</t>
        </is>
      </c>
      <c r="C362" s="31" t="inlineStr">
        <is>
          <t>financials</t>
        </is>
      </c>
      <c r="D362" s="31" t="inlineStr">
        <is>
          <t>finance &amp; investments</t>
        </is>
      </c>
      <c r="E362" s="31" t="inlineStr">
        <is>
          <t>smallcap</t>
        </is>
      </c>
      <c r="F362" s="31" t="n">
        <v>4362.44</v>
      </c>
      <c r="G362" s="31" t="n">
        <v>4142.2</v>
      </c>
      <c r="H362" s="31" t="n">
        <v>-0.21</v>
      </c>
      <c r="I362" s="31" t="n">
        <v>10731</v>
      </c>
      <c r="J362" s="31" t="inlineStr">
        <is>
          <t>500243</t>
        </is>
      </c>
    </row>
    <row r="363">
      <c r="A363" s="31" t="inlineStr">
        <is>
          <t>SARLAPOLY</t>
        </is>
      </c>
      <c r="B363" s="31" t="inlineStr">
        <is>
          <t>Sarla Performance Fibers Limited</t>
        </is>
      </c>
      <c r="C363" s="31" t="inlineStr">
        <is>
          <t>textiles</t>
        </is>
      </c>
      <c r="D363" s="31" t="inlineStr">
        <is>
          <t>textiles - spinning - synthetic / blended</t>
        </is>
      </c>
      <c r="E363" s="31" t="inlineStr">
        <is>
          <t>smallcap</t>
        </is>
      </c>
      <c r="F363" s="31" t="n">
        <v>856.99</v>
      </c>
      <c r="G363" s="31" t="n">
        <v>102.41</v>
      </c>
      <c r="H363" s="31" t="n">
        <v>-0.21</v>
      </c>
      <c r="I363" s="31" t="n">
        <v>34779</v>
      </c>
      <c r="J363" s="31" t="inlineStr">
        <is>
          <t>526885</t>
        </is>
      </c>
    </row>
    <row r="364">
      <c r="A364" s="31" t="inlineStr">
        <is>
          <t>WELSPUNLIV</t>
        </is>
      </c>
      <c r="B364" s="31" t="inlineStr">
        <is>
          <t>Welspun Living Ltd</t>
        </is>
      </c>
      <c r="C364" s="31" t="inlineStr">
        <is>
          <t>textiles</t>
        </is>
      </c>
      <c r="D364" s="31" t="inlineStr">
        <is>
          <t>textiles - products</t>
        </is>
      </c>
      <c r="E364" s="31" t="inlineStr">
        <is>
          <t>midcap</t>
        </is>
      </c>
      <c r="F364" s="31" t="n">
        <v>15972.77</v>
      </c>
      <c r="G364" s="31" t="n">
        <v>166.17</v>
      </c>
      <c r="H364" s="31" t="n">
        <v>-0.22</v>
      </c>
      <c r="I364" s="31" t="n">
        <v>1025777</v>
      </c>
      <c r="J364" s="31" t="inlineStr">
        <is>
          <t>514162</t>
        </is>
      </c>
    </row>
    <row r="365">
      <c r="A365" s="31" t="inlineStr">
        <is>
          <t>MANCREDIT</t>
        </is>
      </c>
      <c r="B365" s="31" t="inlineStr">
        <is>
          <t>Mangal Credit &amp; Fincorp Ltd</t>
        </is>
      </c>
      <c r="C365" s="31" t="inlineStr">
        <is>
          <t>financials</t>
        </is>
      </c>
      <c r="D365" s="31" t="inlineStr">
        <is>
          <t>finance &amp; investments</t>
        </is>
      </c>
      <c r="E365" s="31" t="inlineStr">
        <is>
          <t>smallcap</t>
        </is>
      </c>
      <c r="F365" s="31" t="n">
        <v>502.37</v>
      </c>
      <c r="G365" s="31" t="n">
        <v>237.4</v>
      </c>
      <c r="H365" s="31" t="n">
        <v>-0.22</v>
      </c>
      <c r="I365" s="31" t="n">
        <v>191503</v>
      </c>
      <c r="J365" s="31" t="inlineStr">
        <is>
          <t>505850</t>
        </is>
      </c>
    </row>
    <row r="366">
      <c r="A366" s="31" t="inlineStr">
        <is>
          <t>GABRIEL</t>
        </is>
      </c>
      <c r="B366" s="31" t="inlineStr">
        <is>
          <t>Gabriel India Limited</t>
        </is>
      </c>
      <c r="C366" s="31" t="inlineStr">
        <is>
          <t>auto</t>
        </is>
      </c>
      <c r="D366" s="31" t="inlineStr">
        <is>
          <t>auto ancillaries</t>
        </is>
      </c>
      <c r="E366" s="31" t="inlineStr">
        <is>
          <t>largecap</t>
        </is>
      </c>
      <c r="F366" s="31" t="n">
        <v>22226.42</v>
      </c>
      <c r="G366" s="31" t="n">
        <v>1250.8</v>
      </c>
      <c r="H366" s="31" t="n">
        <v>-0.26</v>
      </c>
      <c r="I366" s="31" t="n">
        <v>174472</v>
      </c>
      <c r="J366" s="31" t="inlineStr">
        <is>
          <t>505714</t>
        </is>
      </c>
    </row>
    <row r="367">
      <c r="A367" s="31" t="inlineStr">
        <is>
          <t>MANKIND</t>
        </is>
      </c>
      <c r="B367" s="31" t="inlineStr">
        <is>
          <t>Mankind Pharma Ltd</t>
        </is>
      </c>
      <c r="C367" s="31" t="inlineStr">
        <is>
          <t>healthcare</t>
        </is>
      </c>
      <c r="D367" s="31" t="inlineStr">
        <is>
          <t>pharmaceuticals - indian - bulk drugs &amp; formln</t>
        </is>
      </c>
      <c r="E367" s="31" t="inlineStr">
        <is>
          <t>largecap</t>
        </is>
      </c>
      <c r="F367" s="31" t="n">
        <v>104528.13</v>
      </c>
      <c r="G367" s="31" t="n">
        <v>2525.1</v>
      </c>
      <c r="H367" s="31" t="n">
        <v>-0.27</v>
      </c>
      <c r="I367" s="31" t="n">
        <v>524763</v>
      </c>
      <c r="J367" s="31" t="inlineStr">
        <is>
          <t>543904</t>
        </is>
      </c>
    </row>
    <row r="368">
      <c r="A368" s="31" t="inlineStr">
        <is>
          <t>LUPIN</t>
        </is>
      </c>
      <c r="B368" s="31" t="inlineStr">
        <is>
          <t>Lupin Limited</t>
        </is>
      </c>
      <c r="C368" s="31" t="inlineStr">
        <is>
          <t>healthcare</t>
        </is>
      </c>
      <c r="D368" s="31" t="inlineStr">
        <is>
          <t>pharmaceuticals - indian - bulk drugs &amp; formln</t>
        </is>
      </c>
      <c r="E368" s="31" t="inlineStr">
        <is>
          <t>largecap</t>
        </is>
      </c>
      <c r="F368" s="31" t="n">
        <v>114445.65</v>
      </c>
      <c r="G368" s="31" t="n">
        <v>2496.3</v>
      </c>
      <c r="H368" s="31" t="n">
        <v>-0.28</v>
      </c>
      <c r="I368" s="31" t="n">
        <v>568432</v>
      </c>
      <c r="J368" s="31" t="inlineStr">
        <is>
          <t>500257</t>
        </is>
      </c>
    </row>
    <row r="369">
      <c r="A369" s="31" t="inlineStr">
        <is>
          <t>ADOR</t>
        </is>
      </c>
      <c r="B369" s="31" t="inlineStr">
        <is>
          <t>Ador Welding Ltd</t>
        </is>
      </c>
      <c r="C369" s="31" t="inlineStr">
        <is>
          <t>industrials</t>
        </is>
      </c>
      <c r="D369" s="31" t="inlineStr">
        <is>
          <t>electrodes - welding equipment</t>
        </is>
      </c>
      <c r="E369" s="31" t="inlineStr">
        <is>
          <t>smallcap</t>
        </is>
      </c>
      <c r="F369" s="31" t="n">
        <v>2306.22</v>
      </c>
      <c r="G369" s="31" t="n">
        <v>1321</v>
      </c>
      <c r="H369" s="31" t="n">
        <v>-0.32</v>
      </c>
      <c r="I369" s="31" t="n">
        <v>18364</v>
      </c>
      <c r="J369" s="31" t="inlineStr">
        <is>
          <t>517041</t>
        </is>
      </c>
    </row>
    <row r="370">
      <c r="A370" s="31" t="inlineStr">
        <is>
          <t>SONACOMS</t>
        </is>
      </c>
      <c r="B370" s="31" t="inlineStr">
        <is>
          <t>Sona BLW Precision Forgings Ltd</t>
        </is>
      </c>
      <c r="C370" s="31" t="inlineStr">
        <is>
          <t>auto</t>
        </is>
      </c>
      <c r="D370" s="31" t="inlineStr">
        <is>
          <t>auto ancillaries</t>
        </is>
      </c>
      <c r="E370" s="31" t="inlineStr">
        <is>
          <t>largecap</t>
        </is>
      </c>
      <c r="F370" s="31" t="n">
        <v>41710.38</v>
      </c>
      <c r="G370" s="31" t="n">
        <v>668.55</v>
      </c>
      <c r="H370" s="31" t="n">
        <v>-0.33</v>
      </c>
      <c r="I370" s="31" t="n">
        <v>1239095</v>
      </c>
      <c r="J370" s="31" t="inlineStr">
        <is>
          <t>543300</t>
        </is>
      </c>
    </row>
    <row r="371">
      <c r="A371" s="31" t="inlineStr">
        <is>
          <t>RAMCOIND</t>
        </is>
      </c>
      <c r="B371" s="31" t="inlineStr">
        <is>
          <t>Ramco Industries Limited</t>
        </is>
      </c>
      <c r="C371" s="31" t="inlineStr">
        <is>
          <t>building materials</t>
        </is>
      </c>
      <c r="D371" s="31" t="inlineStr">
        <is>
          <t>cement products</t>
        </is>
      </c>
      <c r="E371" s="31" t="inlineStr">
        <is>
          <t>smallcap</t>
        </is>
      </c>
      <c r="F371" s="31" t="n">
        <v>3204.45</v>
      </c>
      <c r="G371" s="31" t="n">
        <v>367.75</v>
      </c>
      <c r="H371" s="31" t="n">
        <v>-0.34</v>
      </c>
      <c r="I371" s="31" t="n">
        <v>342359</v>
      </c>
      <c r="J371" s="31" t="inlineStr">
        <is>
          <t>532369</t>
        </is>
      </c>
    </row>
    <row r="372">
      <c r="A372" s="31" t="inlineStr">
        <is>
          <t>RADICO</t>
        </is>
      </c>
      <c r="B372" s="31" t="inlineStr">
        <is>
          <t>Radico Khaitan Limited</t>
        </is>
      </c>
      <c r="C372" s="31" t="inlineStr">
        <is>
          <t>fmcg</t>
        </is>
      </c>
      <c r="D372" s="31" t="inlineStr">
        <is>
          <t>breweries &amp; distilleries</t>
        </is>
      </c>
      <c r="E372" s="31" t="inlineStr">
        <is>
          <t>largecap</t>
        </is>
      </c>
      <c r="F372" s="31" t="n">
        <v>54750.86</v>
      </c>
      <c r="G372" s="31" t="n">
        <v>4073.7</v>
      </c>
      <c r="H372" s="31" t="n">
        <v>-0.37</v>
      </c>
      <c r="I372" s="31" t="n">
        <v>303510</v>
      </c>
      <c r="J372" s="31" t="inlineStr">
        <is>
          <t>532497</t>
        </is>
      </c>
    </row>
    <row r="373">
      <c r="A373" s="31" t="inlineStr">
        <is>
          <t>RELIGARE</t>
        </is>
      </c>
      <c r="B373" s="31" t="inlineStr">
        <is>
          <t>Religare Enterprises Limited</t>
        </is>
      </c>
      <c r="C373" s="31" t="inlineStr">
        <is>
          <t>financials</t>
        </is>
      </c>
      <c r="D373" s="31" t="inlineStr">
        <is>
          <t>finance &amp; investments</t>
        </is>
      </c>
      <c r="E373" s="31" t="inlineStr">
        <is>
          <t>midcap</t>
        </is>
      </c>
      <c r="F373" s="31" t="n">
        <v>9264.5</v>
      </c>
      <c r="G373" s="31" t="n">
        <v>270.45</v>
      </c>
      <c r="H373" s="31" t="n">
        <v>-0.39</v>
      </c>
      <c r="I373" s="31" t="n">
        <v>553544</v>
      </c>
      <c r="J373" s="31" t="inlineStr">
        <is>
          <t>532915</t>
        </is>
      </c>
    </row>
    <row r="374">
      <c r="A374" s="31" t="inlineStr">
        <is>
          <t>SPORTKING</t>
        </is>
      </c>
      <c r="B374" s="31" t="inlineStr">
        <is>
          <t>Sportking India Ltd</t>
        </is>
      </c>
      <c r="C374" s="31" t="inlineStr">
        <is>
          <t>textiles</t>
        </is>
      </c>
      <c r="D374" s="31" t="inlineStr">
        <is>
          <t>textiles - spinning - synthetic / blended</t>
        </is>
      </c>
      <c r="E374" s="31" t="inlineStr">
        <is>
          <t>smallcap</t>
        </is>
      </c>
      <c r="F374" s="31" t="n">
        <v>2330.12</v>
      </c>
      <c r="G374" s="31" t="n">
        <v>182.64</v>
      </c>
      <c r="H374" s="31" t="n">
        <v>-0.4</v>
      </c>
      <c r="I374" s="31" t="n">
        <v>237645</v>
      </c>
      <c r="J374" s="31" t="inlineStr">
        <is>
          <t>539221</t>
        </is>
      </c>
    </row>
    <row r="375">
      <c r="A375" s="31" t="inlineStr">
        <is>
          <t>MAHLOG</t>
        </is>
      </c>
      <c r="B375" s="31" t="inlineStr">
        <is>
          <t>Mahindra Logistics Ltd</t>
        </is>
      </c>
      <c r="C375" s="31" t="inlineStr">
        <is>
          <t>transportation</t>
        </is>
      </c>
      <c r="D375" s="31" t="inlineStr">
        <is>
          <t>miscellaneous</t>
        </is>
      </c>
      <c r="E375" s="31" t="inlineStr">
        <is>
          <t>smallcap</t>
        </is>
      </c>
      <c r="F375" s="31" t="n">
        <v>3859.26</v>
      </c>
      <c r="G375" s="31" t="n">
        <v>387.2</v>
      </c>
      <c r="H375" s="31" t="n">
        <v>-0.45</v>
      </c>
      <c r="I375" s="31" t="n">
        <v>91346</v>
      </c>
      <c r="J375" s="31" t="inlineStr">
        <is>
          <t>540768</t>
        </is>
      </c>
    </row>
    <row r="376">
      <c r="A376" s="31" t="inlineStr">
        <is>
          <t>NAM-INDIA</t>
        </is>
      </c>
      <c r="B376" s="31" t="inlineStr">
        <is>
          <t>Nippon Life India Asset Management Ltd</t>
        </is>
      </c>
      <c r="C376" s="31" t="inlineStr">
        <is>
          <t>financials</t>
        </is>
      </c>
      <c r="D376" s="31" t="inlineStr">
        <is>
          <t>finance &amp; investments</t>
        </is>
      </c>
      <c r="E376" s="31" t="inlineStr">
        <is>
          <t>largecap</t>
        </is>
      </c>
      <c r="F376" s="31" t="n">
        <v>77735.28999999999</v>
      </c>
      <c r="G376" s="31" t="n">
        <v>1212.7</v>
      </c>
      <c r="H376" s="31" t="n">
        <v>-0.45</v>
      </c>
      <c r="I376" s="31" t="n">
        <v>438759</v>
      </c>
      <c r="J376" s="31" t="inlineStr">
        <is>
          <t>540767</t>
        </is>
      </c>
    </row>
    <row r="377">
      <c r="A377" s="31" t="inlineStr">
        <is>
          <t>ENTERO</t>
        </is>
      </c>
      <c r="B377" s="31" t="inlineStr">
        <is>
          <t>Entero Healthcare Solutions Ltd</t>
        </is>
      </c>
      <c r="C377" s="31" t="inlineStr">
        <is>
          <t>healthcare</t>
        </is>
      </c>
      <c r="D377" s="31" t="inlineStr">
        <is>
          <t>trading</t>
        </is>
      </c>
      <c r="E377" s="31" t="inlineStr">
        <is>
          <t>midcap</t>
        </is>
      </c>
      <c r="F377" s="31" t="n">
        <v>5292.67</v>
      </c>
      <c r="G377" s="31" t="n">
        <v>1210.9</v>
      </c>
      <c r="H377" s="31" t="n">
        <v>-0.45</v>
      </c>
      <c r="I377" s="31" t="n">
        <v>91817</v>
      </c>
      <c r="J377" s="31" t="inlineStr">
        <is>
          <t>544122</t>
        </is>
      </c>
    </row>
    <row r="378">
      <c r="A378" s="31" t="inlineStr">
        <is>
          <t>AMBIKCO</t>
        </is>
      </c>
      <c r="B378" s="31" t="inlineStr">
        <is>
          <t>Ambika Cotton Mills Limited</t>
        </is>
      </c>
      <c r="C378" s="31" t="inlineStr">
        <is>
          <t>textiles</t>
        </is>
      </c>
      <c r="D378" s="31" t="inlineStr">
        <is>
          <t>textiles - cotton/blended</t>
        </is>
      </c>
      <c r="E378" s="31" t="inlineStr">
        <is>
          <t>smallcap</t>
        </is>
      </c>
      <c r="F378" s="31" t="n">
        <v>1008.63</v>
      </c>
      <c r="G378" s="31" t="n">
        <v>1753</v>
      </c>
      <c r="H378" s="31" t="n">
        <v>-0.5</v>
      </c>
      <c r="I378" s="31" t="n">
        <v>8467</v>
      </c>
      <c r="J378" s="31" t="inlineStr">
        <is>
          <t>531978</t>
        </is>
      </c>
    </row>
    <row r="379">
      <c r="A379" s="31" t="inlineStr">
        <is>
          <t>NESTLEIND</t>
        </is>
      </c>
      <c r="B379" s="31" t="inlineStr">
        <is>
          <t>Nestle India Limited</t>
        </is>
      </c>
      <c r="C379" s="31" t="inlineStr">
        <is>
          <t>fmcg</t>
        </is>
      </c>
      <c r="D379" s="31" t="inlineStr">
        <is>
          <t>food - processing - mnc</t>
        </is>
      </c>
      <c r="E379" s="31" t="inlineStr">
        <is>
          <t>largecap</t>
        </is>
      </c>
      <c r="F379" s="31" t="n">
        <v>282150.95</v>
      </c>
      <c r="G379" s="31" t="n">
        <v>1455.2</v>
      </c>
      <c r="H379" s="31" t="n">
        <v>-0.55</v>
      </c>
      <c r="I379" s="31" t="n">
        <v>1563905</v>
      </c>
      <c r="J379" s="31" t="inlineStr">
        <is>
          <t>500790</t>
        </is>
      </c>
    </row>
    <row r="380">
      <c r="A380" s="31" t="inlineStr">
        <is>
          <t>BHARTIARTL</t>
        </is>
      </c>
      <c r="B380" s="31" t="inlineStr">
        <is>
          <t>Bharti Airtel Limited</t>
        </is>
      </c>
      <c r="C380" s="31" t="inlineStr">
        <is>
          <t>telecom-service</t>
        </is>
      </c>
      <c r="D380" s="31" t="inlineStr">
        <is>
          <t>telecommunications - service provider</t>
        </is>
      </c>
      <c r="E380" s="31" t="inlineStr">
        <is>
          <t>largecap</t>
        </is>
      </c>
      <c r="F380" s="31" t="n">
        <v>1205229.31</v>
      </c>
      <c r="G380" s="31" t="n">
        <v>1920.4</v>
      </c>
      <c r="H380" s="31" t="n">
        <v>-0.55</v>
      </c>
      <c r="I380" s="31" t="n">
        <v>6423841</v>
      </c>
      <c r="J380" s="31" t="inlineStr">
        <is>
          <t>532454</t>
        </is>
      </c>
    </row>
    <row r="381">
      <c r="A381" s="31" t="inlineStr">
        <is>
          <t>NGLFINE</t>
        </is>
      </c>
      <c r="B381" s="31" t="inlineStr">
        <is>
          <t>NGL Fine Chem Ltd</t>
        </is>
      </c>
      <c r="C381" s="31" t="inlineStr">
        <is>
          <t>healthcare</t>
        </is>
      </c>
      <c r="D381" s="31" t="inlineStr">
        <is>
          <t>pharmaceuticals - indian - bulk drugs</t>
        </is>
      </c>
      <c r="E381" s="31" t="inlineStr">
        <is>
          <t>smallcap</t>
        </is>
      </c>
      <c r="F381" s="31" t="n">
        <v>1983.95</v>
      </c>
      <c r="G381" s="31" t="n">
        <v>3193.6</v>
      </c>
      <c r="H381" s="31" t="n">
        <v>-0.55</v>
      </c>
      <c r="I381" s="31" t="n">
        <v>5500</v>
      </c>
      <c r="J381" s="31" t="inlineStr">
        <is>
          <t>524774</t>
        </is>
      </c>
    </row>
    <row r="382">
      <c r="A382" s="31" t="inlineStr">
        <is>
          <t>DIAMONDYD</t>
        </is>
      </c>
      <c r="B382" s="31" t="inlineStr">
        <is>
          <t>Prataap Snacks Ltd</t>
        </is>
      </c>
      <c r="C382" s="31" t="inlineStr">
        <is>
          <t>fmcg</t>
        </is>
      </c>
      <c r="D382" s="31" t="inlineStr">
        <is>
          <t>food - processing - indian</t>
        </is>
      </c>
      <c r="E382" s="31" t="inlineStr">
        <is>
          <t>smallcap</t>
        </is>
      </c>
      <c r="F382" s="31" t="n">
        <v>2864.36</v>
      </c>
      <c r="G382" s="31" t="n">
        <v>1191.5</v>
      </c>
      <c r="H382" s="31" t="n">
        <v>-0.57</v>
      </c>
      <c r="I382" s="31" t="n">
        <v>27468</v>
      </c>
      <c r="J382" s="31" t="inlineStr">
        <is>
          <t>540724</t>
        </is>
      </c>
    </row>
    <row r="383">
      <c r="A383" s="31" t="inlineStr">
        <is>
          <t>KABRAEXTRU</t>
        </is>
      </c>
      <c r="B383" s="31" t="inlineStr">
        <is>
          <t>Kabra Extrusion Technik Limited</t>
        </is>
      </c>
      <c r="C383" s="31" t="inlineStr">
        <is>
          <t>industrials</t>
        </is>
      </c>
      <c r="D383" s="31" t="inlineStr">
        <is>
          <t>engineering</t>
        </is>
      </c>
      <c r="E383" s="31" t="inlineStr">
        <is>
          <t>smallcap</t>
        </is>
      </c>
      <c r="F383" s="31" t="n">
        <v>1033.97</v>
      </c>
      <c r="G383" s="31" t="n">
        <v>293.95</v>
      </c>
      <c r="H383" s="31" t="n">
        <v>-0.58</v>
      </c>
      <c r="I383" s="31" t="n">
        <v>39906</v>
      </c>
      <c r="J383" s="31" t="inlineStr">
        <is>
          <t>524109</t>
        </is>
      </c>
    </row>
    <row r="384">
      <c r="A384" s="31" t="inlineStr">
        <is>
          <t>VMART</t>
        </is>
      </c>
      <c r="B384" s="31" t="inlineStr">
        <is>
          <t>V-mart Retail Limited</t>
        </is>
      </c>
      <c r="C384" s="31" t="inlineStr">
        <is>
          <t>consumer discretionary</t>
        </is>
      </c>
      <c r="D384" s="31" t="inlineStr">
        <is>
          <t>trading</t>
        </is>
      </c>
      <c r="E384" s="31" t="inlineStr">
        <is>
          <t>midcap</t>
        </is>
      </c>
      <c r="F384" s="31" t="n">
        <v>6194.57</v>
      </c>
      <c r="G384" s="31" t="n">
        <v>775</v>
      </c>
      <c r="H384" s="31" t="n">
        <v>-0.59</v>
      </c>
      <c r="I384" s="31" t="n">
        <v>82454</v>
      </c>
      <c r="J384" s="31" t="inlineStr">
        <is>
          <t>534976</t>
        </is>
      </c>
    </row>
    <row r="385">
      <c r="A385" s="31" t="inlineStr">
        <is>
          <t>BHARATFORG</t>
        </is>
      </c>
      <c r="B385" s="31" t="inlineStr">
        <is>
          <t>Bharat Forge Limited</t>
        </is>
      </c>
      <c r="C385" s="31" t="inlineStr">
        <is>
          <t>industrials</t>
        </is>
      </c>
      <c r="D385" s="31" t="inlineStr">
        <is>
          <t>castings &amp; forgings</t>
        </is>
      </c>
      <c r="E385" s="31" t="inlineStr">
        <is>
          <t>largecap</t>
        </is>
      </c>
      <c r="F385" s="31" t="n">
        <v>101861.56</v>
      </c>
      <c r="G385" s="31" t="n">
        <v>2117</v>
      </c>
      <c r="H385" s="31" t="n">
        <v>-0.64</v>
      </c>
      <c r="I385" s="31" t="n">
        <v>495500</v>
      </c>
      <c r="J385" s="31" t="inlineStr">
        <is>
          <t>500493</t>
        </is>
      </c>
    </row>
    <row r="386">
      <c r="A386" s="31" t="inlineStr">
        <is>
          <t>NELCO</t>
        </is>
      </c>
      <c r="B386" s="31" t="inlineStr">
        <is>
          <t>Nelco Limited</t>
        </is>
      </c>
      <c r="C386" s="31" t="inlineStr">
        <is>
          <t>telecom</t>
        </is>
      </c>
      <c r="D386" s="31" t="inlineStr">
        <is>
          <t>telecommunications - service provider</t>
        </is>
      </c>
      <c r="E386" s="31" t="inlineStr">
        <is>
          <t>smallcap</t>
        </is>
      </c>
      <c r="F386" s="31" t="n">
        <v>2044.87</v>
      </c>
      <c r="G386" s="31" t="n">
        <v>890.35</v>
      </c>
      <c r="H386" s="31" t="n">
        <v>-0.65</v>
      </c>
      <c r="I386" s="31" t="n">
        <v>237458</v>
      </c>
      <c r="J386" s="31" t="inlineStr">
        <is>
          <t>504112</t>
        </is>
      </c>
    </row>
    <row r="387">
      <c r="A387" s="31" t="inlineStr">
        <is>
          <t>SJS</t>
        </is>
      </c>
      <c r="B387" s="31" t="inlineStr">
        <is>
          <t>S J S Enterprises Ltd</t>
        </is>
      </c>
      <c r="C387" s="31" t="inlineStr">
        <is>
          <t>auto</t>
        </is>
      </c>
      <c r="D387" s="31" t="inlineStr">
        <is>
          <t>plastics products</t>
        </is>
      </c>
      <c r="E387" s="31" t="inlineStr">
        <is>
          <t>midcap</t>
        </is>
      </c>
      <c r="F387" s="31" t="n">
        <v>7032.25</v>
      </c>
      <c r="G387" s="31" t="n">
        <v>2183.4</v>
      </c>
      <c r="H387" s="31" t="n">
        <v>-0.66</v>
      </c>
      <c r="I387" s="31" t="n">
        <v>93186</v>
      </c>
      <c r="J387" s="31" t="inlineStr">
        <is>
          <t>543387</t>
        </is>
      </c>
    </row>
    <row r="388">
      <c r="A388" s="31" t="inlineStr">
        <is>
          <t>ZYDUSLIFE</t>
        </is>
      </c>
      <c r="B388" s="31" t="inlineStr">
        <is>
          <t>Zydus Lifesciences Ltd</t>
        </is>
      </c>
      <c r="C388" s="31" t="inlineStr">
        <is>
          <t>healthcare</t>
        </is>
      </c>
      <c r="D388" s="31" t="inlineStr">
        <is>
          <t>pharmaceuticals - indian - bulk drugs &amp; formln</t>
        </is>
      </c>
      <c r="E388" s="31" t="inlineStr">
        <is>
          <t>largecap</t>
        </is>
      </c>
      <c r="F388" s="31" t="n">
        <v>115610.69</v>
      </c>
      <c r="G388" s="31" t="n">
        <v>1150.8</v>
      </c>
      <c r="H388" s="31" t="n">
        <v>-0.71</v>
      </c>
      <c r="I388" s="31" t="n">
        <v>824222</v>
      </c>
      <c r="J388" s="31" t="inlineStr">
        <is>
          <t>532321</t>
        </is>
      </c>
    </row>
    <row r="389">
      <c r="A389" s="31" t="inlineStr">
        <is>
          <t>ENDURANCE</t>
        </is>
      </c>
      <c r="B389" s="31" t="inlineStr">
        <is>
          <t>Endurance Technologies Limited</t>
        </is>
      </c>
      <c r="C389" s="31" t="inlineStr">
        <is>
          <t>auto</t>
        </is>
      </c>
      <c r="D389" s="31" t="inlineStr">
        <is>
          <t>auto ancillaries</t>
        </is>
      </c>
      <c r="E389" s="31" t="inlineStr">
        <is>
          <t>largecap</t>
        </is>
      </c>
      <c r="F389" s="31" t="n">
        <v>38074.62</v>
      </c>
      <c r="G389" s="31" t="n">
        <v>2686.4</v>
      </c>
      <c r="H389" s="31" t="n">
        <v>-0.75</v>
      </c>
      <c r="I389" s="31" t="n">
        <v>187258</v>
      </c>
      <c r="J389" s="31" t="inlineStr">
        <is>
          <t>540153</t>
        </is>
      </c>
    </row>
    <row r="390">
      <c r="A390" s="31" t="inlineStr">
        <is>
          <t>RAINBOW</t>
        </is>
      </c>
      <c r="B390" s="31" t="inlineStr">
        <is>
          <t>Rainbow Childrens Medicare Ltd</t>
        </is>
      </c>
      <c r="C390" s="31" t="inlineStr">
        <is>
          <t>healthcare</t>
        </is>
      </c>
      <c r="D390" s="31" t="inlineStr">
        <is>
          <t>healthcare</t>
        </is>
      </c>
      <c r="E390" s="31" t="inlineStr">
        <is>
          <t>midcap</t>
        </is>
      </c>
      <c r="F390" s="31" t="n">
        <v>15045.99</v>
      </c>
      <c r="G390" s="31" t="n">
        <v>1470.4</v>
      </c>
      <c r="H390" s="31" t="n">
        <v>-0.75</v>
      </c>
      <c r="I390" s="31" t="n">
        <v>67379</v>
      </c>
      <c r="J390" s="31" t="inlineStr">
        <is>
          <t>543524</t>
        </is>
      </c>
    </row>
    <row r="391">
      <c r="A391" s="31" t="inlineStr">
        <is>
          <t>MOSCHIP</t>
        </is>
      </c>
      <c r="B391" s="31" t="inlineStr">
        <is>
          <t>Moschip Technologies Ltd</t>
        </is>
      </c>
      <c r="C391" s="31" t="inlineStr">
        <is>
          <t>i.t</t>
        </is>
      </c>
      <c r="D391" s="31" t="inlineStr">
        <is>
          <t>computers - hardware</t>
        </is>
      </c>
      <c r="E391" s="31" t="inlineStr">
        <is>
          <t>smallcap</t>
        </is>
      </c>
      <c r="F391" s="31" t="n">
        <v>4626.04</v>
      </c>
      <c r="G391" s="31" t="n">
        <v>236.82</v>
      </c>
      <c r="H391" s="31" t="n">
        <v>-0.75</v>
      </c>
      <c r="I391" s="31" t="n">
        <v>4768756</v>
      </c>
      <c r="J391" s="31" t="inlineStr">
        <is>
          <t>532407</t>
        </is>
      </c>
    </row>
    <row r="392">
      <c r="A392" s="31" t="inlineStr">
        <is>
          <t>SIGNPOST</t>
        </is>
      </c>
      <c r="B392" s="31" t="inlineStr">
        <is>
          <t>Signpost India Ltd</t>
        </is>
      </c>
      <c r="C392" s="31" t="inlineStr">
        <is>
          <t>miscellaneous</t>
        </is>
      </c>
      <c r="D392" s="31" t="inlineStr">
        <is>
          <t>miscellaneous</t>
        </is>
      </c>
      <c r="E392" s="31" t="inlineStr">
        <is>
          <t>smallcap</t>
        </is>
      </c>
      <c r="F392" s="31" t="n">
        <v>1710.93</v>
      </c>
      <c r="G392" s="31" t="n">
        <v>317.6</v>
      </c>
      <c r="H392" s="31" t="n">
        <v>-0.78</v>
      </c>
      <c r="I392" s="31" t="n">
        <v>289985</v>
      </c>
      <c r="J392" s="31" t="n"/>
    </row>
    <row r="393">
      <c r="A393" s="31" t="inlineStr">
        <is>
          <t>EPL</t>
        </is>
      </c>
      <c r="B393" s="31" t="inlineStr">
        <is>
          <t>EPL Ltd</t>
        </is>
      </c>
      <c r="C393" s="31" t="inlineStr">
        <is>
          <t>industrials</t>
        </is>
      </c>
      <c r="D393" s="31" t="inlineStr">
        <is>
          <t>packaging</t>
        </is>
      </c>
      <c r="E393" s="31" t="inlineStr">
        <is>
          <t>midcap</t>
        </is>
      </c>
      <c r="F393" s="31" t="n">
        <v>7669.62</v>
      </c>
      <c r="G393" s="31" t="n">
        <v>237.56</v>
      </c>
      <c r="H393" s="31" t="n">
        <v>-0.8100000000000001</v>
      </c>
      <c r="I393" s="31" t="n">
        <v>243867</v>
      </c>
      <c r="J393" s="31" t="inlineStr">
        <is>
          <t>500135</t>
        </is>
      </c>
    </row>
    <row r="394">
      <c r="A394" s="31" t="inlineStr">
        <is>
          <t>AGARWALEYE</t>
        </is>
      </c>
      <c r="B394" s="31" t="inlineStr">
        <is>
          <t>Dr Agarwals Health Care Ltd</t>
        </is>
      </c>
      <c r="C394" s="31" t="inlineStr">
        <is>
          <t>healthcare</t>
        </is>
      </c>
      <c r="D394" s="31" t="inlineStr">
        <is>
          <t>healthcare</t>
        </is>
      </c>
      <c r="E394" s="31" t="inlineStr">
        <is>
          <t>midcap</t>
        </is>
      </c>
      <c r="F394" s="31" t="n">
        <v>15392.7</v>
      </c>
      <c r="G394" s="31" t="n">
        <v>481.55</v>
      </c>
      <c r="H394" s="31" t="n">
        <v>-0.83</v>
      </c>
      <c r="I394" s="31" t="n">
        <v>76568</v>
      </c>
      <c r="J394" s="31" t="inlineStr">
        <is>
          <t>544350</t>
        </is>
      </c>
    </row>
    <row r="395">
      <c r="A395" s="31" t="inlineStr">
        <is>
          <t>GPTHEALTH</t>
        </is>
      </c>
      <c r="B395" s="31" t="inlineStr">
        <is>
          <t>GPT Healthcare Ltd</t>
        </is>
      </c>
      <c r="C395" s="31" t="inlineStr">
        <is>
          <t>healthcare</t>
        </is>
      </c>
      <c r="D395" s="31" t="inlineStr">
        <is>
          <t>healthcare</t>
        </is>
      </c>
      <c r="E395" s="31" t="inlineStr">
        <is>
          <t>smallcap</t>
        </is>
      </c>
      <c r="F395" s="31" t="n">
        <v>1299.09</v>
      </c>
      <c r="G395" s="31" t="n">
        <v>157</v>
      </c>
      <c r="H395" s="31" t="n">
        <v>-0.83</v>
      </c>
      <c r="I395" s="31" t="n">
        <v>109183</v>
      </c>
      <c r="J395" s="31" t="inlineStr">
        <is>
          <t>544131</t>
        </is>
      </c>
    </row>
    <row r="396">
      <c r="A396" s="31" t="inlineStr">
        <is>
          <t>MSTCLTD</t>
        </is>
      </c>
      <c r="B396" s="31" t="inlineStr">
        <is>
          <t>MSTC Ltd</t>
        </is>
      </c>
      <c r="C396" s="31" t="inlineStr">
        <is>
          <t>i.t</t>
        </is>
      </c>
      <c r="D396" s="31" t="inlineStr">
        <is>
          <t>trading</t>
        </is>
      </c>
      <c r="E396" s="31" t="inlineStr">
        <is>
          <t>smallcap</t>
        </is>
      </c>
      <c r="F396" s="31" t="n">
        <v>4761.15</v>
      </c>
      <c r="G396" s="31" t="n">
        <v>670.65</v>
      </c>
      <c r="H396" s="31" t="n">
        <v>-0.84</v>
      </c>
      <c r="I396" s="31" t="n">
        <v>393566</v>
      </c>
      <c r="J396" s="31" t="inlineStr">
        <is>
          <t>542597</t>
        </is>
      </c>
    </row>
    <row r="397">
      <c r="A397" s="31" t="inlineStr">
        <is>
          <t>DALMIASUG</t>
        </is>
      </c>
      <c r="B397" s="31" t="inlineStr">
        <is>
          <t>Dalmia Bharat Sugar And Industries Limited</t>
        </is>
      </c>
      <c r="C397" s="31" t="inlineStr">
        <is>
          <t>fmcg</t>
        </is>
      </c>
      <c r="D397" s="31" t="inlineStr">
        <is>
          <t>sugar</t>
        </is>
      </c>
      <c r="E397" s="31" t="inlineStr">
        <is>
          <t>smallcap</t>
        </is>
      </c>
      <c r="F397" s="31" t="n">
        <v>2918.27</v>
      </c>
      <c r="G397" s="31" t="n">
        <v>357.5</v>
      </c>
      <c r="H397" s="31" t="n">
        <v>-0.85</v>
      </c>
      <c r="I397" s="31" t="n">
        <v>57034</v>
      </c>
      <c r="J397" s="31" t="inlineStr">
        <is>
          <t>500097</t>
        </is>
      </c>
    </row>
    <row r="398">
      <c r="A398" s="31" t="inlineStr">
        <is>
          <t>MEDANTA</t>
        </is>
      </c>
      <c r="B398" s="31" t="inlineStr">
        <is>
          <t>Global Health Ltd</t>
        </is>
      </c>
      <c r="C398" s="31" t="inlineStr">
        <is>
          <t>healthcare</t>
        </is>
      </c>
      <c r="D398" s="31" t="inlineStr">
        <is>
          <t>healthcare</t>
        </is>
      </c>
      <c r="E398" s="31" t="inlineStr">
        <is>
          <t>largecap</t>
        </is>
      </c>
      <c r="F398" s="31" t="n">
        <v>36241.01</v>
      </c>
      <c r="G398" s="31" t="n">
        <v>1336.9</v>
      </c>
      <c r="H398" s="31" t="n">
        <v>-0.85</v>
      </c>
      <c r="I398" s="31" t="n">
        <v>91300</v>
      </c>
      <c r="J398" s="31" t="inlineStr">
        <is>
          <t>543654</t>
        </is>
      </c>
    </row>
    <row r="399">
      <c r="A399" s="31" t="inlineStr">
        <is>
          <t>MARICO</t>
        </is>
      </c>
      <c r="B399" s="31" t="inlineStr">
        <is>
          <t>Marico Limited</t>
        </is>
      </c>
      <c r="C399" s="31" t="inlineStr">
        <is>
          <t>fmcg</t>
        </is>
      </c>
      <c r="D399" s="31" t="inlineStr">
        <is>
          <t>solvent extraction</t>
        </is>
      </c>
      <c r="E399" s="31" t="inlineStr">
        <is>
          <t>largecap</t>
        </is>
      </c>
      <c r="F399" s="31" t="n">
        <v>111647.3</v>
      </c>
      <c r="G399" s="31" t="n">
        <v>852.5</v>
      </c>
      <c r="H399" s="31" t="n">
        <v>-0.88</v>
      </c>
      <c r="I399" s="31" t="n">
        <v>1338643</v>
      </c>
      <c r="J399" s="31" t="inlineStr">
        <is>
          <t>531642</t>
        </is>
      </c>
    </row>
    <row r="400">
      <c r="A400" s="31" t="inlineStr">
        <is>
          <t>THANGAMAYL</t>
        </is>
      </c>
      <c r="B400" s="31" t="inlineStr">
        <is>
          <t>Thangamayil Jewellery Limited</t>
        </is>
      </c>
      <c r="C400" s="31" t="inlineStr">
        <is>
          <t>consumer discretionary</t>
        </is>
      </c>
      <c r="D400" s="31" t="inlineStr">
        <is>
          <t>diamond cutting / jewellery</t>
        </is>
      </c>
      <c r="E400" s="31" t="inlineStr">
        <is>
          <t>largecap</t>
        </is>
      </c>
      <c r="F400" s="31" t="n">
        <v>20509.47</v>
      </c>
      <c r="G400" s="31" t="n">
        <v>6540.5</v>
      </c>
      <c r="H400" s="31" t="n">
        <v>-0.88</v>
      </c>
      <c r="I400" s="31" t="n">
        <v>239756</v>
      </c>
      <c r="J400" s="31" t="inlineStr">
        <is>
          <t>533158</t>
        </is>
      </c>
    </row>
    <row r="401">
      <c r="A401" s="31" t="inlineStr">
        <is>
          <t>MGEL</t>
        </is>
      </c>
      <c r="B401" s="31" t="inlineStr">
        <is>
          <t>Mangalam Global Enterprise Ltd</t>
        </is>
      </c>
      <c r="C401" s="31" t="inlineStr">
        <is>
          <t>services</t>
        </is>
      </c>
      <c r="D401" s="31" t="inlineStr">
        <is>
          <t>trading</t>
        </is>
      </c>
      <c r="E401" s="31" t="inlineStr">
        <is>
          <t>smallcap</t>
        </is>
      </c>
      <c r="F401" s="31" t="n">
        <v>556.95</v>
      </c>
      <c r="G401" s="31" t="n">
        <v>16.75</v>
      </c>
      <c r="H401" s="31" t="n">
        <v>-0.89</v>
      </c>
      <c r="I401" s="31" t="n">
        <v>60661</v>
      </c>
      <c r="J401" s="31" t="inlineStr">
        <is>
          <t>535349</t>
        </is>
      </c>
    </row>
    <row r="402">
      <c r="A402" s="31" t="inlineStr">
        <is>
          <t>MINDACORP</t>
        </is>
      </c>
      <c r="B402" s="31" t="inlineStr">
        <is>
          <t>Minda Corporation Limited</t>
        </is>
      </c>
      <c r="C402" s="31" t="inlineStr">
        <is>
          <t>auto</t>
        </is>
      </c>
      <c r="D402" s="31" t="inlineStr">
        <is>
          <t>auto ancillaries</t>
        </is>
      </c>
      <c r="E402" s="31" t="inlineStr">
        <is>
          <t>midcap</t>
        </is>
      </c>
      <c r="F402" s="31" t="n">
        <v>16865.86</v>
      </c>
      <c r="G402" s="31" t="n">
        <v>698.9</v>
      </c>
      <c r="H402" s="31" t="n">
        <v>-0.93</v>
      </c>
      <c r="I402" s="31" t="n">
        <v>319765</v>
      </c>
      <c r="J402" s="31" t="inlineStr">
        <is>
          <t>538962</t>
        </is>
      </c>
    </row>
    <row r="403">
      <c r="A403" s="31" t="inlineStr">
        <is>
          <t>VINCOFE</t>
        </is>
      </c>
      <c r="B403" s="31" t="inlineStr">
        <is>
          <t>Vintage Coffee &amp; Beverages Ltd</t>
        </is>
      </c>
      <c r="C403" s="31" t="inlineStr">
        <is>
          <t>consumer discretionary</t>
        </is>
      </c>
      <c r="D403" s="31" t="inlineStr">
        <is>
          <t>trading</t>
        </is>
      </c>
      <c r="E403" s="31" t="inlineStr">
        <is>
          <t>smallcap</t>
        </is>
      </c>
      <c r="F403" s="31" t="n">
        <v>2376.91</v>
      </c>
      <c r="G403" s="31" t="n">
        <v>161.55</v>
      </c>
      <c r="H403" s="31" t="n">
        <v>-0.98</v>
      </c>
      <c r="I403" s="31" t="n">
        <v>2394427</v>
      </c>
      <c r="J403" s="31" t="inlineStr">
        <is>
          <t>538920</t>
        </is>
      </c>
    </row>
    <row r="404">
      <c r="A404" s="31" t="inlineStr">
        <is>
          <t>SUYOG</t>
        </is>
      </c>
      <c r="B404" s="31" t="inlineStr">
        <is>
          <t>Suyog Telematics Ltd</t>
        </is>
      </c>
      <c r="C404" s="31" t="inlineStr">
        <is>
          <t>telecom</t>
        </is>
      </c>
      <c r="D404" s="31" t="inlineStr">
        <is>
          <t>transmisson line towers / equipment</t>
        </is>
      </c>
      <c r="E404" s="31" t="inlineStr">
        <is>
          <t>smallcap</t>
        </is>
      </c>
      <c r="F404" s="31" t="n">
        <v>1028.41</v>
      </c>
      <c r="G404" s="31" t="n">
        <v>869</v>
      </c>
      <c r="H404" s="31" t="n">
        <v>-0.99</v>
      </c>
      <c r="I404" s="31" t="n">
        <v>19776</v>
      </c>
      <c r="J404" s="31" t="inlineStr">
        <is>
          <t>537259</t>
        </is>
      </c>
    </row>
    <row r="405">
      <c r="A405" s="31" t="inlineStr">
        <is>
          <t>JBCHEPHARM</t>
        </is>
      </c>
      <c r="B405" s="31" t="inlineStr">
        <is>
          <t>Jb Chemicals &amp; Pharmaceuticals Limited</t>
        </is>
      </c>
      <c r="C405" s="31" t="inlineStr">
        <is>
          <t>healthcare</t>
        </is>
      </c>
      <c r="D405" s="31" t="inlineStr">
        <is>
          <t>pharmaceuticals - indian - bulk drugs &amp; formln</t>
        </is>
      </c>
      <c r="E405" s="31" t="inlineStr">
        <is>
          <t>largecap</t>
        </is>
      </c>
      <c r="F405" s="31" t="n">
        <v>39248.58</v>
      </c>
      <c r="G405" s="31" t="n">
        <v>2420</v>
      </c>
      <c r="H405" s="31" t="n">
        <v>-1</v>
      </c>
      <c r="I405" s="31" t="n">
        <v>411937</v>
      </c>
      <c r="J405" s="31" t="inlineStr">
        <is>
          <t>506943</t>
        </is>
      </c>
    </row>
    <row r="406">
      <c r="A406" s="31" t="inlineStr">
        <is>
          <t>RGL</t>
        </is>
      </c>
      <c r="B406" s="31" t="inlineStr">
        <is>
          <t>Renaissance Global Ltd</t>
        </is>
      </c>
      <c r="C406" s="31" t="inlineStr">
        <is>
          <t>consumer discretionary</t>
        </is>
      </c>
      <c r="D406" s="31" t="inlineStr">
        <is>
          <t>diamond cutting / jewellery</t>
        </is>
      </c>
      <c r="E406" s="31" t="inlineStr">
        <is>
          <t>smallcap</t>
        </is>
      </c>
      <c r="F406" s="31" t="n">
        <v>1293.59</v>
      </c>
      <c r="G406" s="31" t="n">
        <v>119.25</v>
      </c>
      <c r="H406" s="31" t="n">
        <v>-1.06</v>
      </c>
      <c r="I406" s="31" t="n">
        <v>243099</v>
      </c>
      <c r="J406" s="31" t="inlineStr">
        <is>
          <t>532923</t>
        </is>
      </c>
    </row>
    <row r="407">
      <c r="A407" s="31" t="inlineStr">
        <is>
          <t>SANGHVIMOV</t>
        </is>
      </c>
      <c r="B407" s="31" t="inlineStr">
        <is>
          <t>Sanghvi Movers Limited</t>
        </is>
      </c>
      <c r="C407" s="31" t="inlineStr">
        <is>
          <t>miscellaneous</t>
        </is>
      </c>
      <c r="D407" s="31" t="inlineStr">
        <is>
          <t>miscellaneous</t>
        </is>
      </c>
      <c r="E407" s="31" t="inlineStr">
        <is>
          <t>smallcap</t>
        </is>
      </c>
      <c r="F407" s="31" t="n">
        <v>4018.86</v>
      </c>
      <c r="G407" s="31" t="n">
        <v>459.25</v>
      </c>
      <c r="H407" s="31" t="n">
        <v>-1.07</v>
      </c>
      <c r="I407" s="31" t="n">
        <v>244118</v>
      </c>
      <c r="J407" s="31" t="inlineStr">
        <is>
          <t>530073</t>
        </is>
      </c>
    </row>
    <row r="408">
      <c r="A408" s="31" t="inlineStr">
        <is>
          <t>CEATLTD</t>
        </is>
      </c>
      <c r="B408" s="31" t="inlineStr">
        <is>
          <t>Ceat Limited</t>
        </is>
      </c>
      <c r="C408" s="31" t="inlineStr">
        <is>
          <t>auto</t>
        </is>
      </c>
      <c r="D408" s="31" t="inlineStr">
        <is>
          <t>tyres</t>
        </is>
      </c>
      <c r="E408" s="31" t="inlineStr">
        <is>
          <t>midcap</t>
        </is>
      </c>
      <c r="F408" s="31" t="n">
        <v>15809.92</v>
      </c>
      <c r="G408" s="31" t="n">
        <v>3866.6</v>
      </c>
      <c r="H408" s="31" t="n">
        <v>-1.07</v>
      </c>
      <c r="I408" s="31" t="n">
        <v>204540</v>
      </c>
      <c r="J408" s="31" t="inlineStr">
        <is>
          <t>500878</t>
        </is>
      </c>
    </row>
    <row r="409">
      <c r="A409" s="31" t="inlineStr">
        <is>
          <t>BOSCHLTD</t>
        </is>
      </c>
      <c r="B409" s="31" t="inlineStr">
        <is>
          <t>Bosch Limited</t>
        </is>
      </c>
      <c r="C409" s="31" t="inlineStr">
        <is>
          <t>auto</t>
        </is>
      </c>
      <c r="D409" s="31" t="inlineStr">
        <is>
          <t>auto ancillaries</t>
        </is>
      </c>
      <c r="E409" s="31" t="inlineStr">
        <is>
          <t>largecap</t>
        </is>
      </c>
      <c r="F409" s="31" t="n">
        <v>124536.89</v>
      </c>
      <c r="G409" s="31" t="n">
        <v>41760</v>
      </c>
      <c r="H409" s="31" t="n">
        <v>-1.1</v>
      </c>
      <c r="I409" s="31" t="n">
        <v>12022</v>
      </c>
      <c r="J409" s="31" t="inlineStr">
        <is>
          <t>500530</t>
        </is>
      </c>
    </row>
    <row r="410">
      <c r="A410" s="31" t="inlineStr">
        <is>
          <t>SHREEPUSHK</t>
        </is>
      </c>
      <c r="B410" s="31" t="inlineStr">
        <is>
          <t>Shree Pushkar Chemicals &amp; Fertilisers Limited</t>
        </is>
      </c>
      <c r="C410" s="31" t="inlineStr">
        <is>
          <t>chemicals</t>
        </is>
      </c>
      <c r="D410" s="31" t="inlineStr">
        <is>
          <t>dyes and pigments</t>
        </is>
      </c>
      <c r="E410" s="31" t="inlineStr">
        <is>
          <t>smallcap</t>
        </is>
      </c>
      <c r="F410" s="31" t="n">
        <v>1396.83</v>
      </c>
      <c r="G410" s="31" t="n">
        <v>426.95</v>
      </c>
      <c r="H410" s="31" t="n">
        <v>-1.16</v>
      </c>
      <c r="I410" s="31" t="n">
        <v>99369</v>
      </c>
      <c r="J410" s="31" t="inlineStr">
        <is>
          <t>539334</t>
        </is>
      </c>
    </row>
    <row r="411">
      <c r="A411" s="31" t="inlineStr">
        <is>
          <t>VIYASH</t>
        </is>
      </c>
      <c r="B411" s="31" t="inlineStr">
        <is>
          <t>Viyash Scientific Ltd</t>
        </is>
      </c>
      <c r="C411" s="31" t="inlineStr">
        <is>
          <t>healthcare</t>
        </is>
      </c>
      <c r="D411" s="31" t="inlineStr">
        <is>
          <t>pharmaceuticals - indian - bulk drugs &amp; formln</t>
        </is>
      </c>
      <c r="E411" s="31" t="inlineStr">
        <is>
          <t>midcap</t>
        </is>
      </c>
      <c r="F411" s="31" t="n">
        <v>12277.69</v>
      </c>
      <c r="G411" s="31" t="n">
        <v>277.8</v>
      </c>
      <c r="H411" s="31" t="n">
        <v>-1.16</v>
      </c>
      <c r="I411" s="31" t="n">
        <v>1617553</v>
      </c>
      <c r="J411" s="31" t="inlineStr">
        <is>
          <t>512529</t>
        </is>
      </c>
    </row>
    <row r="412">
      <c r="A412" s="31" t="inlineStr">
        <is>
          <t>AUROPHARMA</t>
        </is>
      </c>
      <c r="B412" s="31" t="inlineStr">
        <is>
          <t>Aurobindo Pharma Limited</t>
        </is>
      </c>
      <c r="C412" s="31" t="inlineStr">
        <is>
          <t>healthcare</t>
        </is>
      </c>
      <c r="D412" s="31" t="inlineStr">
        <is>
          <t>pharmaceuticals - indian - bulk drugs &amp; formln</t>
        </is>
      </c>
      <c r="E412" s="31" t="inlineStr">
        <is>
          <t>largecap</t>
        </is>
      </c>
      <c r="F412" s="31" t="n">
        <v>92196.45</v>
      </c>
      <c r="G412" s="31" t="n">
        <v>1568.8</v>
      </c>
      <c r="H412" s="31" t="n">
        <v>-1.17</v>
      </c>
      <c r="I412" s="31" t="n">
        <v>1154518</v>
      </c>
      <c r="J412" s="31" t="inlineStr">
        <is>
          <t>524804</t>
        </is>
      </c>
    </row>
    <row r="413">
      <c r="A413" s="31" t="inlineStr">
        <is>
          <t>CREDITACC</t>
        </is>
      </c>
      <c r="B413" s="31" t="inlineStr">
        <is>
          <t>CreditAccess Grameen Ltd</t>
        </is>
      </c>
      <c r="C413" s="31" t="inlineStr">
        <is>
          <t>financials</t>
        </is>
      </c>
      <c r="D413" s="31" t="inlineStr">
        <is>
          <t>finance &amp; investments</t>
        </is>
      </c>
      <c r="E413" s="31" t="inlineStr">
        <is>
          <t>largecap</t>
        </is>
      </c>
      <c r="F413" s="31" t="n">
        <v>24767.91</v>
      </c>
      <c r="G413" s="31" t="n">
        <v>1528</v>
      </c>
      <c r="H413" s="31" t="n">
        <v>-1.17</v>
      </c>
      <c r="I413" s="31" t="n">
        <v>326249</v>
      </c>
      <c r="J413" s="31" t="inlineStr">
        <is>
          <t>541770</t>
        </is>
      </c>
    </row>
    <row r="414">
      <c r="A414" s="31" t="inlineStr">
        <is>
          <t>DIVGIITTS</t>
        </is>
      </c>
      <c r="B414" s="31" t="inlineStr">
        <is>
          <t>Divgi Torqtransfer Systems Ltd</t>
        </is>
      </c>
      <c r="C414" s="31" t="inlineStr">
        <is>
          <t>auto</t>
        </is>
      </c>
      <c r="D414" s="31" t="inlineStr">
        <is>
          <t>auto ancillaries</t>
        </is>
      </c>
      <c r="E414" s="31" t="inlineStr">
        <is>
          <t>smallcap</t>
        </is>
      </c>
      <c r="F414" s="31" t="n">
        <v>2996.21</v>
      </c>
      <c r="G414" s="31" t="n">
        <v>967.4</v>
      </c>
      <c r="H414" s="31" t="n">
        <v>-1.26</v>
      </c>
      <c r="I414" s="31" t="n">
        <v>30706</v>
      </c>
      <c r="J414" s="31" t="inlineStr">
        <is>
          <t>543812</t>
        </is>
      </c>
    </row>
    <row r="415">
      <c r="A415" s="31" t="inlineStr">
        <is>
          <t>SHRIPISTON</t>
        </is>
      </c>
      <c r="B415" s="31" t="inlineStr">
        <is>
          <t>Shriram Pistons &amp; Rings Limited</t>
        </is>
      </c>
      <c r="C415" s="31" t="inlineStr">
        <is>
          <t>auto</t>
        </is>
      </c>
      <c r="D415" s="31" t="inlineStr">
        <is>
          <t>auto ancillaries</t>
        </is>
      </c>
      <c r="E415" s="31" t="inlineStr">
        <is>
          <t>midcap</t>
        </is>
      </c>
      <c r="F415" s="31" t="n">
        <v>18704.88</v>
      </c>
      <c r="G415" s="31" t="n">
        <v>4189.6</v>
      </c>
      <c r="H415" s="31" t="n">
        <v>-1.34</v>
      </c>
      <c r="I415" s="31" t="n">
        <v>28115</v>
      </c>
      <c r="J415" s="31" t="n"/>
    </row>
    <row r="416">
      <c r="A416" s="31" t="inlineStr">
        <is>
          <t>TBZ</t>
        </is>
      </c>
      <c r="B416" s="31" t="inlineStr">
        <is>
          <t>Tribhovandas Bhimji Zaveri Limited</t>
        </is>
      </c>
      <c r="C416" s="31" t="inlineStr">
        <is>
          <t>consumer discretionary</t>
        </is>
      </c>
      <c r="D416" s="31" t="inlineStr">
        <is>
          <t>diamond cutting / jewellery</t>
        </is>
      </c>
      <c r="E416" s="31" t="inlineStr">
        <is>
          <t>smallcap</t>
        </is>
      </c>
      <c r="F416" s="31" t="n">
        <v>1545.15</v>
      </c>
      <c r="G416" s="31" t="n">
        <v>228.34</v>
      </c>
      <c r="H416" s="31" t="n">
        <v>-1.39</v>
      </c>
      <c r="I416" s="31" t="n">
        <v>3068775</v>
      </c>
      <c r="J416" s="31" t="inlineStr">
        <is>
          <t>534369</t>
        </is>
      </c>
    </row>
    <row r="417">
      <c r="A417" s="31" t="inlineStr">
        <is>
          <t>INOXINDIA</t>
        </is>
      </c>
      <c r="B417" s="31" t="inlineStr">
        <is>
          <t>Inox India Ltd</t>
        </is>
      </c>
      <c r="C417" s="31" t="inlineStr">
        <is>
          <t>industrials</t>
        </is>
      </c>
      <c r="D417" s="31" t="inlineStr">
        <is>
          <t>packaging</t>
        </is>
      </c>
      <c r="E417" s="31" t="inlineStr">
        <is>
          <t>midcap</t>
        </is>
      </c>
      <c r="F417" s="31" t="n">
        <v>18208.97</v>
      </c>
      <c r="G417" s="31" t="n">
        <v>1978</v>
      </c>
      <c r="H417" s="31" t="n">
        <v>-1.41</v>
      </c>
      <c r="I417" s="31" t="n">
        <v>204886</v>
      </c>
      <c r="J417" s="31" t="inlineStr">
        <is>
          <t>544046</t>
        </is>
      </c>
    </row>
    <row r="418">
      <c r="A418" s="31" t="inlineStr">
        <is>
          <t>AEGISLOG</t>
        </is>
      </c>
      <c r="B418" s="31" t="inlineStr">
        <is>
          <t>Aegis Logistics Ltd</t>
        </is>
      </c>
      <c r="C418" s="31" t="inlineStr">
        <is>
          <t>services</t>
        </is>
      </c>
      <c r="D418" s="31" t="inlineStr">
        <is>
          <t>trading</t>
        </is>
      </c>
      <c r="E418" s="31" t="inlineStr">
        <is>
          <t>largecap</t>
        </is>
      </c>
      <c r="F418" s="31" t="n">
        <v>44369.91</v>
      </c>
      <c r="G418" s="31" t="n">
        <v>1246.1</v>
      </c>
      <c r="H418" s="31" t="n">
        <v>-1.42</v>
      </c>
      <c r="I418" s="31" t="n">
        <v>1664654</v>
      </c>
      <c r="J418" s="31" t="inlineStr">
        <is>
          <t>500003</t>
        </is>
      </c>
    </row>
    <row r="419">
      <c r="A419" s="31" t="inlineStr">
        <is>
          <t>CAPLIPOINT</t>
        </is>
      </c>
      <c r="B419" s="31" t="inlineStr">
        <is>
          <t>Caplin Point Laboratories Limited</t>
        </is>
      </c>
      <c r="C419" s="31" t="inlineStr">
        <is>
          <t>healthcare</t>
        </is>
      </c>
      <c r="D419" s="31" t="inlineStr">
        <is>
          <t>pharmaceuticals - indian - formulations</t>
        </is>
      </c>
      <c r="E419" s="31" t="inlineStr">
        <is>
          <t>midcap</t>
        </is>
      </c>
      <c r="F419" s="31" t="n">
        <v>19925.71</v>
      </c>
      <c r="G419" s="31" t="n">
        <v>2583.6</v>
      </c>
      <c r="H419" s="31" t="n">
        <v>-1.44</v>
      </c>
      <c r="I419" s="31" t="n">
        <v>132431</v>
      </c>
      <c r="J419" s="31" t="inlineStr">
        <is>
          <t>524742</t>
        </is>
      </c>
    </row>
    <row r="420">
      <c r="A420" s="31" t="inlineStr">
        <is>
          <t>BHARATSE</t>
        </is>
      </c>
      <c r="B420" s="31" t="inlineStr">
        <is>
          <t>Bharat Seats Ltd</t>
        </is>
      </c>
      <c r="C420" s="31" t="inlineStr">
        <is>
          <t>auto</t>
        </is>
      </c>
      <c r="D420" s="31" t="inlineStr">
        <is>
          <t>auto ancillaries</t>
        </is>
      </c>
      <c r="E420" s="31" t="inlineStr">
        <is>
          <t>smallcap</t>
        </is>
      </c>
      <c r="F420" s="31" t="n">
        <v>1539.17</v>
      </c>
      <c r="G420" s="31" t="n">
        <v>241.54</v>
      </c>
      <c r="H420" s="31" t="n">
        <v>-1.45</v>
      </c>
      <c r="I420" s="31" t="n">
        <v>562465</v>
      </c>
      <c r="J420" s="31" t="inlineStr">
        <is>
          <t>523229</t>
        </is>
      </c>
    </row>
    <row r="421">
      <c r="A421" s="31" t="inlineStr">
        <is>
          <t>PANACEABIO</t>
        </is>
      </c>
      <c r="B421" s="31" t="inlineStr">
        <is>
          <t>Panacea Biotec Limited</t>
        </is>
      </c>
      <c r="C421" s="31" t="inlineStr">
        <is>
          <t>healthcare</t>
        </is>
      </c>
      <c r="D421" s="31" t="inlineStr">
        <is>
          <t>pharmaceuticals - indian - bulk drugs &amp; formln</t>
        </is>
      </c>
      <c r="E421" s="31" t="inlineStr">
        <is>
          <t>smallcap</t>
        </is>
      </c>
      <c r="F421" s="31" t="n">
        <v>3400.64</v>
      </c>
      <c r="G421" s="31" t="n">
        <v>546.6</v>
      </c>
      <c r="H421" s="31" t="n">
        <v>-1.55</v>
      </c>
      <c r="I421" s="31" t="n">
        <v>104393</v>
      </c>
      <c r="J421" s="31" t="inlineStr">
        <is>
          <t>531349</t>
        </is>
      </c>
    </row>
    <row r="422">
      <c r="A422" s="31" t="inlineStr">
        <is>
          <t>ITDC</t>
        </is>
      </c>
      <c r="B422" s="31" t="inlineStr">
        <is>
          <t>India Tourism Development Corporation Ltd</t>
        </is>
      </c>
      <c r="C422" s="31" t="inlineStr">
        <is>
          <t>services</t>
        </is>
      </c>
      <c r="D422" s="31" t="inlineStr">
        <is>
          <t>hotels</t>
        </is>
      </c>
      <c r="E422" s="31" t="inlineStr">
        <is>
          <t>midcap</t>
        </is>
      </c>
      <c r="F422" s="31" t="n">
        <v>6244.87</v>
      </c>
      <c r="G422" s="31" t="n">
        <v>716.8</v>
      </c>
      <c r="H422" s="31" t="n">
        <v>-1.55</v>
      </c>
      <c r="I422" s="31" t="n">
        <v>3469707</v>
      </c>
      <c r="J422" s="31" t="inlineStr">
        <is>
          <t>532189</t>
        </is>
      </c>
    </row>
    <row r="423">
      <c r="A423" s="31" t="inlineStr">
        <is>
          <t>SPAL</t>
        </is>
      </c>
      <c r="B423" s="31" t="inlineStr">
        <is>
          <t>S. P. Apparels Limited</t>
        </is>
      </c>
      <c r="C423" s="31" t="inlineStr">
        <is>
          <t>consumer discretionary</t>
        </is>
      </c>
      <c r="D423" s="31" t="inlineStr">
        <is>
          <t>textiles - products</t>
        </is>
      </c>
      <c r="E423" s="31" t="inlineStr">
        <is>
          <t>smallcap</t>
        </is>
      </c>
      <c r="F423" s="31" t="n">
        <v>2962.87</v>
      </c>
      <c r="G423" s="31" t="n">
        <v>1160</v>
      </c>
      <c r="H423" s="31" t="n">
        <v>-1.58</v>
      </c>
      <c r="I423" s="31" t="n">
        <v>116082</v>
      </c>
      <c r="J423" s="31" t="inlineStr">
        <is>
          <t>540048</t>
        </is>
      </c>
    </row>
    <row r="424">
      <c r="A424" s="31" t="inlineStr">
        <is>
          <t>ASTRAMICRO</t>
        </is>
      </c>
      <c r="B424" s="31" t="inlineStr">
        <is>
          <t>Astra Microwave Products Limited</t>
        </is>
      </c>
      <c r="C424" s="31" t="inlineStr">
        <is>
          <t>aerospace &amp; defence</t>
        </is>
      </c>
      <c r="D424" s="31" t="inlineStr">
        <is>
          <t>telecommunications - equipment</t>
        </is>
      </c>
      <c r="E424" s="31" t="inlineStr">
        <is>
          <t>midcap</t>
        </is>
      </c>
      <c r="F424" s="31" t="n">
        <v>17404.37</v>
      </c>
      <c r="G424" s="31" t="n">
        <v>1803.7</v>
      </c>
      <c r="H424" s="31" t="n">
        <v>-1.6</v>
      </c>
      <c r="I424" s="31" t="n">
        <v>474559</v>
      </c>
      <c r="J424" s="31" t="inlineStr">
        <is>
          <t>532493</t>
        </is>
      </c>
    </row>
    <row r="425">
      <c r="A425" s="31" t="inlineStr">
        <is>
          <t>ACUTAAS</t>
        </is>
      </c>
      <c r="B425" s="31" t="inlineStr">
        <is>
          <t>Acutaas Chemicals Ltd</t>
        </is>
      </c>
      <c r="C425" s="31" t="inlineStr">
        <is>
          <t>healthcare</t>
        </is>
      </c>
      <c r="D425" s="31" t="inlineStr">
        <is>
          <t>pharmaceuticals - indian - bulk drugs</t>
        </is>
      </c>
      <c r="E425" s="31" t="inlineStr">
        <is>
          <t>largecap</t>
        </is>
      </c>
      <c r="F425" s="31" t="n">
        <v>28317.58</v>
      </c>
      <c r="G425" s="31" t="n">
        <v>3400.8</v>
      </c>
      <c r="H425" s="31" t="n">
        <v>-1.68</v>
      </c>
      <c r="I425" s="31" t="n">
        <v>310328</v>
      </c>
      <c r="J425" s="31" t="inlineStr">
        <is>
          <t>543349</t>
        </is>
      </c>
    </row>
    <row r="426">
      <c r="A426" s="31" t="inlineStr">
        <is>
          <t>ASKAUTOLTD</t>
        </is>
      </c>
      <c r="B426" s="31" t="inlineStr">
        <is>
          <t>ASK Automotive Ltd</t>
        </is>
      </c>
      <c r="C426" s="31" t="inlineStr">
        <is>
          <t>auto</t>
        </is>
      </c>
      <c r="D426" s="31" t="inlineStr">
        <is>
          <t>auto ancillaries</t>
        </is>
      </c>
      <c r="E426" s="31" t="inlineStr">
        <is>
          <t>midcap</t>
        </is>
      </c>
      <c r="F426" s="31" t="n">
        <v>9461.860000000001</v>
      </c>
      <c r="G426" s="31" t="n">
        <v>471.85</v>
      </c>
      <c r="H426" s="31" t="n">
        <v>-1.69</v>
      </c>
      <c r="I426" s="31" t="n">
        <v>432530</v>
      </c>
      <c r="J426" s="31" t="inlineStr">
        <is>
          <t>544022</t>
        </is>
      </c>
    </row>
    <row r="427">
      <c r="A427" s="31" t="inlineStr">
        <is>
          <t>WSTCSTPAPR</t>
        </is>
      </c>
      <c r="B427" s="31" t="inlineStr">
        <is>
          <t>West Coast Paper Mills Limited</t>
        </is>
      </c>
      <c r="C427" s="31" t="inlineStr">
        <is>
          <t>building materials</t>
        </is>
      </c>
      <c r="D427" s="31" t="inlineStr">
        <is>
          <t>paper</t>
        </is>
      </c>
      <c r="E427" s="31" t="inlineStr">
        <is>
          <t>smallcap</t>
        </is>
      </c>
      <c r="F427" s="31" t="n">
        <v>3615.85</v>
      </c>
      <c r="G427" s="31" t="n">
        <v>538.2</v>
      </c>
      <c r="H427" s="31" t="n">
        <v>-1.69</v>
      </c>
      <c r="I427" s="31" t="n">
        <v>103690</v>
      </c>
      <c r="J427" s="31" t="inlineStr">
        <is>
          <t>500444</t>
        </is>
      </c>
    </row>
    <row r="428">
      <c r="A428" s="31" t="inlineStr">
        <is>
          <t>BORORENEW</t>
        </is>
      </c>
      <c r="B428" s="31" t="inlineStr">
        <is>
          <t>Borosil Renewables Ltd</t>
        </is>
      </c>
      <c r="C428" s="31" t="inlineStr">
        <is>
          <t>building materials</t>
        </is>
      </c>
      <c r="D428" s="31" t="inlineStr">
        <is>
          <t>glass &amp; glass products</t>
        </is>
      </c>
      <c r="E428" s="31" t="inlineStr">
        <is>
          <t>midcap</t>
        </is>
      </c>
      <c r="F428" s="31" t="n">
        <v>9135.41</v>
      </c>
      <c r="G428" s="31" t="n">
        <v>640.55</v>
      </c>
      <c r="H428" s="31" t="n">
        <v>-1.7</v>
      </c>
      <c r="I428" s="31" t="n">
        <v>1017467</v>
      </c>
      <c r="J428" s="31" t="inlineStr">
        <is>
          <t>502219</t>
        </is>
      </c>
    </row>
    <row r="429">
      <c r="A429" s="31" t="inlineStr">
        <is>
          <t>MARKSANS</t>
        </is>
      </c>
      <c r="B429" s="31" t="inlineStr">
        <is>
          <t>Marksans Pharma Limited</t>
        </is>
      </c>
      <c r="C429" s="31" t="inlineStr">
        <is>
          <t>healthcare</t>
        </is>
      </c>
      <c r="D429" s="31" t="inlineStr">
        <is>
          <t>pharmaceuticals - indian - formulations</t>
        </is>
      </c>
      <c r="E429" s="31" t="inlineStr">
        <is>
          <t>midcap</t>
        </is>
      </c>
      <c r="F429" s="31" t="n">
        <v>12566.23</v>
      </c>
      <c r="G429" s="31" t="n">
        <v>272.4</v>
      </c>
      <c r="H429" s="31" t="n">
        <v>-1.77</v>
      </c>
      <c r="I429" s="31" t="n">
        <v>2192697</v>
      </c>
      <c r="J429" s="31" t="inlineStr">
        <is>
          <t>524404</t>
        </is>
      </c>
    </row>
    <row r="430">
      <c r="A430" s="31" t="inlineStr">
        <is>
          <t>BHAGCHEM</t>
        </is>
      </c>
      <c r="B430" s="31" t="inlineStr">
        <is>
          <t>Bhagiradha Chemicals &amp; Industries Ltd</t>
        </is>
      </c>
      <c r="C430" s="31" t="inlineStr">
        <is>
          <t>chemicals</t>
        </is>
      </c>
      <c r="D430" s="31" t="inlineStr">
        <is>
          <t>pesticides / agrochemicals - indian</t>
        </is>
      </c>
      <c r="E430" s="31" t="inlineStr">
        <is>
          <t>smallcap</t>
        </is>
      </c>
      <c r="F430" s="31" t="n">
        <v>3906.28</v>
      </c>
      <c r="G430" s="31" t="n">
        <v>295.9</v>
      </c>
      <c r="H430" s="31" t="n">
        <v>-1.78</v>
      </c>
      <c r="I430" s="31" t="n">
        <v>238089</v>
      </c>
      <c r="J430" s="31" t="inlineStr">
        <is>
          <t>531719</t>
        </is>
      </c>
    </row>
    <row r="431">
      <c r="A431" s="31" t="inlineStr">
        <is>
          <t>HTMEDIA</t>
        </is>
      </c>
      <c r="B431" s="31" t="inlineStr">
        <is>
          <t>Ht Media Limited</t>
        </is>
      </c>
      <c r="C431" s="31" t="inlineStr">
        <is>
          <t>media</t>
        </is>
      </c>
      <c r="D431" s="31" t="inlineStr">
        <is>
          <t>entertainment / electronic media software</t>
        </is>
      </c>
      <c r="E431" s="31" t="inlineStr">
        <is>
          <t>smallcap</t>
        </is>
      </c>
      <c r="F431" s="31" t="n">
        <v>602.88</v>
      </c>
      <c r="G431" s="31" t="n">
        <v>25.43</v>
      </c>
      <c r="H431" s="31" t="n">
        <v>-1.81</v>
      </c>
      <c r="I431" s="31" t="n">
        <v>226725</v>
      </c>
      <c r="J431" s="31" t="inlineStr">
        <is>
          <t>532662</t>
        </is>
      </c>
    </row>
    <row r="432">
      <c r="A432" s="31" t="inlineStr">
        <is>
          <t>UNICHEMLAB</t>
        </is>
      </c>
      <c r="B432" s="31" t="inlineStr">
        <is>
          <t>Unichem Laboratories Limited</t>
        </is>
      </c>
      <c r="C432" s="31" t="inlineStr">
        <is>
          <t>healthcare</t>
        </is>
      </c>
      <c r="D432" s="31" t="inlineStr">
        <is>
          <t>pharmaceuticals - indian - bulk drugs &amp; formln</t>
        </is>
      </c>
      <c r="E432" s="31" t="inlineStr">
        <is>
          <t>smallcap</t>
        </is>
      </c>
      <c r="F432" s="31" t="n">
        <v>4580.6</v>
      </c>
      <c r="G432" s="31" t="n">
        <v>638.75</v>
      </c>
      <c r="H432" s="31" t="n">
        <v>-1.82</v>
      </c>
      <c r="I432" s="31" t="n">
        <v>1113541</v>
      </c>
      <c r="J432" s="31" t="inlineStr">
        <is>
          <t>506690</t>
        </is>
      </c>
    </row>
    <row r="433">
      <c r="A433" s="31" t="inlineStr">
        <is>
          <t>HITECHCORP</t>
        </is>
      </c>
      <c r="B433" s="31" t="inlineStr">
        <is>
          <t>Hitech Corporation</t>
        </is>
      </c>
      <c r="C433" s="31" t="inlineStr">
        <is>
          <t>industrials</t>
        </is>
      </c>
      <c r="D433" s="31" t="inlineStr">
        <is>
          <t>packaging</t>
        </is>
      </c>
      <c r="E433" s="31" t="inlineStr">
        <is>
          <t>smallcap</t>
        </is>
      </c>
      <c r="F433" s="31" t="n">
        <v>562.33</v>
      </c>
      <c r="G433" s="31" t="n">
        <v>321.4</v>
      </c>
      <c r="H433" s="31" t="n">
        <v>-1.83</v>
      </c>
      <c r="I433" s="31" t="n">
        <v>26355</v>
      </c>
      <c r="J433" s="31" t="inlineStr">
        <is>
          <t>526217</t>
        </is>
      </c>
    </row>
    <row r="434">
      <c r="A434" s="31" t="inlineStr">
        <is>
          <t>MANAKSTEEL</t>
        </is>
      </c>
      <c r="B434" s="31" t="inlineStr">
        <is>
          <t>Manaksia Steels Limited</t>
        </is>
      </c>
      <c r="C434" s="31" t="inlineStr">
        <is>
          <t>metals &amp; mining</t>
        </is>
      </c>
      <c r="D434" s="31" t="inlineStr">
        <is>
          <t>steel - medium / small</t>
        </is>
      </c>
      <c r="E434" s="31" t="inlineStr">
        <is>
          <t>smallcap</t>
        </is>
      </c>
      <c r="F434" s="31" t="n">
        <v>512.02</v>
      </c>
      <c r="G434" s="31" t="n">
        <v>76.59999999999999</v>
      </c>
      <c r="H434" s="31" t="n">
        <v>-1.96</v>
      </c>
      <c r="I434" s="31" t="n">
        <v>18243</v>
      </c>
      <c r="J434" s="31" t="inlineStr">
        <is>
          <t>539044</t>
        </is>
      </c>
    </row>
    <row r="435">
      <c r="A435" s="31" t="inlineStr">
        <is>
          <t>QUESS</t>
        </is>
      </c>
      <c r="B435" s="31" t="inlineStr">
        <is>
          <t>Quess Corp Limited</t>
        </is>
      </c>
      <c r="C435" s="31" t="inlineStr">
        <is>
          <t>miscellaneous</t>
        </is>
      </c>
      <c r="D435" s="31" t="inlineStr">
        <is>
          <t>diversified - large</t>
        </is>
      </c>
      <c r="E435" s="31" t="inlineStr">
        <is>
          <t>smallcap</t>
        </is>
      </c>
      <c r="F435" s="31" t="n">
        <v>4398.56</v>
      </c>
      <c r="G435" s="31" t="n">
        <v>288.15</v>
      </c>
      <c r="H435" s="31" t="n">
        <v>-2.17</v>
      </c>
      <c r="I435" s="31" t="n">
        <v>286115</v>
      </c>
      <c r="J435" s="31" t="inlineStr">
        <is>
          <t>539978</t>
        </is>
      </c>
    </row>
    <row r="436">
      <c r="A436" s="31" t="inlineStr">
        <is>
          <t>ICIL</t>
        </is>
      </c>
      <c r="B436" s="31" t="inlineStr">
        <is>
          <t>Indo Count Industries Limited</t>
        </is>
      </c>
      <c r="C436" s="31" t="inlineStr">
        <is>
          <t>textiles</t>
        </is>
      </c>
      <c r="D436" s="31" t="inlineStr">
        <is>
          <t>textiles - cotton/blended</t>
        </is>
      </c>
      <c r="E436" s="31" t="inlineStr">
        <is>
          <t>midcap</t>
        </is>
      </c>
      <c r="F436" s="31" t="n">
        <v>8354.92</v>
      </c>
      <c r="G436" s="31" t="n">
        <v>412.55</v>
      </c>
      <c r="H436" s="31" t="n">
        <v>-2.2</v>
      </c>
      <c r="I436" s="31" t="n">
        <v>255121</v>
      </c>
      <c r="J436" s="31" t="inlineStr">
        <is>
          <t>521016</t>
        </is>
      </c>
    </row>
    <row r="437">
      <c r="A437" s="31" t="inlineStr">
        <is>
          <t>UNIMECH</t>
        </is>
      </c>
      <c r="B437" s="31" t="inlineStr">
        <is>
          <t>Unimech Aerospace and Manufacturing Ltd</t>
        </is>
      </c>
      <c r="C437" s="31" t="inlineStr">
        <is>
          <t>aerospace &amp; defence</t>
        </is>
      </c>
      <c r="D437" s="31" t="inlineStr">
        <is>
          <t>engineering</t>
        </is>
      </c>
      <c r="E437" s="31" t="inlineStr">
        <is>
          <t>midcap</t>
        </is>
      </c>
      <c r="F437" s="31" t="n">
        <v>6165.89</v>
      </c>
      <c r="G437" s="31" t="n">
        <v>1185</v>
      </c>
      <c r="H437" s="31" t="n">
        <v>-2.26</v>
      </c>
      <c r="I437" s="31" t="n">
        <v>113831</v>
      </c>
      <c r="J437" s="31" t="inlineStr">
        <is>
          <t>544322</t>
        </is>
      </c>
    </row>
    <row r="438">
      <c r="A438" s="31" t="inlineStr">
        <is>
          <t>HEALTHX</t>
        </is>
      </c>
      <c r="B438" s="31" t="inlineStr">
        <is>
          <t>Health X Platform Ltd</t>
        </is>
      </c>
      <c r="C438" s="31" t="inlineStr">
        <is>
          <t>financials</t>
        </is>
      </c>
      <c r="D438" s="31" t="inlineStr">
        <is>
          <t>finance &amp; investments</t>
        </is>
      </c>
      <c r="E438" s="31" t="inlineStr">
        <is>
          <t>smallcap</t>
        </is>
      </c>
      <c r="F438" s="31" t="n">
        <v>1048.63</v>
      </c>
      <c r="G438" s="31" t="n">
        <v>322</v>
      </c>
      <c r="H438" s="31" t="n">
        <v>-2.32</v>
      </c>
      <c r="I438" s="31" t="n">
        <v>11487</v>
      </c>
      <c r="J438" s="31" t="inlineStr">
        <is>
          <t>533259</t>
        </is>
      </c>
    </row>
    <row r="439">
      <c r="A439" s="31" t="inlineStr">
        <is>
          <t>5PAISA</t>
        </is>
      </c>
      <c r="B439" s="31" t="inlineStr">
        <is>
          <t>5Paisa Capital Ltd</t>
        </is>
      </c>
      <c r="C439" s="31" t="inlineStr">
        <is>
          <t>financials</t>
        </is>
      </c>
      <c r="D439" s="31" t="inlineStr">
        <is>
          <t>finance &amp; investments</t>
        </is>
      </c>
      <c r="E439" s="31" t="inlineStr">
        <is>
          <t>smallcap</t>
        </is>
      </c>
      <c r="F439" s="31" t="n">
        <v>1772.62</v>
      </c>
      <c r="G439" s="31" t="n">
        <v>368.95</v>
      </c>
      <c r="H439" s="31" t="n">
        <v>-2.42</v>
      </c>
      <c r="I439" s="31" t="n">
        <v>109517</v>
      </c>
      <c r="J439" s="31" t="inlineStr">
        <is>
          <t>540776</t>
        </is>
      </c>
    </row>
    <row r="440">
      <c r="A440" s="31" t="inlineStr">
        <is>
          <t>RELTD</t>
        </is>
      </c>
      <c r="B440" s="31" t="inlineStr">
        <is>
          <t>Ravindra Energy Ltd</t>
        </is>
      </c>
      <c r="C440" s="31" t="inlineStr">
        <is>
          <t>industrials</t>
        </is>
      </c>
      <c r="D440" s="31" t="inlineStr">
        <is>
          <t>electric equipment</t>
        </is>
      </c>
      <c r="E440" s="31" t="inlineStr">
        <is>
          <t>smallcap</t>
        </is>
      </c>
      <c r="F440" s="31" t="n">
        <v>3554.23</v>
      </c>
      <c r="G440" s="31" t="n">
        <v>174.12</v>
      </c>
      <c r="H440" s="31" t="n">
        <v>-2.73</v>
      </c>
      <c r="I440" s="31" t="n">
        <v>682994</v>
      </c>
      <c r="J440" s="31" t="inlineStr">
        <is>
          <t>504341</t>
        </is>
      </c>
    </row>
    <row r="441">
      <c r="A441" s="31" t="inlineStr">
        <is>
          <t>NINSYS</t>
        </is>
      </c>
      <c r="B441" s="31" t="inlineStr">
        <is>
          <t>NINtec Systems Ltd</t>
        </is>
      </c>
      <c r="C441" s="31" t="inlineStr">
        <is>
          <t>i.t</t>
        </is>
      </c>
      <c r="D441" s="31" t="inlineStr">
        <is>
          <t>computers - software - medium / small</t>
        </is>
      </c>
      <c r="E441" s="31" t="inlineStr">
        <is>
          <t>smallcap</t>
        </is>
      </c>
      <c r="F441" s="31" t="n">
        <v>1698.13</v>
      </c>
      <c r="G441" s="31" t="n">
        <v>889.05</v>
      </c>
      <c r="H441" s="31" t="n">
        <v>-2.75</v>
      </c>
      <c r="I441" s="31" t="n">
        <v>3017</v>
      </c>
      <c r="J441" s="31" t="inlineStr">
        <is>
          <t>539843</t>
        </is>
      </c>
    </row>
    <row r="442">
      <c r="A442" s="31" t="inlineStr">
        <is>
          <t>IRISDOREME</t>
        </is>
      </c>
      <c r="B442" s="31" t="inlineStr">
        <is>
          <t>Iris Clothings Ltd</t>
        </is>
      </c>
      <c r="C442" s="31" t="inlineStr">
        <is>
          <t>consumer discretionary</t>
        </is>
      </c>
      <c r="D442" s="31" t="inlineStr">
        <is>
          <t>textiles - products</t>
        </is>
      </c>
      <c r="E442" s="31" t="inlineStr">
        <is>
          <t>smallcap</t>
        </is>
      </c>
      <c r="F442" s="31" t="n">
        <v>853.64</v>
      </c>
      <c r="G442" s="31" t="n">
        <v>43.57</v>
      </c>
      <c r="H442" s="31" t="n">
        <v>-2.85</v>
      </c>
      <c r="I442" s="31" t="n">
        <v>221297</v>
      </c>
      <c r="J442" s="31" t="inlineStr">
        <is>
          <t>535123</t>
        </is>
      </c>
    </row>
    <row r="443">
      <c r="A443" s="31" t="inlineStr">
        <is>
          <t>JINDRILL</t>
        </is>
      </c>
      <c r="B443" s="31" t="inlineStr">
        <is>
          <t>Jindal Drilling And Industries Limited</t>
        </is>
      </c>
      <c r="C443" s="31" t="inlineStr">
        <is>
          <t>energy</t>
        </is>
      </c>
      <c r="D443" s="31" t="inlineStr">
        <is>
          <t>oil drilling / allied services</t>
        </is>
      </c>
      <c r="E443" s="31" t="inlineStr">
        <is>
          <t>smallcap</t>
        </is>
      </c>
      <c r="F443" s="31" t="n">
        <v>1799</v>
      </c>
      <c r="G443" s="31" t="n">
        <v>603.05</v>
      </c>
      <c r="H443" s="31" t="n">
        <v>-2.85</v>
      </c>
      <c r="I443" s="31" t="n">
        <v>952506</v>
      </c>
      <c r="J443" s="31" t="inlineStr">
        <is>
          <t>511034</t>
        </is>
      </c>
    </row>
    <row r="444">
      <c r="A444" s="31" t="inlineStr">
        <is>
          <t>ORCHPHARMA</t>
        </is>
      </c>
      <c r="B444" s="31" t="inlineStr">
        <is>
          <t>Orchid Pharma Ltd</t>
        </is>
      </c>
      <c r="C444" s="31" t="inlineStr">
        <is>
          <t>healthcare</t>
        </is>
      </c>
      <c r="D444" s="31" t="inlineStr">
        <is>
          <t>pharmaceuticals - indian - bulk drugs &amp; formln</t>
        </is>
      </c>
      <c r="E444" s="31" t="inlineStr">
        <is>
          <t>midcap</t>
        </is>
      </c>
      <c r="F444" s="31" t="n">
        <v>5330.32</v>
      </c>
      <c r="G444" s="31" t="n">
        <v>1012.55</v>
      </c>
      <c r="H444" s="31" t="n">
        <v>-3.65</v>
      </c>
      <c r="I444" s="31" t="n">
        <v>288100</v>
      </c>
      <c r="J444" s="31" t="inlineStr">
        <is>
          <t>524372</t>
        </is>
      </c>
    </row>
    <row r="445">
      <c r="A445" s="31" t="inlineStr">
        <is>
          <t>RAMCOSYS</t>
        </is>
      </c>
      <c r="B445" s="31" t="inlineStr">
        <is>
          <t>Ramco Systems Limited</t>
        </is>
      </c>
      <c r="C445" s="31" t="inlineStr">
        <is>
          <t>i.t</t>
        </is>
      </c>
      <c r="D445" s="31" t="inlineStr">
        <is>
          <t>computers - software - medium / small</t>
        </is>
      </c>
      <c r="E445" s="31" t="inlineStr">
        <is>
          <t>smallcap</t>
        </is>
      </c>
      <c r="F445" s="31" t="n">
        <v>3132.69</v>
      </c>
      <c r="G445" s="31" t="n">
        <v>805.6</v>
      </c>
      <c r="H445" s="31" t="n">
        <v>-3.79</v>
      </c>
      <c r="I445" s="31" t="n">
        <v>1368589</v>
      </c>
      <c r="J445" s="31" t="inlineStr">
        <is>
          <t>532370</t>
        </is>
      </c>
    </row>
    <row r="446">
      <c r="A446" s="31" t="inlineStr">
        <is>
          <t>DIACABS</t>
        </is>
      </c>
      <c r="B446" s="31" t="inlineStr">
        <is>
          <t>Diamond Power Infrastructure Ltd</t>
        </is>
      </c>
      <c r="C446" s="31" t="inlineStr">
        <is>
          <t>industrials</t>
        </is>
      </c>
      <c r="D446" s="31" t="inlineStr">
        <is>
          <t>cables - power</t>
        </is>
      </c>
      <c r="E446" s="31" t="inlineStr">
        <is>
          <t>midcap</t>
        </is>
      </c>
      <c r="F446" s="31" t="n">
        <v>12605.15</v>
      </c>
      <c r="G446" s="31" t="n">
        <v>229.01</v>
      </c>
      <c r="H446" s="31" t="n">
        <v>-4.26</v>
      </c>
      <c r="I446" s="31" t="n">
        <v>10684418</v>
      </c>
      <c r="J446" s="31" t="inlineStr">
        <is>
          <t>522163</t>
        </is>
      </c>
    </row>
    <row r="447">
      <c r="A447" s="31" t="inlineStr">
        <is>
          <t>SPARC</t>
        </is>
      </c>
      <c r="B447" s="31" t="inlineStr">
        <is>
          <t>Sun Pharma Advanced Research Company Limited</t>
        </is>
      </c>
      <c r="C447" s="31" t="inlineStr">
        <is>
          <t>healthcare</t>
        </is>
      </c>
      <c r="D447" s="31" t="inlineStr">
        <is>
          <t>miscellaneous</t>
        </is>
      </c>
      <c r="E447" s="31" t="inlineStr">
        <is>
          <t>midcap</t>
        </is>
      </c>
      <c r="F447" s="31" t="n">
        <v>9007.75</v>
      </c>
      <c r="G447" s="31" t="n">
        <v>264.6</v>
      </c>
      <c r="H447" s="31" t="n">
        <v>-4.67</v>
      </c>
      <c r="I447" s="31" t="n">
        <v>2946486</v>
      </c>
      <c r="J447" s="31" t="inlineStr">
        <is>
          <t>532872</t>
        </is>
      </c>
    </row>
  </sheetData>
  <autoFilter ref="A1:J4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BAJAJCON</t>
        </is>
      </c>
      <c r="E2" s="31" t="inlineStr">
        <is>
          <t>Bajaj Consumer Care Ltd</t>
        </is>
      </c>
      <c r="F2" s="31" t="inlineStr">
        <is>
          <t>FMCG - Personal Care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21</v>
      </c>
      <c r="K2" s="31" t="n">
        <v>27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GRANULES</t>
        </is>
      </c>
      <c r="E3" s="31" t="inlineStr">
        <is>
          <t>Granules India Limited</t>
        </is>
      </c>
      <c r="F3" s="31" t="inlineStr">
        <is>
          <t>Pharma - API &amp; CRAMS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18</v>
      </c>
      <c r="K3" s="31" t="n">
        <v>23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ATHERENERG</t>
        </is>
      </c>
      <c r="E4" s="31" t="inlineStr">
        <is>
          <t>Ather Energy Ltd</t>
        </is>
      </c>
      <c r="F4" s="31" t="inlineStr">
        <is>
          <t>Auto - 2 &amp; 3 Wheelers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17</v>
      </c>
      <c r="K4" s="31" t="n">
        <v>23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SKMEGGPROD</t>
        </is>
      </c>
      <c r="E5" s="31" t="inlineStr">
        <is>
          <t>Skm Egg Products Export (india) Limited</t>
        </is>
      </c>
      <c r="F5" s="31" t="inlineStr">
        <is>
          <t>FMCG - Animal/Polutry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21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INDNIPPON</t>
        </is>
      </c>
      <c r="E6" s="31" t="inlineStr">
        <is>
          <t>India Nippon Electricals Limited</t>
        </is>
      </c>
      <c r="F6" s="31" t="inlineStr">
        <is>
          <t>Auto Ancillaries - Engine Parts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25</v>
      </c>
      <c r="K6" s="31" t="n">
        <v>28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NYKAA</t>
        </is>
      </c>
      <c r="E7" s="31" t="inlineStr">
        <is>
          <t>FSN E-Commerce Ventures Ltd</t>
        </is>
      </c>
      <c r="F7" s="31" t="inlineStr">
        <is>
          <t>New age - Platform - E-Retail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19</v>
      </c>
      <c r="K7" s="31" t="n">
        <v>21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WELCORP</t>
        </is>
      </c>
      <c r="E8" s="31" t="inlineStr">
        <is>
          <t>Welspun Corp Limited</t>
        </is>
      </c>
      <c r="F8" s="31" t="inlineStr">
        <is>
          <t>DI Pipes/Saw Pipes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20</v>
      </c>
      <c r="K8" s="31" t="n">
        <v>30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AZAD</t>
        </is>
      </c>
      <c r="E9" s="31" t="inlineStr">
        <is>
          <t>Azad Engineering Ltd</t>
        </is>
      </c>
      <c r="F9" s="31" t="inlineStr">
        <is>
          <t>Aerospace &amp; Defence - Equipments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18</v>
      </c>
      <c r="K9" s="31" t="n">
        <v>14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ANANDRATHI</t>
        </is>
      </c>
      <c r="E10" s="31" t="inlineStr">
        <is>
          <t>Anand Rathi Wealth Ltd</t>
        </is>
      </c>
      <c r="F10" s="31" t="inlineStr">
        <is>
          <t>Finance - Capital Markets - Wealth Management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16</v>
      </c>
      <c r="K10" s="31" t="n">
        <v>10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SATIN</t>
        </is>
      </c>
      <c r="E11" s="31" t="inlineStr">
        <is>
          <t>Satin Creditcare Network Limited</t>
        </is>
      </c>
      <c r="F11" s="31" t="inlineStr">
        <is>
          <t>Finance &amp; Investments - Microfinance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19</v>
      </c>
      <c r="K11" s="31" t="n">
        <v>27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IOLCP</t>
        </is>
      </c>
      <c r="E12" s="31" t="inlineStr">
        <is>
          <t>Iol Chemicals And Pharmaceuticals Limited</t>
        </is>
      </c>
      <c r="F12" s="31" t="inlineStr">
        <is>
          <t>Pharma - API &amp; CRAMS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23</v>
      </c>
      <c r="K12" s="31" t="n">
        <v>28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IBULLSLTD</t>
        </is>
      </c>
      <c r="E13" s="31" t="inlineStr">
        <is>
          <t>Indiabulls Limited</t>
        </is>
      </c>
      <c r="F13" s="31" t="inlineStr">
        <is>
          <t>Diversified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19</v>
      </c>
      <c r="K13" s="31" t="n">
        <v>30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UJJIVANSFB</t>
        </is>
      </c>
      <c r="E14" s="31" t="inlineStr">
        <is>
          <t>Ujjivan Small Finance Bank Ltd</t>
        </is>
      </c>
      <c r="F14" s="31" t="inlineStr">
        <is>
          <t>Banks - Small Finance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18</v>
      </c>
      <c r="K14" s="31" t="n">
        <v>15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RPTECH</t>
        </is>
      </c>
      <c r="E15" s="31" t="inlineStr">
        <is>
          <t>Rashi Peripherals Ltd</t>
        </is>
      </c>
      <c r="F15" s="31" t="inlineStr">
        <is>
          <t>Trading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21</v>
      </c>
      <c r="K15" s="31" t="n">
        <v>28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SURYODAY</t>
        </is>
      </c>
      <c r="E16" s="31" t="inlineStr">
        <is>
          <t>Suryoday Small Finance Bank Ltd</t>
        </is>
      </c>
      <c r="F16" s="31" t="inlineStr">
        <is>
          <t>Banks - Small Finance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18</v>
      </c>
      <c r="K16" s="31" t="n">
        <v>28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FUSION</t>
        </is>
      </c>
      <c r="E17" s="31" t="inlineStr">
        <is>
          <t>Fusion Micro Finance Ltd</t>
        </is>
      </c>
      <c r="F17" s="31" t="inlineStr">
        <is>
          <t>Finance &amp; Investments - Microfinance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18</v>
      </c>
      <c r="K17" s="31" t="n">
        <v>12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DHANBANK</t>
        </is>
      </c>
      <c r="E18" s="31" t="inlineStr">
        <is>
          <t>Dhanlaxmi Bank Limited</t>
        </is>
      </c>
      <c r="F18" s="31" t="inlineStr">
        <is>
          <t>Banks - Private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18</v>
      </c>
      <c r="K18" s="31" t="n">
        <v>11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RADICO</t>
        </is>
      </c>
      <c r="E19" s="31" t="inlineStr">
        <is>
          <t>Radico Khaitan Limited</t>
        </is>
      </c>
      <c r="F19" s="31" t="inlineStr">
        <is>
          <t>Alcoholic Beverages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16</v>
      </c>
      <c r="K19" s="31" t="n">
        <v>27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PAISALO</t>
        </is>
      </c>
      <c r="E20" s="31" t="inlineStr">
        <is>
          <t>Paisalo Digital Ltd</t>
        </is>
      </c>
      <c r="F20" s="31" t="inlineStr">
        <is>
          <t>Finance - Capital Markets - Brokers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21</v>
      </c>
      <c r="K20" s="31" t="n">
        <v>30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GODREJIND</t>
        </is>
      </c>
      <c r="E21" s="31" t="inlineStr">
        <is>
          <t>Godrej Industries Limited</t>
        </is>
      </c>
      <c r="F21" s="31" t="inlineStr">
        <is>
          <t>Finance - Holding Company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17</v>
      </c>
      <c r="K21" s="31" t="n">
        <v>17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UNIPARTS</t>
        </is>
      </c>
      <c r="E22" s="31" t="inlineStr">
        <is>
          <t>Uniparts India Ltd</t>
        </is>
      </c>
      <c r="F22" s="31" t="inlineStr">
        <is>
          <t>Castings, Forgings &amp; Fastners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16</v>
      </c>
      <c r="K22" s="31" t="n">
        <v>26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AADHARHFC</t>
        </is>
      </c>
      <c r="E23" s="31" t="inlineStr">
        <is>
          <t>Aadhar Housing Finance Ltd</t>
        </is>
      </c>
      <c r="F23" s="31" t="inlineStr">
        <is>
          <t>Finance - Housing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18</v>
      </c>
      <c r="K23" s="31" t="n">
        <v>20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CUPID</t>
        </is>
      </c>
      <c r="E24" s="31" t="inlineStr">
        <is>
          <t>Cupid Limited</t>
        </is>
      </c>
      <c r="F24" s="31" t="inlineStr">
        <is>
          <t>Contraceptives/Protectives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20</v>
      </c>
      <c r="K24" s="31" t="n">
        <v>30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MARKSANS</t>
        </is>
      </c>
      <c r="E25" s="31" t="inlineStr">
        <is>
          <t>Marksans Pharma Limited</t>
        </is>
      </c>
      <c r="F25" s="31" t="inlineStr">
        <is>
          <t>Pharma - Formulators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16</v>
      </c>
      <c r="K25" s="31" t="n">
        <v>30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BLISSGVS</t>
        </is>
      </c>
      <c r="E26" s="31" t="inlineStr">
        <is>
          <t>Bliss Gvs Pharma Limited</t>
        </is>
      </c>
      <c r="F26" s="31" t="inlineStr">
        <is>
          <t>Pharma - Formulators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17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ADFFOODS</t>
        </is>
      </c>
      <c r="E27" s="31" t="inlineStr">
        <is>
          <t>Adf Foods Limited</t>
        </is>
      </c>
      <c r="F27" s="31" t="inlineStr">
        <is>
          <t>FMCG - Contract Mfg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19</v>
      </c>
      <c r="K27" s="31" t="n">
        <v>29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THANGAMAYL</t>
        </is>
      </c>
      <c r="E28" s="31" t="inlineStr">
        <is>
          <t>Thangamayil Jewellery Limited</t>
        </is>
      </c>
      <c r="F28" s="31" t="inlineStr">
        <is>
          <t>Diamond, Gems &amp; Jewellery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25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TIPSMUSIC</t>
        </is>
      </c>
      <c r="E29" s="31" t="inlineStr">
        <is>
          <t>Tips Music Ltd</t>
        </is>
      </c>
      <c r="F29" s="31" t="inlineStr">
        <is>
          <t>Music Licensing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20</v>
      </c>
      <c r="K29" s="31" t="n">
        <v>12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SANGHVIMOV</t>
        </is>
      </c>
      <c r="E30" s="31" t="inlineStr">
        <is>
          <t>Sanghvi Movers Limited</t>
        </is>
      </c>
      <c r="F30" s="31" t="inlineStr">
        <is>
          <t>Capital Goods - EPC/Cranes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17</v>
      </c>
      <c r="K30" s="31" t="n">
        <v>30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PGHL</t>
        </is>
      </c>
      <c r="E31" s="31" t="inlineStr">
        <is>
          <t>Procter &amp; Gamble Health Ltd</t>
        </is>
      </c>
      <c r="F31" s="31" t="inlineStr">
        <is>
          <t>Pharma - MNC bulk Drugs</t>
        </is>
      </c>
      <c r="G31" s="31" t="n">
        <v>2</v>
      </c>
      <c r="H31" s="31" t="inlineStr">
        <is>
          <t>52W Breakout</t>
        </is>
      </c>
      <c r="I31" s="31" t="inlineStr">
        <is>
          <t>Yes</t>
        </is>
      </c>
      <c r="J31" s="31" t="n">
        <v>15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BHARATSE</t>
        </is>
      </c>
      <c r="E32" s="31" t="inlineStr">
        <is>
          <t>Bharat Seats Ltd</t>
        </is>
      </c>
      <c r="F32" s="31" t="inlineStr">
        <is>
          <t>Auto Ancillaries - Seats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16</v>
      </c>
      <c r="K32" s="31" t="n">
        <v>8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MUTHOOTMF</t>
        </is>
      </c>
      <c r="E33" s="31" t="inlineStr">
        <is>
          <t>Muthoot Microfin Ltd</t>
        </is>
      </c>
      <c r="F33" s="31" t="inlineStr">
        <is>
          <t>Finance &amp; Investments - Microfinance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16</v>
      </c>
      <c r="K33" s="31" t="n">
        <v>21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VIJAYA</t>
        </is>
      </c>
      <c r="E34" s="31" t="inlineStr">
        <is>
          <t>Vijaya Diagnostic Centre Ltd</t>
        </is>
      </c>
      <c r="F34" s="31" t="inlineStr">
        <is>
          <t>Diagnostics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18</v>
      </c>
      <c r="K34" s="31" t="n">
        <v>20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SUVEN</t>
        </is>
      </c>
      <c r="E35" s="31" t="inlineStr">
        <is>
          <t>Suven Life Sciences Limited</t>
        </is>
      </c>
      <c r="F35" s="31" t="inlineStr">
        <is>
          <t>Pharma - Formulators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17</v>
      </c>
      <c r="K35" s="31" t="n">
        <v>23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AVALON</t>
        </is>
      </c>
      <c r="E36" s="31" t="inlineStr">
        <is>
          <t>Avalon Technologies Ltd</t>
        </is>
      </c>
      <c r="F36" s="31" t="inlineStr">
        <is>
          <t>Consumer Electronics - EMS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18</v>
      </c>
      <c r="K36" s="31" t="n">
        <v>28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CEMPRO</t>
        </is>
      </c>
      <c r="E37" s="31" t="inlineStr">
        <is>
          <t>Cemindia Projects Ltd</t>
        </is>
      </c>
      <c r="F37" s="31" t="inlineStr">
        <is>
          <t>Infra - Construction &amp; Contracting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20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RISHABH</t>
        </is>
      </c>
      <c r="E38" s="31" t="inlineStr">
        <is>
          <t>Rishabh Instruments Ltd</t>
        </is>
      </c>
      <c r="F38" s="31" t="inlineStr">
        <is>
          <t>Capital Goods - Electric General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16</v>
      </c>
      <c r="K38" s="31" t="n">
        <v>24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INDOTECH</t>
        </is>
      </c>
      <c r="E39" s="31" t="inlineStr">
        <is>
          <t>Indo Tech Transformers Limited</t>
        </is>
      </c>
      <c r="F39" s="31" t="inlineStr">
        <is>
          <t>Capital Goods - Transformers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18</v>
      </c>
      <c r="K39" s="31" t="n">
        <v>23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ASTRAMICRO</t>
        </is>
      </c>
      <c r="E40" s="31" t="inlineStr">
        <is>
          <t>Astra Microwave Products Limited</t>
        </is>
      </c>
      <c r="F40" s="31" t="inlineStr">
        <is>
          <t>unknown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0</v>
      </c>
      <c r="K40" s="31" t="n">
        <v>30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CGCL</t>
        </is>
      </c>
      <c r="E41" s="31" t="inlineStr">
        <is>
          <t>Capri Global Capital Limited</t>
        </is>
      </c>
      <c r="F41" s="31" t="inlineStr">
        <is>
          <t>Finance &amp; Investments - Gold Loan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25</v>
      </c>
      <c r="K41" s="31" t="n">
        <v>30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VADILALIND</t>
        </is>
      </c>
      <c r="E42" s="31" t="inlineStr">
        <is>
          <t>Vadilal Industries Limited</t>
        </is>
      </c>
      <c r="F42" s="31" t="inlineStr">
        <is>
          <t>FMCG - Dairy Products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21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RAMCOSYS</t>
        </is>
      </c>
      <c r="E43" s="31" t="inlineStr">
        <is>
          <t>Ramco Systems Limited</t>
        </is>
      </c>
      <c r="F43" s="31" t="inlineStr">
        <is>
          <t>IT Product Companies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18</v>
      </c>
      <c r="K43" s="31" t="n">
        <v>26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PRIVISCL</t>
        </is>
      </c>
      <c r="E44" s="31" t="inlineStr">
        <is>
          <t>Privi Speciality Chemicals Ltd</t>
        </is>
      </c>
      <c r="F44" s="31" t="inlineStr">
        <is>
          <t>Speciality Chemicals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16</v>
      </c>
      <c r="K44" s="31" t="n">
        <v>21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KMEW</t>
        </is>
      </c>
      <c r="E45" s="31" t="inlineStr">
        <is>
          <t>Knowledge Marine &amp; Engineering Works Ltd</t>
        </is>
      </c>
      <c r="F45" s="31" t="inlineStr">
        <is>
          <t>Shipping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20</v>
      </c>
      <c r="K45" s="31" t="n">
        <v>18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SIGNPOST</t>
        </is>
      </c>
      <c r="E46" s="31" t="inlineStr">
        <is>
          <t>Signpost India Ltd</t>
        </is>
      </c>
      <c r="F46" s="31" t="inlineStr">
        <is>
          <t>Advertisement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19</v>
      </c>
      <c r="K46" s="31" t="n">
        <v>8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DIFFNKG</t>
        </is>
      </c>
      <c r="E47" s="31" t="inlineStr">
        <is>
          <t>Diffusion Engineers Ltd</t>
        </is>
      </c>
      <c r="F47" s="31" t="inlineStr">
        <is>
          <t>Welding Equipments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18</v>
      </c>
      <c r="K47" s="31" t="n">
        <v>22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UFBL</t>
        </is>
      </c>
      <c r="E48" s="31" t="inlineStr">
        <is>
          <t>United Foodbrands Ltd</t>
        </is>
      </c>
      <c r="F48" s="31" t="inlineStr">
        <is>
          <t>Quick Service Restaurant - QSR</t>
        </is>
      </c>
      <c r="G48" s="31" t="n">
        <v>2</v>
      </c>
      <c r="H48" s="31" t="inlineStr">
        <is>
          <t>52W Breakout</t>
        </is>
      </c>
      <c r="I48" s="31" t="inlineStr">
        <is>
          <t>Yes</t>
        </is>
      </c>
      <c r="J48" s="31" t="n">
        <v>14</v>
      </c>
      <c r="K48" s="31" t="n">
        <v>30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RUBYMILLS</t>
        </is>
      </c>
      <c r="E49" s="31" t="inlineStr">
        <is>
          <t>The Ruby Mills Limited</t>
        </is>
      </c>
      <c r="F49" s="31" t="inlineStr">
        <is>
          <t>Textiles - Composite Mills</t>
        </is>
      </c>
      <c r="G49" s="31" t="n">
        <v>2</v>
      </c>
      <c r="H49" s="31" t="inlineStr">
        <is>
          <t>52W Breakout</t>
        </is>
      </c>
      <c r="I49" s="31" t="inlineStr">
        <is>
          <t>Yes</t>
        </is>
      </c>
      <c r="J49" s="31" t="n">
        <v>9</v>
      </c>
      <c r="K49" s="31" t="n">
        <v>30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SANSERA</t>
        </is>
      </c>
      <c r="E50" s="31" t="inlineStr">
        <is>
          <t>Sansera Engineering Ltd</t>
        </is>
      </c>
      <c r="F50" s="31" t="inlineStr">
        <is>
          <t>Auto Ancillaries - Diversified</t>
        </is>
      </c>
      <c r="G50" s="31" t="n">
        <v>2</v>
      </c>
      <c r="H50" s="31" t="inlineStr">
        <is>
          <t>52W Breakout</t>
        </is>
      </c>
      <c r="I50" s="31" t="inlineStr">
        <is>
          <t>Yes</t>
        </is>
      </c>
      <c r="J50" s="31" t="n">
        <v>14</v>
      </c>
      <c r="K50" s="31" t="n">
        <v>29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ACUTAAS</t>
        </is>
      </c>
      <c r="E51" s="31" t="inlineStr">
        <is>
          <t>Acutaas Chemicals Ltd</t>
        </is>
      </c>
      <c r="F51" s="31" t="inlineStr">
        <is>
          <t>Pharma - API &amp; CRAMS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19</v>
      </c>
      <c r="K51" s="31" t="n">
        <v>28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NGLFINE</t>
        </is>
      </c>
      <c r="E52" s="31" t="inlineStr">
        <is>
          <t>NGL Fine Chem Ltd</t>
        </is>
      </c>
      <c r="F52" s="31" t="inlineStr">
        <is>
          <t>Pharma - Animal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16</v>
      </c>
      <c r="K52" s="31" t="n">
        <v>28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BFINVEST</t>
        </is>
      </c>
      <c r="E53" s="31" t="inlineStr">
        <is>
          <t>Bf Investment Limited</t>
        </is>
      </c>
      <c r="F53" s="31" t="inlineStr">
        <is>
          <t>Finance &amp; Investments - Others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15</v>
      </c>
      <c r="K53" s="31" t="n">
        <v>20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SPARC</t>
        </is>
      </c>
      <c r="E54" s="31" t="inlineStr">
        <is>
          <t>Sun Pharma Advanced Research Company Limited</t>
        </is>
      </c>
      <c r="F54" s="31" t="inlineStr">
        <is>
          <t>Pharma - Others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16</v>
      </c>
      <c r="K54" s="31" t="n">
        <v>30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RATEGAIN</t>
        </is>
      </c>
      <c r="E55" s="31" t="inlineStr">
        <is>
          <t>Rategain Travel Technologies Ltd</t>
        </is>
      </c>
      <c r="F55" s="31" t="inlineStr">
        <is>
          <t>IT Product Companies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16</v>
      </c>
      <c r="K55" s="31" t="n">
        <v>30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JAYBARMARU</t>
        </is>
      </c>
      <c r="E56" s="31" t="inlineStr">
        <is>
          <t>Jay Bharat Maruti Limited</t>
        </is>
      </c>
      <c r="F56" s="31" t="inlineStr">
        <is>
          <t>Auto Ancillaries - Diversified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19</v>
      </c>
      <c r="K56" s="31" t="n">
        <v>30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SHILPAMED</t>
        </is>
      </c>
      <c r="E57" s="31" t="inlineStr">
        <is>
          <t>Shilpa Medicare Limited</t>
        </is>
      </c>
      <c r="F57" s="31" t="inlineStr">
        <is>
          <t>Pharma - API &amp; CRAMS</t>
        </is>
      </c>
      <c r="G57" s="31" t="n">
        <v>2</v>
      </c>
      <c r="H57" s="31" t="inlineStr">
        <is>
          <t>52W Breakout</t>
        </is>
      </c>
      <c r="I57" s="31" t="inlineStr">
        <is>
          <t>Yes</t>
        </is>
      </c>
      <c r="J57" s="31" t="n">
        <v>13</v>
      </c>
      <c r="K57" s="31" t="n">
        <v>30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NUVAMA</t>
        </is>
      </c>
      <c r="E58" s="31" t="inlineStr">
        <is>
          <t>Nuvama Wealth Management Ltd</t>
        </is>
      </c>
      <c r="F58" s="31" t="inlineStr">
        <is>
          <t>Finance - Capital Markets - Wealth Management</t>
        </is>
      </c>
      <c r="G58" s="31" t="n">
        <v>2</v>
      </c>
      <c r="H58" s="31" t="inlineStr">
        <is>
          <t>52W Breakout</t>
        </is>
      </c>
      <c r="I58" s="31" t="inlineStr">
        <is>
          <t>Yes</t>
        </is>
      </c>
      <c r="J58" s="31" t="n">
        <v>11</v>
      </c>
      <c r="K58" s="31" t="n">
        <v>28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AEGISLOG</t>
        </is>
      </c>
      <c r="E59" s="31" t="inlineStr">
        <is>
          <t>Aegis Logistics Ltd</t>
        </is>
      </c>
      <c r="F59" s="31" t="inlineStr">
        <is>
          <t>Logistics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19</v>
      </c>
      <c r="K59" s="31" t="n">
        <v>29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WABAG</t>
        </is>
      </c>
      <c r="E60" s="31" t="inlineStr">
        <is>
          <t>Va Tech Wabag Limited</t>
        </is>
      </c>
      <c r="F60" s="31" t="inlineStr">
        <is>
          <t>Water Treatment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19</v>
      </c>
      <c r="K60" s="31" t="n">
        <v>29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PHOENIXLTD</t>
        </is>
      </c>
      <c r="E61" s="31" t="inlineStr">
        <is>
          <t>The Phoenix Mills Limited</t>
        </is>
      </c>
      <c r="F61" s="31" t="inlineStr">
        <is>
          <t>Realty - Commercial</t>
        </is>
      </c>
      <c r="G61" s="31" t="n">
        <v>2</v>
      </c>
      <c r="H61" s="31" t="inlineStr">
        <is>
          <t>52W Breakout</t>
        </is>
      </c>
      <c r="I61" s="31" t="inlineStr">
        <is>
          <t>Yes</t>
        </is>
      </c>
      <c r="J61" s="31" t="n">
        <v>12</v>
      </c>
      <c r="K61" s="31" t="n">
        <v>20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AURUM</t>
        </is>
      </c>
      <c r="E62" s="31" t="inlineStr">
        <is>
          <t>Aurum Proptech Ltd</t>
        </is>
      </c>
      <c r="F62" s="31" t="inlineStr">
        <is>
          <t>IT Enabled Services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17</v>
      </c>
      <c r="K62" s="31" t="n">
        <v>26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RAMCOIND</t>
        </is>
      </c>
      <c r="E63" s="31" t="inlineStr">
        <is>
          <t>Ramco Industries Limited</t>
        </is>
      </c>
      <c r="F63" s="31" t="inlineStr">
        <is>
          <t>Cement Products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16</v>
      </c>
      <c r="K63" s="31" t="n">
        <v>12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SKYGOLD</t>
        </is>
      </c>
      <c r="E64" s="31" t="inlineStr">
        <is>
          <t>Sky Gold Ltd</t>
        </is>
      </c>
      <c r="F64" s="31" t="inlineStr">
        <is>
          <t>Diamond, Gems &amp; Jewellery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25</v>
      </c>
      <c r="K64" s="31" t="n">
        <v>19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SAILIFE</t>
        </is>
      </c>
      <c r="E65" s="31" t="inlineStr">
        <is>
          <t>Sai Life Sciences Ltd</t>
        </is>
      </c>
      <c r="F65" s="31" t="inlineStr">
        <is>
          <t>Pharma - API &amp; CRAMS</t>
        </is>
      </c>
      <c r="G65" s="31" t="n">
        <v>2</v>
      </c>
      <c r="H65" s="31" t="inlineStr">
        <is>
          <t>52W Breakout</t>
        </is>
      </c>
      <c r="I65" s="31" t="inlineStr">
        <is>
          <t>Yes</t>
        </is>
      </c>
      <c r="J65" s="31" t="n">
        <v>13</v>
      </c>
      <c r="K65" s="31" t="n">
        <v>28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IKS</t>
        </is>
      </c>
      <c r="E66" s="31" t="inlineStr">
        <is>
          <t>Inventurus Knowledge Solutions Ltd</t>
        </is>
      </c>
      <c r="F66" s="31" t="inlineStr">
        <is>
          <t>IT Enabled Services/Business Process Outsourcing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20</v>
      </c>
      <c r="K66" s="31" t="n">
        <v>20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RPEL</t>
        </is>
      </c>
      <c r="E67" s="31" t="inlineStr">
        <is>
          <t>Raghav Productivity Enhancers Ltd</t>
        </is>
      </c>
      <c r="F67" s="31" t="inlineStr">
        <is>
          <t>Steel Products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17</v>
      </c>
      <c r="K67" s="31" t="n">
        <v>30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FILATEX</t>
        </is>
      </c>
      <c r="E68" s="31" t="inlineStr">
        <is>
          <t>Filatex India Limited</t>
        </is>
      </c>
      <c r="F68" s="31" t="inlineStr">
        <is>
          <t>Textiles - Manmade Fibre - PFY/PSF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16</v>
      </c>
      <c r="K68" s="31" t="n">
        <v>15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TRIVENI</t>
        </is>
      </c>
      <c r="E69" s="31" t="inlineStr">
        <is>
          <t>Triveni Engineering &amp; Industries Limited</t>
        </is>
      </c>
      <c r="F69" s="31" t="inlineStr">
        <is>
          <t>Sugar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16</v>
      </c>
      <c r="K69" s="31" t="n">
        <v>20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GREAVESCOT</t>
        </is>
      </c>
      <c r="E70" s="31" t="inlineStr">
        <is>
          <t>Greaves Cotton Limited</t>
        </is>
      </c>
      <c r="F70" s="31" t="inlineStr">
        <is>
          <t>Engines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18</v>
      </c>
      <c r="K70" s="31" t="n">
        <v>16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SIGMAADV</t>
        </is>
      </c>
      <c r="E71" s="31" t="inlineStr">
        <is>
          <t>Sigma Advanced System Ltd</t>
        </is>
      </c>
      <c r="F71" s="31" t="inlineStr">
        <is>
          <t>Aerospace &amp; Defence - Equipments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20</v>
      </c>
      <c r="K71" s="31" t="n">
        <v>30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OBEROIRLTY</t>
        </is>
      </c>
      <c r="E72" s="31" t="inlineStr">
        <is>
          <t>Oberoi Realty Limited</t>
        </is>
      </c>
      <c r="F72" s="31" t="inlineStr">
        <is>
          <t>Realty - Regional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18</v>
      </c>
      <c r="K72" s="31" t="n">
        <v>19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TBZ</t>
        </is>
      </c>
      <c r="E73" s="31" t="inlineStr">
        <is>
          <t>Tribhovandas Bhimji Zaveri Limited</t>
        </is>
      </c>
      <c r="F73" s="31" t="inlineStr">
        <is>
          <t>Diamond, Gems &amp; Jewellery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21</v>
      </c>
      <c r="K73" s="31" t="n">
        <v>23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BLSE</t>
        </is>
      </c>
      <c r="E74" s="31" t="inlineStr">
        <is>
          <t>BLS E-Services Ltd</t>
        </is>
      </c>
      <c r="F74" s="31" t="inlineStr">
        <is>
          <t>IT - Software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17</v>
      </c>
      <c r="K74" s="31" t="n">
        <v>30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CHOLAFIN</t>
        </is>
      </c>
      <c r="E75" s="31" t="inlineStr">
        <is>
          <t>Cholamandalam Investment And Finance Company Limited</t>
        </is>
      </c>
      <c r="F75" s="31" t="inlineStr">
        <is>
          <t>Conglomerate Backed NBFC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16</v>
      </c>
      <c r="K75" s="31" t="n">
        <v>20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AETHER</t>
        </is>
      </c>
      <c r="E76" s="31" t="inlineStr">
        <is>
          <t>Aether Industries Ltd</t>
        </is>
      </c>
      <c r="F76" s="31" t="inlineStr">
        <is>
          <t>Speciality Chemicals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16</v>
      </c>
      <c r="K76" s="31" t="n">
        <v>19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DIACABS</t>
        </is>
      </c>
      <c r="E77" s="31" t="inlineStr">
        <is>
          <t>Diamond Power Infrastructure Ltd</t>
        </is>
      </c>
      <c r="F77" s="31" t="inlineStr">
        <is>
          <t>Cables - Power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18</v>
      </c>
      <c r="K77" s="31" t="n">
        <v>27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DIVGIITTS</t>
        </is>
      </c>
      <c r="E78" s="31" t="inlineStr">
        <is>
          <t>Divgi Torqtransfer Systems Ltd</t>
        </is>
      </c>
      <c r="F78" s="31" t="inlineStr">
        <is>
          <t>Auto Ancillaries - Transmission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18</v>
      </c>
      <c r="K78" s="31" t="n">
        <v>30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AEGISVOPAK</t>
        </is>
      </c>
      <c r="E79" s="31" t="inlineStr">
        <is>
          <t>Aegis Vopak Terminals Ltd</t>
        </is>
      </c>
      <c r="F79" s="31" t="inlineStr">
        <is>
          <t>Miscellaneous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19</v>
      </c>
      <c r="K79" s="31" t="n">
        <v>8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INDSWFTLAB</t>
        </is>
      </c>
      <c r="E80" s="31" t="inlineStr">
        <is>
          <t>Ind-swift Laboratories Limited</t>
        </is>
      </c>
      <c r="F80" s="31" t="inlineStr">
        <is>
          <t>Pharma - API</t>
        </is>
      </c>
      <c r="G80" s="31" t="n">
        <v>2</v>
      </c>
      <c r="H80" s="31" t="inlineStr">
        <is>
          <t>52W Breakout</t>
        </is>
      </c>
      <c r="I80" s="31" t="inlineStr">
        <is>
          <t>Yes</t>
        </is>
      </c>
      <c r="J80" s="31" t="n">
        <v>15</v>
      </c>
      <c r="K80" s="31" t="n">
        <v>30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RML</t>
        </is>
      </c>
      <c r="E81" s="31" t="inlineStr">
        <is>
          <t>Rane (madras) Limited</t>
        </is>
      </c>
      <c r="F81" s="31" t="inlineStr">
        <is>
          <t>Auto Ancillaries - Gears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20</v>
      </c>
      <c r="K81" s="31" t="n">
        <v>28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DELHIVERY</t>
        </is>
      </c>
      <c r="E82" s="31" t="inlineStr">
        <is>
          <t>Delhivery Ltd</t>
        </is>
      </c>
      <c r="F82" s="31" t="inlineStr">
        <is>
          <t>Logistics - Warehousing/Supply Chain</t>
        </is>
      </c>
      <c r="G82" s="31" t="n">
        <v>2</v>
      </c>
      <c r="H82" s="31" t="inlineStr">
        <is>
          <t>52W Breakout</t>
        </is>
      </c>
      <c r="I82" s="31" t="inlineStr">
        <is>
          <t>Yes</t>
        </is>
      </c>
      <c r="J82" s="31" t="n">
        <v>12</v>
      </c>
      <c r="K82" s="31" t="n">
        <v>14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TORNTPHARM</t>
        </is>
      </c>
      <c r="E83" s="31" t="inlineStr">
        <is>
          <t>Torrent Pharmaceuticals Limited</t>
        </is>
      </c>
      <c r="F83" s="31" t="inlineStr">
        <is>
          <t>Pharma - Formulators</t>
        </is>
      </c>
      <c r="G83" s="31" t="n">
        <v>2</v>
      </c>
      <c r="H83" s="31" t="inlineStr">
        <is>
          <t>52W Breakout</t>
        </is>
      </c>
      <c r="I83" s="31" t="inlineStr">
        <is>
          <t>Yes</t>
        </is>
      </c>
      <c r="J83" s="31" t="n">
        <v>6</v>
      </c>
      <c r="K83" s="31" t="n">
        <v>19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GOODLUCK</t>
        </is>
      </c>
      <c r="E84" s="31" t="inlineStr">
        <is>
          <t>Goodluck India Limited</t>
        </is>
      </c>
      <c r="F84" s="31" t="inlineStr">
        <is>
          <t>Steel - Tubes/Pipes</t>
        </is>
      </c>
      <c r="G84" s="31" t="n">
        <v>2</v>
      </c>
      <c r="H84" s="31" t="inlineStr">
        <is>
          <t>52W Breakout</t>
        </is>
      </c>
      <c r="I84" s="31" t="inlineStr">
        <is>
          <t>Yes</t>
        </is>
      </c>
      <c r="J84" s="31" t="n">
        <v>14</v>
      </c>
      <c r="K84" s="31" t="n">
        <v>17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UNICHEMLAB</t>
        </is>
      </c>
      <c r="E85" s="31" t="inlineStr">
        <is>
          <t>Unichem Laboratories Limited</t>
        </is>
      </c>
      <c r="F85" s="31" t="inlineStr">
        <is>
          <t>Pharma - Others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18</v>
      </c>
      <c r="K85" s="31" t="n">
        <v>3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TVSSCS</t>
        </is>
      </c>
      <c r="E86" s="31" t="inlineStr">
        <is>
          <t>TVS Supply Chain Solutions Ltd</t>
        </is>
      </c>
      <c r="F86" s="31" t="inlineStr">
        <is>
          <t>Logistics - Warehousing/Supply Chain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17</v>
      </c>
      <c r="K86" s="31" t="n">
        <v>28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GALAPREC</t>
        </is>
      </c>
      <c r="E87" s="31" t="inlineStr">
        <is>
          <t>Gala Precision Engineering Ltd</t>
        </is>
      </c>
      <c r="F87" s="31" t="inlineStr">
        <is>
          <t>Castings, Forgings &amp; Fastners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16</v>
      </c>
      <c r="K87" s="31" t="n">
        <v>28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KAPSTON</t>
        </is>
      </c>
      <c r="E88" s="31" t="inlineStr">
        <is>
          <t>Kapston Services Ltd</t>
        </is>
      </c>
      <c r="F88" s="31" t="inlineStr">
        <is>
          <t>Services - Others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18</v>
      </c>
      <c r="K88" s="31" t="n">
        <v>20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KSL</t>
        </is>
      </c>
      <c r="E89" s="31" t="inlineStr">
        <is>
          <t>Kalyani Steels Limited</t>
        </is>
      </c>
      <c r="F89" s="31" t="inlineStr">
        <is>
          <t>Steel Products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17</v>
      </c>
      <c r="K89" s="31" t="n">
        <v>12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GRAVITA</t>
        </is>
      </c>
      <c r="E90" s="31" t="inlineStr">
        <is>
          <t>Gravita India Limited</t>
        </is>
      </c>
      <c r="F90" s="31" t="inlineStr">
        <is>
          <t>Recycling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16</v>
      </c>
      <c r="K90" s="31" t="n">
        <v>14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BHARTIHEXA</t>
        </is>
      </c>
      <c r="E91" s="31" t="inlineStr">
        <is>
          <t>Bharti Hexacom Ltd</t>
        </is>
      </c>
      <c r="F91" s="31" t="inlineStr">
        <is>
          <t>Telecom Services</t>
        </is>
      </c>
      <c r="G91" s="31" t="n">
        <v>2</v>
      </c>
      <c r="H91" s="31" t="inlineStr">
        <is>
          <t>EMA Crossover</t>
        </is>
      </c>
      <c r="I91" s="31" t="inlineStr">
        <is>
          <t>Yes</t>
        </is>
      </c>
      <c r="J91" s="31" t="n">
        <v>7</v>
      </c>
      <c r="K91" s="31" t="n">
        <v>1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BALAMINES</t>
        </is>
      </c>
      <c r="E92" s="31" t="inlineStr">
        <is>
          <t>Balaji Amines Limited</t>
        </is>
      </c>
      <c r="F92" s="31" t="inlineStr">
        <is>
          <t>Chemicals - Organic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16</v>
      </c>
      <c r="K92" s="31" t="n">
        <v>25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BHAGYANGR</t>
        </is>
      </c>
      <c r="E93" s="31" t="inlineStr">
        <is>
          <t>Bhagyanagar India</t>
        </is>
      </c>
      <c r="F93" s="31" t="inlineStr">
        <is>
          <t>Recycling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16</v>
      </c>
      <c r="K93" s="31" t="n">
        <v>25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GHCLTEXTIL</t>
        </is>
      </c>
      <c r="E94" s="31" t="inlineStr">
        <is>
          <t>GHCL Textiles Ltd</t>
        </is>
      </c>
      <c r="F94" s="31" t="inlineStr">
        <is>
          <t>Textiles - General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17</v>
      </c>
      <c r="K94" s="31" t="n">
        <v>17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JNKINDIA</t>
        </is>
      </c>
      <c r="E95" s="31" t="inlineStr">
        <is>
          <t>JNK India Ltd</t>
        </is>
      </c>
      <c r="F95" s="31" t="inlineStr">
        <is>
          <t>Capital Goods - Engineering Heavy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18</v>
      </c>
      <c r="K95" s="31" t="n">
        <v>29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CHOICEIN</t>
        </is>
      </c>
      <c r="E96" s="31" t="inlineStr">
        <is>
          <t>Choice International Ltd</t>
        </is>
      </c>
      <c r="F96" s="31" t="inlineStr">
        <is>
          <t>Finance - Capital Markets - Brokers</t>
        </is>
      </c>
      <c r="G96" s="31" t="n">
        <v>2</v>
      </c>
      <c r="H96" s="31" t="inlineStr">
        <is>
          <t>No</t>
        </is>
      </c>
      <c r="I96" s="31" t="inlineStr">
        <is>
          <t>Yes</t>
        </is>
      </c>
      <c r="J96" s="31" t="n">
        <v>18</v>
      </c>
      <c r="K96" s="31" t="n">
        <v>19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HFCL</t>
        </is>
      </c>
      <c r="E97" s="31" t="inlineStr">
        <is>
          <t>HFCL Ltd</t>
        </is>
      </c>
      <c r="F97" s="31" t="inlineStr">
        <is>
          <t>Telecom Services</t>
        </is>
      </c>
      <c r="G97" s="31" t="n">
        <v>2</v>
      </c>
      <c r="H97" s="31" t="inlineStr">
        <is>
          <t>No</t>
        </is>
      </c>
      <c r="I97" s="31" t="inlineStr">
        <is>
          <t>Yes</t>
        </is>
      </c>
      <c r="J97" s="31" t="n">
        <v>17</v>
      </c>
      <c r="K97" s="31" t="n">
        <v>29</v>
      </c>
    </row>
  </sheetData>
  <autoFilter ref="A1:K97"/>
  <conditionalFormatting sqref="G2:G9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7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IF(B2=0,"",RANK(B2,$B$2:$B$372,0))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IOLCP</t>
        </is>
      </c>
      <c r="D2" s="31" t="inlineStr">
        <is>
          <t>Iol Chemicals And Pharmaceuticals Limited</t>
        </is>
      </c>
      <c r="E2" s="31" t="inlineStr">
        <is>
          <t>healthcare</t>
        </is>
      </c>
      <c r="F2" s="31" t="inlineStr">
        <is>
          <t>pharmaceuticals - indian - bulk drugs &amp; formln</t>
        </is>
      </c>
      <c r="G2" s="31" t="inlineStr">
        <is>
          <t>smallcap</t>
        </is>
      </c>
      <c r="H2" s="32" t="n">
        <v>4935.67</v>
      </c>
      <c r="I2" s="32" t="n">
        <v>171.06</v>
      </c>
      <c r="J2" s="32" t="n">
        <v>1.73</v>
      </c>
      <c r="K2" s="32" t="n">
        <v>4120562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86.43000000000001</v>
      </c>
      <c r="P2" s="32" t="n">
        <v>58.71</v>
      </c>
      <c r="Q2" s="32" t="n">
        <v>130.8</v>
      </c>
      <c r="R2" s="31" t="inlineStr">
        <is>
          <t>Volume Spike &amp; Near 52W High Breakout</t>
        </is>
      </c>
      <c r="S2" s="31" t="inlineStr">
        <is>
          <t>Nifty Pharma</t>
        </is>
      </c>
      <c r="T2" s="32" t="n">
        <v>15.51</v>
      </c>
      <c r="U2" s="32" t="n">
        <v>90.15000000000001</v>
      </c>
      <c r="V2" s="32" t="n">
        <v>64.61</v>
      </c>
      <c r="W2" s="32" t="n">
        <v>42.3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IF(B3=0,"",RANK(B3,$B$2:$B$372,0))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INDOBORAX</t>
        </is>
      </c>
      <c r="D3" s="31" t="inlineStr">
        <is>
          <t>Indo Borax &amp; Chemicals Ltd</t>
        </is>
      </c>
      <c r="E3" s="31" t="inlineStr">
        <is>
          <t>chemicals</t>
        </is>
      </c>
      <c r="F3" s="31" t="inlineStr">
        <is>
          <t>chemicals</t>
        </is>
      </c>
      <c r="G3" s="31" t="inlineStr">
        <is>
          <t>smallcap</t>
        </is>
      </c>
      <c r="H3" s="32" t="n">
        <v>1391.58</v>
      </c>
      <c r="I3" s="32" t="n">
        <v>453.8</v>
      </c>
      <c r="J3" s="32" t="n">
        <v>4.65</v>
      </c>
      <c r="K3" s="32" t="n">
        <v>300056</v>
      </c>
      <c r="L3" s="31" t="n">
        <v>91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86.69</v>
      </c>
      <c r="P3" s="32" t="n">
        <v>63.79</v>
      </c>
      <c r="Q3" s="32" t="n">
        <v>356.73</v>
      </c>
      <c r="R3" s="31" t="inlineStr">
        <is>
          <t>Volume Spike &amp; Near 52W High Breakout</t>
        </is>
      </c>
      <c r="S3" s="31" t="inlineStr">
        <is>
          <t>Nifty 50</t>
        </is>
      </c>
      <c r="T3" s="32" t="n">
        <v>-3.75</v>
      </c>
      <c r="U3" s="32" t="n">
        <v>94.65000000000001</v>
      </c>
      <c r="V3" s="32" t="n">
        <v>102.24</v>
      </c>
      <c r="W3" s="32" t="n">
        <v>33.08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IF(B4=0,"",RANK(B4,$B$2:$B$372,0))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IBULLSLTD</t>
        </is>
      </c>
      <c r="D4" s="31" t="inlineStr">
        <is>
          <t>Indiabulls Limited</t>
        </is>
      </c>
      <c r="E4" s="31" t="inlineStr">
        <is>
          <t>miscellaneous</t>
        </is>
      </c>
      <c r="F4" s="31" t="inlineStr">
        <is>
          <t>diversified - medium / small</t>
        </is>
      </c>
      <c r="G4" s="31" t="inlineStr">
        <is>
          <t>midcap</t>
        </is>
      </c>
      <c r="H4" s="32" t="n">
        <v>6873.2</v>
      </c>
      <c r="I4" s="32" t="n">
        <v>29.63</v>
      </c>
      <c r="J4" s="32" t="n">
        <v>0.2</v>
      </c>
      <c r="K4" s="32" t="n">
        <v>3431801</v>
      </c>
      <c r="L4" s="31" t="n">
        <v>97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78.42</v>
      </c>
      <c r="P4" s="32" t="n">
        <v>40.32</v>
      </c>
      <c r="Q4" s="32" t="n">
        <v>21.73</v>
      </c>
      <c r="R4" s="31" t="inlineStr">
        <is>
          <t>Near 52W High Breakout</t>
        </is>
      </c>
      <c r="S4" s="31" t="inlineStr">
        <is>
          <t>Nifty 50</t>
        </is>
      </c>
      <c r="T4" s="32" t="n">
        <v>-3.75</v>
      </c>
      <c r="U4" s="32" t="n">
        <v>90.18000000000001</v>
      </c>
      <c r="V4" s="32" t="n">
        <v>97.59</v>
      </c>
      <c r="W4" s="32" t="n">
        <v>53.53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Between 50% to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IF(B5=0,"",RANK(B5,$B$2:$B$372,0))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CONFIPET</t>
        </is>
      </c>
      <c r="D5" s="31" t="inlineStr">
        <is>
          <t>Confidence Petroleum India Ltd</t>
        </is>
      </c>
      <c r="E5" s="31" t="inlineStr">
        <is>
          <t>miscellaneous</t>
        </is>
      </c>
      <c r="F5" s="31" t="inlineStr">
        <is>
          <t>miscellaneous</t>
        </is>
      </c>
      <c r="G5" s="31" t="inlineStr">
        <is>
          <t>smallcap</t>
        </is>
      </c>
      <c r="H5" s="32" t="n">
        <v>2402.77</v>
      </c>
      <c r="I5" s="32" t="n">
        <v>76.45</v>
      </c>
      <c r="J5" s="32" t="n">
        <v>5.71</v>
      </c>
      <c r="K5" s="32" t="n">
        <v>3330080</v>
      </c>
      <c r="L5" s="31" t="n">
        <v>75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72.45</v>
      </c>
      <c r="P5" s="32" t="n">
        <v>63.59</v>
      </c>
      <c r="Q5" s="32" t="n">
        <v>51.97</v>
      </c>
      <c r="R5" s="31" t="inlineStr">
        <is>
          <t>Near 52W High Breakout</t>
        </is>
      </c>
      <c r="S5" s="31" t="inlineStr">
        <is>
          <t>Nifty 50</t>
        </is>
      </c>
      <c r="T5" s="32" t="n">
        <v>-3.75</v>
      </c>
      <c r="U5" s="32" t="n">
        <v>37.92</v>
      </c>
      <c r="V5" s="32" t="n">
        <v>43.29</v>
      </c>
      <c r="W5" s="32" t="n">
        <v>18.76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IF(B6=0,"",RANK(B6,$B$2:$B$372,0))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STYLAMIND</t>
        </is>
      </c>
      <c r="D6" s="31" t="inlineStr">
        <is>
          <t>Stylam Industries Ltd</t>
        </is>
      </c>
      <c r="E6" s="31" t="inlineStr">
        <is>
          <t>building materials</t>
        </is>
      </c>
      <c r="F6" s="31" t="inlineStr">
        <is>
          <t>miscellaneous</t>
        </is>
      </c>
      <c r="G6" s="31" t="inlineStr">
        <is>
          <t>midcap</t>
        </is>
      </c>
      <c r="H6" s="32" t="n">
        <v>5345.59</v>
      </c>
      <c r="I6" s="32" t="n">
        <v>3292</v>
      </c>
      <c r="J6" s="32" t="n">
        <v>4.37</v>
      </c>
      <c r="K6" s="32" t="n">
        <v>74251</v>
      </c>
      <c r="L6" s="31" t="n">
        <v>85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83.94</v>
      </c>
      <c r="P6" s="32" t="n">
        <v>65.84999999999999</v>
      </c>
      <c r="Q6" s="32" t="n">
        <v>2783.33</v>
      </c>
      <c r="R6" s="31" t="inlineStr">
        <is>
          <t>Near 52W High Breakout</t>
        </is>
      </c>
      <c r="S6" s="31" t="inlineStr">
        <is>
          <t>Nifty Infra</t>
        </is>
      </c>
      <c r="T6" s="32" t="n">
        <v>1.87</v>
      </c>
      <c r="U6" s="32" t="n">
        <v>98.3</v>
      </c>
      <c r="V6" s="32" t="n">
        <v>94.67</v>
      </c>
      <c r="W6" s="32" t="n">
        <v>25.47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IF(B7=0,"",RANK(B7,$B$2:$B$372,0))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PRECOT</t>
        </is>
      </c>
      <c r="D7" s="31" t="inlineStr">
        <is>
          <t>Precot Meridian Limited</t>
        </is>
      </c>
      <c r="E7" s="31" t="inlineStr">
        <is>
          <t>textiles</t>
        </is>
      </c>
      <c r="F7" s="31" t="inlineStr">
        <is>
          <t>textiles - cotton/blended</t>
        </is>
      </c>
      <c r="G7" s="31" t="inlineStr">
        <is>
          <t>smallcap</t>
        </is>
      </c>
      <c r="H7" s="32" t="n">
        <v>960.54</v>
      </c>
      <c r="I7" s="32" t="n">
        <v>818.9</v>
      </c>
      <c r="J7" s="32" t="n">
        <v>2.31</v>
      </c>
      <c r="K7" s="32" t="n">
        <v>8403</v>
      </c>
      <c r="L7" s="31" t="n">
        <v>82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69.34</v>
      </c>
      <c r="P7" s="32" t="n">
        <v>43.3</v>
      </c>
      <c r="Q7" s="32" t="n">
        <v>569.38</v>
      </c>
      <c r="R7" s="31" t="inlineStr">
        <is>
          <t>Near 52W High Breakout</t>
        </is>
      </c>
      <c r="S7" s="31" t="inlineStr">
        <is>
          <t>Nifty 50</t>
        </is>
      </c>
      <c r="T7" s="32" t="n">
        <v>-3.75</v>
      </c>
      <c r="U7" s="32" t="n">
        <v>41.95</v>
      </c>
      <c r="V7" s="32" t="n">
        <v>47.48</v>
      </c>
      <c r="W7" s="32" t="n">
        <v>22.64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Between 0.7 to 1.2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IF(B8=0,"",RANK(B8,$B$2:$B$372,0))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PGIL</t>
        </is>
      </c>
      <c r="D8" s="31" t="inlineStr">
        <is>
          <t>Pearl Global Industries Limited</t>
        </is>
      </c>
      <c r="E8" s="31" t="inlineStr">
        <is>
          <t>consumer discretionary</t>
        </is>
      </c>
      <c r="F8" s="31" t="inlineStr">
        <is>
          <t>textiles - products</t>
        </is>
      </c>
      <c r="G8" s="31" t="inlineStr">
        <is>
          <t>midcap</t>
        </is>
      </c>
      <c r="H8" s="32" t="n">
        <v>9135.99</v>
      </c>
      <c r="I8" s="32" t="n">
        <v>2000</v>
      </c>
      <c r="J8" s="32" t="n">
        <v>1.02</v>
      </c>
      <c r="K8" s="32" t="n">
        <v>56526</v>
      </c>
      <c r="L8" s="31" t="n">
        <v>61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66.03</v>
      </c>
      <c r="P8" s="32" t="n">
        <v>41.25</v>
      </c>
      <c r="Q8" s="32" t="n">
        <v>1572.11</v>
      </c>
      <c r="R8" s="31" t="inlineStr">
        <is>
          <t>Near 52W High Breakout</t>
        </is>
      </c>
      <c r="S8" s="31" t="inlineStr">
        <is>
          <t>Nifty 50</t>
        </is>
      </c>
      <c r="T8" s="32" t="n">
        <v>-3.75</v>
      </c>
      <c r="U8" s="32" t="n">
        <v>33.49</v>
      </c>
      <c r="V8" s="32" t="n">
        <v>38.69</v>
      </c>
      <c r="W8" s="32" t="n">
        <v>13.18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Between 1.5 to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IF(B9=0,"",RANK(B9,$B$2:$B$372,0))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RPTECH</t>
        </is>
      </c>
      <c r="D9" s="31" t="inlineStr">
        <is>
          <t>Rashi Peripherals Ltd</t>
        </is>
      </c>
      <c r="E9" s="31" t="inlineStr">
        <is>
          <t>services</t>
        </is>
      </c>
      <c r="F9" s="31" t="inlineStr">
        <is>
          <t>trading</t>
        </is>
      </c>
      <c r="G9" s="31" t="inlineStr">
        <is>
          <t>midcap</t>
        </is>
      </c>
      <c r="H9" s="32" t="n">
        <v>5135.23</v>
      </c>
      <c r="I9" s="32" t="n">
        <v>778</v>
      </c>
      <c r="J9" s="32" t="n">
        <v>-0.16</v>
      </c>
      <c r="K9" s="32" t="n">
        <v>493196</v>
      </c>
      <c r="L9" s="31" t="n">
        <v>96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85.18000000000001</v>
      </c>
      <c r="P9" s="32" t="n">
        <v>68.39</v>
      </c>
      <c r="Q9" s="32" t="n">
        <v>604.35</v>
      </c>
      <c r="R9" s="31" t="inlineStr">
        <is>
          <t>Near 52W High Breakout</t>
        </is>
      </c>
      <c r="S9" s="31" t="inlineStr">
        <is>
          <t>Nifty 50</t>
        </is>
      </c>
      <c r="T9" s="32" t="n">
        <v>-3.75</v>
      </c>
      <c r="U9" s="32" t="n">
        <v>162.46</v>
      </c>
      <c r="V9" s="32" t="n">
        <v>172.68</v>
      </c>
      <c r="W9" s="32" t="n">
        <v>43.87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Less than 50%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IF(B10=0,"",RANK(B10,$B$2:$B$372,0))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BAJAJCON</t>
        </is>
      </c>
      <c r="D10" s="31" t="inlineStr">
        <is>
          <t>Bajaj Consumer Care Ltd</t>
        </is>
      </c>
      <c r="E10" s="31" t="inlineStr">
        <is>
          <t>fmcg</t>
        </is>
      </c>
      <c r="F10" s="31" t="inlineStr">
        <is>
          <t>personal care - indian</t>
        </is>
      </c>
      <c r="G10" s="31" t="inlineStr">
        <is>
          <t>midcap</t>
        </is>
      </c>
      <c r="H10" s="32" t="n">
        <v>8405.940000000001</v>
      </c>
      <c r="I10" s="32" t="n">
        <v>670.25</v>
      </c>
      <c r="J10" s="32" t="n">
        <v>4.15</v>
      </c>
      <c r="K10" s="32" t="n">
        <v>2128239</v>
      </c>
      <c r="L10" s="31" t="n">
        <v>93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76.11</v>
      </c>
      <c r="P10" s="32" t="n">
        <v>64.09</v>
      </c>
      <c r="Q10" s="32" t="n">
        <v>525.88</v>
      </c>
      <c r="R10" s="31" t="inlineStr">
        <is>
          <t>Near 52W High Breakout</t>
        </is>
      </c>
      <c r="S10" s="31" t="inlineStr">
        <is>
          <t>Nifty FMCG</t>
        </is>
      </c>
      <c r="T10" s="32" t="n">
        <v>-11.8</v>
      </c>
      <c r="U10" s="32" t="n">
        <v>187.48</v>
      </c>
      <c r="V10" s="32" t="n">
        <v>225.95</v>
      </c>
      <c r="W10" s="32" t="n">
        <v>36.79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IF(B11=0,"",RANK(B11,$B$2:$B$372,0))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GLAND</t>
        </is>
      </c>
      <c r="D11" s="31" t="inlineStr">
        <is>
          <t>Gland Pharma Ltd</t>
        </is>
      </c>
      <c r="E11" s="31" t="inlineStr">
        <is>
          <t>healthcare</t>
        </is>
      </c>
      <c r="F11" s="31" t="inlineStr">
        <is>
          <t>pharmaceuticals - indian - formulations</t>
        </is>
      </c>
      <c r="G11" s="31" t="inlineStr">
        <is>
          <t>largecap</t>
        </is>
      </c>
      <c r="H11" s="32" t="n">
        <v>40686.6</v>
      </c>
      <c r="I11" s="32" t="n">
        <v>2479.4</v>
      </c>
      <c r="J11" s="32" t="n">
        <v>0.4</v>
      </c>
      <c r="K11" s="32" t="n">
        <v>329308</v>
      </c>
      <c r="L11" s="31" t="n">
        <v>71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72.5</v>
      </c>
      <c r="P11" s="32" t="n">
        <v>44.88</v>
      </c>
      <c r="Q11" s="32" t="n">
        <v>2000.4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15.51</v>
      </c>
      <c r="U11" s="32" t="n">
        <v>34.62</v>
      </c>
      <c r="V11" s="32" t="n">
        <v>16.54</v>
      </c>
      <c r="W11" s="32" t="n">
        <v>16.03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IF(B12=0,"",RANK(B12,$B$2:$B$372,0))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RADICO</t>
        </is>
      </c>
      <c r="D12" s="31" t="inlineStr">
        <is>
          <t>Radico Khaitan Limited</t>
        </is>
      </c>
      <c r="E12" s="31" t="inlineStr">
        <is>
          <t>fmcg</t>
        </is>
      </c>
      <c r="F12" s="31" t="inlineStr">
        <is>
          <t>breweries &amp; distilleries</t>
        </is>
      </c>
      <c r="G12" s="31" t="inlineStr">
        <is>
          <t>largecap</t>
        </is>
      </c>
      <c r="H12" s="32" t="n">
        <v>54750.86</v>
      </c>
      <c r="I12" s="32" t="n">
        <v>4073.7</v>
      </c>
      <c r="J12" s="32" t="n">
        <v>-0.37</v>
      </c>
      <c r="K12" s="32" t="n">
        <v>303510</v>
      </c>
      <c r="L12" s="31" t="n">
        <v>75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79.55</v>
      </c>
      <c r="P12" s="32" t="n">
        <v>47.36</v>
      </c>
      <c r="Q12" s="32" t="n">
        <v>3420.18</v>
      </c>
      <c r="R12" s="31" t="inlineStr">
        <is>
          <t>Near 52W High Breakout</t>
        </is>
      </c>
      <c r="S12" s="31" t="inlineStr">
        <is>
          <t>Nifty FMCG</t>
        </is>
      </c>
      <c r="T12" s="32" t="n">
        <v>-11.8</v>
      </c>
      <c r="U12" s="32" t="n">
        <v>50.08</v>
      </c>
      <c r="V12" s="32" t="n">
        <v>70.17</v>
      </c>
      <c r="W12" s="32" t="n">
        <v>19.04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IF(B13=0,"",RANK(B13,$B$2:$B$372,0))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PANACEABIO</t>
        </is>
      </c>
      <c r="D13" s="31" t="inlineStr">
        <is>
          <t>Panacea Biotec Limited</t>
        </is>
      </c>
      <c r="E13" s="31" t="inlineStr">
        <is>
          <t>healthcare</t>
        </is>
      </c>
      <c r="F13" s="31" t="inlineStr">
        <is>
          <t>pharmaceuticals - indian - bulk drugs &amp; formln</t>
        </is>
      </c>
      <c r="G13" s="31" t="inlineStr">
        <is>
          <t>smallcap</t>
        </is>
      </c>
      <c r="H13" s="32" t="n">
        <v>3400.64</v>
      </c>
      <c r="I13" s="32" t="n">
        <v>546.6</v>
      </c>
      <c r="J13" s="32" t="n">
        <v>-1.55</v>
      </c>
      <c r="K13" s="32" t="n">
        <v>104393</v>
      </c>
      <c r="L13" s="31" t="n">
        <v>81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74.05</v>
      </c>
      <c r="P13" s="32" t="n">
        <v>40.22</v>
      </c>
      <c r="Q13" s="32" t="n">
        <v>386.71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15.51</v>
      </c>
      <c r="U13" s="32" t="n">
        <v>31.35</v>
      </c>
      <c r="V13" s="32" t="n">
        <v>13.71</v>
      </c>
      <c r="W13" s="32" t="n">
        <v>22.52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Less than 12%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IF(B14=0,"",RANK(B14,$B$2:$B$372,0))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UNIPARTS</t>
        </is>
      </c>
      <c r="D14" s="31" t="inlineStr">
        <is>
          <t>Uniparts India Ltd</t>
        </is>
      </c>
      <c r="E14" s="31" t="inlineStr">
        <is>
          <t>industrials</t>
        </is>
      </c>
      <c r="F14" s="31" t="inlineStr">
        <is>
          <t>engineering</t>
        </is>
      </c>
      <c r="G14" s="31" t="inlineStr">
        <is>
          <t>smallcap</t>
        </is>
      </c>
      <c r="H14" s="32" t="n">
        <v>3071.76</v>
      </c>
      <c r="I14" s="32" t="n">
        <v>704.95</v>
      </c>
      <c r="J14" s="32" t="n">
        <v>3.6</v>
      </c>
      <c r="K14" s="32" t="n">
        <v>313875</v>
      </c>
      <c r="L14" s="31" t="n">
        <v>82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74.77</v>
      </c>
      <c r="P14" s="32" t="n">
        <v>50.13</v>
      </c>
      <c r="Q14" s="32" t="n">
        <v>552.99</v>
      </c>
      <c r="R14" s="31" t="inlineStr">
        <is>
          <t>Near 52W High Breakout</t>
        </is>
      </c>
      <c r="S14" s="31" t="inlineStr">
        <is>
          <t>Nifty 50</t>
        </is>
      </c>
      <c r="T14" s="32" t="n">
        <v>-3.75</v>
      </c>
      <c r="U14" s="32" t="n">
        <v>91.89</v>
      </c>
      <c r="V14" s="32" t="n">
        <v>99.36</v>
      </c>
      <c r="W14" s="32" t="n">
        <v>22.71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IF(B15=0,"",RANK(B15,$B$2:$B$372,0))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PREMIERPOL</t>
        </is>
      </c>
      <c r="D15" s="31" t="inlineStr">
        <is>
          <t>Premier Polyfilm Limited</t>
        </is>
      </c>
      <c r="E15" s="31" t="inlineStr">
        <is>
          <t>plastic products</t>
        </is>
      </c>
      <c r="F15" s="31" t="inlineStr">
        <is>
          <t>plastics products</t>
        </is>
      </c>
      <c r="G15" s="31" t="inlineStr">
        <is>
          <t>smallcap</t>
        </is>
      </c>
      <c r="H15" s="32" t="n">
        <v>668.05</v>
      </c>
      <c r="I15" s="32" t="n">
        <v>64.73999999999999</v>
      </c>
      <c r="J15" s="32" t="n">
        <v>1.51</v>
      </c>
      <c r="K15" s="32" t="n">
        <v>183385</v>
      </c>
      <c r="L15" s="31" t="n">
        <v>37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58.91</v>
      </c>
      <c r="P15" s="32" t="n">
        <v>43.54</v>
      </c>
      <c r="Q15" s="32" t="n">
        <v>47.23</v>
      </c>
      <c r="R15" s="31" t="inlineStr">
        <is>
          <t>Volume Spike / Accumulation</t>
        </is>
      </c>
      <c r="S15" s="31" t="inlineStr">
        <is>
          <t>Nifty 50</t>
        </is>
      </c>
      <c r="T15" s="32" t="n">
        <v>-3.75</v>
      </c>
      <c r="U15" s="32" t="n">
        <v>19.42</v>
      </c>
      <c r="V15" s="32" t="n">
        <v>24.07</v>
      </c>
      <c r="W15" s="32" t="n">
        <v>7.26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IF(B16=0,"",RANK(B16,$B$2:$B$372,0))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GNA</t>
        </is>
      </c>
      <c r="D16" s="31" t="inlineStr">
        <is>
          <t>Gna Axles Limited</t>
        </is>
      </c>
      <c r="E16" s="31" t="inlineStr">
        <is>
          <t>auto</t>
        </is>
      </c>
      <c r="F16" s="31" t="inlineStr">
        <is>
          <t>auto ancillaries</t>
        </is>
      </c>
      <c r="G16" s="31" t="inlineStr">
        <is>
          <t>smallcap</t>
        </is>
      </c>
      <c r="H16" s="32" t="n">
        <v>2017.32</v>
      </c>
      <c r="I16" s="32" t="n">
        <v>475.4</v>
      </c>
      <c r="J16" s="32" t="n">
        <v>1.17</v>
      </c>
      <c r="K16" s="32" t="n">
        <v>287605</v>
      </c>
      <c r="L16" s="31" t="n">
        <v>51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67.53</v>
      </c>
      <c r="P16" s="32" t="n">
        <v>21.93</v>
      </c>
      <c r="Q16" s="32" t="n">
        <v>355.22</v>
      </c>
      <c r="R16" s="31" t="inlineStr">
        <is>
          <t>Near 52W High Breakout</t>
        </is>
      </c>
      <c r="S16" s="31" t="inlineStr">
        <is>
          <t>Nifty Auto</t>
        </is>
      </c>
      <c r="T16" s="32" t="n">
        <v>14.33</v>
      </c>
      <c r="U16" s="32" t="n">
        <v>48.31</v>
      </c>
      <c r="V16" s="32" t="n">
        <v>29.72</v>
      </c>
      <c r="W16" s="32" t="n">
        <v>10.24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IF(B17=0,"",RANK(B17,$B$2:$B$372,0))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ICIL</t>
        </is>
      </c>
      <c r="D17" s="31" t="inlineStr">
        <is>
          <t>Indo Count Industries Limited</t>
        </is>
      </c>
      <c r="E17" s="31" t="inlineStr">
        <is>
          <t>textiles</t>
        </is>
      </c>
      <c r="F17" s="31" t="inlineStr">
        <is>
          <t>textiles - cotton/blended</t>
        </is>
      </c>
      <c r="G17" s="31" t="inlineStr">
        <is>
          <t>midcap</t>
        </is>
      </c>
      <c r="H17" s="32" t="n">
        <v>8354.92</v>
      </c>
      <c r="I17" s="32" t="n">
        <v>412.55</v>
      </c>
      <c r="J17" s="32" t="n">
        <v>-2.2</v>
      </c>
      <c r="K17" s="32" t="n">
        <v>255121</v>
      </c>
      <c r="L17" s="31" t="n">
        <v>84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70.56</v>
      </c>
      <c r="P17" s="32" t="n">
        <v>41.98</v>
      </c>
      <c r="Q17" s="32" t="n">
        <v>313.1</v>
      </c>
      <c r="R17" s="31" t="inlineStr">
        <is>
          <t>Near 52W High Breakout</t>
        </is>
      </c>
      <c r="S17" s="31" t="inlineStr">
        <is>
          <t>Nifty 50</t>
        </is>
      </c>
      <c r="T17" s="32" t="n">
        <v>-3.75</v>
      </c>
      <c r="U17" s="32" t="n">
        <v>45.29</v>
      </c>
      <c r="V17" s="32" t="n">
        <v>50.95</v>
      </c>
      <c r="W17" s="32" t="n">
        <v>23.79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IF(B18=0,"",RANK(B18,$B$2:$B$372,0))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PGHL</t>
        </is>
      </c>
      <c r="D18" s="31" t="inlineStr">
        <is>
          <t>Procter &amp; Gamble Health Ltd</t>
        </is>
      </c>
      <c r="E18" s="31" t="inlineStr">
        <is>
          <t>healthcare</t>
        </is>
      </c>
      <c r="F18" s="31" t="inlineStr">
        <is>
          <t>pharmaceuticals - multinational</t>
        </is>
      </c>
      <c r="G18" s="31" t="inlineStr">
        <is>
          <t>midcap</t>
        </is>
      </c>
      <c r="H18" s="32" t="n">
        <v>10975.51</v>
      </c>
      <c r="I18" s="32" t="n">
        <v>6810</v>
      </c>
      <c r="J18" s="32" t="n">
        <v>2.99</v>
      </c>
      <c r="K18" s="32" t="n">
        <v>82938</v>
      </c>
      <c r="L18" s="31" t="n">
        <v>61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81.95999999999999</v>
      </c>
      <c r="P18" s="32" t="n">
        <v>56.51</v>
      </c>
      <c r="Q18" s="32" t="n">
        <v>5825.31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15.51</v>
      </c>
      <c r="U18" s="32" t="n">
        <v>23.27</v>
      </c>
      <c r="V18" s="32" t="n">
        <v>6.72</v>
      </c>
      <c r="W18" s="32" t="n">
        <v>13.29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IF(B19=0,"",RANK(B19,$B$2:$B$372,0))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CUPID</t>
        </is>
      </c>
      <c r="D19" s="31" t="inlineStr">
        <is>
          <t>Cupid Limited</t>
        </is>
      </c>
      <c r="E19" s="31" t="inlineStr">
        <is>
          <t>fmcg</t>
        </is>
      </c>
      <c r="F19" s="31" t="inlineStr">
        <is>
          <t>personal care - indian</t>
        </is>
      </c>
      <c r="G19" s="31" t="inlineStr">
        <is>
          <t>largecap</t>
        </is>
      </c>
      <c r="H19" s="32" t="n">
        <v>28239.22</v>
      </c>
      <c r="I19" s="32" t="n">
        <v>212.24</v>
      </c>
      <c r="J19" s="32" t="n">
        <v>1.06</v>
      </c>
      <c r="K19" s="32" t="n">
        <v>101356189</v>
      </c>
      <c r="L19" s="31" t="n">
        <v>99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88.63</v>
      </c>
      <c r="P19" s="32" t="n">
        <v>59.99</v>
      </c>
      <c r="Q19" s="32" t="n">
        <v>165.51</v>
      </c>
      <c r="R19" s="31" t="inlineStr">
        <is>
          <t>Volume Spike &amp; Near 52W High Breakout</t>
        </is>
      </c>
      <c r="S19" s="31" t="inlineStr">
        <is>
          <t>Nifty FMCG</t>
        </is>
      </c>
      <c r="T19" s="32" t="n">
        <v>-11.8</v>
      </c>
      <c r="U19" s="32" t="n">
        <v>795.38</v>
      </c>
      <c r="V19" s="32" t="n">
        <v>915.21</v>
      </c>
      <c r="W19" s="32" t="n">
        <v>88.69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Less than 50%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IF(B20=0,"",RANK(B20,$B$2:$B$372,0))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GRANULES</t>
        </is>
      </c>
      <c r="D20" s="31" t="inlineStr">
        <is>
          <t>Granules India Limited</t>
        </is>
      </c>
      <c r="E20" s="31" t="inlineStr">
        <is>
          <t>healthcare</t>
        </is>
      </c>
      <c r="F20" s="31" t="inlineStr">
        <is>
          <t>pharmaceuticals - indian - bulk drugs &amp; formln</t>
        </is>
      </c>
      <c r="G20" s="31" t="inlineStr">
        <is>
          <t>largecap</t>
        </is>
      </c>
      <c r="H20" s="32" t="n">
        <v>21856.93</v>
      </c>
      <c r="I20" s="32" t="n">
        <v>889.85</v>
      </c>
      <c r="J20" s="32" t="n">
        <v>0.88</v>
      </c>
      <c r="K20" s="32" t="n">
        <v>1450106</v>
      </c>
      <c r="L20" s="31" t="n">
        <v>82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78.31999999999999</v>
      </c>
      <c r="P20" s="32" t="n">
        <v>44.54</v>
      </c>
      <c r="Q20" s="32" t="n">
        <v>745.25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15.51</v>
      </c>
      <c r="U20" s="32" t="n">
        <v>90.31</v>
      </c>
      <c r="V20" s="32" t="n">
        <v>64.75</v>
      </c>
      <c r="W20" s="32" t="n">
        <v>22.82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IF(B21=0,"",RANK(B21,$B$2:$B$372,0))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ADFFOODS</t>
        </is>
      </c>
      <c r="D21" s="31" t="inlineStr">
        <is>
          <t>Adf Foods Limited</t>
        </is>
      </c>
      <c r="E21" s="31" t="inlineStr">
        <is>
          <t>fmcg</t>
        </is>
      </c>
      <c r="F21" s="31" t="inlineStr">
        <is>
          <t>food - processing - indian</t>
        </is>
      </c>
      <c r="G21" s="31" t="inlineStr">
        <is>
          <t>smallcap</t>
        </is>
      </c>
      <c r="H21" s="32" t="n">
        <v>3488.72</v>
      </c>
      <c r="I21" s="32" t="n">
        <v>320</v>
      </c>
      <c r="J21" s="32" t="n">
        <v>0.77</v>
      </c>
      <c r="K21" s="32" t="n">
        <v>188401</v>
      </c>
      <c r="L21" s="31" t="n">
        <v>80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69.43000000000001</v>
      </c>
      <c r="P21" s="32" t="n">
        <v>37.93</v>
      </c>
      <c r="Q21" s="32" t="n">
        <v>235.48</v>
      </c>
      <c r="R21" s="31" t="inlineStr">
        <is>
          <t>Near 52W High Breakout</t>
        </is>
      </c>
      <c r="S21" s="31" t="inlineStr">
        <is>
          <t>Nifty FMCG</t>
        </is>
      </c>
      <c r="T21" s="32" t="n">
        <v>-11.8</v>
      </c>
      <c r="U21" s="32" t="n">
        <v>21.75</v>
      </c>
      <c r="V21" s="32" t="n">
        <v>38.04</v>
      </c>
      <c r="W21" s="32" t="n">
        <v>21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IF(B22=0,"",RANK(B22,$B$2:$B$372,0))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CCL</t>
        </is>
      </c>
      <c r="D22" s="31" t="inlineStr">
        <is>
          <t>Ccl Products (india) Limited</t>
        </is>
      </c>
      <c r="E22" s="31" t="inlineStr">
        <is>
          <t>fmcg</t>
        </is>
      </c>
      <c r="F22" s="31" t="inlineStr">
        <is>
          <t>tea</t>
        </is>
      </c>
      <c r="G22" s="31" t="inlineStr">
        <is>
          <t>midcap</t>
        </is>
      </c>
      <c r="H22" s="32" t="n">
        <v>16146.2</v>
      </c>
      <c r="I22" s="32" t="n">
        <v>1214</v>
      </c>
      <c r="J22" s="32" t="n">
        <v>0.4</v>
      </c>
      <c r="K22" s="32" t="n">
        <v>192140</v>
      </c>
      <c r="L22" s="31" t="n">
        <v>48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71.05</v>
      </c>
      <c r="P22" s="32" t="n">
        <v>45.69</v>
      </c>
      <c r="Q22" s="32" t="n">
        <v>981.12</v>
      </c>
      <c r="R22" s="31" t="inlineStr">
        <is>
          <t>Near 52W High Breakout</t>
        </is>
      </c>
      <c r="S22" s="31" t="inlineStr">
        <is>
          <t>Nifty FMCG</t>
        </is>
      </c>
      <c r="T22" s="32" t="n">
        <v>-11.8</v>
      </c>
      <c r="U22" s="32" t="n">
        <v>37.87</v>
      </c>
      <c r="V22" s="32" t="n">
        <v>56.33</v>
      </c>
      <c r="W22" s="32" t="n">
        <v>9.49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Between 12 to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IF(B23=0,"",RANK(B23,$B$2:$B$372,0))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TIPSMUSIC</t>
        </is>
      </c>
      <c r="D23" s="31" t="inlineStr">
        <is>
          <t>Tips Music Ltd</t>
        </is>
      </c>
      <c r="E23" s="31" t="inlineStr">
        <is>
          <t>media</t>
        </is>
      </c>
      <c r="F23" s="31" t="inlineStr">
        <is>
          <t>entertainment / electronic media software</t>
        </is>
      </c>
      <c r="G23" s="31" t="inlineStr">
        <is>
          <t>midcap</t>
        </is>
      </c>
      <c r="H23" s="32" t="n">
        <v>9090.74</v>
      </c>
      <c r="I23" s="32" t="n">
        <v>711.55</v>
      </c>
      <c r="J23" s="32" t="n">
        <v>0.06</v>
      </c>
      <c r="K23" s="32" t="n">
        <v>306650</v>
      </c>
      <c r="L23" s="31" t="n">
        <v>50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65.09</v>
      </c>
      <c r="P23" s="32" t="n">
        <v>38.09</v>
      </c>
      <c r="Q23" s="32" t="n">
        <v>553.42</v>
      </c>
      <c r="R23" s="31" t="inlineStr">
        <is>
          <t>Near 52W High Breakout</t>
        </is>
      </c>
      <c r="S23" s="31" t="inlineStr">
        <is>
          <t>Nifty IT</t>
        </is>
      </c>
      <c r="T23" s="32" t="n">
        <v>-25.69</v>
      </c>
      <c r="U23" s="32" t="n">
        <v>12.01</v>
      </c>
      <c r="V23" s="32" t="n">
        <v>50.73</v>
      </c>
      <c r="W23" s="32" t="n">
        <v>9.77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IF(B24=0,"",RANK(B24,$B$2:$B$372,0))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BLISSGVS</t>
        </is>
      </c>
      <c r="D24" s="31" t="inlineStr">
        <is>
          <t>Bliss Gvs Pharma Limited</t>
        </is>
      </c>
      <c r="E24" s="31" t="inlineStr">
        <is>
          <t>healthcare</t>
        </is>
      </c>
      <c r="F24" s="31" t="inlineStr">
        <is>
          <t>pharmaceuticals - indian - formulations</t>
        </is>
      </c>
      <c r="G24" s="31" t="inlineStr">
        <is>
          <t>midcap</t>
        </is>
      </c>
      <c r="H24" s="32" t="n">
        <v>5544.93</v>
      </c>
      <c r="I24" s="32" t="n">
        <v>524.3</v>
      </c>
      <c r="J24" s="32" t="n">
        <v>0.03</v>
      </c>
      <c r="K24" s="32" t="n">
        <v>456537</v>
      </c>
      <c r="L24" s="31" t="n">
        <v>97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91.68000000000001</v>
      </c>
      <c r="P24" s="32" t="n">
        <v>73.15000000000001</v>
      </c>
      <c r="Q24" s="32" t="n">
        <v>401.06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15.51</v>
      </c>
      <c r="U24" s="32" t="n">
        <v>243.36</v>
      </c>
      <c r="V24" s="32" t="n">
        <v>197.24</v>
      </c>
      <c r="W24" s="32" t="n">
        <v>53.54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IF(B25=0,"",RANK(B25,$B$2:$B$372,0))</f>
        <v/>
      </c>
      <c r="B25" s="32">
        <f>SUM(N25,Y25,AA25,AC25,AE25,AG25,AI25,AK25,AM25,AO25,AQ25,AS25,AU25,AW25,AY25,BA25,BC25,BE25,BG25,BI25,BK25,BM25,BO25,BQ25,BS25,BU25,BW25,BY25,CA25,CC25,CE25)</f>
        <v/>
      </c>
      <c r="C25" s="33" t="inlineStr">
        <is>
          <t>MARKSANS</t>
        </is>
      </c>
      <c r="D25" s="33" t="inlineStr">
        <is>
          <t>Marksans Pharma Limited</t>
        </is>
      </c>
      <c r="E25" s="31" t="inlineStr">
        <is>
          <t>healthcare</t>
        </is>
      </c>
      <c r="F25" s="31" t="inlineStr">
        <is>
          <t>pharmaceuticals - indian - formulations</t>
        </is>
      </c>
      <c r="G25" s="31" t="inlineStr">
        <is>
          <t>midcap</t>
        </is>
      </c>
      <c r="H25" s="32" t="n">
        <v>12566.23</v>
      </c>
      <c r="I25" s="32" t="n">
        <v>272.4</v>
      </c>
      <c r="J25" s="32" t="n">
        <v>-1.77</v>
      </c>
      <c r="K25" s="32" t="n">
        <v>2192697</v>
      </c>
      <c r="L25" s="31" t="n">
        <v>67</v>
      </c>
      <c r="M25" s="31" t="inlineStr">
        <is>
          <t>Underperforming</t>
        </is>
      </c>
      <c r="N25" s="32">
        <f>IF(M25="Underperforming",-5,IF(L25&gt;=95,15,IF(L25&gt;=90,10,IF(L25&gt;=80,5,0))))</f>
        <v/>
      </c>
      <c r="O25" s="32" t="n">
        <v>74.92</v>
      </c>
      <c r="P25" s="32" t="n">
        <v>42.64</v>
      </c>
      <c r="Q25" s="32" t="n">
        <v>211.29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15.51</v>
      </c>
      <c r="U25" s="32" t="n">
        <v>7.39</v>
      </c>
      <c r="V25" s="32" t="n">
        <v>-7.03</v>
      </c>
      <c r="W25" s="32" t="n">
        <v>15.05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IF(B26=0,"",RANK(B26,$B$2:$B$372,0))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BUTTERFLY</t>
        </is>
      </c>
      <c r="D26" s="31" t="inlineStr">
        <is>
          <t>Butterfly Gandhimathi Appliances Limited</t>
        </is>
      </c>
      <c r="E26" s="31" t="inlineStr">
        <is>
          <t>consumer discretionary</t>
        </is>
      </c>
      <c r="F26" s="31" t="inlineStr">
        <is>
          <t>domestic appliances</t>
        </is>
      </c>
      <c r="G26" s="31" t="inlineStr">
        <is>
          <t>smallcap</t>
        </is>
      </c>
      <c r="H26" s="32" t="n">
        <v>1289.56</v>
      </c>
      <c r="I26" s="32" t="n">
        <v>736</v>
      </c>
      <c r="J26" s="32" t="n">
        <v>2.05</v>
      </c>
      <c r="K26" s="32" t="n">
        <v>37469</v>
      </c>
      <c r="L26" s="31" t="n">
        <v>22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63.05</v>
      </c>
      <c r="P26" s="32" t="n">
        <v>36.15</v>
      </c>
      <c r="Q26" s="32" t="n">
        <v>560.8200000000001</v>
      </c>
      <c r="R26" s="31" t="inlineStr">
        <is>
          <t>Near 52W High Breakout</t>
        </is>
      </c>
      <c r="S26" s="31" t="inlineStr">
        <is>
          <t>Nifty 50</t>
        </is>
      </c>
      <c r="T26" s="32" t="n">
        <v>-3.75</v>
      </c>
      <c r="U26" s="32" t="n">
        <v>2.9</v>
      </c>
      <c r="V26" s="32" t="n">
        <v>6.91</v>
      </c>
      <c r="W26" s="32" t="n">
        <v>4.62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IF(B27=0,"",RANK(B27,$B$2:$B$372,0))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CENTENKA</t>
        </is>
      </c>
      <c r="D27" s="31" t="inlineStr">
        <is>
          <t>Century Enka Limited</t>
        </is>
      </c>
      <c r="E27" s="31" t="inlineStr">
        <is>
          <t>textiles</t>
        </is>
      </c>
      <c r="F27" s="31" t="inlineStr">
        <is>
          <t>textiles - manmade</t>
        </is>
      </c>
      <c r="G27" s="31" t="inlineStr">
        <is>
          <t>smallcap</t>
        </is>
      </c>
      <c r="H27" s="32" t="n">
        <v>1127.6</v>
      </c>
      <c r="I27" s="32" t="n">
        <v>524</v>
      </c>
      <c r="J27" s="32" t="n">
        <v>1.54</v>
      </c>
      <c r="K27" s="32" t="n">
        <v>17452</v>
      </c>
      <c r="L27" s="31" t="n">
        <v>29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59.89</v>
      </c>
      <c r="P27" s="32" t="n">
        <v>44.19</v>
      </c>
      <c r="Q27" s="32" t="n">
        <v>417.46</v>
      </c>
      <c r="R27" s="31" t="inlineStr">
        <is>
          <t>Near 52W High Breakout</t>
        </is>
      </c>
      <c r="S27" s="31" t="inlineStr">
        <is>
          <t>Nifty 50</t>
        </is>
      </c>
      <c r="T27" s="32" t="n">
        <v>-3.75</v>
      </c>
      <c r="U27" s="32" t="n">
        <v>4.81</v>
      </c>
      <c r="V27" s="32" t="n">
        <v>8.9</v>
      </c>
      <c r="W27" s="32" t="n">
        <v>5.96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IF(B28=0,"",RANK(B28,$B$2:$B$372,0))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GRWRHITECH</t>
        </is>
      </c>
      <c r="D28" s="31" t="inlineStr">
        <is>
          <t>Garware Hi Tech Films Ltd</t>
        </is>
      </c>
      <c r="E28" s="31" t="inlineStr">
        <is>
          <t>industrials</t>
        </is>
      </c>
      <c r="F28" s="31" t="inlineStr">
        <is>
          <t>packaging</t>
        </is>
      </c>
      <c r="G28" s="31" t="inlineStr">
        <is>
          <t>midcap</t>
        </is>
      </c>
      <c r="H28" s="32" t="n">
        <v>16081.46</v>
      </c>
      <c r="I28" s="32" t="n">
        <v>6968</v>
      </c>
      <c r="J28" s="32" t="n">
        <v>0.66</v>
      </c>
      <c r="K28" s="32" t="n">
        <v>66250</v>
      </c>
      <c r="L28" s="31" t="n">
        <v>92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77.78</v>
      </c>
      <c r="P28" s="32" t="n">
        <v>44.04</v>
      </c>
      <c r="Q28" s="32" t="n">
        <v>5306.52</v>
      </c>
      <c r="R28" s="31" t="inlineStr">
        <is>
          <t>Near 52W High Breakout</t>
        </is>
      </c>
      <c r="S28" s="31" t="inlineStr">
        <is>
          <t>Nifty 50</t>
        </is>
      </c>
      <c r="T28" s="32" t="n">
        <v>-3.75</v>
      </c>
      <c r="U28" s="32" t="n">
        <v>94.03</v>
      </c>
      <c r="V28" s="32" t="n">
        <v>101.58</v>
      </c>
      <c r="W28" s="32" t="n">
        <v>36.31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IF(B29=0,"",RANK(B29,$B$2:$B$372,0))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ATHERENERG</t>
        </is>
      </c>
      <c r="D29" s="31" t="inlineStr">
        <is>
          <t>Ather Energy Ltd</t>
        </is>
      </c>
      <c r="E29" s="31" t="inlineStr">
        <is>
          <t>auto</t>
        </is>
      </c>
      <c r="F29" s="31" t="inlineStr">
        <is>
          <t>automobiles - scooters and 3 - wheelers</t>
        </is>
      </c>
      <c r="G29" s="31" t="inlineStr">
        <is>
          <t>largecap</t>
        </is>
      </c>
      <c r="H29" s="32" t="n">
        <v>46624.9</v>
      </c>
      <c r="I29" s="32" t="n">
        <v>1225.8</v>
      </c>
      <c r="J29" s="32" t="n">
        <v>0.61</v>
      </c>
      <c r="K29" s="32" t="n">
        <v>2268185</v>
      </c>
      <c r="L29" s="31" t="n">
        <v>95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77.7</v>
      </c>
      <c r="P29" s="32" t="n">
        <v>53.15</v>
      </c>
      <c r="Q29" s="32" t="n">
        <v>948.3</v>
      </c>
      <c r="R29" s="31" t="inlineStr">
        <is>
          <t>Near 52W High Breakout</t>
        </is>
      </c>
      <c r="S29" s="31" t="inlineStr">
        <is>
          <t>Nifty Auto</t>
        </is>
      </c>
      <c r="T29" s="32" t="n">
        <v>14.33</v>
      </c>
      <c r="U29" s="32" t="n">
        <v>268.77</v>
      </c>
      <c r="V29" s="32" t="n">
        <v>222.55</v>
      </c>
      <c r="W29" s="32" t="n">
        <v>41.15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Negative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IF(B30=0,"",RANK(B30,$B$2:$B$372,0))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SIS</t>
        </is>
      </c>
      <c r="D30" s="31" t="inlineStr">
        <is>
          <t>Security &amp; Intelligence Services India</t>
        </is>
      </c>
      <c r="E30" s="31" t="inlineStr">
        <is>
          <t>miscellaneous</t>
        </is>
      </c>
      <c r="F30" s="31" t="inlineStr">
        <is>
          <t>miscellaneous</t>
        </is>
      </c>
      <c r="G30" s="31" t="inlineStr">
        <is>
          <t>midcap</t>
        </is>
      </c>
      <c r="H30" s="32" t="n">
        <v>6184.9</v>
      </c>
      <c r="I30" s="32" t="n">
        <v>438</v>
      </c>
      <c r="J30" s="32" t="n">
        <v>0.05</v>
      </c>
      <c r="K30" s="32" t="n">
        <v>91055</v>
      </c>
      <c r="L30" s="31" t="n">
        <v>64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74.33</v>
      </c>
      <c r="P30" s="32" t="n">
        <v>48.95</v>
      </c>
      <c r="Q30" s="32" t="n">
        <v>343.27</v>
      </c>
      <c r="R30" s="31" t="inlineStr">
        <is>
          <t>Near 52W High Breakout</t>
        </is>
      </c>
      <c r="S30" s="31" t="inlineStr">
        <is>
          <t>Nifty 50</t>
        </is>
      </c>
      <c r="T30" s="32" t="n">
        <v>-3.75</v>
      </c>
      <c r="U30" s="32" t="n">
        <v>20.05</v>
      </c>
      <c r="V30" s="32" t="n">
        <v>24.73</v>
      </c>
      <c r="W30" s="32" t="n">
        <v>14.13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Between 0.7 to 1.2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IF(B31=0,"",RANK(B31,$B$2:$B$372,0))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AMBIKCO</t>
        </is>
      </c>
      <c r="D31" s="31" t="inlineStr">
        <is>
          <t>Ambika Cotton Mills Limited</t>
        </is>
      </c>
      <c r="E31" s="31" t="inlineStr">
        <is>
          <t>textiles</t>
        </is>
      </c>
      <c r="F31" s="31" t="inlineStr">
        <is>
          <t>textiles - cotton/blended</t>
        </is>
      </c>
      <c r="G31" s="31" t="inlineStr">
        <is>
          <t>smallcap</t>
        </is>
      </c>
      <c r="H31" s="32" t="n">
        <v>1008.63</v>
      </c>
      <c r="I31" s="32" t="n">
        <v>1753</v>
      </c>
      <c r="J31" s="32" t="n">
        <v>-0.5</v>
      </c>
      <c r="K31" s="32" t="n">
        <v>8467</v>
      </c>
      <c r="L31" s="31" t="n">
        <v>39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69.88</v>
      </c>
      <c r="P31" s="32" t="n">
        <v>30.91</v>
      </c>
      <c r="Q31" s="32" t="n">
        <v>1389.24</v>
      </c>
      <c r="R31" s="31" t="inlineStr">
        <is>
          <t>Near 52W High Breakout</t>
        </is>
      </c>
      <c r="S31" s="31" t="inlineStr">
        <is>
          <t>Nifty 50</t>
        </is>
      </c>
      <c r="T31" s="32" t="n">
        <v>-3.75</v>
      </c>
      <c r="U31" s="32" t="n">
        <v>11.15</v>
      </c>
      <c r="V31" s="32" t="n">
        <v>15.48</v>
      </c>
      <c r="W31" s="32" t="n">
        <v>7.88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IF(B32=0,"",RANK(B32,$B$2:$B$372,0))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SJS</t>
        </is>
      </c>
      <c r="D32" s="31" t="inlineStr">
        <is>
          <t>S J S Enterprises Ltd</t>
        </is>
      </c>
      <c r="E32" s="31" t="inlineStr">
        <is>
          <t>auto</t>
        </is>
      </c>
      <c r="F32" s="31" t="inlineStr">
        <is>
          <t>plastics products</t>
        </is>
      </c>
      <c r="G32" s="31" t="inlineStr">
        <is>
          <t>midcap</t>
        </is>
      </c>
      <c r="H32" s="32" t="n">
        <v>7032.25</v>
      </c>
      <c r="I32" s="32" t="n">
        <v>2183.4</v>
      </c>
      <c r="J32" s="32" t="n">
        <v>-0.66</v>
      </c>
      <c r="K32" s="32" t="n">
        <v>93186</v>
      </c>
      <c r="L32" s="31" t="n">
        <v>73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64.18000000000001</v>
      </c>
      <c r="P32" s="32" t="n">
        <v>33.06</v>
      </c>
      <c r="Q32" s="32" t="n">
        <v>1744.12</v>
      </c>
      <c r="R32" s="31" t="inlineStr">
        <is>
          <t>Near 52W High Breakout</t>
        </is>
      </c>
      <c r="S32" s="31" t="inlineStr">
        <is>
          <t>Nifty Auto</t>
        </is>
      </c>
      <c r="T32" s="32" t="n">
        <v>14.33</v>
      </c>
      <c r="U32" s="32" t="n">
        <v>79.98</v>
      </c>
      <c r="V32" s="32" t="n">
        <v>57.42</v>
      </c>
      <c r="W32" s="32" t="n">
        <v>17.23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IF(B33=0,"",RANK(B33,$B$2:$B$372,0))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THANGAMAYL</t>
        </is>
      </c>
      <c r="D33" s="31" t="inlineStr">
        <is>
          <t>Thangamayil Jewellery Limited</t>
        </is>
      </c>
      <c r="E33" s="31" t="inlineStr">
        <is>
          <t>consumer discretionary</t>
        </is>
      </c>
      <c r="F33" s="31" t="inlineStr">
        <is>
          <t>diamond cutting / jewellery</t>
        </is>
      </c>
      <c r="G33" s="31" t="inlineStr">
        <is>
          <t>largecap</t>
        </is>
      </c>
      <c r="H33" s="32" t="n">
        <v>20509.47</v>
      </c>
      <c r="I33" s="32" t="n">
        <v>6540.5</v>
      </c>
      <c r="J33" s="32" t="n">
        <v>-0.88</v>
      </c>
      <c r="K33" s="32" t="n">
        <v>239756</v>
      </c>
      <c r="L33" s="31" t="n">
        <v>95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77.87</v>
      </c>
      <c r="P33" s="32" t="n">
        <v>46.01</v>
      </c>
      <c r="Q33" s="32" t="n">
        <v>4861.41</v>
      </c>
      <c r="R33" s="31" t="inlineStr">
        <is>
          <t>Near 52W High Breakout</t>
        </is>
      </c>
      <c r="S33" s="31" t="inlineStr">
        <is>
          <t>Nifty 50</t>
        </is>
      </c>
      <c r="T33" s="32" t="n">
        <v>-3.75</v>
      </c>
      <c r="U33" s="32" t="n">
        <v>242.28</v>
      </c>
      <c r="V33" s="32" t="n">
        <v>255.61</v>
      </c>
      <c r="W33" s="32" t="n">
        <v>43.05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IF(B34=0,"",RANK(B34,$B$2:$B$372,0))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SANGHVIMOV</t>
        </is>
      </c>
      <c r="D34" s="31" t="inlineStr">
        <is>
          <t>Sanghvi Movers Limited</t>
        </is>
      </c>
      <c r="E34" s="31" t="inlineStr">
        <is>
          <t>miscellaneous</t>
        </is>
      </c>
      <c r="F34" s="31" t="inlineStr">
        <is>
          <t>miscellaneous</t>
        </is>
      </c>
      <c r="G34" s="31" t="inlineStr">
        <is>
          <t>smallcap</t>
        </is>
      </c>
      <c r="H34" s="32" t="n">
        <v>4018.86</v>
      </c>
      <c r="I34" s="32" t="n">
        <v>459.25</v>
      </c>
      <c r="J34" s="32" t="n">
        <v>-1.07</v>
      </c>
      <c r="K34" s="32" t="n">
        <v>244118</v>
      </c>
      <c r="L34" s="31" t="n">
        <v>85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71.95</v>
      </c>
      <c r="P34" s="32" t="n">
        <v>29.82</v>
      </c>
      <c r="Q34" s="32" t="n">
        <v>347.3</v>
      </c>
      <c r="R34" s="31" t="inlineStr">
        <is>
          <t>Near 52W High Breakout</t>
        </is>
      </c>
      <c r="S34" s="31" t="inlineStr">
        <is>
          <t>Nifty 50</t>
        </is>
      </c>
      <c r="T34" s="32" t="n">
        <v>-3.75</v>
      </c>
      <c r="U34" s="32" t="n">
        <v>68.39</v>
      </c>
      <c r="V34" s="32" t="n">
        <v>74.95</v>
      </c>
      <c r="W34" s="32" t="n">
        <v>25.3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IF(B35=0,"",RANK(B35,$B$2:$B$372,0))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BHARATSE</t>
        </is>
      </c>
      <c r="D35" s="31" t="inlineStr">
        <is>
          <t>Bharat Seats Ltd</t>
        </is>
      </c>
      <c r="E35" s="31" t="inlineStr">
        <is>
          <t>auto</t>
        </is>
      </c>
      <c r="F35" s="31" t="inlineStr">
        <is>
          <t>auto ancillaries</t>
        </is>
      </c>
      <c r="G35" s="31" t="inlineStr">
        <is>
          <t>smallcap</t>
        </is>
      </c>
      <c r="H35" s="32" t="n">
        <v>1539.17</v>
      </c>
      <c r="I35" s="32" t="n">
        <v>241.54</v>
      </c>
      <c r="J35" s="32" t="n">
        <v>-1.45</v>
      </c>
      <c r="K35" s="32" t="n">
        <v>562465</v>
      </c>
      <c r="L35" s="31" t="n">
        <v>90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68.01000000000001</v>
      </c>
      <c r="P35" s="32" t="n">
        <v>25.84</v>
      </c>
      <c r="Q35" s="32" t="n">
        <v>167.71</v>
      </c>
      <c r="R35" s="31" t="inlineStr">
        <is>
          <t>Near 52W High Breakout</t>
        </is>
      </c>
      <c r="S35" s="31" t="inlineStr">
        <is>
          <t>Nifty Auto</t>
        </is>
      </c>
      <c r="T35" s="32" t="n">
        <v>14.33</v>
      </c>
      <c r="U35" s="32" t="n">
        <v>131.32</v>
      </c>
      <c r="V35" s="32" t="n">
        <v>102.32</v>
      </c>
      <c r="W35" s="32" t="n">
        <v>32.88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Between 12 to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IF(B36=0,"",RANK(B36,$B$2:$B$372,0))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HITECHCORP</t>
        </is>
      </c>
      <c r="D36" s="31" t="inlineStr">
        <is>
          <t>Hitech Corporation</t>
        </is>
      </c>
      <c r="E36" s="31" t="inlineStr">
        <is>
          <t>industrials</t>
        </is>
      </c>
      <c r="F36" s="31" t="inlineStr">
        <is>
          <t>packaging</t>
        </is>
      </c>
      <c r="G36" s="31" t="inlineStr">
        <is>
          <t>smallcap</t>
        </is>
      </c>
      <c r="H36" s="32" t="n">
        <v>562.33</v>
      </c>
      <c r="I36" s="32" t="n">
        <v>321.4</v>
      </c>
      <c r="J36" s="32" t="n">
        <v>-1.83</v>
      </c>
      <c r="K36" s="32" t="n">
        <v>26355</v>
      </c>
      <c r="L36" s="31" t="n">
        <v>96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80.92</v>
      </c>
      <c r="P36" s="32" t="n">
        <v>42.24</v>
      </c>
      <c r="Q36" s="32" t="n">
        <v>246.89</v>
      </c>
      <c r="R36" s="31" t="inlineStr">
        <is>
          <t>Near 52W High Breakout</t>
        </is>
      </c>
      <c r="S36" s="31" t="inlineStr">
        <is>
          <t>Nifty 50</t>
        </is>
      </c>
      <c r="T36" s="32" t="n">
        <v>-3.75</v>
      </c>
      <c r="U36" s="32" t="n">
        <v>59.82</v>
      </c>
      <c r="V36" s="32" t="n">
        <v>66.04000000000001</v>
      </c>
      <c r="W36" s="32" t="n">
        <v>43.07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Between 50% to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IF(B37=0,"",RANK(B37,$B$2:$B$372,0))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QUESS</t>
        </is>
      </c>
      <c r="D37" s="31" t="inlineStr">
        <is>
          <t>Quess Corp Limited</t>
        </is>
      </c>
      <c r="E37" s="31" t="inlineStr">
        <is>
          <t>miscellaneous</t>
        </is>
      </c>
      <c r="F37" s="31" t="inlineStr">
        <is>
          <t>diversified - large</t>
        </is>
      </c>
      <c r="G37" s="31" t="inlineStr">
        <is>
          <t>smallcap</t>
        </is>
      </c>
      <c r="H37" s="32" t="n">
        <v>4398.56</v>
      </c>
      <c r="I37" s="32" t="n">
        <v>288.15</v>
      </c>
      <c r="J37" s="32" t="n">
        <v>-2.17</v>
      </c>
      <c r="K37" s="32" t="n">
        <v>286115</v>
      </c>
      <c r="L37" s="31" t="n">
        <v>58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71.75</v>
      </c>
      <c r="P37" s="32" t="n">
        <v>32.15</v>
      </c>
      <c r="Q37" s="32" t="n">
        <v>228.01</v>
      </c>
      <c r="R37" s="31" t="inlineStr">
        <is>
          <t>Near 52W High Breakout</t>
        </is>
      </c>
      <c r="S37" s="31" t="inlineStr">
        <is>
          <t>Nifty 50</t>
        </is>
      </c>
      <c r="T37" s="32" t="n">
        <v>-3.75</v>
      </c>
      <c r="U37" s="32" t="n">
        <v>-1.69</v>
      </c>
      <c r="V37" s="32" t="n">
        <v>2.14</v>
      </c>
      <c r="W37" s="32" t="n">
        <v>12.53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IF(B38=0,"",RANK(B38,$B$2:$B$372,0))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SUVEN</t>
        </is>
      </c>
      <c r="D38" s="31" t="inlineStr">
        <is>
          <t>Suven Life Sciences Limited</t>
        </is>
      </c>
      <c r="E38" s="31" t="inlineStr">
        <is>
          <t>healthcare</t>
        </is>
      </c>
      <c r="F38" s="31" t="inlineStr">
        <is>
          <t>miscellaneous</t>
        </is>
      </c>
      <c r="G38" s="31" t="inlineStr">
        <is>
          <t>midcap</t>
        </is>
      </c>
      <c r="H38" s="32" t="n">
        <v>9144.51</v>
      </c>
      <c r="I38" s="32" t="n">
        <v>357.85</v>
      </c>
      <c r="J38" s="32" t="n">
        <v>3.2</v>
      </c>
      <c r="K38" s="32" t="n">
        <v>3537318</v>
      </c>
      <c r="L38" s="31" t="n">
        <v>87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77.41</v>
      </c>
      <c r="P38" s="32" t="n">
        <v>43.17</v>
      </c>
      <c r="Q38" s="32" t="n">
        <v>256.73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15.51</v>
      </c>
      <c r="U38" s="32" t="n">
        <v>29.36</v>
      </c>
      <c r="V38" s="32" t="n">
        <v>11.99</v>
      </c>
      <c r="W38" s="32" t="n">
        <v>28.09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IF(B39=0,"",RANK(B39,$B$2:$B$372,0))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METROPOLIS</t>
        </is>
      </c>
      <c r="D39" s="31" t="inlineStr">
        <is>
          <t>Metropolis Healthcare Ltd</t>
        </is>
      </c>
      <c r="E39" s="31" t="inlineStr">
        <is>
          <t>healthcare</t>
        </is>
      </c>
      <c r="F39" s="31" t="inlineStr">
        <is>
          <t>healthcare</t>
        </is>
      </c>
      <c r="G39" s="31" t="inlineStr">
        <is>
          <t>midcap</t>
        </is>
      </c>
      <c r="H39" s="32" t="n">
        <v>11611.39</v>
      </c>
      <c r="I39" s="32" t="n">
        <v>567.95</v>
      </c>
      <c r="J39" s="32" t="n">
        <v>1.41</v>
      </c>
      <c r="K39" s="32" t="n">
        <v>139878</v>
      </c>
      <c r="L39" s="31" t="n">
        <v>44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64.08</v>
      </c>
      <c r="P39" s="32" t="n">
        <v>33.47</v>
      </c>
      <c r="Q39" s="32" t="n">
        <v>449.65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15.51</v>
      </c>
      <c r="U39" s="32" t="n">
        <v>20.99</v>
      </c>
      <c r="V39" s="32" t="n">
        <v>4.74</v>
      </c>
      <c r="W39" s="32" t="n">
        <v>8.58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IF(B40=0,"",RANK(B40,$B$2:$B$372,0))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VIJAYA</t>
        </is>
      </c>
      <c r="D40" s="31" t="inlineStr">
        <is>
          <t>Vijaya Diagnostic Centre Ltd</t>
        </is>
      </c>
      <c r="E40" s="31" t="inlineStr">
        <is>
          <t>healthcare</t>
        </is>
      </c>
      <c r="F40" s="31" t="inlineStr">
        <is>
          <t>healthcare</t>
        </is>
      </c>
      <c r="G40" s="31" t="inlineStr">
        <is>
          <t>midcap</t>
        </is>
      </c>
      <c r="H40" s="32" t="n">
        <v>14177.11</v>
      </c>
      <c r="I40" s="32" t="n">
        <v>1389.1</v>
      </c>
      <c r="J40" s="32" t="n">
        <v>0.82</v>
      </c>
      <c r="K40" s="32" t="n">
        <v>186094</v>
      </c>
      <c r="L40" s="31" t="n">
        <v>70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67.93000000000001</v>
      </c>
      <c r="P40" s="32" t="n">
        <v>42.51</v>
      </c>
      <c r="Q40" s="32" t="n">
        <v>1087.81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15.51</v>
      </c>
      <c r="U40" s="32" t="n">
        <v>36.4</v>
      </c>
      <c r="V40" s="32" t="n">
        <v>18.08</v>
      </c>
      <c r="W40" s="32" t="n">
        <v>15.88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IF(B41=0,"",RANK(B41,$B$2:$B$372,0))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NINSYS</t>
        </is>
      </c>
      <c r="D41" s="31" t="inlineStr">
        <is>
          <t>NINtec Systems Ltd</t>
        </is>
      </c>
      <c r="E41" s="31" t="inlineStr">
        <is>
          <t>i.t</t>
        </is>
      </c>
      <c r="F41" s="31" t="inlineStr">
        <is>
          <t>computers - software - medium / small</t>
        </is>
      </c>
      <c r="G41" s="31" t="inlineStr">
        <is>
          <t>smallcap</t>
        </is>
      </c>
      <c r="H41" s="32" t="n">
        <v>1698.13</v>
      </c>
      <c r="I41" s="32" t="n">
        <v>889.05</v>
      </c>
      <c r="J41" s="32" t="n">
        <v>-2.75</v>
      </c>
      <c r="K41" s="32" t="n">
        <v>3017</v>
      </c>
      <c r="L41" s="31" t="n">
        <v>96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86.52</v>
      </c>
      <c r="P41" s="32" t="n">
        <v>63.17</v>
      </c>
      <c r="Q41" s="32" t="n">
        <v>676.8099999999999</v>
      </c>
      <c r="R41" s="31" t="inlineStr">
        <is>
          <t>Near 52W High Breakout</t>
        </is>
      </c>
      <c r="S41" s="31" t="inlineStr">
        <is>
          <t>Nifty IT</t>
        </is>
      </c>
      <c r="T41" s="32" t="n">
        <v>-25.69</v>
      </c>
      <c r="U41" s="32" t="n">
        <v>96.98999999999999</v>
      </c>
      <c r="V41" s="32" t="n">
        <v>165.08</v>
      </c>
      <c r="W41" s="32" t="n">
        <v>43.59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Between 12 to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Between 50% to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IF(B42=0,"",RANK(B42,$B$2:$B$372,0))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INDOTECH</t>
        </is>
      </c>
      <c r="D42" s="31" t="inlineStr">
        <is>
          <t>Indo Tech Transformers Limited</t>
        </is>
      </c>
      <c r="E42" s="31" t="inlineStr">
        <is>
          <t>industrials</t>
        </is>
      </c>
      <c r="F42" s="31" t="inlineStr">
        <is>
          <t>electric equipment</t>
        </is>
      </c>
      <c r="G42" s="31" t="inlineStr">
        <is>
          <t>smallcap</t>
        </is>
      </c>
      <c r="H42" s="32" t="n">
        <v>3342.11</v>
      </c>
      <c r="I42" s="32" t="n">
        <v>3304.3</v>
      </c>
      <c r="J42" s="32" t="n">
        <v>5</v>
      </c>
      <c r="K42" s="32" t="n">
        <v>20547</v>
      </c>
      <c r="L42" s="31" t="n">
        <v>97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74.25</v>
      </c>
      <c r="P42" s="32" t="n">
        <v>43.96</v>
      </c>
      <c r="Q42" s="32" t="n">
        <v>2385.66</v>
      </c>
      <c r="R42" s="31" t="inlineStr">
        <is>
          <t>Near 52W High Breakout</t>
        </is>
      </c>
      <c r="S42" s="31" t="inlineStr">
        <is>
          <t>Nifty Infra</t>
        </is>
      </c>
      <c r="T42" s="32" t="n">
        <v>1.87</v>
      </c>
      <c r="U42" s="32" t="n">
        <v>75.75</v>
      </c>
      <c r="V42" s="32" t="n">
        <v>72.53</v>
      </c>
      <c r="W42" s="32" t="n">
        <v>53.09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Between 12 to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Less than 50%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IF(B43=0,"",RANK(B43,$B$2:$B$372,0))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IDEAFORGE</t>
        </is>
      </c>
      <c r="D43" s="31" t="inlineStr">
        <is>
          <t>Ideaforge Technology Ltd</t>
        </is>
      </c>
      <c r="E43" s="31" t="inlineStr">
        <is>
          <t>aerospace &amp; defence</t>
        </is>
      </c>
      <c r="F43" s="31" t="inlineStr">
        <is>
          <t>engineering</t>
        </is>
      </c>
      <c r="G43" s="31" t="inlineStr">
        <is>
          <t>smallcap</t>
        </is>
      </c>
      <c r="H43" s="32" t="n">
        <v>3722.97</v>
      </c>
      <c r="I43" s="32" t="n">
        <v>900.75</v>
      </c>
      <c r="J43" s="32" t="n">
        <v>4.99</v>
      </c>
      <c r="K43" s="32" t="n">
        <v>376799</v>
      </c>
      <c r="L43" s="31" t="n">
        <v>93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67.23999999999999</v>
      </c>
      <c r="P43" s="32" t="n">
        <v>58.55</v>
      </c>
      <c r="Q43" s="32" t="n">
        <v>660.4299999999999</v>
      </c>
      <c r="R43" s="31" t="inlineStr">
        <is>
          <t>Near 52W High Breakout</t>
        </is>
      </c>
      <c r="S43" s="31" t="inlineStr">
        <is>
          <t>Nifty 50</t>
        </is>
      </c>
      <c r="T43" s="32" t="n">
        <v>-3.75</v>
      </c>
      <c r="U43" s="32" t="n">
        <v>58.9</v>
      </c>
      <c r="V43" s="32" t="n">
        <v>65.09</v>
      </c>
      <c r="W43" s="32" t="n">
        <v>37.64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Negative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IF(B44=0,"",RANK(B44,$B$2:$B$372,0))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AVALON</t>
        </is>
      </c>
      <c r="D44" s="31" t="inlineStr">
        <is>
          <t>Avalon Technologies Ltd</t>
        </is>
      </c>
      <c r="E44" s="31" t="inlineStr">
        <is>
          <t>consumer discretionary</t>
        </is>
      </c>
      <c r="F44" s="31" t="inlineStr">
        <is>
          <t>electronics - components</t>
        </is>
      </c>
      <c r="G44" s="31" t="inlineStr">
        <is>
          <t>midcap</t>
        </is>
      </c>
      <c r="H44" s="32" t="n">
        <v>11541.2</v>
      </c>
      <c r="I44" s="32" t="n">
        <v>1768.1</v>
      </c>
      <c r="J44" s="32" t="n">
        <v>2.29</v>
      </c>
      <c r="K44" s="32" t="n">
        <v>219467</v>
      </c>
      <c r="L44" s="31" t="n">
        <v>91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76.88</v>
      </c>
      <c r="P44" s="32" t="n">
        <v>51.16</v>
      </c>
      <c r="Q44" s="32" t="n">
        <v>1337.78</v>
      </c>
      <c r="R44" s="31" t="inlineStr">
        <is>
          <t>Near 52W High Breakout</t>
        </is>
      </c>
      <c r="S44" s="31" t="inlineStr">
        <is>
          <t>Nifty 50</t>
        </is>
      </c>
      <c r="T44" s="32" t="n">
        <v>-3.75</v>
      </c>
      <c r="U44" s="32" t="n">
        <v>106.61</v>
      </c>
      <c r="V44" s="32" t="n">
        <v>114.66</v>
      </c>
      <c r="W44" s="32" t="n">
        <v>33.71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Between 1.5 to 2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IF(B45=0,"",RANK(B45,$B$2:$B$372,0))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NRBBEARING</t>
        </is>
      </c>
      <c r="D45" s="31" t="inlineStr">
        <is>
          <t>Nrb Bearing Limited</t>
        </is>
      </c>
      <c r="E45" s="31" t="inlineStr">
        <is>
          <t>industrials</t>
        </is>
      </c>
      <c r="F45" s="31" t="inlineStr">
        <is>
          <t>bearings</t>
        </is>
      </c>
      <c r="G45" s="31" t="inlineStr">
        <is>
          <t>smallcap</t>
        </is>
      </c>
      <c r="H45" s="32" t="n">
        <v>4096.43</v>
      </c>
      <c r="I45" s="32" t="n">
        <v>428.95</v>
      </c>
      <c r="J45" s="32" t="n">
        <v>1.49</v>
      </c>
      <c r="K45" s="32" t="n">
        <v>186523</v>
      </c>
      <c r="L45" s="31" t="n">
        <v>85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77.20999999999999</v>
      </c>
      <c r="P45" s="32" t="n">
        <v>41.18</v>
      </c>
      <c r="Q45" s="32" t="n">
        <v>329.88</v>
      </c>
      <c r="R45" s="31" t="inlineStr">
        <is>
          <t>Near 52W High Breakout</t>
        </is>
      </c>
      <c r="S45" s="31" t="inlineStr">
        <is>
          <t>Nifty 50</t>
        </is>
      </c>
      <c r="T45" s="32" t="n">
        <v>-3.75</v>
      </c>
      <c r="U45" s="32" t="n">
        <v>54.52</v>
      </c>
      <c r="V45" s="32" t="n">
        <v>60.53</v>
      </c>
      <c r="W45" s="32" t="n">
        <v>25.5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IF(B46=0,"",RANK(B46,$B$2:$B$372,0))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RISHABH</t>
        </is>
      </c>
      <c r="D46" s="31" t="inlineStr">
        <is>
          <t>Rishabh Instruments Ltd</t>
        </is>
      </c>
      <c r="E46" s="31" t="inlineStr">
        <is>
          <t>industrials</t>
        </is>
      </c>
      <c r="F46" s="31" t="inlineStr">
        <is>
          <t>electric equipment</t>
        </is>
      </c>
      <c r="G46" s="31" t="inlineStr">
        <is>
          <t>smallcap</t>
        </is>
      </c>
      <c r="H46" s="32" t="n">
        <v>2515.51</v>
      </c>
      <c r="I46" s="32" t="n">
        <v>662.1</v>
      </c>
      <c r="J46" s="32" t="n">
        <v>1.46</v>
      </c>
      <c r="K46" s="32" t="n">
        <v>520133</v>
      </c>
      <c r="L46" s="31" t="n">
        <v>88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73.03</v>
      </c>
      <c r="P46" s="32" t="n">
        <v>39.45</v>
      </c>
      <c r="Q46" s="32" t="n">
        <v>482.88</v>
      </c>
      <c r="R46" s="31" t="inlineStr">
        <is>
          <t>Volume Spike &amp; Near 52W High Breakout</t>
        </is>
      </c>
      <c r="S46" s="31" t="inlineStr">
        <is>
          <t>Nifty 50</t>
        </is>
      </c>
      <c r="T46" s="32" t="n">
        <v>-3.75</v>
      </c>
      <c r="U46" s="32" t="n">
        <v>123.64</v>
      </c>
      <c r="V46" s="32" t="n">
        <v>132.36</v>
      </c>
      <c r="W46" s="32" t="n">
        <v>29.28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IF(B47=0,"",RANK(B47,$B$2:$B$372,0))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GREENPLY</t>
        </is>
      </c>
      <c r="D47" s="31" t="inlineStr">
        <is>
          <t>Greenply Industries Limited</t>
        </is>
      </c>
      <c r="E47" s="31" t="inlineStr">
        <is>
          <t>building materials</t>
        </is>
      </c>
      <c r="F47" s="31" t="inlineStr">
        <is>
          <t>miscellaneous</t>
        </is>
      </c>
      <c r="G47" s="31" t="inlineStr">
        <is>
          <t>smallcap</t>
        </is>
      </c>
      <c r="H47" s="32" t="n">
        <v>3885.08</v>
      </c>
      <c r="I47" s="32" t="n">
        <v>314.9</v>
      </c>
      <c r="J47" s="32" t="n">
        <v>1.24</v>
      </c>
      <c r="K47" s="32" t="n">
        <v>195697</v>
      </c>
      <c r="L47" s="31" t="n">
        <v>57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67.98999999999999</v>
      </c>
      <c r="P47" s="32" t="n">
        <v>26.57</v>
      </c>
      <c r="Q47" s="32" t="n">
        <v>243.93</v>
      </c>
      <c r="R47" s="31" t="inlineStr">
        <is>
          <t>Near 52W High Breakout</t>
        </is>
      </c>
      <c r="S47" s="31" t="inlineStr">
        <is>
          <t>Nifty Infra</t>
        </is>
      </c>
      <c r="T47" s="32" t="n">
        <v>1.87</v>
      </c>
      <c r="U47" s="32" t="n">
        <v>4.86</v>
      </c>
      <c r="V47" s="32" t="n">
        <v>2.94</v>
      </c>
      <c r="W47" s="32" t="n">
        <v>12.43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IF(B48=0,"",RANK(B48,$B$2:$B$372,0))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HAPPYFORGE</t>
        </is>
      </c>
      <c r="D48" s="31" t="inlineStr">
        <is>
          <t>Happy Forgings Ltd</t>
        </is>
      </c>
      <c r="E48" s="31" t="inlineStr">
        <is>
          <t>industrials</t>
        </is>
      </c>
      <c r="F48" s="31" t="inlineStr">
        <is>
          <t>castings &amp; forgings</t>
        </is>
      </c>
      <c r="G48" s="31" t="inlineStr">
        <is>
          <t>midcap</t>
        </is>
      </c>
      <c r="H48" s="32" t="n">
        <v>14757.36</v>
      </c>
      <c r="I48" s="32" t="n">
        <v>1580</v>
      </c>
      <c r="J48" s="32" t="n">
        <v>1.02</v>
      </c>
      <c r="K48" s="32" t="n">
        <v>65522</v>
      </c>
      <c r="L48" s="31" t="n">
        <v>72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71.04000000000001</v>
      </c>
      <c r="P48" s="32" t="n">
        <v>41.62</v>
      </c>
      <c r="Q48" s="32" t="n">
        <v>1261.92</v>
      </c>
      <c r="R48" s="31" t="inlineStr">
        <is>
          <t>Near 52W High Breakout</t>
        </is>
      </c>
      <c r="S48" s="31" t="inlineStr">
        <is>
          <t>Nifty Infra</t>
        </is>
      </c>
      <c r="T48" s="32" t="n">
        <v>1.87</v>
      </c>
      <c r="U48" s="32" t="n">
        <v>69.94</v>
      </c>
      <c r="V48" s="32" t="n">
        <v>66.83</v>
      </c>
      <c r="W48" s="32" t="n">
        <v>16.05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IF(B49=0,"",RANK(B49,$B$2:$B$372,0))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CEMPRO</t>
        </is>
      </c>
      <c r="D49" s="31" t="inlineStr">
        <is>
          <t>Cemindia Projects Ltd</t>
        </is>
      </c>
      <c r="E49" s="31" t="inlineStr">
        <is>
          <t>realty</t>
        </is>
      </c>
      <c r="F49" s="31" t="inlineStr">
        <is>
          <t>construction</t>
        </is>
      </c>
      <c r="G49" s="31" t="inlineStr">
        <is>
          <t>largecap</t>
        </is>
      </c>
      <c r="H49" s="32" t="n">
        <v>26697.51</v>
      </c>
      <c r="I49" s="32" t="n">
        <v>1566.8</v>
      </c>
      <c r="J49" s="32" t="n">
        <v>0.82</v>
      </c>
      <c r="K49" s="32" t="n">
        <v>319589</v>
      </c>
      <c r="L49" s="31" t="n">
        <v>98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83.65000000000001</v>
      </c>
      <c r="P49" s="32" t="n">
        <v>46.24</v>
      </c>
      <c r="Q49" s="32" t="n">
        <v>1227.73</v>
      </c>
      <c r="R49" s="31" t="inlineStr">
        <is>
          <t>Near 52W High Breakout</t>
        </is>
      </c>
      <c r="S49" s="31" t="inlineStr">
        <is>
          <t>Nifty Realty</t>
        </is>
      </c>
      <c r="T49" s="32" t="n">
        <v>-2.52</v>
      </c>
      <c r="U49" s="32" t="n">
        <v>80.75</v>
      </c>
      <c r="V49" s="32" t="n">
        <v>85.43000000000001</v>
      </c>
      <c r="W49" s="32" t="n">
        <v>53.62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Less than 50%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IF(B50=0,"",RANK(B50,$B$2:$B$372,0))</f>
        <v/>
      </c>
      <c r="B50" s="32">
        <f>SUM(N50,Y50,AA50,AC50,AE50,AG50,AI50,AK50,AM50,AO50,AQ50,AS50,AU50,AW50,AY50,BA50,BC50,BE50,BG50,BI50,BK50,BM50,BO50,BQ50,BS50,BU50,BW50,BY50,CA50,CC50,CE50)</f>
        <v/>
      </c>
      <c r="C50" s="33" t="inlineStr">
        <is>
          <t>IMPAL</t>
        </is>
      </c>
      <c r="D50" s="33" t="inlineStr">
        <is>
          <t>India Motor Parts And Accessories Limited</t>
        </is>
      </c>
      <c r="E50" s="31" t="inlineStr">
        <is>
          <t>auto</t>
        </is>
      </c>
      <c r="F50" s="31" t="inlineStr">
        <is>
          <t>auto ancillaries</t>
        </is>
      </c>
      <c r="G50" s="31" t="inlineStr">
        <is>
          <t>smallcap</t>
        </is>
      </c>
      <c r="H50" s="32" t="n">
        <v>1442.06</v>
      </c>
      <c r="I50" s="32" t="n">
        <v>1157</v>
      </c>
      <c r="J50" s="32" t="n">
        <v>0.13</v>
      </c>
      <c r="K50" s="32" t="n">
        <v>4130</v>
      </c>
      <c r="L50" s="31" t="n">
        <v>16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65.67</v>
      </c>
      <c r="P50" s="32" t="n">
        <v>23.13</v>
      </c>
      <c r="Q50" s="32" t="n">
        <v>926.21</v>
      </c>
      <c r="R50" s="31" t="inlineStr">
        <is>
          <t>Volume Spike &amp; Near 52W High Breakout</t>
        </is>
      </c>
      <c r="S50" s="31" t="inlineStr">
        <is>
          <t>Nifty Auto</t>
        </is>
      </c>
      <c r="T50" s="32" t="n">
        <v>14.33</v>
      </c>
      <c r="U50" s="32" t="n">
        <v>3.6</v>
      </c>
      <c r="V50" s="32" t="n">
        <v>-9.390000000000001</v>
      </c>
      <c r="W50" s="32" t="n">
        <v>3.55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IF(B51=0,"",RANK(B51,$B$2:$B$372,0))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MAYURUNIQ</t>
        </is>
      </c>
      <c r="D51" s="31" t="inlineStr">
        <is>
          <t>Mayur Uniquoters Ltd</t>
        </is>
      </c>
      <c r="E51" s="31" t="inlineStr">
        <is>
          <t>consumer discretionary</t>
        </is>
      </c>
      <c r="F51" s="31" t="inlineStr">
        <is>
          <t>leather / leather products</t>
        </is>
      </c>
      <c r="G51" s="31" t="inlineStr">
        <is>
          <t>smallcap</t>
        </is>
      </c>
      <c r="H51" s="32" t="n">
        <v>3620.91</v>
      </c>
      <c r="I51" s="32" t="n">
        <v>833.55</v>
      </c>
      <c r="J51" s="32" t="n">
        <v>0.03</v>
      </c>
      <c r="K51" s="32" t="n">
        <v>118732</v>
      </c>
      <c r="L51" s="31" t="n">
        <v>78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69.78</v>
      </c>
      <c r="P51" s="32" t="n">
        <v>54.44</v>
      </c>
      <c r="Q51" s="32" t="n">
        <v>684.5700000000001</v>
      </c>
      <c r="R51" s="31" t="inlineStr">
        <is>
          <t>Earnings / Momentum Support</t>
        </is>
      </c>
      <c r="S51" s="31" t="inlineStr">
        <is>
          <t>Nifty 50</t>
        </is>
      </c>
      <c r="T51" s="32" t="n">
        <v>-3.75</v>
      </c>
      <c r="U51" s="32" t="n">
        <v>47.35</v>
      </c>
      <c r="V51" s="32" t="n">
        <v>53.09</v>
      </c>
      <c r="W51" s="32" t="n">
        <v>19.57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Between 50% to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IF(B52=0,"",RANK(B52,$B$2:$B$372,0))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MENONBE</t>
        </is>
      </c>
      <c r="D52" s="31" t="inlineStr">
        <is>
          <t>Menon Bearings Limited</t>
        </is>
      </c>
      <c r="E52" s="31" t="inlineStr">
        <is>
          <t>auto</t>
        </is>
      </c>
      <c r="F52" s="31" t="inlineStr">
        <is>
          <t>auto ancillaries</t>
        </is>
      </c>
      <c r="G52" s="31" t="inlineStr">
        <is>
          <t>smallcap</t>
        </is>
      </c>
      <c r="H52" s="32" t="n">
        <v>974.42</v>
      </c>
      <c r="I52" s="32" t="n">
        <v>173.9</v>
      </c>
      <c r="J52" s="32" t="n">
        <v>0.01</v>
      </c>
      <c r="K52" s="32" t="n">
        <v>32077</v>
      </c>
      <c r="L52" s="31" t="n">
        <v>73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66.43000000000001</v>
      </c>
      <c r="P52" s="32" t="n">
        <v>39.82</v>
      </c>
      <c r="Q52" s="32" t="n">
        <v>127.38</v>
      </c>
      <c r="R52" s="31" t="inlineStr">
        <is>
          <t>Near 52W High Breakout</t>
        </is>
      </c>
      <c r="S52" s="31" t="inlineStr">
        <is>
          <t>Nifty Auto</t>
        </is>
      </c>
      <c r="T52" s="32" t="n">
        <v>14.33</v>
      </c>
      <c r="U52" s="32" t="n">
        <v>39.69</v>
      </c>
      <c r="V52" s="32" t="n">
        <v>22.18</v>
      </c>
      <c r="W52" s="32" t="n">
        <v>16.78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IF(B53=0,"",RANK(B53,$B$2:$B$372,0))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TALBROAUTO</t>
        </is>
      </c>
      <c r="D53" s="31" t="inlineStr">
        <is>
          <t>Talbros Automotive Components Limited</t>
        </is>
      </c>
      <c r="E53" s="31" t="inlineStr">
        <is>
          <t>auto</t>
        </is>
      </c>
      <c r="F53" s="31" t="inlineStr">
        <is>
          <t>auto ancillaries</t>
        </is>
      </c>
      <c r="G53" s="31" t="inlineStr">
        <is>
          <t>smallcap</t>
        </is>
      </c>
      <c r="H53" s="32" t="n">
        <v>2523.45</v>
      </c>
      <c r="I53" s="32" t="n">
        <v>408.1</v>
      </c>
      <c r="J53" s="32" t="n">
        <v>-0.17</v>
      </c>
      <c r="K53" s="32" t="n">
        <v>116005</v>
      </c>
      <c r="L53" s="31" t="n">
        <v>78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74.98</v>
      </c>
      <c r="P53" s="32" t="n">
        <v>35.35</v>
      </c>
      <c r="Q53" s="32" t="n">
        <v>311.7</v>
      </c>
      <c r="R53" s="31" t="inlineStr">
        <is>
          <t>Near 52W High Breakout</t>
        </is>
      </c>
      <c r="S53" s="31" t="inlineStr">
        <is>
          <t>Nifty Auto</t>
        </is>
      </c>
      <c r="T53" s="32" t="n">
        <v>14.33</v>
      </c>
      <c r="U53" s="32" t="n">
        <v>39.5</v>
      </c>
      <c r="V53" s="32" t="n">
        <v>22.01</v>
      </c>
      <c r="W53" s="32" t="n">
        <v>19.57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Between 12 to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Between 50% to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IF(B54=0,"",RANK(B54,$B$2:$B$372,0))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SANGAMIND</t>
        </is>
      </c>
      <c r="D54" s="31" t="inlineStr">
        <is>
          <t>Sangam (india) Limited</t>
        </is>
      </c>
      <c r="E54" s="31" t="inlineStr">
        <is>
          <t>textiles</t>
        </is>
      </c>
      <c r="F54" s="31" t="inlineStr">
        <is>
          <t>textiles - spinning - synthetic / blended</t>
        </is>
      </c>
      <c r="G54" s="31" t="inlineStr">
        <is>
          <t>smallcap</t>
        </is>
      </c>
      <c r="H54" s="32" t="n">
        <v>2812.8</v>
      </c>
      <c r="I54" s="32" t="n">
        <v>558.75</v>
      </c>
      <c r="J54" s="32" t="n">
        <v>-0.19</v>
      </c>
      <c r="K54" s="32" t="n">
        <v>14846</v>
      </c>
      <c r="L54" s="31" t="n">
        <v>50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69.56</v>
      </c>
      <c r="P54" s="32" t="n">
        <v>40.77</v>
      </c>
      <c r="Q54" s="32" t="n">
        <v>437.41</v>
      </c>
      <c r="R54" s="31" t="inlineStr">
        <is>
          <t>Near 52W High Breakout</t>
        </is>
      </c>
      <c r="S54" s="31" t="inlineStr">
        <is>
          <t>Nifty 50</t>
        </is>
      </c>
      <c r="T54" s="32" t="n">
        <v>-3.75</v>
      </c>
      <c r="U54" s="32" t="n">
        <v>24.93</v>
      </c>
      <c r="V54" s="32" t="n">
        <v>29.8</v>
      </c>
      <c r="W54" s="32" t="n">
        <v>9.859999999999999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Between 0.7 to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IF(B55=0,"",RANK(B55,$B$2:$B$372,0))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ADOR</t>
        </is>
      </c>
      <c r="D55" s="31" t="inlineStr">
        <is>
          <t>Ador Welding Ltd</t>
        </is>
      </c>
      <c r="E55" s="31" t="inlineStr">
        <is>
          <t>industrials</t>
        </is>
      </c>
      <c r="F55" s="31" t="inlineStr">
        <is>
          <t>electrodes - welding equipment</t>
        </is>
      </c>
      <c r="G55" s="31" t="inlineStr">
        <is>
          <t>smallcap</t>
        </is>
      </c>
      <c r="H55" s="32" t="n">
        <v>2306.22</v>
      </c>
      <c r="I55" s="32" t="n">
        <v>1321</v>
      </c>
      <c r="J55" s="32" t="n">
        <v>-0.32</v>
      </c>
      <c r="K55" s="32" t="n">
        <v>18364</v>
      </c>
      <c r="L55" s="31" t="n">
        <v>69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73.81999999999999</v>
      </c>
      <c r="P55" s="32" t="n">
        <v>30.4</v>
      </c>
      <c r="Q55" s="32" t="n">
        <v>1062.35</v>
      </c>
      <c r="R55" s="31" t="inlineStr">
        <is>
          <t>Near 52W High Breakout</t>
        </is>
      </c>
      <c r="S55" s="31" t="inlineStr">
        <is>
          <t>Nifty 50</t>
        </is>
      </c>
      <c r="T55" s="32" t="n">
        <v>-3.75</v>
      </c>
      <c r="U55" s="32" t="n">
        <v>20.08</v>
      </c>
      <c r="V55" s="32" t="n">
        <v>24.75</v>
      </c>
      <c r="W55" s="32" t="n">
        <v>15.43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IF(B56=0,"",RANK(B56,$B$2:$B$372,0))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ASTRAMICRO</t>
        </is>
      </c>
      <c r="D56" s="31" t="inlineStr">
        <is>
          <t>Astra Microwave Products Limited</t>
        </is>
      </c>
      <c r="E56" s="31" t="inlineStr">
        <is>
          <t>aerospace &amp; defence</t>
        </is>
      </c>
      <c r="F56" s="31" t="inlineStr">
        <is>
          <t>telecommunications - equipment</t>
        </is>
      </c>
      <c r="G56" s="31" t="inlineStr">
        <is>
          <t>midcap</t>
        </is>
      </c>
      <c r="H56" s="32" t="n">
        <v>17404.37</v>
      </c>
      <c r="I56" s="32" t="n">
        <v>1803.7</v>
      </c>
      <c r="J56" s="32" t="n">
        <v>-1.6</v>
      </c>
      <c r="K56" s="32" t="n">
        <v>474559</v>
      </c>
      <c r="L56" s="31" t="n">
        <v>90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81.43000000000001</v>
      </c>
      <c r="P56" s="32" t="n">
        <v>48.38</v>
      </c>
      <c r="Q56" s="32" t="n">
        <v>1485.37</v>
      </c>
      <c r="R56" s="31" t="inlineStr">
        <is>
          <t>Near 52W High Breakout</t>
        </is>
      </c>
      <c r="S56" s="31" t="inlineStr">
        <is>
          <t>Nifty 50</t>
        </is>
      </c>
      <c r="T56" s="32" t="n">
        <v>-3.75</v>
      </c>
      <c r="U56" s="32" t="n">
        <v>81.91</v>
      </c>
      <c r="V56" s="32" t="n">
        <v>89</v>
      </c>
      <c r="W56" s="32" t="n">
        <v>31.72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Oligopoly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IF(B57=0,"",RANK(B57,$B$2:$B$372,0))</f>
        <v/>
      </c>
      <c r="B57" s="32">
        <f>SUM(N57,Y57,AA57,AC57,AE57,AG57,AI57,AK57,AM57,AO57,AQ57,AS57,AU57,AW57,AY57,BA57,BC57,BE57,BG57,BI57,BK57,BM57,BO57,BQ57,BS57,BU57,BW57,BY57,CA57,CC57,CE57)</f>
        <v/>
      </c>
      <c r="C57" s="33" t="inlineStr">
        <is>
          <t>KOPRAN</t>
        </is>
      </c>
      <c r="D57" s="33" t="inlineStr">
        <is>
          <t>Kopran Limited</t>
        </is>
      </c>
      <c r="E57" s="31" t="inlineStr">
        <is>
          <t>healthcare</t>
        </is>
      </c>
      <c r="F57" s="31" t="inlineStr">
        <is>
          <t>pharmaceuticals - indian - bulk drugs &amp; formln</t>
        </is>
      </c>
      <c r="G57" s="31" t="inlineStr">
        <is>
          <t>smallcap</t>
        </is>
      </c>
      <c r="H57" s="32" t="n">
        <v>914.34</v>
      </c>
      <c r="I57" s="32" t="n">
        <v>196.82</v>
      </c>
      <c r="J57" s="32" t="n">
        <v>3.94</v>
      </c>
      <c r="K57" s="32" t="n">
        <v>191903</v>
      </c>
      <c r="L57" s="31" t="n">
        <v>41</v>
      </c>
      <c r="M57" s="31" t="inlineStr">
        <is>
          <t>Underperforming</t>
        </is>
      </c>
      <c r="N57" s="32">
        <f>IF(M57="Underperforming",-5,IF(L57&gt;=95,15,IF(L57&gt;=90,10,IF(L57&gt;=80,5,0))))</f>
        <v/>
      </c>
      <c r="O57" s="32" t="n">
        <v>63.07</v>
      </c>
      <c r="P57" s="32" t="n">
        <v>33.08</v>
      </c>
      <c r="Q57" s="32" t="n">
        <v>149.31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15.51</v>
      </c>
      <c r="U57" s="32" t="n">
        <v>12.51</v>
      </c>
      <c r="V57" s="32" t="n">
        <v>-2.6</v>
      </c>
      <c r="W57" s="32" t="n">
        <v>8.16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IF(B58=0,"",RANK(B58,$B$2:$B$372,0))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SKMEGGPROD</t>
        </is>
      </c>
      <c r="D58" s="31" t="inlineStr">
        <is>
          <t>Skm Egg Products Export (india) Limited</t>
        </is>
      </c>
      <c r="E58" s="31" t="inlineStr">
        <is>
          <t>fmcg</t>
        </is>
      </c>
      <c r="F58" s="31" t="inlineStr">
        <is>
          <t>food - processing - indian</t>
        </is>
      </c>
      <c r="G58" s="31" t="inlineStr">
        <is>
          <t>smallcap</t>
        </is>
      </c>
      <c r="H58" s="32" t="n">
        <v>1664.85</v>
      </c>
      <c r="I58" s="32" t="n">
        <v>321.35</v>
      </c>
      <c r="J58" s="32" t="n">
        <v>1.64</v>
      </c>
      <c r="K58" s="32" t="n">
        <v>514750</v>
      </c>
      <c r="L58" s="31" t="n">
        <v>93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80.17</v>
      </c>
      <c r="P58" s="32" t="n">
        <v>35.24</v>
      </c>
      <c r="Q58" s="32" t="n">
        <v>235.32</v>
      </c>
      <c r="R58" s="31" t="inlineStr">
        <is>
          <t>Near 52W High Breakout</t>
        </is>
      </c>
      <c r="S58" s="31" t="inlineStr">
        <is>
          <t>Nifty FMCG</t>
        </is>
      </c>
      <c r="T58" s="32" t="n">
        <v>-11.8</v>
      </c>
      <c r="U58" s="32" t="n">
        <v>122.12</v>
      </c>
      <c r="V58" s="32" t="n">
        <v>151.84</v>
      </c>
      <c r="W58" s="32" t="n">
        <v>37.64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B2C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Less than 50%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IF(B59=0,"",RANK(B59,$B$2:$B$372,0))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TINNARUBR</t>
        </is>
      </c>
      <c r="D59" s="31" t="inlineStr">
        <is>
          <t>Tinna Rubber &amp; Infrastructure Ltd</t>
        </is>
      </c>
      <c r="E59" s="31" t="inlineStr">
        <is>
          <t>fmcg</t>
        </is>
      </c>
      <c r="F59" s="31" t="inlineStr">
        <is>
          <t>miscellaneous</t>
        </is>
      </c>
      <c r="G59" s="31" t="inlineStr">
        <is>
          <t>smallcap</t>
        </is>
      </c>
      <c r="H59" s="32" t="n">
        <v>1726.81</v>
      </c>
      <c r="I59" s="32" t="n">
        <v>971.35</v>
      </c>
      <c r="J59" s="32" t="n">
        <v>1.34</v>
      </c>
      <c r="K59" s="32" t="n">
        <v>52110</v>
      </c>
      <c r="L59" s="31" t="n">
        <v>63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64.84</v>
      </c>
      <c r="P59" s="32" t="n">
        <v>25.01</v>
      </c>
      <c r="Q59" s="32" t="n">
        <v>713.96</v>
      </c>
      <c r="R59" s="31" t="inlineStr">
        <is>
          <t>Earnings / Momentum Support</t>
        </is>
      </c>
      <c r="S59" s="31" t="inlineStr">
        <is>
          <t>Nifty FMCG</t>
        </is>
      </c>
      <c r="T59" s="32" t="n">
        <v>-11.8</v>
      </c>
      <c r="U59" s="32" t="n">
        <v>6.99</v>
      </c>
      <c r="V59" s="32" t="n">
        <v>21.31</v>
      </c>
      <c r="W59" s="32" t="n">
        <v>14.02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IF(B60=0,"",RANK(B60,$B$2:$B$372,0))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VADILALIND</t>
        </is>
      </c>
      <c r="D60" s="31" t="inlineStr">
        <is>
          <t>Vadilal Industries Limited</t>
        </is>
      </c>
      <c r="E60" s="31" t="inlineStr">
        <is>
          <t>fmcg</t>
        </is>
      </c>
      <c r="F60" s="31" t="inlineStr">
        <is>
          <t>food - processing - indian</t>
        </is>
      </c>
      <c r="G60" s="31" t="inlineStr">
        <is>
          <t>smallcap</t>
        </is>
      </c>
      <c r="H60" s="32" t="n">
        <v>4568.23</v>
      </c>
      <c r="I60" s="32" t="n">
        <v>6410</v>
      </c>
      <c r="J60" s="32" t="n">
        <v>0.86</v>
      </c>
      <c r="K60" s="32" t="n">
        <v>8838</v>
      </c>
      <c r="L60" s="31" t="n">
        <v>64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69.83</v>
      </c>
      <c r="P60" s="32" t="n">
        <v>22.6</v>
      </c>
      <c r="Q60" s="32" t="n">
        <v>5059.29</v>
      </c>
      <c r="R60" s="31" t="inlineStr">
        <is>
          <t>Near 52W High Breakout</t>
        </is>
      </c>
      <c r="S60" s="31" t="inlineStr">
        <is>
          <t>Nifty FMCG</t>
        </is>
      </c>
      <c r="T60" s="32" t="n">
        <v>-11.8</v>
      </c>
      <c r="U60" s="32" t="n">
        <v>22.86</v>
      </c>
      <c r="V60" s="32" t="n">
        <v>39.3</v>
      </c>
      <c r="W60" s="32" t="n">
        <v>14.21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IF(B61=0,"",RANK(B61,$B$2:$B$372,0))</f>
        <v/>
      </c>
      <c r="B61" s="32">
        <f>SUM(N61,Y61,AA61,AC61,AE61,AG61,AI61,AK61,AM61,AO61,AQ61,AS61,AU61,AW61,AY61,BA61,BC61,BE61,BG61,BI61,BK61,BM61,BO61,BQ61,BS61,BU61,BW61,BY61,CA61,CC61,CE61)</f>
        <v/>
      </c>
      <c r="C61" s="33" t="inlineStr">
        <is>
          <t>INNOVACAP</t>
        </is>
      </c>
      <c r="D61" s="33" t="inlineStr">
        <is>
          <t>Innova Captab Ltd</t>
        </is>
      </c>
      <c r="E61" s="31" t="inlineStr">
        <is>
          <t>healthcare</t>
        </is>
      </c>
      <c r="F61" s="31" t="inlineStr">
        <is>
          <t>pharmaceuticals - indian - bulk drugs &amp; formln</t>
        </is>
      </c>
      <c r="G61" s="31" t="inlineStr">
        <is>
          <t>midcap</t>
        </is>
      </c>
      <c r="H61" s="32" t="n">
        <v>5670.13</v>
      </c>
      <c r="I61" s="32" t="n">
        <v>990</v>
      </c>
      <c r="J61" s="32" t="n">
        <v>-0.09</v>
      </c>
      <c r="K61" s="32" t="n">
        <v>65327</v>
      </c>
      <c r="L61" s="31" t="n">
        <v>60</v>
      </c>
      <c r="M61" s="31" t="inlineStr">
        <is>
          <t>Underperforming</t>
        </is>
      </c>
      <c r="N61" s="32">
        <f>IF(M61="Underperforming",-5,IF(L61&gt;=95,15,IF(L61&gt;=90,10,IF(L61&gt;=80,5,0))))</f>
        <v/>
      </c>
      <c r="O61" s="32" t="n">
        <v>74.23</v>
      </c>
      <c r="P61" s="32" t="n">
        <v>45.41</v>
      </c>
      <c r="Q61" s="32" t="n">
        <v>774.27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15.51</v>
      </c>
      <c r="U61" s="32" t="n">
        <v>13.35</v>
      </c>
      <c r="V61" s="32" t="n">
        <v>-1.87</v>
      </c>
      <c r="W61" s="32" t="n">
        <v>13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Between 50% to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IF(B62=0,"",RANK(B62,$B$2:$B$372,0))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MARICO</t>
        </is>
      </c>
      <c r="D62" s="31" t="inlineStr">
        <is>
          <t>Marico Limited</t>
        </is>
      </c>
      <c r="E62" s="31" t="inlineStr">
        <is>
          <t>fmcg</t>
        </is>
      </c>
      <c r="F62" s="31" t="inlineStr">
        <is>
          <t>solvent extraction</t>
        </is>
      </c>
      <c r="G62" s="31" t="inlineStr">
        <is>
          <t>largecap</t>
        </is>
      </c>
      <c r="H62" s="32" t="n">
        <v>111647.3</v>
      </c>
      <c r="I62" s="32" t="n">
        <v>852.5</v>
      </c>
      <c r="J62" s="32" t="n">
        <v>-0.88</v>
      </c>
      <c r="K62" s="32" t="n">
        <v>1338643</v>
      </c>
      <c r="L62" s="31" t="n">
        <v>29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68.14</v>
      </c>
      <c r="P62" s="32" t="n">
        <v>23.55</v>
      </c>
      <c r="Q62" s="32" t="n">
        <v>753.11</v>
      </c>
      <c r="R62" s="31" t="inlineStr">
        <is>
          <t>Near 52W High Breakout</t>
        </is>
      </c>
      <c r="S62" s="31" t="inlineStr">
        <is>
          <t>Nifty FMCG</t>
        </is>
      </c>
      <c r="T62" s="32" t="n">
        <v>-11.8</v>
      </c>
      <c r="U62" s="32" t="n">
        <v>18.65</v>
      </c>
      <c r="V62" s="32" t="n">
        <v>34.53</v>
      </c>
      <c r="W62" s="32" t="n">
        <v>5.92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B2C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Between 12 to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IF(B63=0,"",RANK(B63,$B$2:$B$372,0))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RAMCOSYS</t>
        </is>
      </c>
      <c r="D63" s="31" t="inlineStr">
        <is>
          <t>Ramco Systems Limited</t>
        </is>
      </c>
      <c r="E63" s="31" t="inlineStr">
        <is>
          <t>i.t</t>
        </is>
      </c>
      <c r="F63" s="31" t="inlineStr">
        <is>
          <t>computers - software - medium / small</t>
        </is>
      </c>
      <c r="G63" s="31" t="inlineStr">
        <is>
          <t>smallcap</t>
        </is>
      </c>
      <c r="H63" s="32" t="n">
        <v>3132.69</v>
      </c>
      <c r="I63" s="32" t="n">
        <v>805.6</v>
      </c>
      <c r="J63" s="32" t="n">
        <v>-3.79</v>
      </c>
      <c r="K63" s="32" t="n">
        <v>1368589</v>
      </c>
      <c r="L63" s="31" t="n">
        <v>94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76.04000000000001</v>
      </c>
      <c r="P63" s="32" t="n">
        <v>23.08</v>
      </c>
      <c r="Q63" s="32" t="n">
        <v>556.2</v>
      </c>
      <c r="R63" s="31" t="inlineStr">
        <is>
          <t>Near 52W High Breakout</t>
        </is>
      </c>
      <c r="S63" s="31" t="inlineStr">
        <is>
          <t>Nifty IT</t>
        </is>
      </c>
      <c r="T63" s="32" t="n">
        <v>-25.69</v>
      </c>
      <c r="U63" s="32" t="n">
        <v>108.27</v>
      </c>
      <c r="V63" s="32" t="n">
        <v>180.27</v>
      </c>
      <c r="W63" s="32" t="n">
        <v>39.02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IF(B64=0,"",RANK(B64,$B$2:$B$372,0))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INDNIPPON</t>
        </is>
      </c>
      <c r="D64" s="31" t="inlineStr">
        <is>
          <t>India Nippon Electricals Limited</t>
        </is>
      </c>
      <c r="E64" s="31" t="inlineStr">
        <is>
          <t>auto</t>
        </is>
      </c>
      <c r="F64" s="31" t="inlineStr">
        <is>
          <t>auto ancillaries</t>
        </is>
      </c>
      <c r="G64" s="31" t="inlineStr">
        <is>
          <t>smallcap</t>
        </is>
      </c>
      <c r="H64" s="32" t="n">
        <v>2506.23</v>
      </c>
      <c r="I64" s="32" t="n">
        <v>1180</v>
      </c>
      <c r="J64" s="32" t="n">
        <v>6.51</v>
      </c>
      <c r="K64" s="32" t="n">
        <v>305723</v>
      </c>
      <c r="L64" s="31" t="n">
        <v>80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76.09</v>
      </c>
      <c r="P64" s="32" t="n">
        <v>23.64</v>
      </c>
      <c r="Q64" s="32" t="n">
        <v>937.3200000000001</v>
      </c>
      <c r="R64" s="31" t="inlineStr">
        <is>
          <t>Volume Spike &amp; Near 52W High Breakout</t>
        </is>
      </c>
      <c r="S64" s="31" t="inlineStr">
        <is>
          <t>Nifty Auto</t>
        </is>
      </c>
      <c r="T64" s="32" t="n">
        <v>14.33</v>
      </c>
      <c r="U64" s="32" t="n">
        <v>52.4</v>
      </c>
      <c r="V64" s="32" t="n">
        <v>33.3</v>
      </c>
      <c r="W64" s="32" t="n">
        <v>21.77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IF(B65=0,"",RANK(B65,$B$2:$B$372,0))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KMEW</t>
        </is>
      </c>
      <c r="D65" s="31" t="inlineStr">
        <is>
          <t>Knowledge Marine &amp; Engineering Works Ltd</t>
        </is>
      </c>
      <c r="E65" s="31" t="inlineStr">
        <is>
          <t>transportation</t>
        </is>
      </c>
      <c r="F65" s="31" t="inlineStr">
        <is>
          <t>miscellaneous</t>
        </is>
      </c>
      <c r="G65" s="31" t="inlineStr">
        <is>
          <t>midcap</t>
        </is>
      </c>
      <c r="H65" s="32" t="n">
        <v>5545.39</v>
      </c>
      <c r="I65" s="32" t="n">
        <v>2412.7</v>
      </c>
      <c r="J65" s="32" t="n">
        <v>6.35</v>
      </c>
      <c r="K65" s="32" t="n">
        <v>183921</v>
      </c>
      <c r="L65" s="31" t="n">
        <v>90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70.72</v>
      </c>
      <c r="P65" s="32" t="n">
        <v>42.05</v>
      </c>
      <c r="Q65" s="32" t="n">
        <v>1705.83</v>
      </c>
      <c r="R65" s="31" t="inlineStr">
        <is>
          <t>Near 52W High Breakout</t>
        </is>
      </c>
      <c r="S65" s="31" t="inlineStr">
        <is>
          <t>Nifty 50</t>
        </is>
      </c>
      <c r="T65" s="32" t="n">
        <v>-3.75</v>
      </c>
      <c r="U65" s="32" t="n">
        <v>194.02</v>
      </c>
      <c r="V65" s="32" t="n">
        <v>205.47</v>
      </c>
      <c r="W65" s="32" t="n">
        <v>32.73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Negative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IF(B66=0,"",RANK(B66,$B$2:$B$372,0))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SANSERA</t>
        </is>
      </c>
      <c r="D66" s="31" t="inlineStr">
        <is>
          <t>Sansera Engineering Ltd</t>
        </is>
      </c>
      <c r="E66" s="31" t="inlineStr">
        <is>
          <t>auto</t>
        </is>
      </c>
      <c r="F66" s="31" t="inlineStr">
        <is>
          <t>auto ancillaries</t>
        </is>
      </c>
      <c r="G66" s="31" t="inlineStr">
        <is>
          <t>midcap</t>
        </is>
      </c>
      <c r="H66" s="32" t="n">
        <v>19584.73</v>
      </c>
      <c r="I66" s="32" t="n">
        <v>3304</v>
      </c>
      <c r="J66" s="32" t="n">
        <v>5.16</v>
      </c>
      <c r="K66" s="32" t="n">
        <v>316772</v>
      </c>
      <c r="L66" s="31" t="n">
        <v>88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79.62</v>
      </c>
      <c r="P66" s="32" t="n">
        <v>48.18</v>
      </c>
      <c r="Q66" s="32" t="n">
        <v>2624.62</v>
      </c>
      <c r="R66" s="31" t="inlineStr">
        <is>
          <t>Near 52W High Breakout</t>
        </is>
      </c>
      <c r="S66" s="31" t="inlineStr">
        <is>
          <t>Nifty Auto</t>
        </is>
      </c>
      <c r="T66" s="32" t="n">
        <v>14.33</v>
      </c>
      <c r="U66" s="32" t="n">
        <v>144.43</v>
      </c>
      <c r="V66" s="32" t="n">
        <v>113.79</v>
      </c>
      <c r="W66" s="32" t="n">
        <v>28.8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Between 50% to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IF(B67=0,"",RANK(B67,$B$2:$B$372,0))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RUBYMILLS</t>
        </is>
      </c>
      <c r="D67" s="31" t="inlineStr">
        <is>
          <t>The Ruby Mills Limited</t>
        </is>
      </c>
      <c r="E67" s="31" t="inlineStr">
        <is>
          <t>textiles</t>
        </is>
      </c>
      <c r="F67" s="31" t="inlineStr">
        <is>
          <t>textiles - composite</t>
        </is>
      </c>
      <c r="G67" s="31" t="inlineStr">
        <is>
          <t>smallcap</t>
        </is>
      </c>
      <c r="H67" s="32" t="n">
        <v>1222.4</v>
      </c>
      <c r="I67" s="32" t="n">
        <v>382.5</v>
      </c>
      <c r="J67" s="32" t="n">
        <v>4.64</v>
      </c>
      <c r="K67" s="32" t="n">
        <v>64318</v>
      </c>
      <c r="L67" s="31" t="n">
        <v>86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78.94</v>
      </c>
      <c r="P67" s="32" t="n">
        <v>48.43</v>
      </c>
      <c r="Q67" s="32" t="n">
        <v>291.86</v>
      </c>
      <c r="R67" s="31" t="inlineStr">
        <is>
          <t>Near 52W High Breakout</t>
        </is>
      </c>
      <c r="S67" s="31" t="inlineStr">
        <is>
          <t>Nifty 50</t>
        </is>
      </c>
      <c r="T67" s="32" t="n">
        <v>-3.75</v>
      </c>
      <c r="U67" s="32" t="n">
        <v>61.04</v>
      </c>
      <c r="V67" s="32" t="n">
        <v>67.31</v>
      </c>
      <c r="W67" s="32" t="n">
        <v>25.54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Less than 12%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IF(B68=0,"",RANK(B68,$B$2:$B$372,0))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UFBL</t>
        </is>
      </c>
      <c r="D68" s="31" t="inlineStr">
        <is>
          <t>United Foodbrands Ltd</t>
        </is>
      </c>
      <c r="E68" s="31" t="inlineStr">
        <is>
          <t>consumer discretionary</t>
        </is>
      </c>
      <c r="F68" s="31" t="inlineStr">
        <is>
          <t>hotels</t>
        </is>
      </c>
      <c r="G68" s="31" t="inlineStr">
        <is>
          <t>smallcap</t>
        </is>
      </c>
      <c r="H68" s="32" t="n">
        <v>2841.58</v>
      </c>
      <c r="I68" s="32" t="n">
        <v>755.8</v>
      </c>
      <c r="J68" s="32" t="n">
        <v>3.96</v>
      </c>
      <c r="K68" s="32" t="n">
        <v>364586</v>
      </c>
      <c r="L68" s="31" t="n">
        <v>98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87.19</v>
      </c>
      <c r="P68" s="32" t="n">
        <v>51.19</v>
      </c>
      <c r="Q68" s="32" t="n">
        <v>569.47</v>
      </c>
      <c r="R68" s="31" t="inlineStr">
        <is>
          <t>Near 52W High Breakout</t>
        </is>
      </c>
      <c r="S68" s="31" t="inlineStr">
        <is>
          <t>Nifty 50</t>
        </is>
      </c>
      <c r="T68" s="32" t="n">
        <v>-3.75</v>
      </c>
      <c r="U68" s="32" t="n">
        <v>146.83</v>
      </c>
      <c r="V68" s="32" t="n">
        <v>156.45</v>
      </c>
      <c r="W68" s="32" t="n">
        <v>67.42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More than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IF(B69=0,"",RANK(B69,$B$2:$B$372,0))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NRL</t>
        </is>
      </c>
      <c r="D69" s="31" t="inlineStr">
        <is>
          <t>Nupur Recyclers Ltd</t>
        </is>
      </c>
      <c r="E69" s="31" t="inlineStr">
        <is>
          <t>services</t>
        </is>
      </c>
      <c r="F69" s="31" t="inlineStr">
        <is>
          <t>trading</t>
        </is>
      </c>
      <c r="G69" s="31" t="inlineStr">
        <is>
          <t>smallcap</t>
        </is>
      </c>
      <c r="H69" s="32" t="n">
        <v>663.8200000000001</v>
      </c>
      <c r="I69" s="32" t="n">
        <v>99.09999999999999</v>
      </c>
      <c r="J69" s="32" t="n">
        <v>3.11</v>
      </c>
      <c r="K69" s="32" t="n">
        <v>388269</v>
      </c>
      <c r="L69" s="31" t="n">
        <v>89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83.26000000000001</v>
      </c>
      <c r="P69" s="32" t="n">
        <v>33.65</v>
      </c>
      <c r="Q69" s="32" t="n">
        <v>79.88</v>
      </c>
      <c r="R69" s="31" t="inlineStr">
        <is>
          <t>Near 52W High Breakout</t>
        </is>
      </c>
      <c r="S69" s="31" t="inlineStr">
        <is>
          <t>Nifty 50</t>
        </is>
      </c>
      <c r="T69" s="32" t="n">
        <v>-3.75</v>
      </c>
      <c r="U69" s="32" t="n">
        <v>27.82</v>
      </c>
      <c r="V69" s="32" t="n">
        <v>32.8</v>
      </c>
      <c r="W69" s="32" t="n">
        <v>30.31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IF(B70=0,"",RANK(B70,$B$2:$B$372,0))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CARTRADE</t>
        </is>
      </c>
      <c r="D70" s="31" t="inlineStr">
        <is>
          <t>Cartrade Tech Ltd</t>
        </is>
      </c>
      <c r="E70" s="31" t="inlineStr">
        <is>
          <t>consumer discretionary</t>
        </is>
      </c>
      <c r="F70" s="31" t="inlineStr">
        <is>
          <t>miscellaneous</t>
        </is>
      </c>
      <c r="G70" s="31" t="inlineStr">
        <is>
          <t>midcap</t>
        </is>
      </c>
      <c r="H70" s="32" t="n">
        <v>13095.6</v>
      </c>
      <c r="I70" s="32" t="n">
        <v>2809.9</v>
      </c>
      <c r="J70" s="32" t="n">
        <v>2.73</v>
      </c>
      <c r="K70" s="32" t="n">
        <v>511141</v>
      </c>
      <c r="L70" s="31" t="n">
        <v>81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66.97</v>
      </c>
      <c r="P70" s="32" t="n">
        <v>24.83</v>
      </c>
      <c r="Q70" s="32" t="n">
        <v>2030.24</v>
      </c>
      <c r="R70" s="31" t="inlineStr">
        <is>
          <t>Earnings / Momentum Support</t>
        </is>
      </c>
      <c r="S70" s="31" t="inlineStr">
        <is>
          <t>Nifty 50</t>
        </is>
      </c>
      <c r="T70" s="32" t="n">
        <v>-3.75</v>
      </c>
      <c r="U70" s="32" t="n">
        <v>47.91</v>
      </c>
      <c r="V70" s="32" t="n">
        <v>53.67</v>
      </c>
      <c r="W70" s="32" t="n">
        <v>22.46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IF(B71=0,"",RANK(B71,$B$2:$B$372,0))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USHAMART</t>
        </is>
      </c>
      <c r="D71" s="31" t="inlineStr">
        <is>
          <t>Usha Martin Limited</t>
        </is>
      </c>
      <c r="E71" s="31" t="inlineStr">
        <is>
          <t>metals &amp; mining</t>
        </is>
      </c>
      <c r="F71" s="31" t="inlineStr">
        <is>
          <t>steel - medium / small</t>
        </is>
      </c>
      <c r="G71" s="31" t="inlineStr">
        <is>
          <t>midcap</t>
        </is>
      </c>
      <c r="H71" s="32" t="n">
        <v>15304.14</v>
      </c>
      <c r="I71" s="32" t="n">
        <v>510.1</v>
      </c>
      <c r="J71" s="32" t="n">
        <v>1.57</v>
      </c>
      <c r="K71" s="32" t="n">
        <v>356231</v>
      </c>
      <c r="L71" s="31" t="n">
        <v>52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64.79000000000001</v>
      </c>
      <c r="P71" s="32" t="n">
        <v>42.17</v>
      </c>
      <c r="Q71" s="32" t="n">
        <v>413.36</v>
      </c>
      <c r="R71" s="31" t="inlineStr">
        <is>
          <t>Near 52W High Breakout</t>
        </is>
      </c>
      <c r="S71" s="31" t="inlineStr">
        <is>
          <t>Nifty Metal</t>
        </is>
      </c>
      <c r="T71" s="32" t="n">
        <v>35.24</v>
      </c>
      <c r="U71" s="32" t="n">
        <v>38.8</v>
      </c>
      <c r="V71" s="32" t="n">
        <v>2.64</v>
      </c>
      <c r="W71" s="32" t="n">
        <v>10.62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IF(B72=0,"",RANK(B72,$B$2:$B$372,0))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RAIN</t>
        </is>
      </c>
      <c r="D72" s="31" t="inlineStr">
        <is>
          <t>Rain Industries Limited</t>
        </is>
      </c>
      <c r="E72" s="31" t="inlineStr">
        <is>
          <t>miscellaneous</t>
        </is>
      </c>
      <c r="F72" s="31" t="inlineStr">
        <is>
          <t>miscellaneous</t>
        </is>
      </c>
      <c r="G72" s="31" t="inlineStr">
        <is>
          <t>midcap</t>
        </is>
      </c>
      <c r="H72" s="32" t="n">
        <v>6873.56</v>
      </c>
      <c r="I72" s="32" t="n">
        <v>207.05</v>
      </c>
      <c r="J72" s="32" t="n">
        <v>1.32</v>
      </c>
      <c r="K72" s="32" t="n">
        <v>4247575</v>
      </c>
      <c r="L72" s="31" t="n">
        <v>85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71.56</v>
      </c>
      <c r="P72" s="32" t="n">
        <v>33.05</v>
      </c>
      <c r="Q72" s="32" t="n">
        <v>154.61</v>
      </c>
      <c r="R72" s="31" t="inlineStr">
        <is>
          <t>Near 52W High Breakout</t>
        </is>
      </c>
      <c r="S72" s="31" t="inlineStr">
        <is>
          <t>Nifty 50</t>
        </is>
      </c>
      <c r="T72" s="32" t="n">
        <v>-3.75</v>
      </c>
      <c r="U72" s="32" t="n">
        <v>42.72</v>
      </c>
      <c r="V72" s="32" t="n">
        <v>48.28</v>
      </c>
      <c r="W72" s="32" t="n">
        <v>24.53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More than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IF(B73=0,"",RANK(B73,$B$2:$B$372,0))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PRIVISCL</t>
        </is>
      </c>
      <c r="D73" s="31" t="inlineStr">
        <is>
          <t>Privi Speciality Chemicals Ltd</t>
        </is>
      </c>
      <c r="E73" s="31" t="inlineStr">
        <is>
          <t>chemicals</t>
        </is>
      </c>
      <c r="F73" s="31" t="inlineStr">
        <is>
          <t>chemicals</t>
        </is>
      </c>
      <c r="G73" s="31" t="inlineStr">
        <is>
          <t>midcap</t>
        </is>
      </c>
      <c r="H73" s="32" t="n">
        <v>14145.78</v>
      </c>
      <c r="I73" s="32" t="n">
        <v>3662.8</v>
      </c>
      <c r="J73" s="32" t="n">
        <v>1.15</v>
      </c>
      <c r="K73" s="32" t="n">
        <v>46115</v>
      </c>
      <c r="L73" s="31" t="n">
        <v>65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66.06999999999999</v>
      </c>
      <c r="P73" s="32" t="n">
        <v>25.02</v>
      </c>
      <c r="Q73" s="32" t="n">
        <v>3024.31</v>
      </c>
      <c r="R73" s="31" t="inlineStr">
        <is>
          <t>Near 52W High Breakout</t>
        </is>
      </c>
      <c r="S73" s="31" t="inlineStr">
        <is>
          <t>Nifty 50</t>
        </is>
      </c>
      <c r="T73" s="32" t="n">
        <v>-3.75</v>
      </c>
      <c r="U73" s="32" t="n">
        <v>51.77</v>
      </c>
      <c r="V73" s="32" t="n">
        <v>57.69</v>
      </c>
      <c r="W73" s="32" t="n">
        <v>14.32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IF(B74=0,"",RANK(B74,$B$2:$B$372,0))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DIFFNKG</t>
        </is>
      </c>
      <c r="D74" s="31" t="inlineStr">
        <is>
          <t>Diffusion Engineers Ltd</t>
        </is>
      </c>
      <c r="E74" s="31" t="inlineStr">
        <is>
          <t>industrials</t>
        </is>
      </c>
      <c r="F74" s="31" t="inlineStr">
        <is>
          <t>electrodes - welding equipment</t>
        </is>
      </c>
      <c r="G74" s="31" t="inlineStr">
        <is>
          <t>smallcap</t>
        </is>
      </c>
      <c r="H74" s="32" t="n">
        <v>1497.8</v>
      </c>
      <c r="I74" s="32" t="n">
        <v>403.1</v>
      </c>
      <c r="J74" s="32" t="n">
        <v>0.72</v>
      </c>
      <c r="K74" s="32" t="n">
        <v>50987</v>
      </c>
      <c r="L74" s="31" t="n">
        <v>68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69.03</v>
      </c>
      <c r="P74" s="32" t="n">
        <v>22.9</v>
      </c>
      <c r="Q74" s="32" t="n">
        <v>312.22</v>
      </c>
      <c r="R74" s="31" t="inlineStr">
        <is>
          <t>Near 52W High Breakout</t>
        </is>
      </c>
      <c r="S74" s="31" t="inlineStr">
        <is>
          <t>Nifty 50</t>
        </is>
      </c>
      <c r="T74" s="32" t="n">
        <v>-3.75</v>
      </c>
      <c r="U74" s="32" t="n">
        <v>25.89</v>
      </c>
      <c r="V74" s="32" t="n">
        <v>30.79</v>
      </c>
      <c r="W74" s="32" t="n">
        <v>15.42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IF(B75=0,"",RANK(B75,$B$2:$B$372,0))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JAMNAAUTO</t>
        </is>
      </c>
      <c r="D75" s="31" t="inlineStr">
        <is>
          <t>Jamna Auto Industries Limited</t>
        </is>
      </c>
      <c r="E75" s="31" t="inlineStr">
        <is>
          <t>auto</t>
        </is>
      </c>
      <c r="F75" s="31" t="inlineStr">
        <is>
          <t>auto ancillaries</t>
        </is>
      </c>
      <c r="G75" s="31" t="inlineStr">
        <is>
          <t>midcap</t>
        </is>
      </c>
      <c r="H75" s="32" t="n">
        <v>5440.87</v>
      </c>
      <c r="I75" s="32" t="n">
        <v>136.56</v>
      </c>
      <c r="J75" s="32" t="n">
        <v>0.32</v>
      </c>
      <c r="K75" s="32" t="n">
        <v>968032</v>
      </c>
      <c r="L75" s="31" t="n">
        <v>52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58.05</v>
      </c>
      <c r="P75" s="32" t="n">
        <v>20.45</v>
      </c>
      <c r="Q75" s="32" t="n">
        <v>104.74</v>
      </c>
      <c r="R75" s="31" t="inlineStr">
        <is>
          <t>Earnings / Momentum Support</t>
        </is>
      </c>
      <c r="S75" s="31" t="inlineStr">
        <is>
          <t>Nifty Auto</t>
        </is>
      </c>
      <c r="T75" s="32" t="n">
        <v>14.33</v>
      </c>
      <c r="U75" s="32" t="n">
        <v>47.45</v>
      </c>
      <c r="V75" s="32" t="n">
        <v>28.97</v>
      </c>
      <c r="W75" s="32" t="n">
        <v>10.67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IF(B76=0,"",RANK(B76,$B$2:$B$372,0))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PSPPROJECT</t>
        </is>
      </c>
      <c r="D76" s="31" t="inlineStr">
        <is>
          <t>PSP Projects Ltd</t>
        </is>
      </c>
      <c r="E76" s="31" t="inlineStr">
        <is>
          <t>realty</t>
        </is>
      </c>
      <c r="F76" s="31" t="inlineStr">
        <is>
          <t>construction</t>
        </is>
      </c>
      <c r="G76" s="31" t="inlineStr">
        <is>
          <t>smallcap</t>
        </is>
      </c>
      <c r="H76" s="32" t="n">
        <v>4240.48</v>
      </c>
      <c r="I76" s="32" t="n">
        <v>1070.4</v>
      </c>
      <c r="J76" s="32" t="n">
        <v>0.07000000000000001</v>
      </c>
      <c r="K76" s="32" t="n">
        <v>56070</v>
      </c>
      <c r="L76" s="31" t="n">
        <v>79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72.68000000000001</v>
      </c>
      <c r="P76" s="32" t="n">
        <v>25.76</v>
      </c>
      <c r="Q76" s="32" t="n">
        <v>816.6</v>
      </c>
      <c r="R76" s="31" t="inlineStr">
        <is>
          <t>Volume Spike &amp; Near 52W High Breakout</t>
        </is>
      </c>
      <c r="S76" s="31" t="inlineStr">
        <is>
          <t>Nifty Realty</t>
        </is>
      </c>
      <c r="T76" s="32" t="n">
        <v>-2.52</v>
      </c>
      <c r="U76" s="32" t="n">
        <v>41.06</v>
      </c>
      <c r="V76" s="32" t="n">
        <v>44.71</v>
      </c>
      <c r="W76" s="32" t="n">
        <v>20.3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IF(B77=0,"",RANK(B77,$B$2:$B$372,0))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SIGNPOST</t>
        </is>
      </c>
      <c r="D77" s="31" t="inlineStr">
        <is>
          <t>Signpost India Ltd</t>
        </is>
      </c>
      <c r="E77" s="31" t="inlineStr">
        <is>
          <t>miscellaneous</t>
        </is>
      </c>
      <c r="F77" s="31" t="inlineStr">
        <is>
          <t>miscellaneous</t>
        </is>
      </c>
      <c r="G77" s="31" t="inlineStr">
        <is>
          <t>smallcap</t>
        </is>
      </c>
      <c r="H77" s="32" t="n">
        <v>1710.93</v>
      </c>
      <c r="I77" s="32" t="n">
        <v>317.6</v>
      </c>
      <c r="J77" s="32" t="n">
        <v>-0.78</v>
      </c>
      <c r="K77" s="32" t="n">
        <v>289985</v>
      </c>
      <c r="L77" s="31" t="n">
        <v>54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65.78</v>
      </c>
      <c r="P77" s="32" t="n">
        <v>30.37</v>
      </c>
      <c r="Q77" s="32" t="n">
        <v>219.03</v>
      </c>
      <c r="R77" s="31" t="inlineStr">
        <is>
          <t>Near 52W High Breakout</t>
        </is>
      </c>
      <c r="S77" s="31" t="inlineStr">
        <is>
          <t>Nifty 50</t>
        </is>
      </c>
      <c r="T77" s="32" t="n">
        <v>-3.75</v>
      </c>
      <c r="U77" s="32" t="n">
        <v>21.03</v>
      </c>
      <c r="V77" s="32" t="n">
        <v>25.75</v>
      </c>
      <c r="W77" s="32" t="n">
        <v>11.44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Less than 50%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IF(B78=0,"",RANK(B78,$B$2:$B$372,0))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MINDACORP</t>
        </is>
      </c>
      <c r="D78" s="31" t="inlineStr">
        <is>
          <t>Minda Corporation Limited</t>
        </is>
      </c>
      <c r="E78" s="31" t="inlineStr">
        <is>
          <t>auto</t>
        </is>
      </c>
      <c r="F78" s="31" t="inlineStr">
        <is>
          <t>auto ancillaries</t>
        </is>
      </c>
      <c r="G78" s="31" t="inlineStr">
        <is>
          <t>midcap</t>
        </is>
      </c>
      <c r="H78" s="32" t="n">
        <v>16865.86</v>
      </c>
      <c r="I78" s="32" t="n">
        <v>698.9</v>
      </c>
      <c r="J78" s="32" t="n">
        <v>-0.93</v>
      </c>
      <c r="K78" s="32" t="n">
        <v>319765</v>
      </c>
      <c r="L78" s="31" t="n">
        <v>68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70.63</v>
      </c>
      <c r="P78" s="32" t="n">
        <v>23.85</v>
      </c>
      <c r="Q78" s="32" t="n">
        <v>574.25</v>
      </c>
      <c r="R78" s="31" t="inlineStr">
        <is>
          <t>Near 52W High Breakout</t>
        </is>
      </c>
      <c r="S78" s="31" t="inlineStr">
        <is>
          <t>Nifty Auto</t>
        </is>
      </c>
      <c r="T78" s="32" t="n">
        <v>14.33</v>
      </c>
      <c r="U78" s="32" t="n">
        <v>39.25</v>
      </c>
      <c r="V78" s="32" t="n">
        <v>21.79</v>
      </c>
      <c r="W78" s="32" t="n">
        <v>15.24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IF(B79=0,"",RANK(B79,$B$2:$B$372,0))</f>
        <v/>
      </c>
      <c r="B79" s="32">
        <f>SUM(N79,Y79,AA79,AC79,AE79,AG79,AI79,AK79,AM79,AO79,AQ79,AS79,AU79,AW79,AY79,BA79,BC79,BE79,BG79,BI79,BK79,BM79,BO79,BQ79,BS79,BU79,BW79,BY79,CA79,CC79,CE79)</f>
        <v/>
      </c>
      <c r="C79" s="33" t="inlineStr">
        <is>
          <t>WSTCSTPAPR</t>
        </is>
      </c>
      <c r="D79" s="33" t="inlineStr">
        <is>
          <t>West Coast Paper Mills Limited</t>
        </is>
      </c>
      <c r="E79" s="31" t="inlineStr">
        <is>
          <t>building materials</t>
        </is>
      </c>
      <c r="F79" s="31" t="inlineStr">
        <is>
          <t>paper</t>
        </is>
      </c>
      <c r="G79" s="31" t="inlineStr">
        <is>
          <t>smallcap</t>
        </is>
      </c>
      <c r="H79" s="32" t="n">
        <v>3615.85</v>
      </c>
      <c r="I79" s="32" t="n">
        <v>538.2</v>
      </c>
      <c r="J79" s="32" t="n">
        <v>-1.69</v>
      </c>
      <c r="K79" s="32" t="n">
        <v>103690</v>
      </c>
      <c r="L79" s="31" t="n">
        <v>22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62.07</v>
      </c>
      <c r="P79" s="32" t="n">
        <v>35.63</v>
      </c>
      <c r="Q79" s="32" t="n">
        <v>416.76</v>
      </c>
      <c r="R79" s="31" t="inlineStr">
        <is>
          <t>Volume Spike &amp; Near 52W High Breakout</t>
        </is>
      </c>
      <c r="S79" s="31" t="inlineStr">
        <is>
          <t>Nifty Infra</t>
        </is>
      </c>
      <c r="T79" s="32" t="n">
        <v>1.87</v>
      </c>
      <c r="U79" s="32" t="n">
        <v>1.58</v>
      </c>
      <c r="V79" s="32" t="n">
        <v>-0.28</v>
      </c>
      <c r="W79" s="32" t="n">
        <v>4.55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Between 12 to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IF(B80=0,"",RANK(B80,$B$2:$B$372,0))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BORORENEW</t>
        </is>
      </c>
      <c r="D80" s="31" t="inlineStr">
        <is>
          <t>Borosil Renewables Ltd</t>
        </is>
      </c>
      <c r="E80" s="31" t="inlineStr">
        <is>
          <t>building materials</t>
        </is>
      </c>
      <c r="F80" s="31" t="inlineStr">
        <is>
          <t>glass &amp; glass products</t>
        </is>
      </c>
      <c r="G80" s="31" t="inlineStr">
        <is>
          <t>midcap</t>
        </is>
      </c>
      <c r="H80" s="32" t="n">
        <v>9135.41</v>
      </c>
      <c r="I80" s="32" t="n">
        <v>640.55</v>
      </c>
      <c r="J80" s="32" t="n">
        <v>-1.7</v>
      </c>
      <c r="K80" s="32" t="n">
        <v>1017467</v>
      </c>
      <c r="L80" s="31" t="n">
        <v>56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66.5</v>
      </c>
      <c r="P80" s="32" t="n">
        <v>23.54</v>
      </c>
      <c r="Q80" s="32" t="n">
        <v>492.69</v>
      </c>
      <c r="R80" s="31" t="inlineStr">
        <is>
          <t>Volume Spike &amp; Near 52W High Breakout</t>
        </is>
      </c>
      <c r="S80" s="31" t="inlineStr">
        <is>
          <t>Nifty Infra</t>
        </is>
      </c>
      <c r="T80" s="32" t="n">
        <v>1.87</v>
      </c>
      <c r="U80" s="32" t="n">
        <v>14.81</v>
      </c>
      <c r="V80" s="32" t="n">
        <v>12.71</v>
      </c>
      <c r="W80" s="32" t="n">
        <v>12.11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IF(B81=0,"",RANK(B81,$B$2:$B$372,0))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ZYDUSWELL</t>
        </is>
      </c>
      <c r="D81" s="31" t="inlineStr">
        <is>
          <t>Zydus Wellness Limited</t>
        </is>
      </c>
      <c r="E81" s="31" t="inlineStr">
        <is>
          <t>fmcg</t>
        </is>
      </c>
      <c r="F81" s="31" t="inlineStr">
        <is>
          <t>food - processing - indian</t>
        </is>
      </c>
      <c r="G81" s="31" t="inlineStr">
        <is>
          <t>midcap</t>
        </is>
      </c>
      <c r="H81" s="32" t="n">
        <v>18182.89</v>
      </c>
      <c r="I81" s="32" t="n">
        <v>592.45</v>
      </c>
      <c r="J81" s="32" t="n">
        <v>3.67</v>
      </c>
      <c r="K81" s="32" t="n">
        <v>557390</v>
      </c>
      <c r="L81" s="31" t="n">
        <v>57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73.2</v>
      </c>
      <c r="P81" s="32" t="n">
        <v>49.29</v>
      </c>
      <c r="Q81" s="32" t="n">
        <v>470.15</v>
      </c>
      <c r="R81" s="31" t="inlineStr">
        <is>
          <t>Near 52W High Breakout</t>
        </is>
      </c>
      <c r="S81" s="31" t="inlineStr">
        <is>
          <t>Nifty FMCG</t>
        </is>
      </c>
      <c r="T81" s="32" t="n">
        <v>-11.8</v>
      </c>
      <c r="U81" s="32" t="n">
        <v>46.71</v>
      </c>
      <c r="V81" s="32" t="n">
        <v>66.34999999999999</v>
      </c>
      <c r="W81" s="32" t="n">
        <v>12.5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B2C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Less than 12%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Less than 50%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IF(B82=0,"",RANK(B82,$B$2:$B$372,0))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PIXTRANS</t>
        </is>
      </c>
      <c r="D82" s="31" t="inlineStr">
        <is>
          <t>Pix Transmission Ltd</t>
        </is>
      </c>
      <c r="E82" s="31" t="inlineStr">
        <is>
          <t>fmcg</t>
        </is>
      </c>
      <c r="F82" s="31" t="inlineStr">
        <is>
          <t>miscellaneous</t>
        </is>
      </c>
      <c r="G82" s="31" t="inlineStr">
        <is>
          <t>smallcap</t>
        </is>
      </c>
      <c r="H82" s="32" t="n">
        <v>2428.42</v>
      </c>
      <c r="I82" s="32" t="n">
        <v>1820</v>
      </c>
      <c r="J82" s="32" t="n">
        <v>2.12</v>
      </c>
      <c r="K82" s="32" t="n">
        <v>27303</v>
      </c>
      <c r="L82" s="31" t="n">
        <v>47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72.06</v>
      </c>
      <c r="P82" s="32" t="n">
        <v>35.36</v>
      </c>
      <c r="Q82" s="32" t="n">
        <v>1473</v>
      </c>
      <c r="R82" s="31" t="inlineStr">
        <is>
          <t>Near 52W High Breakout</t>
        </is>
      </c>
      <c r="S82" s="31" t="inlineStr">
        <is>
          <t>Nifty FMCG</t>
        </is>
      </c>
      <c r="T82" s="32" t="n">
        <v>-11.8</v>
      </c>
      <c r="U82" s="32" t="n">
        <v>18.66</v>
      </c>
      <c r="V82" s="32" t="n">
        <v>34.55</v>
      </c>
      <c r="W82" s="32" t="n">
        <v>9.300000000000001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B2C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IF(B83=0,"",RANK(B83,$B$2:$B$372,0))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LAURUSLABS</t>
        </is>
      </c>
      <c r="D83" s="31" t="inlineStr">
        <is>
          <t>Laurus Labs Limited</t>
        </is>
      </c>
      <c r="E83" s="31" t="inlineStr">
        <is>
          <t>healthcare</t>
        </is>
      </c>
      <c r="F83" s="31" t="inlineStr">
        <is>
          <t>pharmaceuticals - indian - bulk drugs &amp; formln</t>
        </is>
      </c>
      <c r="G83" s="31" t="inlineStr">
        <is>
          <t>largecap</t>
        </is>
      </c>
      <c r="H83" s="32" t="n">
        <v>81377.98</v>
      </c>
      <c r="I83" s="32" t="n">
        <v>1537.8</v>
      </c>
      <c r="J83" s="32" t="n">
        <v>2.02</v>
      </c>
      <c r="K83" s="32" t="n">
        <v>2041629</v>
      </c>
      <c r="L83" s="31" t="n">
        <v>82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78.48999999999999</v>
      </c>
      <c r="P83" s="32" t="n">
        <v>48.66</v>
      </c>
      <c r="Q83" s="32" t="n">
        <v>1303.37</v>
      </c>
      <c r="R83" s="31" t="inlineStr">
        <is>
          <t>Near 52W High Breakout</t>
        </is>
      </c>
      <c r="S83" s="31" t="inlineStr">
        <is>
          <t>Nifty Pharma</t>
        </is>
      </c>
      <c r="T83" s="32" t="n">
        <v>15.51</v>
      </c>
      <c r="U83" s="32" t="n">
        <v>94.95999999999999</v>
      </c>
      <c r="V83" s="32" t="n">
        <v>68.78</v>
      </c>
      <c r="W83" s="32" t="n">
        <v>23.26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Between 12 to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IF(B84=0,"",RANK(B84,$B$2:$B$372,0))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MANORAMA</t>
        </is>
      </c>
      <c r="D84" s="31" t="inlineStr">
        <is>
          <t>Manorama Industries Ltd</t>
        </is>
      </c>
      <c r="E84" s="31" t="inlineStr">
        <is>
          <t>fmcg</t>
        </is>
      </c>
      <c r="F84" s="31" t="inlineStr">
        <is>
          <t>food - processing - indian</t>
        </is>
      </c>
      <c r="G84" s="31" t="inlineStr">
        <is>
          <t>midcap</t>
        </is>
      </c>
      <c r="H84" s="32" t="n">
        <v>9429.17</v>
      </c>
      <c r="I84" s="32" t="n">
        <v>1603.4</v>
      </c>
      <c r="J84" s="32" t="n">
        <v>1.53</v>
      </c>
      <c r="K84" s="32" t="n">
        <v>180543</v>
      </c>
      <c r="L84" s="31" t="n">
        <v>38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61.1</v>
      </c>
      <c r="P84" s="32" t="n">
        <v>11.48</v>
      </c>
      <c r="Q84" s="32" t="n">
        <v>1220.06</v>
      </c>
      <c r="R84" s="31" t="inlineStr">
        <is>
          <t>Near 52W High Breakout</t>
        </is>
      </c>
      <c r="S84" s="31" t="inlineStr">
        <is>
          <t>Nifty FMCG</t>
        </is>
      </c>
      <c r="T84" s="32" t="n">
        <v>-11.8</v>
      </c>
      <c r="U84" s="32" t="n">
        <v>9.34</v>
      </c>
      <c r="V84" s="32" t="n">
        <v>23.98</v>
      </c>
      <c r="W84" s="32" t="n">
        <v>7.51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B2C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Between 50% to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IF(B85=0,"",RANK(B85,$B$2:$B$372,0))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SHILPAMED</t>
        </is>
      </c>
      <c r="D85" s="31" t="inlineStr">
        <is>
          <t>Shilpa Medicare Limited</t>
        </is>
      </c>
      <c r="E85" s="31" t="inlineStr">
        <is>
          <t>healthcare</t>
        </is>
      </c>
      <c r="F85" s="31" t="inlineStr">
        <is>
          <t>pharmaceuticals - indian - formulations</t>
        </is>
      </c>
      <c r="G85" s="31" t="inlineStr">
        <is>
          <t>midcap</t>
        </is>
      </c>
      <c r="H85" s="32" t="n">
        <v>12171.06</v>
      </c>
      <c r="I85" s="32" t="n">
        <v>627.15</v>
      </c>
      <c r="J85" s="32" t="n">
        <v>0.78</v>
      </c>
      <c r="K85" s="32" t="n">
        <v>614292</v>
      </c>
      <c r="L85" s="31" t="n">
        <v>79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85.39</v>
      </c>
      <c r="P85" s="32" t="n">
        <v>62.51</v>
      </c>
      <c r="Q85" s="32" t="n">
        <v>493.24</v>
      </c>
      <c r="R85" s="31" t="inlineStr">
        <is>
          <t>Near 52W High Breakout</t>
        </is>
      </c>
      <c r="S85" s="31" t="inlineStr">
        <is>
          <t>Nifty Pharma</t>
        </is>
      </c>
      <c r="T85" s="32" t="n">
        <v>15.51</v>
      </c>
      <c r="U85" s="32" t="n">
        <v>40.04</v>
      </c>
      <c r="V85" s="32" t="n">
        <v>21.23</v>
      </c>
      <c r="W85" s="32" t="n">
        <v>20.4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IF(B86=0,"",RANK(B86,$B$2:$B$372,0))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RATEGAIN</t>
        </is>
      </c>
      <c r="D86" s="31" t="inlineStr">
        <is>
          <t>Rategain Travel Technologies Ltd</t>
        </is>
      </c>
      <c r="E86" s="31" t="inlineStr">
        <is>
          <t>i.t</t>
        </is>
      </c>
      <c r="F86" s="31" t="inlineStr">
        <is>
          <t>computers - software - medium / small</t>
        </is>
      </c>
      <c r="G86" s="31" t="inlineStr">
        <is>
          <t>midcap</t>
        </is>
      </c>
      <c r="H86" s="32" t="n">
        <v>11128.23</v>
      </c>
      <c r="I86" s="32" t="n">
        <v>944.7</v>
      </c>
      <c r="J86" s="32" t="n">
        <v>0.31</v>
      </c>
      <c r="K86" s="32" t="n">
        <v>238215</v>
      </c>
      <c r="L86" s="31" t="n">
        <v>90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78.45999999999999</v>
      </c>
      <c r="P86" s="32" t="n">
        <v>30.63</v>
      </c>
      <c r="Q86" s="32" t="n">
        <v>738.51</v>
      </c>
      <c r="R86" s="31" t="inlineStr">
        <is>
          <t>Near 52W High Breakout</t>
        </is>
      </c>
      <c r="S86" s="31" t="inlineStr">
        <is>
          <t>Nifty IT</t>
        </is>
      </c>
      <c r="T86" s="32" t="n">
        <v>-25.69</v>
      </c>
      <c r="U86" s="32" t="n">
        <v>100.66</v>
      </c>
      <c r="V86" s="32" t="n">
        <v>170.02</v>
      </c>
      <c r="W86" s="32" t="n">
        <v>32.59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Between 50% to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IF(B87=0,"",RANK(B87,$B$2:$B$372,0))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SENORES</t>
        </is>
      </c>
      <c r="D87" s="31" t="inlineStr">
        <is>
          <t>Senores Pharmaceuticals Ltd</t>
        </is>
      </c>
      <c r="E87" s="31" t="inlineStr">
        <is>
          <t>healthcare</t>
        </is>
      </c>
      <c r="F87" s="31" t="inlineStr">
        <is>
          <t>pharmaceuticals - indian - formulations</t>
        </is>
      </c>
      <c r="G87" s="31" t="inlineStr">
        <is>
          <t>midcap</t>
        </is>
      </c>
      <c r="H87" s="32" t="n">
        <v>6538.23</v>
      </c>
      <c r="I87" s="32" t="n">
        <v>1417.8</v>
      </c>
      <c r="J87" s="32" t="n">
        <v>-0.13</v>
      </c>
      <c r="K87" s="32" t="n">
        <v>194925</v>
      </c>
      <c r="L87" s="31" t="n">
        <v>92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78.20999999999999</v>
      </c>
      <c r="P87" s="32" t="n">
        <v>57.36</v>
      </c>
      <c r="Q87" s="32" t="n">
        <v>1096.27</v>
      </c>
      <c r="R87" s="31" t="inlineStr">
        <is>
          <t>Near 52W High Breakout</t>
        </is>
      </c>
      <c r="S87" s="31" t="inlineStr">
        <is>
          <t>Nifty Pharma</t>
        </is>
      </c>
      <c r="T87" s="32" t="n">
        <v>15.51</v>
      </c>
      <c r="U87" s="32" t="n">
        <v>131.86</v>
      </c>
      <c r="V87" s="32" t="n">
        <v>100.72</v>
      </c>
      <c r="W87" s="32" t="n">
        <v>35.4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Less than 50%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IF(B88=0,"",RANK(B88,$B$2:$B$372,0))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NEULANDLAB</t>
        </is>
      </c>
      <c r="D88" s="31" t="inlineStr">
        <is>
          <t>Neuland Laboratories Limited</t>
        </is>
      </c>
      <c r="E88" s="31" t="inlineStr">
        <is>
          <t>healthcare</t>
        </is>
      </c>
      <c r="F88" s="31" t="inlineStr">
        <is>
          <t>pharmaceuticals - indian - bulk drugs</t>
        </is>
      </c>
      <c r="G88" s="31" t="inlineStr">
        <is>
          <t>largecap</t>
        </is>
      </c>
      <c r="H88" s="32" t="n">
        <v>25072.17</v>
      </c>
      <c r="I88" s="32" t="n">
        <v>19506</v>
      </c>
      <c r="J88" s="32" t="n">
        <v>-0.18</v>
      </c>
      <c r="K88" s="32" t="n">
        <v>24864</v>
      </c>
      <c r="L88" s="31" t="n">
        <v>73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71.06</v>
      </c>
      <c r="P88" s="32" t="n">
        <v>38.43</v>
      </c>
      <c r="Q88" s="32" t="n">
        <v>15565.86</v>
      </c>
      <c r="R88" s="31" t="inlineStr">
        <is>
          <t>Near 52W High Breakout</t>
        </is>
      </c>
      <c r="S88" s="31" t="inlineStr">
        <is>
          <t>Nifty Pharma</t>
        </is>
      </c>
      <c r="T88" s="32" t="n">
        <v>15.51</v>
      </c>
      <c r="U88" s="32" t="n">
        <v>58.7</v>
      </c>
      <c r="V88" s="32" t="n">
        <v>37.39</v>
      </c>
      <c r="W88" s="32" t="n">
        <v>17.09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IF(B89=0,"",RANK(B89,$B$2:$B$372,0))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LUPIN</t>
        </is>
      </c>
      <c r="D89" s="31" t="inlineStr">
        <is>
          <t>Lupin Limited</t>
        </is>
      </c>
      <c r="E89" s="31" t="inlineStr">
        <is>
          <t>healthcare</t>
        </is>
      </c>
      <c r="F89" s="31" t="inlineStr">
        <is>
          <t>pharmaceuticals - indian - bulk drugs &amp; formln</t>
        </is>
      </c>
      <c r="G89" s="31" t="inlineStr">
        <is>
          <t>largecap</t>
        </is>
      </c>
      <c r="H89" s="32" t="n">
        <v>114445.65</v>
      </c>
      <c r="I89" s="32" t="n">
        <v>2496.3</v>
      </c>
      <c r="J89" s="32" t="n">
        <v>-0.28</v>
      </c>
      <c r="K89" s="32" t="n">
        <v>568432</v>
      </c>
      <c r="L89" s="31" t="n">
        <v>37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71.19</v>
      </c>
      <c r="P89" s="32" t="n">
        <v>13.58</v>
      </c>
      <c r="Q89" s="32" t="n">
        <v>2200.16</v>
      </c>
      <c r="R89" s="31" t="inlineStr">
        <is>
          <t>Near 52W High Breakout</t>
        </is>
      </c>
      <c r="S89" s="31" t="inlineStr">
        <is>
          <t>Nifty Pharma</t>
        </is>
      </c>
      <c r="T89" s="32" t="n">
        <v>15.51</v>
      </c>
      <c r="U89" s="32" t="n">
        <v>32.57</v>
      </c>
      <c r="V89" s="32" t="n">
        <v>14.77</v>
      </c>
      <c r="W89" s="32" t="n">
        <v>7.26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IF(B90=0,"",RANK(B90,$B$2:$B$372,0))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NGLFINE</t>
        </is>
      </c>
      <c r="D90" s="31" t="inlineStr">
        <is>
          <t>NGL Fine Chem Ltd</t>
        </is>
      </c>
      <c r="E90" s="31" t="inlineStr">
        <is>
          <t>healthcare</t>
        </is>
      </c>
      <c r="F90" s="31" t="inlineStr">
        <is>
          <t>pharmaceuticals - indian - bulk drugs</t>
        </is>
      </c>
      <c r="G90" s="31" t="inlineStr">
        <is>
          <t>smallcap</t>
        </is>
      </c>
      <c r="H90" s="32" t="n">
        <v>1983.95</v>
      </c>
      <c r="I90" s="32" t="n">
        <v>3193.6</v>
      </c>
      <c r="J90" s="32" t="n">
        <v>-0.55</v>
      </c>
      <c r="K90" s="32" t="n">
        <v>5500</v>
      </c>
      <c r="L90" s="31" t="n">
        <v>89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78.66</v>
      </c>
      <c r="P90" s="32" t="n">
        <v>67.73999999999999</v>
      </c>
      <c r="Q90" s="32" t="n">
        <v>2190.72</v>
      </c>
      <c r="R90" s="31" t="inlineStr">
        <is>
          <t>Near 52W High Breakout</t>
        </is>
      </c>
      <c r="S90" s="31" t="inlineStr">
        <is>
          <t>Nifty Pharma</t>
        </is>
      </c>
      <c r="T90" s="32" t="n">
        <v>15.51</v>
      </c>
      <c r="U90" s="32" t="n">
        <v>145.47</v>
      </c>
      <c r="V90" s="32" t="n">
        <v>112.5</v>
      </c>
      <c r="W90" s="32" t="n">
        <v>29.75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Between 50% to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IF(B91=0,"",RANK(B91,$B$2:$B$372,0))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DIAMONDYD</t>
        </is>
      </c>
      <c r="D91" s="31" t="inlineStr">
        <is>
          <t>Prataap Snacks Ltd</t>
        </is>
      </c>
      <c r="E91" s="31" t="inlineStr">
        <is>
          <t>fmcg</t>
        </is>
      </c>
      <c r="F91" s="31" t="inlineStr">
        <is>
          <t>food - processing - indian</t>
        </is>
      </c>
      <c r="G91" s="31" t="inlineStr">
        <is>
          <t>smallcap</t>
        </is>
      </c>
      <c r="H91" s="32" t="n">
        <v>2864.36</v>
      </c>
      <c r="I91" s="32" t="n">
        <v>1191.5</v>
      </c>
      <c r="J91" s="32" t="n">
        <v>-0.57</v>
      </c>
      <c r="K91" s="32" t="n">
        <v>27468</v>
      </c>
      <c r="L91" s="31" t="n">
        <v>35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63.77</v>
      </c>
      <c r="P91" s="32" t="n">
        <v>22.07</v>
      </c>
      <c r="Q91" s="32" t="n">
        <v>967.65</v>
      </c>
      <c r="R91" s="31" t="inlineStr">
        <is>
          <t>Near 52W High Breakout</t>
        </is>
      </c>
      <c r="S91" s="31" t="inlineStr">
        <is>
          <t>Nifty FMCG</t>
        </is>
      </c>
      <c r="T91" s="32" t="n">
        <v>-11.8</v>
      </c>
      <c r="U91" s="32" t="n">
        <v>11.27</v>
      </c>
      <c r="V91" s="32" t="n">
        <v>26.17</v>
      </c>
      <c r="W91" s="32" t="n">
        <v>6.9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B2C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Between 50% to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IF(B92=0,"",RANK(B92,$B$2:$B$372,0))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ACUTAAS</t>
        </is>
      </c>
      <c r="D92" s="31" t="inlineStr">
        <is>
          <t>Acutaas Chemicals Ltd</t>
        </is>
      </c>
      <c r="E92" s="31" t="inlineStr">
        <is>
          <t>healthcare</t>
        </is>
      </c>
      <c r="F92" s="31" t="inlineStr">
        <is>
          <t>pharmaceuticals - indian - bulk drugs</t>
        </is>
      </c>
      <c r="G92" s="31" t="inlineStr">
        <is>
          <t>largecap</t>
        </is>
      </c>
      <c r="H92" s="32" t="n">
        <v>28317.58</v>
      </c>
      <c r="I92" s="32" t="n">
        <v>3400.8</v>
      </c>
      <c r="J92" s="32" t="n">
        <v>-1.68</v>
      </c>
      <c r="K92" s="32" t="n">
        <v>310328</v>
      </c>
      <c r="L92" s="31" t="n">
        <v>91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68.47</v>
      </c>
      <c r="P92" s="32" t="n">
        <v>66.61</v>
      </c>
      <c r="Q92" s="32" t="n">
        <v>2875.04</v>
      </c>
      <c r="R92" s="31" t="inlineStr">
        <is>
          <t>Earnings / Momentum Support</t>
        </is>
      </c>
      <c r="S92" s="31" t="inlineStr">
        <is>
          <t>Nifty Pharma</t>
        </is>
      </c>
      <c r="T92" s="32" t="n">
        <v>15.51</v>
      </c>
      <c r="U92" s="32" t="n">
        <v>196.95</v>
      </c>
      <c r="V92" s="32" t="n">
        <v>157.07</v>
      </c>
      <c r="W92" s="32" t="n">
        <v>34.22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Between 50% to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IF(B93=0,"",RANK(B93,$B$2:$B$372,0))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ORCHPHARMA</t>
        </is>
      </c>
      <c r="D93" s="31" t="inlineStr">
        <is>
          <t>Orchid Pharma Ltd</t>
        </is>
      </c>
      <c r="E93" s="31" t="inlineStr">
        <is>
          <t>healthcare</t>
        </is>
      </c>
      <c r="F93" s="31" t="inlineStr">
        <is>
          <t>pharmaceuticals - indian - bulk drugs &amp; formln</t>
        </is>
      </c>
      <c r="G93" s="31" t="inlineStr">
        <is>
          <t>midcap</t>
        </is>
      </c>
      <c r="H93" s="32" t="n">
        <v>5330.32</v>
      </c>
      <c r="I93" s="32" t="n">
        <v>1012.55</v>
      </c>
      <c r="J93" s="32" t="n">
        <v>-3.65</v>
      </c>
      <c r="K93" s="32" t="n">
        <v>288100</v>
      </c>
      <c r="L93" s="31" t="n">
        <v>87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74.59</v>
      </c>
      <c r="P93" s="32" t="n">
        <v>37.15</v>
      </c>
      <c r="Q93" s="32" t="n">
        <v>749.62</v>
      </c>
      <c r="R93" s="31" t="inlineStr">
        <is>
          <t>Volume Spike &amp; Near 52W High Breakout</t>
        </is>
      </c>
      <c r="S93" s="31" t="inlineStr">
        <is>
          <t>Nifty Pharma</t>
        </is>
      </c>
      <c r="T93" s="32" t="n">
        <v>15.51</v>
      </c>
      <c r="U93" s="32" t="n">
        <v>40.96</v>
      </c>
      <c r="V93" s="32" t="n">
        <v>22.03</v>
      </c>
      <c r="W93" s="32" t="n">
        <v>28.13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IF(B94=0,"",RANK(B94,$B$2:$B$372,0))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SPARC</t>
        </is>
      </c>
      <c r="D94" s="31" t="inlineStr">
        <is>
          <t>Sun Pharma Advanced Research Company Limited</t>
        </is>
      </c>
      <c r="E94" s="31" t="inlineStr">
        <is>
          <t>healthcare</t>
        </is>
      </c>
      <c r="F94" s="31" t="inlineStr">
        <is>
          <t>miscellaneous</t>
        </is>
      </c>
      <c r="G94" s="31" t="inlineStr">
        <is>
          <t>midcap</t>
        </is>
      </c>
      <c r="H94" s="32" t="n">
        <v>9007.75</v>
      </c>
      <c r="I94" s="32" t="n">
        <v>264.6</v>
      </c>
      <c r="J94" s="32" t="n">
        <v>-4.67</v>
      </c>
      <c r="K94" s="32" t="n">
        <v>2946486</v>
      </c>
      <c r="L94" s="31" t="n">
        <v>89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78.27</v>
      </c>
      <c r="P94" s="32" t="n">
        <v>61.89</v>
      </c>
      <c r="Q94" s="32" t="n">
        <v>188.78</v>
      </c>
      <c r="R94" s="31" t="inlineStr">
        <is>
          <t>Near 52W High Breakout</t>
        </is>
      </c>
      <c r="S94" s="31" t="inlineStr">
        <is>
          <t>Nifty Pharma</t>
        </is>
      </c>
      <c r="T94" s="32" t="n">
        <v>15.51</v>
      </c>
      <c r="U94" s="32" t="n">
        <v>66.06</v>
      </c>
      <c r="V94" s="32" t="n">
        <v>43.76</v>
      </c>
      <c r="W94" s="32" t="n">
        <v>30.34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Negative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IF(B95=0,"",RANK(B95,$B$2:$B$372,0))</f>
        <v/>
      </c>
      <c r="B95" s="32">
        <f>SUM(N95,Y95,AA95,AC95,AE95,AG95,AI95,AK95,AM95,AO95,AQ95,AS95,AU95,AW95,AY95,BA95,BC95,BE95,BG95,BI95,BK95,BM95,BO95,BQ95,BS95,BU95,BW95,BY95,CA95,CC95,CE95)</f>
        <v/>
      </c>
      <c r="C95" s="33" t="inlineStr">
        <is>
          <t>VISAKAIND</t>
        </is>
      </c>
      <c r="D95" s="33" t="inlineStr">
        <is>
          <t>Visaka Industries Limited</t>
        </is>
      </c>
      <c r="E95" s="31" t="inlineStr">
        <is>
          <t>building materials</t>
        </is>
      </c>
      <c r="F95" s="31" t="inlineStr">
        <is>
          <t>cement products</t>
        </is>
      </c>
      <c r="G95" s="31" t="inlineStr">
        <is>
          <t>smallcap</t>
        </is>
      </c>
      <c r="H95" s="32" t="n">
        <v>670.9299999999999</v>
      </c>
      <c r="I95" s="32" t="n">
        <v>81.92</v>
      </c>
      <c r="J95" s="32" t="n">
        <v>5.5</v>
      </c>
      <c r="K95" s="32" t="n">
        <v>209142</v>
      </c>
      <c r="L95" s="31" t="n">
        <v>28</v>
      </c>
      <c r="M95" s="31" t="inlineStr">
        <is>
          <t>Underperforming</t>
        </is>
      </c>
      <c r="N95" s="32">
        <f>IF(M95="Underperforming",-5,IF(L95&gt;=95,15,IF(L95&gt;=90,10,IF(L95&gt;=80,5,0))))</f>
        <v/>
      </c>
      <c r="O95" s="32" t="n">
        <v>68.86</v>
      </c>
      <c r="P95" s="32" t="n">
        <v>24.04</v>
      </c>
      <c r="Q95" s="32" t="n">
        <v>64.25</v>
      </c>
      <c r="R95" s="31" t="inlineStr">
        <is>
          <t>Volume Spike / Accumulation</t>
        </is>
      </c>
      <c r="S95" s="31" t="inlineStr">
        <is>
          <t>Nifty Infra</t>
        </is>
      </c>
      <c r="T95" s="32" t="n">
        <v>1.87</v>
      </c>
      <c r="U95" s="32" t="n">
        <v>-5.91</v>
      </c>
      <c r="V95" s="32" t="n">
        <v>-7.63</v>
      </c>
      <c r="W95" s="32" t="n">
        <v>5.66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IF(B96=0,"",RANK(B96,$B$2:$B$372,0))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KANORICHEM</t>
        </is>
      </c>
      <c r="D96" s="31" t="inlineStr">
        <is>
          <t>Kanoria Chemicals &amp; Industries Limited</t>
        </is>
      </c>
      <c r="E96" s="31" t="inlineStr">
        <is>
          <t>chemicals</t>
        </is>
      </c>
      <c r="F96" s="31" t="inlineStr">
        <is>
          <t>chemicals</t>
        </is>
      </c>
      <c r="G96" s="31" t="inlineStr">
        <is>
          <t>smallcap</t>
        </is>
      </c>
      <c r="H96" s="32" t="n">
        <v>568.0599999999999</v>
      </c>
      <c r="I96" s="32" t="n">
        <v>136.51</v>
      </c>
      <c r="J96" s="32" t="n">
        <v>5</v>
      </c>
      <c r="K96" s="32" t="n">
        <v>83546</v>
      </c>
      <c r="L96" s="31" t="n">
        <v>89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76.63</v>
      </c>
      <c r="P96" s="32" t="n">
        <v>38.32</v>
      </c>
      <c r="Q96" s="32" t="n">
        <v>101.09</v>
      </c>
      <c r="R96" s="31" t="inlineStr">
        <is>
          <t>Near 52W High Breakout</t>
        </is>
      </c>
      <c r="S96" s="31" t="inlineStr">
        <is>
          <t>Nifty 50</t>
        </is>
      </c>
      <c r="T96" s="32" t="n">
        <v>-3.75</v>
      </c>
      <c r="U96" s="32" t="n">
        <v>47.37</v>
      </c>
      <c r="V96" s="32" t="n">
        <v>53.12</v>
      </c>
      <c r="W96" s="32" t="n">
        <v>31.27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IF(B97=0,"",RANK(B97,$B$2:$B$372,0))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WABAG</t>
        </is>
      </c>
      <c r="D97" s="31" t="inlineStr">
        <is>
          <t>Va Tech Wabag Limited</t>
        </is>
      </c>
      <c r="E97" s="31" t="inlineStr">
        <is>
          <t>realty</t>
        </is>
      </c>
      <c r="F97" s="31" t="inlineStr">
        <is>
          <t>engineering - turnkey services</t>
        </is>
      </c>
      <c r="G97" s="31" t="inlineStr">
        <is>
          <t>midcap</t>
        </is>
      </c>
      <c r="H97" s="32" t="n">
        <v>13195.3</v>
      </c>
      <c r="I97" s="32" t="n">
        <v>2221.2</v>
      </c>
      <c r="J97" s="32" t="n">
        <v>4.89</v>
      </c>
      <c r="K97" s="32" t="n">
        <v>1382216</v>
      </c>
      <c r="L97" s="31" t="n">
        <v>84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80.5</v>
      </c>
      <c r="P97" s="32" t="n">
        <v>24.36</v>
      </c>
      <c r="Q97" s="32" t="n">
        <v>1762.83</v>
      </c>
      <c r="R97" s="31" t="inlineStr">
        <is>
          <t>Volume Spike &amp; Near 52W High Breakout</t>
        </is>
      </c>
      <c r="S97" s="31" t="inlineStr">
        <is>
          <t>Nifty Realty</t>
        </is>
      </c>
      <c r="T97" s="32" t="n">
        <v>-2.52</v>
      </c>
      <c r="U97" s="32" t="n">
        <v>50.21</v>
      </c>
      <c r="V97" s="32" t="n">
        <v>54.1</v>
      </c>
      <c r="W97" s="32" t="n">
        <v>24.26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Between 1.5 to 2</t>
        </is>
      </c>
      <c r="BU97" s="31">
        <f>IF(BT97="Above 2",0,IF(BT97="Between 1.5 to 2",5,IF(BT97="Less than 1.5",10,0)))</f>
        <v/>
      </c>
      <c r="BV97" s="31" t="inlineStr">
        <is>
          <t>Less than 50%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IF(B98=0,"",RANK(B98,$B$2:$B$372,0))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PARAS</t>
        </is>
      </c>
      <c r="D98" s="31" t="inlineStr">
        <is>
          <t>Paras Defence and Space Technologies Ltd</t>
        </is>
      </c>
      <c r="E98" s="31" t="inlineStr">
        <is>
          <t>aerospace &amp; defence</t>
        </is>
      </c>
      <c r="F98" s="31" t="inlineStr">
        <is>
          <t>engineering</t>
        </is>
      </c>
      <c r="G98" s="31" t="inlineStr">
        <is>
          <t>midcap</t>
        </is>
      </c>
      <c r="H98" s="32" t="n">
        <v>9805.870000000001</v>
      </c>
      <c r="I98" s="32" t="n">
        <v>1253.1</v>
      </c>
      <c r="J98" s="32" t="n">
        <v>2.98</v>
      </c>
      <c r="K98" s="32" t="n">
        <v>3217050</v>
      </c>
      <c r="L98" s="31" t="n">
        <v>89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67.55</v>
      </c>
      <c r="P98" s="32" t="n">
        <v>52.6</v>
      </c>
      <c r="Q98" s="32" t="n">
        <v>1011.38</v>
      </c>
      <c r="R98" s="31" t="inlineStr">
        <is>
          <t>Earnings / Momentum Support</t>
        </is>
      </c>
      <c r="S98" s="31" t="inlineStr">
        <is>
          <t>Nifty 50</t>
        </is>
      </c>
      <c r="T98" s="32" t="n">
        <v>-3.75</v>
      </c>
      <c r="U98" s="32" t="n">
        <v>54.21</v>
      </c>
      <c r="V98" s="32" t="n">
        <v>60.22</v>
      </c>
      <c r="W98" s="32" t="n">
        <v>30.22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Between 1.5 to 2</t>
        </is>
      </c>
      <c r="BU98" s="31">
        <f>IF(BT98="Above 2",0,IF(BT98="Between 1.5 to 2",5,IF(BT98="Less than 1.5",10,0)))</f>
        <v/>
      </c>
      <c r="BV98" s="31" t="inlineStr">
        <is>
          <t>Less than 50%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IF(B99=0,"",RANK(B99,$B$2:$B$372,0))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SFL</t>
        </is>
      </c>
      <c r="D99" s="31" t="inlineStr">
        <is>
          <t>Sheela Foam Limited</t>
        </is>
      </c>
      <c r="E99" s="31" t="inlineStr">
        <is>
          <t>consumer discretionary</t>
        </is>
      </c>
      <c r="F99" s="31" t="inlineStr">
        <is>
          <t>miscellaneous</t>
        </is>
      </c>
      <c r="G99" s="31" t="inlineStr">
        <is>
          <t>midcap</t>
        </is>
      </c>
      <c r="H99" s="32" t="n">
        <v>8180.49</v>
      </c>
      <c r="I99" s="32" t="n">
        <v>772</v>
      </c>
      <c r="J99" s="32" t="n">
        <v>2.59</v>
      </c>
      <c r="K99" s="32" t="n">
        <v>183623</v>
      </c>
      <c r="L99" s="31" t="n">
        <v>62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71.34999999999999</v>
      </c>
      <c r="P99" s="32" t="n">
        <v>25.91</v>
      </c>
      <c r="Q99" s="32" t="n">
        <v>605.67</v>
      </c>
      <c r="R99" s="31" t="inlineStr">
        <is>
          <t>Near 52W High Breakout</t>
        </is>
      </c>
      <c r="S99" s="31" t="inlineStr">
        <is>
          <t>Nifty 50</t>
        </is>
      </c>
      <c r="T99" s="32" t="n">
        <v>-3.75</v>
      </c>
      <c r="U99" s="32" t="n">
        <v>13.13</v>
      </c>
      <c r="V99" s="32" t="n">
        <v>17.54</v>
      </c>
      <c r="W99" s="32" t="n">
        <v>13.39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IF(B100=0,"",RANK(B100,$B$2:$B$372,0))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PREMIERENE</t>
        </is>
      </c>
      <c r="D100" s="31" t="inlineStr">
        <is>
          <t>Premier Energies Ltd</t>
        </is>
      </c>
      <c r="E100" s="31" t="inlineStr">
        <is>
          <t>services</t>
        </is>
      </c>
      <c r="F100" s="31" t="inlineStr">
        <is>
          <t>trading</t>
        </is>
      </c>
      <c r="G100" s="31" t="inlineStr">
        <is>
          <t>largecap</t>
        </is>
      </c>
      <c r="H100" s="32" t="n">
        <v>49340.15</v>
      </c>
      <c r="I100" s="32" t="n">
        <v>1117.2</v>
      </c>
      <c r="J100" s="32" t="n">
        <v>2.57</v>
      </c>
      <c r="K100" s="32" t="n">
        <v>2453790</v>
      </c>
      <c r="L100" s="31" t="n">
        <v>27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64.64</v>
      </c>
      <c r="P100" s="32" t="n">
        <v>20.64</v>
      </c>
      <c r="Q100" s="32" t="n">
        <v>889.6799999999999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-3.75</v>
      </c>
      <c r="U100" s="32" t="n">
        <v>1.25</v>
      </c>
      <c r="V100" s="32" t="n">
        <v>5.2</v>
      </c>
      <c r="W100" s="32" t="n">
        <v>5.6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Between 50% to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Between 0.7 to 1.2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IF(B101=0,"",RANK(B101,$B$2:$B$372,0))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PHOENIXLTD</t>
        </is>
      </c>
      <c r="D101" s="31" t="inlineStr">
        <is>
          <t>The Phoenix Mills Limited</t>
        </is>
      </c>
      <c r="E101" s="31" t="inlineStr">
        <is>
          <t>realty</t>
        </is>
      </c>
      <c r="F101" s="31" t="inlineStr">
        <is>
          <t>construction</t>
        </is>
      </c>
      <c r="G101" s="31" t="inlineStr">
        <is>
          <t>largecap</t>
        </is>
      </c>
      <c r="H101" s="32" t="n">
        <v>74674.11</v>
      </c>
      <c r="I101" s="32" t="n">
        <v>2138.9</v>
      </c>
      <c r="J101" s="32" t="n">
        <v>2.44</v>
      </c>
      <c r="K101" s="32" t="n">
        <v>914479</v>
      </c>
      <c r="L101" s="31" t="n">
        <v>57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72.69</v>
      </c>
      <c r="P101" s="32" t="n">
        <v>11.95</v>
      </c>
      <c r="Q101" s="32" t="n">
        <v>1791.65</v>
      </c>
      <c r="R101" s="31" t="inlineStr">
        <is>
          <t>Volume Spike &amp; Near 52W High Breakout</t>
        </is>
      </c>
      <c r="S101" s="31" t="inlineStr">
        <is>
          <t>Nifty Realty</t>
        </is>
      </c>
      <c r="T101" s="32" t="n">
        <v>-2.52</v>
      </c>
      <c r="U101" s="32" t="n">
        <v>43.89</v>
      </c>
      <c r="V101" s="32" t="n">
        <v>47.61</v>
      </c>
      <c r="W101" s="32" t="n">
        <v>12.37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0 to 20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IF(B102=0,"",RANK(B102,$B$2:$B$372,0))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HARSHA</t>
        </is>
      </c>
      <c r="D102" s="31" t="inlineStr">
        <is>
          <t>Harsha Engineers International Ltd</t>
        </is>
      </c>
      <c r="E102" s="31" t="inlineStr">
        <is>
          <t>industrials</t>
        </is>
      </c>
      <c r="F102" s="31" t="inlineStr">
        <is>
          <t>engineering</t>
        </is>
      </c>
      <c r="G102" s="31" t="inlineStr">
        <is>
          <t>smallcap</t>
        </is>
      </c>
      <c r="H102" s="32" t="n">
        <v>3830.23</v>
      </c>
      <c r="I102" s="32" t="n">
        <v>427.7</v>
      </c>
      <c r="J102" s="32" t="n">
        <v>1.66</v>
      </c>
      <c r="K102" s="32" t="n">
        <v>112033</v>
      </c>
      <c r="L102" s="31" t="n">
        <v>25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59.81</v>
      </c>
      <c r="P102" s="32" t="n">
        <v>37.35</v>
      </c>
      <c r="Q102" s="32" t="n">
        <v>335.29</v>
      </c>
      <c r="R102" s="31" t="inlineStr">
        <is>
          <t>Near 52W High Breakout</t>
        </is>
      </c>
      <c r="S102" s="31" t="inlineStr">
        <is>
          <t>Nifty Infra</t>
        </is>
      </c>
      <c r="T102" s="32" t="n">
        <v>1.87</v>
      </c>
      <c r="U102" s="32" t="n">
        <v>4.86</v>
      </c>
      <c r="V102" s="32" t="n">
        <v>2.94</v>
      </c>
      <c r="W102" s="32" t="n">
        <v>5.35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Less than 50%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IF(B103=0,"",RANK(B103,$B$2:$B$372,0))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NAHARSPING</t>
        </is>
      </c>
      <c r="D103" s="31" t="inlineStr">
        <is>
          <t>Nahar Spinning Mills Limited</t>
        </is>
      </c>
      <c r="E103" s="31" t="inlineStr">
        <is>
          <t>textiles</t>
        </is>
      </c>
      <c r="F103" s="31" t="inlineStr">
        <is>
          <t>textiles - cotton/blended</t>
        </is>
      </c>
      <c r="G103" s="31" t="inlineStr">
        <is>
          <t>smallcap</t>
        </is>
      </c>
      <c r="H103" s="32" t="n">
        <v>960.42</v>
      </c>
      <c r="I103" s="32" t="n">
        <v>270.5</v>
      </c>
      <c r="J103" s="32" t="n">
        <v>1.58</v>
      </c>
      <c r="K103" s="32" t="n">
        <v>12541</v>
      </c>
      <c r="L103" s="31" t="n">
        <v>19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60.44</v>
      </c>
      <c r="P103" s="32" t="n">
        <v>21.56</v>
      </c>
      <c r="Q103" s="32" t="n">
        <v>215.94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-3.75</v>
      </c>
      <c r="U103" s="32" t="n">
        <v>-0.67</v>
      </c>
      <c r="V103" s="32" t="n">
        <v>3.2</v>
      </c>
      <c r="W103" s="32" t="n">
        <v>3.98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Between 12 to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IF(B104=0,"",RANK(B104,$B$2:$B$372,0))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WELCORP</t>
        </is>
      </c>
      <c r="D104" s="31" t="inlineStr">
        <is>
          <t>Welspun Corp Limited</t>
        </is>
      </c>
      <c r="E104" s="31" t="inlineStr">
        <is>
          <t>industrials</t>
        </is>
      </c>
      <c r="F104" s="31" t="inlineStr">
        <is>
          <t>steel - large</t>
        </is>
      </c>
      <c r="G104" s="31" t="inlineStr">
        <is>
          <t>largecap</t>
        </is>
      </c>
      <c r="H104" s="32" t="n">
        <v>42256.62</v>
      </c>
      <c r="I104" s="32" t="n">
        <v>1612.6</v>
      </c>
      <c r="J104" s="32" t="n">
        <v>0.67</v>
      </c>
      <c r="K104" s="32" t="n">
        <v>1353803</v>
      </c>
      <c r="L104" s="31" t="n">
        <v>88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86.77</v>
      </c>
      <c r="P104" s="32" t="n">
        <v>64.29000000000001</v>
      </c>
      <c r="Q104" s="32" t="n">
        <v>1325.6</v>
      </c>
      <c r="R104" s="31" t="inlineStr">
        <is>
          <t>Volume Spike &amp; Near 52W High Breakout</t>
        </is>
      </c>
      <c r="S104" s="31" t="inlineStr">
        <is>
          <t>Nifty Metal</t>
        </is>
      </c>
      <c r="T104" s="32" t="n">
        <v>35.24</v>
      </c>
      <c r="U104" s="32" t="n">
        <v>78.56999999999999</v>
      </c>
      <c r="V104" s="32" t="n">
        <v>32.04</v>
      </c>
      <c r="W104" s="32" t="n">
        <v>29.31</v>
      </c>
      <c r="X104" s="31" t="inlineStr">
        <is>
          <t>Cyclical in an Upturn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Less than 12%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IF(B105=0,"",RANK(B105,$B$2:$B$372,0))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JAYBARMARU</t>
        </is>
      </c>
      <c r="D105" s="31" t="inlineStr">
        <is>
          <t>Jay Bharat Maruti Limited</t>
        </is>
      </c>
      <c r="E105" s="31" t="inlineStr">
        <is>
          <t>auto</t>
        </is>
      </c>
      <c r="F105" s="31" t="inlineStr">
        <is>
          <t>auto ancillaries</t>
        </is>
      </c>
      <c r="G105" s="31" t="inlineStr">
        <is>
          <t>smallcap</t>
        </is>
      </c>
      <c r="H105" s="32" t="n">
        <v>2025.68</v>
      </c>
      <c r="I105" s="32" t="n">
        <v>187.77</v>
      </c>
      <c r="J105" s="32" t="n">
        <v>0.34</v>
      </c>
      <c r="K105" s="32" t="n">
        <v>1055669</v>
      </c>
      <c r="L105" s="31" t="n">
        <v>97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78.23999999999999</v>
      </c>
      <c r="P105" s="32" t="n">
        <v>33.78</v>
      </c>
      <c r="Q105" s="32" t="n">
        <v>141.51</v>
      </c>
      <c r="R105" s="31" t="inlineStr">
        <is>
          <t>Near 52W High Breakout</t>
        </is>
      </c>
      <c r="S105" s="31" t="inlineStr">
        <is>
          <t>Nifty Auto</t>
        </is>
      </c>
      <c r="T105" s="32" t="n">
        <v>14.33</v>
      </c>
      <c r="U105" s="32" t="n">
        <v>149.92</v>
      </c>
      <c r="V105" s="32" t="n">
        <v>118.6</v>
      </c>
      <c r="W105" s="32" t="n">
        <v>47.92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Between 50% to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Between 0.7 to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IF(B106=0,"",RANK(B106,$B$2:$B$372,0))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VARROC</t>
        </is>
      </c>
      <c r="D106" s="31" t="inlineStr">
        <is>
          <t>Varroc Engineering Ltd</t>
        </is>
      </c>
      <c r="E106" s="31" t="inlineStr">
        <is>
          <t>auto</t>
        </is>
      </c>
      <c r="F106" s="31" t="inlineStr">
        <is>
          <t>auto ancillaries</t>
        </is>
      </c>
      <c r="G106" s="31" t="inlineStr">
        <is>
          <t>midcap</t>
        </is>
      </c>
      <c r="H106" s="32" t="n">
        <v>10074.74</v>
      </c>
      <c r="I106" s="32" t="n">
        <v>661.45</v>
      </c>
      <c r="J106" s="32" t="n">
        <v>0.31</v>
      </c>
      <c r="K106" s="32" t="n">
        <v>188249</v>
      </c>
      <c r="L106" s="31" t="n">
        <v>46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67.54000000000001</v>
      </c>
      <c r="P106" s="32" t="n">
        <v>21.8</v>
      </c>
      <c r="Q106" s="32" t="n">
        <v>536.22</v>
      </c>
      <c r="R106" s="31" t="inlineStr">
        <is>
          <t>Near 52W High Breakout</t>
        </is>
      </c>
      <c r="S106" s="31" t="inlineStr">
        <is>
          <t>Nifty Auto</t>
        </is>
      </c>
      <c r="T106" s="32" t="n">
        <v>14.33</v>
      </c>
      <c r="U106" s="32" t="n">
        <v>18.12</v>
      </c>
      <c r="V106" s="32" t="n">
        <v>3.31</v>
      </c>
      <c r="W106" s="32" t="n">
        <v>9.210000000000001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Between 50% to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IF(B107=0,"",RANK(B107,$B$2:$B$372,0))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PANSARI</t>
        </is>
      </c>
      <c r="D107" s="31" t="inlineStr">
        <is>
          <t>Pansari Developers Ltd</t>
        </is>
      </c>
      <c r="E107" s="31" t="inlineStr">
        <is>
          <t>realty</t>
        </is>
      </c>
      <c r="F107" s="31" t="inlineStr">
        <is>
          <t>construction</t>
        </is>
      </c>
      <c r="G107" s="31" t="inlineStr">
        <is>
          <t>smallcap</t>
        </is>
      </c>
      <c r="H107" s="32" t="n">
        <v>628</v>
      </c>
      <c r="I107" s="32" t="n">
        <v>360</v>
      </c>
      <c r="J107" s="32" t="n">
        <v>0.01</v>
      </c>
      <c r="K107" s="32" t="n">
        <v>445253</v>
      </c>
      <c r="L107" s="31" t="n">
        <v>66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63.64</v>
      </c>
      <c r="P107" s="32" t="n">
        <v>26.88</v>
      </c>
      <c r="Q107" s="32" t="n">
        <v>242.95</v>
      </c>
      <c r="R107" s="31" t="inlineStr">
        <is>
          <t>Volume Spike &amp; Near 52W High Breakout</t>
        </is>
      </c>
      <c r="S107" s="31" t="inlineStr">
        <is>
          <t>Nifty Realty</t>
        </is>
      </c>
      <c r="T107" s="32" t="n">
        <v>-2.52</v>
      </c>
      <c r="U107" s="32" t="n">
        <v>40.1</v>
      </c>
      <c r="V107" s="32" t="n">
        <v>43.72</v>
      </c>
      <c r="W107" s="32" t="n">
        <v>14.75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Negative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IF(B108=0,"",RANK(B108,$B$2:$B$372,0))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3" t="inlineStr">
        <is>
          <t>ATULAUTO</t>
        </is>
      </c>
      <c r="D108" s="33" t="inlineStr">
        <is>
          <t>Atul Auto Limited</t>
        </is>
      </c>
      <c r="E108" s="31" t="inlineStr">
        <is>
          <t>auto</t>
        </is>
      </c>
      <c r="F108" s="31" t="inlineStr">
        <is>
          <t>automobiles - scooters and 3 - wheelers</t>
        </is>
      </c>
      <c r="G108" s="31" t="inlineStr">
        <is>
          <t>smallcap</t>
        </is>
      </c>
      <c r="H108" s="32" t="n">
        <v>1363.28</v>
      </c>
      <c r="I108" s="32" t="n">
        <v>491.25</v>
      </c>
      <c r="J108" s="32" t="n">
        <v>0</v>
      </c>
      <c r="K108" s="32" t="n">
        <v>88661</v>
      </c>
      <c r="L108" s="31" t="n">
        <v>23</v>
      </c>
      <c r="M108" s="31" t="inlineStr">
        <is>
          <t>Underperforming</t>
        </is>
      </c>
      <c r="N108" s="32">
        <f>IF(M108="Underperforming",-5,IF(L108&gt;=95,15,IF(L108&gt;=90,10,IF(L108&gt;=80,5,0))))</f>
        <v/>
      </c>
      <c r="O108" s="32" t="n">
        <v>54.79</v>
      </c>
      <c r="P108" s="32" t="n">
        <v>24.99</v>
      </c>
      <c r="Q108" s="32" t="n">
        <v>392.3</v>
      </c>
      <c r="R108" s="31" t="inlineStr">
        <is>
          <t>Earnings / Momentum Support</t>
        </is>
      </c>
      <c r="S108" s="31" t="inlineStr">
        <is>
          <t>Nifty Auto</t>
        </is>
      </c>
      <c r="T108" s="32" t="n">
        <v>14.33</v>
      </c>
      <c r="U108" s="32" t="n">
        <v>9.01</v>
      </c>
      <c r="V108" s="32" t="n">
        <v>-4.65</v>
      </c>
      <c r="W108" s="32" t="n">
        <v>4.78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IF(B109=0,"",RANK(B109,$B$2:$B$372,0))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3" t="inlineStr">
        <is>
          <t>SARLAPOLY</t>
        </is>
      </c>
      <c r="D109" s="33" t="inlineStr">
        <is>
          <t>Sarla Performance Fibers Limited</t>
        </is>
      </c>
      <c r="E109" s="31" t="inlineStr">
        <is>
          <t>textiles</t>
        </is>
      </c>
      <c r="F109" s="31" t="inlineStr">
        <is>
          <t>textiles - spinning - synthetic / blended</t>
        </is>
      </c>
      <c r="G109" s="31" t="inlineStr">
        <is>
          <t>smallcap</t>
        </is>
      </c>
      <c r="H109" s="32" t="n">
        <v>856.99</v>
      </c>
      <c r="I109" s="32" t="n">
        <v>102.41</v>
      </c>
      <c r="J109" s="32" t="n">
        <v>-0.21</v>
      </c>
      <c r="K109" s="32" t="n">
        <v>34779</v>
      </c>
      <c r="L109" s="31" t="n">
        <v>14</v>
      </c>
      <c r="M109" s="31" t="inlineStr">
        <is>
          <t>Underperforming</t>
        </is>
      </c>
      <c r="N109" s="32">
        <f>IF(M109="Underperforming",-5,IF(L109&gt;=95,15,IF(L109&gt;=90,10,IF(L109&gt;=80,5,0))))</f>
        <v/>
      </c>
      <c r="O109" s="32" t="n">
        <v>61.2</v>
      </c>
      <c r="P109" s="32" t="n">
        <v>34.05</v>
      </c>
      <c r="Q109" s="32" t="n">
        <v>80.23</v>
      </c>
      <c r="R109" s="31" t="inlineStr">
        <is>
          <t>Earnings / Momentum Support</t>
        </is>
      </c>
      <c r="S109" s="31" t="inlineStr">
        <is>
          <t>Nifty 50</t>
        </is>
      </c>
      <c r="T109" s="32" t="n">
        <v>-3.75</v>
      </c>
      <c r="U109" s="32" t="n">
        <v>-9.859999999999999</v>
      </c>
      <c r="V109" s="32" t="n">
        <v>-6.35</v>
      </c>
      <c r="W109" s="32" t="n">
        <v>3.25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IF(B110=0,"",RANK(B110,$B$2:$B$372,0))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SPORTKING</t>
        </is>
      </c>
      <c r="D110" s="31" t="inlineStr">
        <is>
          <t>Sportking India Ltd</t>
        </is>
      </c>
      <c r="E110" s="31" t="inlineStr">
        <is>
          <t>textiles</t>
        </is>
      </c>
      <c r="F110" s="31" t="inlineStr">
        <is>
          <t>textiles - spinning - synthetic / blended</t>
        </is>
      </c>
      <c r="G110" s="31" t="inlineStr">
        <is>
          <t>smallcap</t>
        </is>
      </c>
      <c r="H110" s="32" t="n">
        <v>2330.12</v>
      </c>
      <c r="I110" s="32" t="n">
        <v>182.64</v>
      </c>
      <c r="J110" s="32" t="n">
        <v>-0.4</v>
      </c>
      <c r="K110" s="32" t="n">
        <v>237645</v>
      </c>
      <c r="L110" s="31" t="n">
        <v>78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77.42</v>
      </c>
      <c r="P110" s="32" t="n">
        <v>64.77</v>
      </c>
      <c r="Q110" s="32" t="n">
        <v>135.27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-3.75</v>
      </c>
      <c r="U110" s="32" t="n">
        <v>59.79</v>
      </c>
      <c r="V110" s="32" t="n">
        <v>66.01000000000001</v>
      </c>
      <c r="W110" s="32" t="n">
        <v>19.94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Above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Less than 12%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IF(B111=0,"",RANK(B111,$B$2:$B$372,0))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SHREEPUSHK</t>
        </is>
      </c>
      <c r="D111" s="31" t="inlineStr">
        <is>
          <t>Shree Pushkar Chemicals &amp; Fertilisers Limited</t>
        </is>
      </c>
      <c r="E111" s="31" t="inlineStr">
        <is>
          <t>chemicals</t>
        </is>
      </c>
      <c r="F111" s="31" t="inlineStr">
        <is>
          <t>dyes and pigments</t>
        </is>
      </c>
      <c r="G111" s="31" t="inlineStr">
        <is>
          <t>smallcap</t>
        </is>
      </c>
      <c r="H111" s="32" t="n">
        <v>1396.83</v>
      </c>
      <c r="I111" s="32" t="n">
        <v>426.95</v>
      </c>
      <c r="J111" s="32" t="n">
        <v>-1.16</v>
      </c>
      <c r="K111" s="32" t="n">
        <v>99369</v>
      </c>
      <c r="L111" s="31" t="n">
        <v>51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63.42</v>
      </c>
      <c r="P111" s="32" t="n">
        <v>32.81</v>
      </c>
      <c r="Q111" s="32" t="n">
        <v>310.87</v>
      </c>
      <c r="R111" s="31" t="inlineStr">
        <is>
          <t>Near 52W High Breakout</t>
        </is>
      </c>
      <c r="S111" s="31" t="inlineStr">
        <is>
          <t>Nifty IT</t>
        </is>
      </c>
      <c r="T111" s="32" t="n">
        <v>-25.69</v>
      </c>
      <c r="U111" s="32" t="n">
        <v>22.02</v>
      </c>
      <c r="V111" s="32" t="n">
        <v>64.20999999999999</v>
      </c>
      <c r="W111" s="32" t="n">
        <v>10.52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Less than 12%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IF(B112=0,"",RANK(B112,$B$2:$B$372,0))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SHRIPISTON</t>
        </is>
      </c>
      <c r="D112" s="31" t="inlineStr">
        <is>
          <t>Shriram Pistons &amp; Rings Limited</t>
        </is>
      </c>
      <c r="E112" s="31" t="inlineStr">
        <is>
          <t>auto</t>
        </is>
      </c>
      <c r="F112" s="31" t="inlineStr">
        <is>
          <t>auto ancillaries</t>
        </is>
      </c>
      <c r="G112" s="31" t="inlineStr">
        <is>
          <t>midcap</t>
        </is>
      </c>
      <c r="H112" s="32" t="n">
        <v>18704.88</v>
      </c>
      <c r="I112" s="32" t="n">
        <v>4189.6</v>
      </c>
      <c r="J112" s="32" t="n">
        <v>-1.34</v>
      </c>
      <c r="K112" s="32" t="n">
        <v>28115</v>
      </c>
      <c r="L112" s="31" t="n">
        <v>68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70.06999999999999</v>
      </c>
      <c r="P112" s="32" t="n">
        <v>35.94</v>
      </c>
      <c r="Q112" s="32" t="n">
        <v>3324.88</v>
      </c>
      <c r="R112" s="31" t="inlineStr">
        <is>
          <t>Near 52W High Breakout</t>
        </is>
      </c>
      <c r="S112" s="31" t="inlineStr">
        <is>
          <t>Nifty Auto</t>
        </is>
      </c>
      <c r="T112" s="32" t="n">
        <v>14.33</v>
      </c>
      <c r="U112" s="32" t="n">
        <v>74.67</v>
      </c>
      <c r="V112" s="32" t="n">
        <v>52.77</v>
      </c>
      <c r="W112" s="32" t="n">
        <v>15.22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Less than 12%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IF(B113=0,"",RANK(B113,$B$2:$B$372,0))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AEGISLOG</t>
        </is>
      </c>
      <c r="D113" s="31" t="inlineStr">
        <is>
          <t>Aegis Logistics Ltd</t>
        </is>
      </c>
      <c r="E113" s="31" t="inlineStr">
        <is>
          <t>services</t>
        </is>
      </c>
      <c r="F113" s="31" t="inlineStr">
        <is>
          <t>trading</t>
        </is>
      </c>
      <c r="G113" s="31" t="inlineStr">
        <is>
          <t>largecap</t>
        </is>
      </c>
      <c r="H113" s="32" t="n">
        <v>44369.91</v>
      </c>
      <c r="I113" s="32" t="n">
        <v>1246.1</v>
      </c>
      <c r="J113" s="32" t="n">
        <v>-1.42</v>
      </c>
      <c r="K113" s="32" t="n">
        <v>1664654</v>
      </c>
      <c r="L113" s="31" t="n">
        <v>93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77.38</v>
      </c>
      <c r="P113" s="32" t="n">
        <v>35.83</v>
      </c>
      <c r="Q113" s="32" t="n">
        <v>1012.82</v>
      </c>
      <c r="R113" s="31" t="inlineStr">
        <is>
          <t>Earnings / Momentum Support</t>
        </is>
      </c>
      <c r="S113" s="31" t="inlineStr">
        <is>
          <t>Nifty 50</t>
        </is>
      </c>
      <c r="T113" s="32" t="n">
        <v>-3.75</v>
      </c>
      <c r="U113" s="32" t="n">
        <v>70.93000000000001</v>
      </c>
      <c r="V113" s="32" t="n">
        <v>77.59</v>
      </c>
      <c r="W113" s="32" t="n">
        <v>36.72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Above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IF(B114=0,"",RANK(B114,$B$2:$B$372,0))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HNDFDS</t>
        </is>
      </c>
      <c r="D114" s="31" t="inlineStr">
        <is>
          <t>Hindustan Foods Ltd</t>
        </is>
      </c>
      <c r="E114" s="31" t="inlineStr">
        <is>
          <t>fmcg</t>
        </is>
      </c>
      <c r="F114" s="31" t="inlineStr">
        <is>
          <t>diversified - large</t>
        </is>
      </c>
      <c r="G114" s="31" t="inlineStr">
        <is>
          <t>midcap</t>
        </is>
      </c>
      <c r="H114" s="32" t="n">
        <v>6547</v>
      </c>
      <c r="I114" s="32" t="n">
        <v>568</v>
      </c>
      <c r="J114" s="32" t="n">
        <v>3.66</v>
      </c>
      <c r="K114" s="32" t="n">
        <v>179372</v>
      </c>
      <c r="L114" s="31" t="n">
        <v>12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62.83</v>
      </c>
      <c r="P114" s="32" t="n">
        <v>28.3</v>
      </c>
      <c r="Q114" s="32" t="n">
        <v>471.05</v>
      </c>
      <c r="R114" s="31" t="inlineStr">
        <is>
          <t>Near 52W High Breakout</t>
        </is>
      </c>
      <c r="S114" s="31" t="inlineStr">
        <is>
          <t>Nifty FMCG</t>
        </is>
      </c>
      <c r="T114" s="32" t="n">
        <v>-11.8</v>
      </c>
      <c r="U114" s="32" t="n">
        <v>1.61</v>
      </c>
      <c r="V114" s="32" t="n">
        <v>15.21</v>
      </c>
      <c r="W114" s="32" t="n">
        <v>2.9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B2C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Less than 50%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Between 0.7 to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IF(B115=0,"",RANK(B115,$B$2:$B$372,0))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IKS</t>
        </is>
      </c>
      <c r="D115" s="31" t="inlineStr">
        <is>
          <t>Inventurus Knowledge Solutions Ltd</t>
        </is>
      </c>
      <c r="E115" s="31" t="inlineStr">
        <is>
          <t>i.t</t>
        </is>
      </c>
      <c r="F115" s="31" t="inlineStr">
        <is>
          <t>computers - software - medium / small</t>
        </is>
      </c>
      <c r="G115" s="31" t="inlineStr">
        <is>
          <t>largecap</t>
        </is>
      </c>
      <c r="H115" s="32" t="n">
        <v>31962.36</v>
      </c>
      <c r="I115" s="32" t="n">
        <v>1928.1</v>
      </c>
      <c r="J115" s="32" t="n">
        <v>3.5</v>
      </c>
      <c r="K115" s="32" t="n">
        <v>332100</v>
      </c>
      <c r="L115" s="31" t="n">
        <v>49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68.69</v>
      </c>
      <c r="P115" s="32" t="n">
        <v>9.33</v>
      </c>
      <c r="Q115" s="32" t="n">
        <v>1542.94</v>
      </c>
      <c r="R115" s="31" t="inlineStr">
        <is>
          <t>Near 52W High Breakout</t>
        </is>
      </c>
      <c r="S115" s="31" t="inlineStr">
        <is>
          <t>Nifty IT</t>
        </is>
      </c>
      <c r="T115" s="32" t="n">
        <v>-25.69</v>
      </c>
      <c r="U115" s="32" t="n">
        <v>21.63</v>
      </c>
      <c r="V115" s="32" t="n">
        <v>63.68</v>
      </c>
      <c r="W115" s="32" t="n">
        <v>9.640000000000001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0 to 20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Between 50% to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IF(B116=0,"",RANK(B116,$B$2:$B$372,0))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AURUM</t>
        </is>
      </c>
      <c r="D116" s="31" t="inlineStr">
        <is>
          <t>Aurum Proptech Ltd</t>
        </is>
      </c>
      <c r="E116" s="31" t="inlineStr">
        <is>
          <t>i.t</t>
        </is>
      </c>
      <c r="F116" s="31" t="inlineStr">
        <is>
          <t>computers - software - medium / small</t>
        </is>
      </c>
      <c r="G116" s="31" t="inlineStr">
        <is>
          <t>smallcap</t>
        </is>
      </c>
      <c r="H116" s="32" t="n">
        <v>1691.85</v>
      </c>
      <c r="I116" s="32" t="n">
        <v>228.1</v>
      </c>
      <c r="J116" s="32" t="n">
        <v>3.35</v>
      </c>
      <c r="K116" s="32" t="n">
        <v>115679</v>
      </c>
      <c r="L116" s="31" t="n">
        <v>53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69.72</v>
      </c>
      <c r="P116" s="32" t="n">
        <v>31.93</v>
      </c>
      <c r="Q116" s="32" t="n">
        <v>183.98</v>
      </c>
      <c r="R116" s="31" t="inlineStr">
        <is>
          <t>Near 52W High Breakout</t>
        </is>
      </c>
      <c r="S116" s="31" t="inlineStr">
        <is>
          <t>Nifty IT</t>
        </is>
      </c>
      <c r="T116" s="32" t="n">
        <v>-25.69</v>
      </c>
      <c r="U116" s="32" t="n">
        <v>18.37</v>
      </c>
      <c r="V116" s="32" t="n">
        <v>59.28</v>
      </c>
      <c r="W116" s="32" t="n">
        <v>10.98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Between 50% to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IF(B117=0,"",RANK(B117,$B$2:$B$372,0))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SAILIFE</t>
        </is>
      </c>
      <c r="D117" s="31" t="inlineStr">
        <is>
          <t>Sai Life Sciences Ltd</t>
        </is>
      </c>
      <c r="E117" s="31" t="inlineStr">
        <is>
          <t>healthcare</t>
        </is>
      </c>
      <c r="F117" s="31" t="inlineStr">
        <is>
          <t>pharmaceuticals - indian - bulk drugs &amp; formln</t>
        </is>
      </c>
      <c r="G117" s="31" t="inlineStr">
        <is>
          <t>largecap</t>
        </is>
      </c>
      <c r="H117" s="32" t="n">
        <v>26142.03</v>
      </c>
      <c r="I117" s="32" t="n">
        <v>1265</v>
      </c>
      <c r="J117" s="32" t="n">
        <v>2.48</v>
      </c>
      <c r="K117" s="32" t="n">
        <v>905331</v>
      </c>
      <c r="L117" s="31" t="n">
        <v>70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74.81999999999999</v>
      </c>
      <c r="P117" s="32" t="n">
        <v>28.93</v>
      </c>
      <c r="Q117" s="32" t="n">
        <v>1028.6</v>
      </c>
      <c r="R117" s="31" t="inlineStr">
        <is>
          <t>Near 52W High Breakout</t>
        </is>
      </c>
      <c r="S117" s="31" t="inlineStr">
        <is>
          <t>Nifty Pharma</t>
        </is>
      </c>
      <c r="T117" s="32" t="n">
        <v>15.51</v>
      </c>
      <c r="U117" s="32" t="n">
        <v>61.73</v>
      </c>
      <c r="V117" s="32" t="n">
        <v>40.01</v>
      </c>
      <c r="W117" s="32" t="n">
        <v>15.75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Yes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Between 12 to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IF(B118=0,"",RANK(B118,$B$2:$B$372,0))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INDIAGLYCO</t>
        </is>
      </c>
      <c r="D118" s="31" t="inlineStr">
        <is>
          <t>India Glycols Limited</t>
        </is>
      </c>
      <c r="E118" s="31" t="inlineStr">
        <is>
          <t>fmcg</t>
        </is>
      </c>
      <c r="F118" s="31" t="inlineStr">
        <is>
          <t>breweries &amp; distilleries</t>
        </is>
      </c>
      <c r="G118" s="31" t="inlineStr">
        <is>
          <t>midcap</t>
        </is>
      </c>
      <c r="H118" s="32" t="n">
        <v>6988.88</v>
      </c>
      <c r="I118" s="32" t="n">
        <v>1067.75</v>
      </c>
      <c r="J118" s="32" t="n">
        <v>2.4</v>
      </c>
      <c r="K118" s="32" t="n">
        <v>118841</v>
      </c>
      <c r="L118" s="31" t="n">
        <v>20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59.1</v>
      </c>
      <c r="P118" s="32" t="n">
        <v>18.98</v>
      </c>
      <c r="Q118" s="32" t="n">
        <v>906.55</v>
      </c>
      <c r="R118" s="31" t="inlineStr">
        <is>
          <t>Earnings / Momentum Support</t>
        </is>
      </c>
      <c r="S118" s="31" t="inlineStr">
        <is>
          <t>Nifty FMCG</t>
        </is>
      </c>
      <c r="T118" s="32" t="n">
        <v>-11.8</v>
      </c>
      <c r="U118" s="32" t="n">
        <v>5.51</v>
      </c>
      <c r="V118" s="32" t="n">
        <v>19.63</v>
      </c>
      <c r="W118" s="32" t="n">
        <v>4.42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B2C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0 to 20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IF(B119=0,"",RANK(B119,$B$2:$B$372,0))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3" t="inlineStr">
        <is>
          <t>ALIVUS</t>
        </is>
      </c>
      <c r="D119" s="33" t="inlineStr">
        <is>
          <t>Alivus Life Sciences Ltd</t>
        </is>
      </c>
      <c r="E119" s="31" t="inlineStr">
        <is>
          <t>healthcare</t>
        </is>
      </c>
      <c r="F119" s="31" t="inlineStr">
        <is>
          <t>pharmaceuticals - indian - bulk drugs &amp; formln</t>
        </is>
      </c>
      <c r="G119" s="31" t="inlineStr">
        <is>
          <t>midcap</t>
        </is>
      </c>
      <c r="H119" s="32" t="n">
        <v>14027.54</v>
      </c>
      <c r="I119" s="32" t="n">
        <v>1159.9</v>
      </c>
      <c r="J119" s="32" t="n">
        <v>1.49</v>
      </c>
      <c r="K119" s="32" t="n">
        <v>73798</v>
      </c>
      <c r="L119" s="31" t="n">
        <v>27</v>
      </c>
      <c r="M119" s="31" t="inlineStr">
        <is>
          <t>Underperforming</t>
        </is>
      </c>
      <c r="N119" s="32">
        <f>IF(M119="Underperforming",-5,IF(L119&gt;=95,15,IF(L119&gt;=90,10,IF(L119&gt;=80,5,0))))</f>
        <v/>
      </c>
      <c r="O119" s="32" t="n">
        <v>69.73</v>
      </c>
      <c r="P119" s="32" t="n">
        <v>33.9</v>
      </c>
      <c r="Q119" s="32" t="n">
        <v>940.0700000000001</v>
      </c>
      <c r="R119" s="31" t="inlineStr">
        <is>
          <t>Near 52W High Breakout</t>
        </is>
      </c>
      <c r="S119" s="31" t="inlineStr">
        <is>
          <t>Nifty Pharma</t>
        </is>
      </c>
      <c r="T119" s="32" t="n">
        <v>15.51</v>
      </c>
      <c r="U119" s="32" t="n">
        <v>14.95</v>
      </c>
      <c r="V119" s="32" t="n">
        <v>-0.49</v>
      </c>
      <c r="W119" s="32" t="n">
        <v>5.48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Yes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Between 12 to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Between 1.5 to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IF(B120=0,"",RANK(B120,$B$2:$B$372,0))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SAREGAMA</t>
        </is>
      </c>
      <c r="D120" s="31" t="inlineStr">
        <is>
          <t>Saregama India Limited</t>
        </is>
      </c>
      <c r="E120" s="31" t="inlineStr">
        <is>
          <t>media</t>
        </is>
      </c>
      <c r="F120" s="31" t="inlineStr">
        <is>
          <t>entertainment / electronic media software</t>
        </is>
      </c>
      <c r="G120" s="31" t="inlineStr">
        <is>
          <t>midcap</t>
        </is>
      </c>
      <c r="H120" s="32" t="n">
        <v>9179.66</v>
      </c>
      <c r="I120" s="32" t="n">
        <v>479.2</v>
      </c>
      <c r="J120" s="32" t="n">
        <v>0.65</v>
      </c>
      <c r="K120" s="32" t="n">
        <v>345801</v>
      </c>
      <c r="L120" s="31" t="n">
        <v>53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67.5</v>
      </c>
      <c r="P120" s="32" t="n">
        <v>35.4</v>
      </c>
      <c r="Q120" s="32" t="n">
        <v>376.75</v>
      </c>
      <c r="R120" s="31" t="inlineStr">
        <is>
          <t>Near 52W High Breakout</t>
        </is>
      </c>
      <c r="S120" s="31" t="inlineStr">
        <is>
          <t>Nifty IT</t>
        </is>
      </c>
      <c r="T120" s="32" t="n">
        <v>-25.69</v>
      </c>
      <c r="U120" s="32" t="n">
        <v>-1.22</v>
      </c>
      <c r="V120" s="32" t="n">
        <v>32.92</v>
      </c>
      <c r="W120" s="32" t="n">
        <v>10.98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Between 1.5 to 2</t>
        </is>
      </c>
      <c r="BU120" s="31">
        <f>IF(BT120="Above 2",0,IF(BT120="Between 1.5 to 2",5,IF(BT120="Less than 1.5",10,0)))</f>
        <v/>
      </c>
      <c r="BV120" s="31" t="inlineStr">
        <is>
          <t>Less than 50%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IF(B121=0,"",RANK(B121,$B$2:$B$372,0))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SUNPHARMA</t>
        </is>
      </c>
      <c r="D121" s="31" t="inlineStr">
        <is>
          <t>Sun Pharmaceuticals Industries Limited</t>
        </is>
      </c>
      <c r="E121" s="31" t="inlineStr">
        <is>
          <t>healthcare</t>
        </is>
      </c>
      <c r="F121" s="31" t="inlineStr">
        <is>
          <t>pharmaceuticals - indian - bulk drugs &amp; formln</t>
        </is>
      </c>
      <c r="G121" s="31" t="inlineStr">
        <is>
          <t>largecap</t>
        </is>
      </c>
      <c r="H121" s="32" t="n">
        <v>465159.07</v>
      </c>
      <c r="I121" s="32" t="n">
        <v>1935.5</v>
      </c>
      <c r="J121" s="32" t="n">
        <v>-0.17</v>
      </c>
      <c r="K121" s="32" t="n">
        <v>1478320</v>
      </c>
      <c r="L121" s="31" t="n">
        <v>34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65.23999999999999</v>
      </c>
      <c r="P121" s="32" t="n">
        <v>16.77</v>
      </c>
      <c r="Q121" s="32" t="n">
        <v>1702.39</v>
      </c>
      <c r="R121" s="31" t="inlineStr">
        <is>
          <t>Near 52W High Breakout</t>
        </is>
      </c>
      <c r="S121" s="31" t="inlineStr">
        <is>
          <t>Nifty Pharma</t>
        </is>
      </c>
      <c r="T121" s="32" t="n">
        <v>15.51</v>
      </c>
      <c r="U121" s="32" t="n">
        <v>16.82</v>
      </c>
      <c r="V121" s="32" t="n">
        <v>1.13</v>
      </c>
      <c r="W121" s="32" t="n">
        <v>6.86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Yes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0 to 20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Between 1.5 to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IF(B122=0,"",RANK(B122,$B$2:$B$372,0))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3" t="inlineStr">
        <is>
          <t>EXICOM</t>
        </is>
      </c>
      <c r="D122" s="33" t="inlineStr">
        <is>
          <t>Exicom Tele-Systems Ltd</t>
        </is>
      </c>
      <c r="E122" s="31" t="inlineStr">
        <is>
          <t>industrials</t>
        </is>
      </c>
      <c r="F122" s="31" t="inlineStr">
        <is>
          <t>electric equipment</t>
        </is>
      </c>
      <c r="G122" s="31" t="inlineStr">
        <is>
          <t>smallcap</t>
        </is>
      </c>
      <c r="H122" s="32" t="n">
        <v>2230.84</v>
      </c>
      <c r="I122" s="32" t="n">
        <v>170.04</v>
      </c>
      <c r="J122" s="32" t="n">
        <v>6.01</v>
      </c>
      <c r="K122" s="32" t="n">
        <v>2286251</v>
      </c>
      <c r="L122" s="31" t="n">
        <v>70</v>
      </c>
      <c r="M122" s="31" t="inlineStr">
        <is>
          <t>Underperforming</t>
        </is>
      </c>
      <c r="N122" s="32">
        <f>IF(M122="Underperforming",-5,IF(L122&gt;=95,15,IF(L122&gt;=90,10,IF(L122&gt;=80,5,0))))</f>
        <v/>
      </c>
      <c r="O122" s="32" t="n">
        <v>62.49</v>
      </c>
      <c r="P122" s="32" t="n">
        <v>29.87</v>
      </c>
      <c r="Q122" s="32" t="n">
        <v>113.05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-3.75</v>
      </c>
      <c r="U122" s="32" t="n">
        <v>-4.05</v>
      </c>
      <c r="V122" s="32" t="n">
        <v>-0.31</v>
      </c>
      <c r="W122" s="32" t="n">
        <v>15.95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Between 0.7 to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IF(B123=0,"",RANK(B123,$B$2:$B$372,0))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SETL</t>
        </is>
      </c>
      <c r="D123" s="31" t="inlineStr">
        <is>
          <t>Standard Enginnering Technology Ltd</t>
        </is>
      </c>
      <c r="E123" s="31" t="inlineStr">
        <is>
          <t>industrials</t>
        </is>
      </c>
      <c r="F123" s="31" t="inlineStr">
        <is>
          <t>engineering</t>
        </is>
      </c>
      <c r="G123" s="31" t="inlineStr">
        <is>
          <t>midcap</t>
        </is>
      </c>
      <c r="H123" s="32" t="n">
        <v>5523.92</v>
      </c>
      <c r="I123" s="32" t="n">
        <v>290.7</v>
      </c>
      <c r="J123" s="32" t="n">
        <v>4.98</v>
      </c>
      <c r="K123" s="32" t="n">
        <v>842381</v>
      </c>
      <c r="L123" s="31" t="n">
        <v>95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86.7</v>
      </c>
      <c r="P123" s="32" t="n">
        <v>23.98</v>
      </c>
      <c r="Q123" s="32" t="n">
        <v>219.27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-3.75</v>
      </c>
      <c r="U123" s="32" t="n">
        <v>60.88</v>
      </c>
      <c r="V123" s="32" t="n">
        <v>67.15000000000001</v>
      </c>
      <c r="W123" s="32" t="n">
        <v>41.92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Less than 50%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IF(B124=0,"",RANK(B124,$B$2:$B$372,0))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AARTIIND</t>
        </is>
      </c>
      <c r="D124" s="31" t="inlineStr">
        <is>
          <t>Aarti Industries Limited</t>
        </is>
      </c>
      <c r="E124" s="31" t="inlineStr">
        <is>
          <t>chemicals</t>
        </is>
      </c>
      <c r="F124" s="31" t="inlineStr">
        <is>
          <t>chemicals</t>
        </is>
      </c>
      <c r="G124" s="31" t="inlineStr">
        <is>
          <t>midcap</t>
        </is>
      </c>
      <c r="H124" s="32" t="n">
        <v>16967.6</v>
      </c>
      <c r="I124" s="32" t="n">
        <v>484.1</v>
      </c>
      <c r="J124" s="32" t="n">
        <v>3.45</v>
      </c>
      <c r="K124" s="32" t="n">
        <v>1096977</v>
      </c>
      <c r="L124" s="31" t="n">
        <v>26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58.47</v>
      </c>
      <c r="P124" s="32" t="n">
        <v>23.8</v>
      </c>
      <c r="Q124" s="32" t="n">
        <v>399.9</v>
      </c>
      <c r="R124" s="31" t="inlineStr">
        <is>
          <t>Near 52W High Breakout</t>
        </is>
      </c>
      <c r="S124" s="31" t="inlineStr">
        <is>
          <t>Nifty 50</t>
        </is>
      </c>
      <c r="T124" s="32" t="n">
        <v>-3.75</v>
      </c>
      <c r="U124" s="32" t="n">
        <v>10.07</v>
      </c>
      <c r="V124" s="32" t="n">
        <v>14.35</v>
      </c>
      <c r="W124" s="32" t="n">
        <v>5.45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Between 50% to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Between 0.7 to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IF(B125=0,"",RANK(B125,$B$2:$B$372,0))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SUPRAJIT</t>
        </is>
      </c>
      <c r="D125" s="31" t="inlineStr">
        <is>
          <t>Suprajit Engineering Limited</t>
        </is>
      </c>
      <c r="E125" s="31" t="inlineStr">
        <is>
          <t>auto</t>
        </is>
      </c>
      <c r="F125" s="31" t="inlineStr">
        <is>
          <t>auto ancillaries</t>
        </is>
      </c>
      <c r="G125" s="31" t="inlineStr">
        <is>
          <t>midcap</t>
        </is>
      </c>
      <c r="H125" s="32" t="n">
        <v>6798.89</v>
      </c>
      <c r="I125" s="32" t="n">
        <v>509</v>
      </c>
      <c r="J125" s="32" t="n">
        <v>2.69</v>
      </c>
      <c r="K125" s="32" t="n">
        <v>253487</v>
      </c>
      <c r="L125" s="31" t="n">
        <v>31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64.22</v>
      </c>
      <c r="P125" s="32" t="n">
        <v>30.89</v>
      </c>
      <c r="Q125" s="32" t="n">
        <v>409.77</v>
      </c>
      <c r="R125" s="31" t="inlineStr">
        <is>
          <t>Near 52W High Breakout</t>
        </is>
      </c>
      <c r="S125" s="31" t="inlineStr">
        <is>
          <t>Nifty Auto</t>
        </is>
      </c>
      <c r="T125" s="32" t="n">
        <v>14.33</v>
      </c>
      <c r="U125" s="32" t="n">
        <v>14.46</v>
      </c>
      <c r="V125" s="32" t="n">
        <v>0.11</v>
      </c>
      <c r="W125" s="32" t="n">
        <v>6.29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Less than 50%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IF(B126=0,"",RANK(B126,$B$2:$B$372,0))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KDDL</t>
        </is>
      </c>
      <c r="D126" s="31" t="inlineStr">
        <is>
          <t>Kddl Limited</t>
        </is>
      </c>
      <c r="E126" s="31" t="inlineStr">
        <is>
          <t>consumer discretionary</t>
        </is>
      </c>
      <c r="F126" s="31" t="inlineStr">
        <is>
          <t>miscellaneous</t>
        </is>
      </c>
      <c r="G126" s="31" t="inlineStr">
        <is>
          <t>smallcap</t>
        </is>
      </c>
      <c r="H126" s="32" t="n">
        <v>3918.92</v>
      </c>
      <c r="I126" s="32" t="n">
        <v>3264.9</v>
      </c>
      <c r="J126" s="32" t="n">
        <v>2.47</v>
      </c>
      <c r="K126" s="32" t="n">
        <v>16245</v>
      </c>
      <c r="L126" s="31" t="n">
        <v>58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69.02</v>
      </c>
      <c r="P126" s="32" t="n">
        <v>24.08</v>
      </c>
      <c r="Q126" s="32" t="n">
        <v>2443.05</v>
      </c>
      <c r="R126" s="31" t="inlineStr">
        <is>
          <t>Near 52W High Breakout</t>
        </is>
      </c>
      <c r="S126" s="31" t="inlineStr">
        <is>
          <t>Nifty 50</t>
        </is>
      </c>
      <c r="T126" s="32" t="n">
        <v>-3.75</v>
      </c>
      <c r="U126" s="32" t="n">
        <v>21.14</v>
      </c>
      <c r="V126" s="32" t="n">
        <v>25.86</v>
      </c>
      <c r="W126" s="32" t="n">
        <v>12.62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Between 1.5 to 2</t>
        </is>
      </c>
      <c r="BU126" s="31">
        <f>IF(BT126="Above 2",0,IF(BT126="Between 1.5 to 2",5,IF(BT126="Less than 1.5",10,0)))</f>
        <v/>
      </c>
      <c r="BV126" s="31" t="inlineStr">
        <is>
          <t>Less than 50%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IF(B127=0,"",RANK(B127,$B$2:$B$372,0))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CENTUM</t>
        </is>
      </c>
      <c r="D127" s="31" t="inlineStr">
        <is>
          <t>Centum Electronics Limited</t>
        </is>
      </c>
      <c r="E127" s="31" t="inlineStr">
        <is>
          <t>consumer discretionary</t>
        </is>
      </c>
      <c r="F127" s="31" t="inlineStr">
        <is>
          <t>electronics - components</t>
        </is>
      </c>
      <c r="G127" s="31" t="inlineStr">
        <is>
          <t>midcap</t>
        </is>
      </c>
      <c r="H127" s="32" t="n">
        <v>5244.69</v>
      </c>
      <c r="I127" s="32" t="n">
        <v>3641.3</v>
      </c>
      <c r="J127" s="32" t="n">
        <v>2.34</v>
      </c>
      <c r="K127" s="32" t="n">
        <v>49991</v>
      </c>
      <c r="L127" s="31" t="n">
        <v>74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68.88</v>
      </c>
      <c r="P127" s="32" t="n">
        <v>59.86</v>
      </c>
      <c r="Q127" s="32" t="n">
        <v>2670.62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-3.75</v>
      </c>
      <c r="U127" s="32" t="n">
        <v>58.06</v>
      </c>
      <c r="V127" s="32" t="n">
        <v>64.22</v>
      </c>
      <c r="W127" s="32" t="n">
        <v>17.61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Less than 12%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Less than 50%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IF(B128=0,"",RANK(B128,$B$2:$B$372,0))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STEELCAS</t>
        </is>
      </c>
      <c r="D128" s="31" t="inlineStr">
        <is>
          <t>Steelcast Ltd</t>
        </is>
      </c>
      <c r="E128" s="31" t="inlineStr">
        <is>
          <t>industrials</t>
        </is>
      </c>
      <c r="F128" s="31" t="inlineStr">
        <is>
          <t>castings &amp; forgings</t>
        </is>
      </c>
      <c r="G128" s="31" t="inlineStr">
        <is>
          <t>smallcap</t>
        </is>
      </c>
      <c r="H128" s="32" t="n">
        <v>3094.19</v>
      </c>
      <c r="I128" s="32" t="n">
        <v>312.45</v>
      </c>
      <c r="J128" s="32" t="n">
        <v>2.19</v>
      </c>
      <c r="K128" s="32" t="n">
        <v>79532</v>
      </c>
      <c r="L128" s="31" t="n">
        <v>45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74.56999999999999</v>
      </c>
      <c r="P128" s="32" t="n">
        <v>39.14</v>
      </c>
      <c r="Q128" s="32" t="n">
        <v>230.78</v>
      </c>
      <c r="R128" s="31" t="inlineStr">
        <is>
          <t>Near 52W High Breakout</t>
        </is>
      </c>
      <c r="S128" s="31" t="inlineStr">
        <is>
          <t>Nifty Infra</t>
        </is>
      </c>
      <c r="T128" s="32" t="n">
        <v>1.87</v>
      </c>
      <c r="U128" s="32" t="n">
        <v>32.59</v>
      </c>
      <c r="V128" s="32" t="n">
        <v>30.16</v>
      </c>
      <c r="W128" s="32" t="n">
        <v>9.01</v>
      </c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IF(B129=0,"",RANK(B129,$B$2:$B$372,0))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FILATEX</t>
        </is>
      </c>
      <c r="D129" s="31" t="inlineStr">
        <is>
          <t>Filatex India Limited</t>
        </is>
      </c>
      <c r="E129" s="31" t="inlineStr">
        <is>
          <t>textiles</t>
        </is>
      </c>
      <c r="F129" s="31" t="inlineStr">
        <is>
          <t>textiles - manmade</t>
        </is>
      </c>
      <c r="G129" s="31" t="inlineStr">
        <is>
          <t>smallcap</t>
        </is>
      </c>
      <c r="H129" s="32" t="n">
        <v>2711.42</v>
      </c>
      <c r="I129" s="32" t="n">
        <v>62.25</v>
      </c>
      <c r="J129" s="32" t="n">
        <v>1.95</v>
      </c>
      <c r="K129" s="32" t="n">
        <v>3948925</v>
      </c>
      <c r="L129" s="31" t="n">
        <v>51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69.06999999999999</v>
      </c>
      <c r="P129" s="32" t="n">
        <v>18.04</v>
      </c>
      <c r="Q129" s="32" t="n">
        <v>47.58</v>
      </c>
      <c r="R129" s="31" t="inlineStr">
        <is>
          <t>Volume Spike &amp; Near 52W High Breakout</t>
        </is>
      </c>
      <c r="S129" s="31" t="inlineStr">
        <is>
          <t>Nifty 50</t>
        </is>
      </c>
      <c r="T129" s="32" t="n">
        <v>-3.75</v>
      </c>
      <c r="U129" s="32" t="n">
        <v>5.33</v>
      </c>
      <c r="V129" s="32" t="n">
        <v>9.43</v>
      </c>
      <c r="W129" s="32" t="n">
        <v>10.18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0 to 20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Between 12 to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IF(B130=0,"",RANK(B130,$B$2:$B$372,0))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NYKAA</t>
        </is>
      </c>
      <c r="D130" s="31" t="inlineStr">
        <is>
          <t>FSN E-Commerce Ventures Ltd</t>
        </is>
      </c>
      <c r="E130" s="31" t="inlineStr">
        <is>
          <t>i.t</t>
        </is>
      </c>
      <c r="F130" s="31" t="inlineStr">
        <is>
          <t>trading</t>
        </is>
      </c>
      <c r="G130" s="31" t="inlineStr">
        <is>
          <t>largecap</t>
        </is>
      </c>
      <c r="H130" s="32" t="n">
        <v>92782.88</v>
      </c>
      <c r="I130" s="32" t="n">
        <v>330.1</v>
      </c>
      <c r="J130" s="32" t="n">
        <v>1.87</v>
      </c>
      <c r="K130" s="32" t="n">
        <v>10556295</v>
      </c>
      <c r="L130" s="31" t="n">
        <v>66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74</v>
      </c>
      <c r="P130" s="32" t="n">
        <v>30</v>
      </c>
      <c r="Q130" s="32" t="n">
        <v>278.19</v>
      </c>
      <c r="R130" s="31" t="inlineStr">
        <is>
          <t>Near 52W High Breakout</t>
        </is>
      </c>
      <c r="S130" s="31" t="inlineStr">
        <is>
          <t>Nifty IT</t>
        </is>
      </c>
      <c r="T130" s="32" t="n">
        <v>-25.69</v>
      </c>
      <c r="U130" s="32" t="n">
        <v>51.96</v>
      </c>
      <c r="V130" s="32" t="n">
        <v>104.49</v>
      </c>
      <c r="W130" s="32" t="n">
        <v>14.89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Between 0.7 to 1.2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IF(B131=0,"",RANK(B131,$B$2:$B$372,0))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COMSYN</t>
        </is>
      </c>
      <c r="D131" s="31" t="inlineStr">
        <is>
          <t>Commercial Syn Bags Ltd</t>
        </is>
      </c>
      <c r="E131" s="31" t="inlineStr">
        <is>
          <t>industrials</t>
        </is>
      </c>
      <c r="F131" s="31" t="inlineStr">
        <is>
          <t>packaging</t>
        </is>
      </c>
      <c r="G131" s="31" t="inlineStr">
        <is>
          <t>smallcap</t>
        </is>
      </c>
      <c r="H131" s="32" t="n">
        <v>769.95</v>
      </c>
      <c r="I131" s="32" t="n">
        <v>193.94</v>
      </c>
      <c r="J131" s="32" t="n">
        <v>1.61</v>
      </c>
      <c r="K131" s="32" t="n">
        <v>1825380</v>
      </c>
      <c r="L131" s="31" t="n">
        <v>64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67.98</v>
      </c>
      <c r="P131" s="32" t="n">
        <v>41.95</v>
      </c>
      <c r="Q131" s="32" t="n">
        <v>155.39</v>
      </c>
      <c r="R131" s="31" t="inlineStr">
        <is>
          <t>Volume Spike &amp; Near 52W High Breakout</t>
        </is>
      </c>
      <c r="S131" s="31" t="inlineStr">
        <is>
          <t>Nifty 50</t>
        </is>
      </c>
      <c r="T131" s="32" t="n">
        <v>-3.75</v>
      </c>
      <c r="U131" s="32" t="n">
        <v>47.58</v>
      </c>
      <c r="V131" s="32" t="n">
        <v>53.33</v>
      </c>
      <c r="W131" s="32" t="n">
        <v>14.15</v>
      </c>
      <c r="X131" s="31" t="inlineStr">
        <is>
          <t>Cyclical in an Upturn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Between 0.7 to 1.2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IF(B132=0,"",RANK(B132,$B$2:$B$372,0))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SPECTRUM</t>
        </is>
      </c>
      <c r="D132" s="31" t="inlineStr">
        <is>
          <t>Spectrum Electrical Industries Ltd</t>
        </is>
      </c>
      <c r="E132" s="31" t="inlineStr">
        <is>
          <t>industrials</t>
        </is>
      </c>
      <c r="F132" s="31" t="inlineStr">
        <is>
          <t>electric equipment</t>
        </is>
      </c>
      <c r="G132" s="31" t="inlineStr">
        <is>
          <t>smallcap</t>
        </is>
      </c>
      <c r="H132" s="32" t="n">
        <v>2996.63</v>
      </c>
      <c r="I132" s="32" t="n">
        <v>1930</v>
      </c>
      <c r="J132" s="32" t="n">
        <v>1.21</v>
      </c>
      <c r="K132" s="32" t="n">
        <v>13717</v>
      </c>
      <c r="L132" s="31" t="n">
        <v>75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66.81999999999999</v>
      </c>
      <c r="P132" s="32" t="n">
        <v>33.8</v>
      </c>
      <c r="Q132" s="32" t="n">
        <v>1299.41</v>
      </c>
      <c r="R132" s="31" t="inlineStr">
        <is>
          <t>Volume Spike &amp; Near 52W High Breakout</t>
        </is>
      </c>
      <c r="S132" s="31" t="inlineStr">
        <is>
          <t>Nifty 50</t>
        </is>
      </c>
      <c r="T132" s="32" t="n">
        <v>-3.75</v>
      </c>
      <c r="U132" s="32" t="n">
        <v>22.97</v>
      </c>
      <c r="V132" s="32" t="n">
        <v>27.76</v>
      </c>
      <c r="W132" s="32" t="n">
        <v>18.75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IF(B133=0,"",RANK(B133,$B$2:$B$372,0))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YASHO</t>
        </is>
      </c>
      <c r="D133" s="31" t="inlineStr">
        <is>
          <t>Yasho Industries Ltd</t>
        </is>
      </c>
      <c r="E133" s="31" t="inlineStr">
        <is>
          <t>chemicals</t>
        </is>
      </c>
      <c r="F133" s="31" t="inlineStr">
        <is>
          <t>chemicals</t>
        </is>
      </c>
      <c r="G133" s="31" t="inlineStr">
        <is>
          <t>smallcap</t>
        </is>
      </c>
      <c r="H133" s="32" t="n">
        <v>3623.16</v>
      </c>
      <c r="I133" s="32" t="n">
        <v>3041</v>
      </c>
      <c r="J133" s="32" t="n">
        <v>1.2</v>
      </c>
      <c r="K133" s="32" t="n">
        <v>10997</v>
      </c>
      <c r="L133" s="31" t="n">
        <v>93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84.93000000000001</v>
      </c>
      <c r="P133" s="32" t="n">
        <v>40.49</v>
      </c>
      <c r="Q133" s="32" t="n">
        <v>2257.68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-3.75</v>
      </c>
      <c r="U133" s="32" t="n">
        <v>52.48</v>
      </c>
      <c r="V133" s="32" t="n">
        <v>58.42</v>
      </c>
      <c r="W133" s="32" t="n">
        <v>37.32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More than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IF(B134=0,"",RANK(B134,$B$2:$B$372,0))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MUNJALAU</t>
        </is>
      </c>
      <c r="D134" s="31" t="inlineStr">
        <is>
          <t>Munjal Auto Industries Limited</t>
        </is>
      </c>
      <c r="E134" s="31" t="inlineStr">
        <is>
          <t>auto</t>
        </is>
      </c>
      <c r="F134" s="31" t="inlineStr">
        <is>
          <t>auto ancillaries</t>
        </is>
      </c>
      <c r="G134" s="31" t="inlineStr">
        <is>
          <t>smallcap</t>
        </is>
      </c>
      <c r="H134" s="32" t="n">
        <v>1006.7</v>
      </c>
      <c r="I134" s="32" t="n">
        <v>101.33</v>
      </c>
      <c r="J134" s="32" t="n">
        <v>0.66</v>
      </c>
      <c r="K134" s="32" t="n">
        <v>399503</v>
      </c>
      <c r="L134" s="31" t="n">
        <v>58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67.09</v>
      </c>
      <c r="P134" s="32" t="n">
        <v>32.98</v>
      </c>
      <c r="Q134" s="32" t="n">
        <v>73.55</v>
      </c>
      <c r="R134" s="31" t="inlineStr">
        <is>
          <t>Volume Spike &amp; Near 52W High Breakout</t>
        </is>
      </c>
      <c r="S134" s="31" t="inlineStr">
        <is>
          <t>Nifty Auto</t>
        </is>
      </c>
      <c r="T134" s="32" t="n">
        <v>14.33</v>
      </c>
      <c r="U134" s="32" t="n">
        <v>30.41</v>
      </c>
      <c r="V134" s="32" t="n">
        <v>14.07</v>
      </c>
      <c r="W134" s="32" t="n">
        <v>12.61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Less than 50%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Between 0.7 to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IF(B135=0,"",RANK(B135,$B$2:$B$372,0))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AVL</t>
        </is>
      </c>
      <c r="D135" s="31" t="inlineStr">
        <is>
          <t>Aditya Vision Ltd</t>
        </is>
      </c>
      <c r="E135" s="31" t="inlineStr">
        <is>
          <t>consumer discretionary</t>
        </is>
      </c>
      <c r="F135" s="31" t="inlineStr">
        <is>
          <t>trading</t>
        </is>
      </c>
      <c r="G135" s="31" t="inlineStr">
        <is>
          <t>midcap</t>
        </is>
      </c>
      <c r="H135" s="32" t="n">
        <v>8164.75</v>
      </c>
      <c r="I135" s="32" t="n">
        <v>635.8</v>
      </c>
      <c r="J135" s="32" t="n">
        <v>0.5600000000000001</v>
      </c>
      <c r="K135" s="32" t="n">
        <v>133416</v>
      </c>
      <c r="L135" s="31" t="n">
        <v>80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66.22</v>
      </c>
      <c r="P135" s="32" t="n">
        <v>34.02</v>
      </c>
      <c r="Q135" s="32" t="n">
        <v>517.97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-3.75</v>
      </c>
      <c r="U135" s="32" t="n">
        <v>78.5</v>
      </c>
      <c r="V135" s="32" t="n">
        <v>85.45</v>
      </c>
      <c r="W135" s="32" t="n">
        <v>21.44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Between 1.5 to 2</t>
        </is>
      </c>
      <c r="BU135" s="31">
        <f>IF(BT135="Above 2",0,IF(BT135="Between 1.5 to 2",5,IF(BT135="Less than 1.5",10,0)))</f>
        <v/>
      </c>
      <c r="BV135" s="31" t="inlineStr">
        <is>
          <t>Less than 50%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Between 0.7 to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IF(B136=0,"",RANK(B136,$B$2:$B$372,0))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PIDILITIND</t>
        </is>
      </c>
      <c r="D136" s="31" t="inlineStr">
        <is>
          <t>Pidilite Industries Limited</t>
        </is>
      </c>
      <c r="E136" s="31" t="inlineStr">
        <is>
          <t>chemicals</t>
        </is>
      </c>
      <c r="F136" s="31" t="inlineStr">
        <is>
          <t>chemicals</t>
        </is>
      </c>
      <c r="G136" s="31" t="inlineStr">
        <is>
          <t>largecap</t>
        </is>
      </c>
      <c r="H136" s="32" t="n">
        <v>161865.55</v>
      </c>
      <c r="I136" s="32" t="n">
        <v>1598.5</v>
      </c>
      <c r="J136" s="32" t="n">
        <v>0.51</v>
      </c>
      <c r="K136" s="32" t="n">
        <v>738374</v>
      </c>
      <c r="L136" s="31" t="n">
        <v>25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67.3</v>
      </c>
      <c r="P136" s="32" t="n">
        <v>19.74</v>
      </c>
      <c r="Q136" s="32" t="n">
        <v>1393.94</v>
      </c>
      <c r="R136" s="31" t="inlineStr">
        <is>
          <t>Near 52W High Breakout</t>
        </is>
      </c>
      <c r="S136" s="31" t="inlineStr">
        <is>
          <t>Nifty 500</t>
        </is>
      </c>
      <c r="T136" s="32" t="n">
        <v>0.28</v>
      </c>
      <c r="U136" s="32" t="n">
        <v>7.27</v>
      </c>
      <c r="V136" s="32" t="n">
        <v>6.97</v>
      </c>
      <c r="W136" s="32" t="n">
        <v>5.33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0 to 20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Between 1.5 to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IF(B137=0,"",RANK(B137,$B$2:$B$372,0))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RPEL</t>
        </is>
      </c>
      <c r="D137" s="31" t="inlineStr">
        <is>
          <t>Raghav Productivity Enhancers Ltd</t>
        </is>
      </c>
      <c r="E137" s="31" t="inlineStr">
        <is>
          <t>building materials</t>
        </is>
      </c>
      <c r="F137" s="31" t="inlineStr">
        <is>
          <t>refractories / intermediates</t>
        </is>
      </c>
      <c r="G137" s="31" t="inlineStr">
        <is>
          <t>midcap</t>
        </is>
      </c>
      <c r="H137" s="32" t="n">
        <v>5919.34</v>
      </c>
      <c r="I137" s="32" t="n">
        <v>1294</v>
      </c>
      <c r="J137" s="32" t="n">
        <v>0.39</v>
      </c>
      <c r="K137" s="32" t="n">
        <v>35762</v>
      </c>
      <c r="L137" s="31" t="n">
        <v>92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78.65000000000001</v>
      </c>
      <c r="P137" s="32" t="n">
        <v>36.58</v>
      </c>
      <c r="Q137" s="32" t="n">
        <v>1008.34</v>
      </c>
      <c r="R137" s="31" t="inlineStr">
        <is>
          <t>Near 52W High Breakout</t>
        </is>
      </c>
      <c r="S137" s="31" t="inlineStr">
        <is>
          <t>Nifty Infra</t>
        </is>
      </c>
      <c r="T137" s="32" t="n">
        <v>1.87</v>
      </c>
      <c r="U137" s="32" t="n">
        <v>88.78</v>
      </c>
      <c r="V137" s="32" t="n">
        <v>85.31999999999999</v>
      </c>
      <c r="W137" s="32" t="n">
        <v>35.45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Above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Less than 50%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IF(B138=0,"",RANK(B138,$B$2:$B$372,0))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RBZJEWEL</t>
        </is>
      </c>
      <c r="D138" s="31" t="inlineStr">
        <is>
          <t>RBZ Jewellers Ltd</t>
        </is>
      </c>
      <c r="E138" s="31" t="inlineStr">
        <is>
          <t>consumer discretionary</t>
        </is>
      </c>
      <c r="F138" s="31" t="inlineStr">
        <is>
          <t>diamond cutting / jewellery</t>
        </is>
      </c>
      <c r="G138" s="31" t="inlineStr">
        <is>
          <t>smallcap</t>
        </is>
      </c>
      <c r="H138" s="32" t="n">
        <v>614.84</v>
      </c>
      <c r="I138" s="32" t="n">
        <v>154.24</v>
      </c>
      <c r="J138" s="32" t="n">
        <v>0.34</v>
      </c>
      <c r="K138" s="32" t="n">
        <v>367679</v>
      </c>
      <c r="L138" s="31" t="n">
        <v>21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59.11</v>
      </c>
      <c r="P138" s="32" t="n">
        <v>24.43</v>
      </c>
      <c r="Q138" s="32" t="n">
        <v>109.01</v>
      </c>
      <c r="R138" s="31" t="inlineStr">
        <is>
          <t>Volume Spike &amp; Near 52W High Breakout</t>
        </is>
      </c>
      <c r="S138" s="31" t="inlineStr">
        <is>
          <t>Nifty 50</t>
        </is>
      </c>
      <c r="T138" s="32" t="n">
        <v>-3.75</v>
      </c>
      <c r="U138" s="32" t="n">
        <v>10.78</v>
      </c>
      <c r="V138" s="32" t="n">
        <v>15.1</v>
      </c>
      <c r="W138" s="32" t="n">
        <v>4.47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Negative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IF(B139=0,"",RANK(B139,$B$2:$B$372,0))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KAJARIACER</t>
        </is>
      </c>
      <c r="D139" s="31" t="inlineStr">
        <is>
          <t>Kajaria Ceramics Limited</t>
        </is>
      </c>
      <c r="E139" s="31" t="inlineStr">
        <is>
          <t>building materials</t>
        </is>
      </c>
      <c r="F139" s="31" t="inlineStr">
        <is>
          <t>ceramics - tiles / sanitaryware</t>
        </is>
      </c>
      <c r="G139" s="31" t="inlineStr">
        <is>
          <t>midcap</t>
        </is>
      </c>
      <c r="H139" s="32" t="n">
        <v>19351.58</v>
      </c>
      <c r="I139" s="32" t="n">
        <v>1218</v>
      </c>
      <c r="J139" s="32" t="n">
        <v>0.25</v>
      </c>
      <c r="K139" s="32" t="n">
        <v>160692</v>
      </c>
      <c r="L139" s="31" t="n">
        <v>15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64.73999999999999</v>
      </c>
      <c r="P139" s="32" t="n">
        <v>21.76</v>
      </c>
      <c r="Q139" s="32" t="n">
        <v>1003.62</v>
      </c>
      <c r="R139" s="31" t="inlineStr">
        <is>
          <t>Earnings / Momentum Support</t>
        </is>
      </c>
      <c r="S139" s="31" t="inlineStr">
        <is>
          <t>Nifty Infra</t>
        </is>
      </c>
      <c r="T139" s="32" t="n">
        <v>1.87</v>
      </c>
      <c r="U139" s="32" t="n">
        <v>4.3</v>
      </c>
      <c r="V139" s="32" t="n">
        <v>2.39</v>
      </c>
      <c r="W139" s="32" t="n">
        <v>3.26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IF(B140=0,"",RANK(B140,$B$2:$B$372,0))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HONASA</t>
        </is>
      </c>
      <c r="D140" s="31" t="inlineStr">
        <is>
          <t>Honasa Consumer Ltd</t>
        </is>
      </c>
      <c r="E140" s="31" t="inlineStr">
        <is>
          <t>services</t>
        </is>
      </c>
      <c r="F140" s="31" t="inlineStr">
        <is>
          <t>trading</t>
        </is>
      </c>
      <c r="G140" s="31" t="inlineStr">
        <is>
          <t>midcap</t>
        </is>
      </c>
      <c r="H140" s="32" t="n">
        <v>15344.44</v>
      </c>
      <c r="I140" s="32" t="n">
        <v>472.1</v>
      </c>
      <c r="J140" s="32" t="n">
        <v>0.11</v>
      </c>
      <c r="K140" s="32" t="n">
        <v>1069474</v>
      </c>
      <c r="L140" s="31" t="n">
        <v>74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82.75</v>
      </c>
      <c r="P140" s="32" t="n">
        <v>46.87</v>
      </c>
      <c r="Q140" s="32" t="n">
        <v>384.96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-3.75</v>
      </c>
      <c r="U140" s="32" t="n">
        <v>60.44</v>
      </c>
      <c r="V140" s="32" t="n">
        <v>66.69</v>
      </c>
      <c r="W140" s="32" t="n">
        <v>18.25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Between 50% to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IF(B141=0,"",RANK(B141,$B$2:$B$372,0))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SKYGOLD</t>
        </is>
      </c>
      <c r="D141" s="31" t="inlineStr">
        <is>
          <t>Sky Gold Ltd</t>
        </is>
      </c>
      <c r="E141" s="31" t="inlineStr">
        <is>
          <t>consumer discretionary</t>
        </is>
      </c>
      <c r="F141" s="31" t="inlineStr">
        <is>
          <t>diamond cutting / jewellery</t>
        </is>
      </c>
      <c r="G141" s="31" t="inlineStr">
        <is>
          <t>midcap</t>
        </is>
      </c>
      <c r="H141" s="32" t="n">
        <v>9653.290000000001</v>
      </c>
      <c r="I141" s="32" t="n">
        <v>623.85</v>
      </c>
      <c r="J141" s="32" t="n">
        <v>0.09</v>
      </c>
      <c r="K141" s="32" t="n">
        <v>1634612</v>
      </c>
      <c r="L141" s="31" t="n">
        <v>88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72.73999999999999</v>
      </c>
      <c r="P141" s="32" t="n">
        <v>50.39</v>
      </c>
      <c r="Q141" s="32" t="n">
        <v>454.87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-3.75</v>
      </c>
      <c r="U141" s="32" t="n">
        <v>96.86</v>
      </c>
      <c r="V141" s="32" t="n">
        <v>104.53</v>
      </c>
      <c r="W141" s="32" t="n">
        <v>28.49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Negative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Between 0.7 to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IF(B142=0,"",RANK(B142,$B$2:$B$372,0))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WELENT</t>
        </is>
      </c>
      <c r="D142" s="31" t="inlineStr">
        <is>
          <t>Welspun Enterprises Limited</t>
        </is>
      </c>
      <c r="E142" s="31" t="inlineStr">
        <is>
          <t>realty</t>
        </is>
      </c>
      <c r="F142" s="31" t="inlineStr">
        <is>
          <t>construction</t>
        </is>
      </c>
      <c r="G142" s="31" t="inlineStr">
        <is>
          <t>midcap</t>
        </is>
      </c>
      <c r="H142" s="32" t="n">
        <v>8498.610000000001</v>
      </c>
      <c r="I142" s="32" t="n">
        <v>614</v>
      </c>
      <c r="J142" s="32" t="n">
        <v>0</v>
      </c>
      <c r="K142" s="32" t="n">
        <v>612395</v>
      </c>
      <c r="L142" s="31" t="n">
        <v>59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72.55</v>
      </c>
      <c r="P142" s="32" t="n">
        <v>16.5</v>
      </c>
      <c r="Q142" s="32" t="n">
        <v>491.8</v>
      </c>
      <c r="R142" s="31" t="inlineStr">
        <is>
          <t>Near 52W High Breakout</t>
        </is>
      </c>
      <c r="S142" s="31" t="inlineStr">
        <is>
          <t>Nifty Realty</t>
        </is>
      </c>
      <c r="T142" s="32" t="n">
        <v>-2.52</v>
      </c>
      <c r="U142" s="32" t="n">
        <v>20.38</v>
      </c>
      <c r="V142" s="32" t="n">
        <v>23.5</v>
      </c>
      <c r="W142" s="32" t="n">
        <v>12.98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0 to 20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Less than 50%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IF(B143=0,"",RANK(B143,$B$2:$B$372,0))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THELEELA</t>
        </is>
      </c>
      <c r="D143" s="31" t="inlineStr">
        <is>
          <t>Leela Palaces Hotels &amp; Resorts Ltd</t>
        </is>
      </c>
      <c r="E143" s="31" t="inlineStr">
        <is>
          <t>services</t>
        </is>
      </c>
      <c r="F143" s="31" t="inlineStr">
        <is>
          <t>hotels</t>
        </is>
      </c>
      <c r="G143" s="31" t="inlineStr">
        <is>
          <t>midcap</t>
        </is>
      </c>
      <c r="H143" s="32" t="n">
        <v>16717.93</v>
      </c>
      <c r="I143" s="32" t="n">
        <v>500</v>
      </c>
      <c r="J143" s="32" t="n">
        <v>-0.12</v>
      </c>
      <c r="K143" s="32" t="n">
        <v>325109</v>
      </c>
      <c r="L143" s="31" t="n">
        <v>32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65.19</v>
      </c>
      <c r="P143" s="32" t="n">
        <v>15.94</v>
      </c>
      <c r="Q143" s="32" t="n">
        <v>407.93</v>
      </c>
      <c r="R143" s="31" t="inlineStr">
        <is>
          <t>Near 52W High Breakout</t>
        </is>
      </c>
      <c r="S143" s="31" t="inlineStr">
        <is>
          <t>Nifty 50</t>
        </is>
      </c>
      <c r="T143" s="32" t="n">
        <v>-3.75</v>
      </c>
      <c r="U143" s="32" t="n">
        <v>15.21</v>
      </c>
      <c r="V143" s="32" t="n">
        <v>19.7</v>
      </c>
      <c r="W143" s="32" t="n">
        <v>6.45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0 to 20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Between 1.5 to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IF(B144=0,"",RANK(B144,$B$2:$B$372,0))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GABRIEL</t>
        </is>
      </c>
      <c r="D144" s="31" t="inlineStr">
        <is>
          <t>Gabriel India Limited</t>
        </is>
      </c>
      <c r="E144" s="31" t="inlineStr">
        <is>
          <t>auto</t>
        </is>
      </c>
      <c r="F144" s="31" t="inlineStr">
        <is>
          <t>auto ancillaries</t>
        </is>
      </c>
      <c r="G144" s="31" t="inlineStr">
        <is>
          <t>largecap</t>
        </is>
      </c>
      <c r="H144" s="32" t="n">
        <v>22226.42</v>
      </c>
      <c r="I144" s="32" t="n">
        <v>1250.8</v>
      </c>
      <c r="J144" s="32" t="n">
        <v>-0.26</v>
      </c>
      <c r="K144" s="32" t="n">
        <v>174472</v>
      </c>
      <c r="L144" s="31" t="n">
        <v>55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64.3</v>
      </c>
      <c r="P144" s="32" t="n">
        <v>22.76</v>
      </c>
      <c r="Q144" s="32" t="n">
        <v>968.35</v>
      </c>
      <c r="R144" s="31" t="inlineStr">
        <is>
          <t>Near 52W High Breakout</t>
        </is>
      </c>
      <c r="S144" s="31" t="inlineStr">
        <is>
          <t>Nifty Auto</t>
        </is>
      </c>
      <c r="T144" s="32" t="n">
        <v>14.33</v>
      </c>
      <c r="U144" s="32" t="n">
        <v>15.96</v>
      </c>
      <c r="V144" s="32" t="n">
        <v>1.42</v>
      </c>
      <c r="W144" s="32" t="n">
        <v>11.64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IF(B145=0,"",RANK(B145,$B$2:$B$372,0))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RAMCOIND</t>
        </is>
      </c>
      <c r="D145" s="31" t="inlineStr">
        <is>
          <t>Ramco Industries Limited</t>
        </is>
      </c>
      <c r="E145" s="31" t="inlineStr">
        <is>
          <t>building materials</t>
        </is>
      </c>
      <c r="F145" s="31" t="inlineStr">
        <is>
          <t>cement products</t>
        </is>
      </c>
      <c r="G145" s="31" t="inlineStr">
        <is>
          <t>smallcap</t>
        </is>
      </c>
      <c r="H145" s="32" t="n">
        <v>3204.45</v>
      </c>
      <c r="I145" s="32" t="n">
        <v>367.75</v>
      </c>
      <c r="J145" s="32" t="n">
        <v>-0.34</v>
      </c>
      <c r="K145" s="32" t="n">
        <v>342359</v>
      </c>
      <c r="L145" s="31" t="n">
        <v>66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67.69</v>
      </c>
      <c r="P145" s="32" t="n">
        <v>23.6</v>
      </c>
      <c r="Q145" s="32" t="n">
        <v>279.79</v>
      </c>
      <c r="R145" s="31" t="inlineStr">
        <is>
          <t>Earnings / Momentum Support</t>
        </is>
      </c>
      <c r="S145" s="31" t="inlineStr">
        <is>
          <t>Nifty Infra</t>
        </is>
      </c>
      <c r="T145" s="32" t="n">
        <v>1.87</v>
      </c>
      <c r="U145" s="32" t="n">
        <v>29.32</v>
      </c>
      <c r="V145" s="32" t="n">
        <v>26.95</v>
      </c>
      <c r="W145" s="32" t="n">
        <v>14.74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IF(B146=0,"",RANK(B146,$B$2:$B$372,0))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BOSCHLTD</t>
        </is>
      </c>
      <c r="D146" s="31" t="inlineStr">
        <is>
          <t>Bosch Limited</t>
        </is>
      </c>
      <c r="E146" s="31" t="inlineStr">
        <is>
          <t>auto</t>
        </is>
      </c>
      <c r="F146" s="31" t="inlineStr">
        <is>
          <t>auto ancillaries</t>
        </is>
      </c>
      <c r="G146" s="31" t="inlineStr">
        <is>
          <t>largecap</t>
        </is>
      </c>
      <c r="H146" s="32" t="n">
        <v>124536.89</v>
      </c>
      <c r="I146" s="32" t="n">
        <v>41760</v>
      </c>
      <c r="J146" s="32" t="n">
        <v>-1.1</v>
      </c>
      <c r="K146" s="32" t="n">
        <v>12022</v>
      </c>
      <c r="L146" s="31" t="n">
        <v>27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65.16</v>
      </c>
      <c r="P146" s="32" t="n">
        <v>24.49</v>
      </c>
      <c r="Q146" s="32" t="n">
        <v>35128</v>
      </c>
      <c r="R146" s="31" t="inlineStr">
        <is>
          <t>Near 52W High Breakout</t>
        </is>
      </c>
      <c r="S146" s="31" t="inlineStr">
        <is>
          <t>Nifty Auto</t>
        </is>
      </c>
      <c r="T146" s="32" t="n">
        <v>14.33</v>
      </c>
      <c r="U146" s="32" t="n">
        <v>16.04</v>
      </c>
      <c r="V146" s="32" t="n">
        <v>1.49</v>
      </c>
      <c r="W146" s="32" t="n">
        <v>5.57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IF(B147=0,"",RANK(B147,$B$2:$B$372,0))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PICCADIL</t>
        </is>
      </c>
      <c r="D147" s="31" t="inlineStr">
        <is>
          <t>Piccadily Agro Industries Ltd</t>
        </is>
      </c>
      <c r="E147" s="31" t="inlineStr">
        <is>
          <t>fmcg</t>
        </is>
      </c>
      <c r="F147" s="31" t="inlineStr">
        <is>
          <t>breweries &amp; distilleries</t>
        </is>
      </c>
      <c r="G147" s="31" t="inlineStr">
        <is>
          <t>midcap</t>
        </is>
      </c>
      <c r="H147" s="32" t="n">
        <v>6401.73</v>
      </c>
      <c r="I147" s="32" t="n">
        <v>671.8</v>
      </c>
      <c r="J147" s="32" t="n">
        <v>3.44</v>
      </c>
      <c r="K147" s="32" t="n">
        <v>211109</v>
      </c>
      <c r="L147" s="31" t="n">
        <v>34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63.46</v>
      </c>
      <c r="P147" s="32" t="n">
        <v>35.21</v>
      </c>
      <c r="Q147" s="32" t="n">
        <v>527.02</v>
      </c>
      <c r="R147" s="31" t="inlineStr">
        <is>
          <t>Volume Spike / Accumulation</t>
        </is>
      </c>
      <c r="S147" s="31" t="inlineStr">
        <is>
          <t>Nifty FMCG</t>
        </is>
      </c>
      <c r="T147" s="32" t="n">
        <v>-11.8</v>
      </c>
      <c r="U147" s="32" t="n">
        <v>14.42</v>
      </c>
      <c r="V147" s="32" t="n">
        <v>29.73</v>
      </c>
      <c r="W147" s="32" t="n">
        <v>6.82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B2C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Between 50% to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IF(B148=0,"",RANK(B148,$B$2:$B$372,0))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3" t="inlineStr">
        <is>
          <t>ARTEMISMED</t>
        </is>
      </c>
      <c r="D148" s="33" t="inlineStr">
        <is>
          <t>Artemis Medicare Services Ltd</t>
        </is>
      </c>
      <c r="E148" s="31" t="inlineStr">
        <is>
          <t>healthcare</t>
        </is>
      </c>
      <c r="F148" s="31" t="inlineStr">
        <is>
          <t>healthcare</t>
        </is>
      </c>
      <c r="G148" s="31" t="inlineStr">
        <is>
          <t>smallcap</t>
        </is>
      </c>
      <c r="H148" s="32" t="n">
        <v>4242.61</v>
      </c>
      <c r="I148" s="32" t="n">
        <v>277</v>
      </c>
      <c r="J148" s="32" t="n">
        <v>3.36</v>
      </c>
      <c r="K148" s="32" t="n">
        <v>325443</v>
      </c>
      <c r="L148" s="31" t="n">
        <v>33</v>
      </c>
      <c r="M148" s="31" t="inlineStr">
        <is>
          <t>Underperforming</t>
        </is>
      </c>
      <c r="N148" s="32">
        <f>IF(M148="Underperforming",-5,IF(L148&gt;=95,15,IF(L148&gt;=90,10,IF(L148&gt;=80,5,0))))</f>
        <v/>
      </c>
      <c r="O148" s="32" t="n">
        <v>61.03</v>
      </c>
      <c r="P148" s="32" t="n">
        <v>20.62</v>
      </c>
      <c r="Q148" s="32" t="n">
        <v>223.47</v>
      </c>
      <c r="R148" s="31" t="inlineStr">
        <is>
          <t>Volume Spike &amp; Near 52W High Breakout</t>
        </is>
      </c>
      <c r="S148" s="31" t="inlineStr">
        <is>
          <t>Nifty Pharma</t>
        </is>
      </c>
      <c r="T148" s="32" t="n">
        <v>15.51</v>
      </c>
      <c r="U148" s="32" t="n">
        <v>10.26</v>
      </c>
      <c r="V148" s="32" t="n">
        <v>-4.55</v>
      </c>
      <c r="W148" s="32" t="n">
        <v>6.74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Yes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IF(B149=0,"",RANK(B149,$B$2:$B$372,0))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TRIVENI</t>
        </is>
      </c>
      <c r="D149" s="31" t="inlineStr">
        <is>
          <t>Triveni Engineering &amp; Industries Limited</t>
        </is>
      </c>
      <c r="E149" s="31" t="inlineStr">
        <is>
          <t>fmcg</t>
        </is>
      </c>
      <c r="F149" s="31" t="inlineStr">
        <is>
          <t>sugar</t>
        </is>
      </c>
      <c r="G149" s="31" t="inlineStr">
        <is>
          <t>midcap</t>
        </is>
      </c>
      <c r="H149" s="32" t="n">
        <v>9960.950000000001</v>
      </c>
      <c r="I149" s="32" t="n">
        <v>462.4</v>
      </c>
      <c r="J149" s="32" t="n">
        <v>1.62</v>
      </c>
      <c r="K149" s="32" t="n">
        <v>356033</v>
      </c>
      <c r="L149" s="31" t="n">
        <v>47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68.65000000000001</v>
      </c>
      <c r="P149" s="32" t="n">
        <v>21.34</v>
      </c>
      <c r="Q149" s="32" t="n">
        <v>368.54</v>
      </c>
      <c r="R149" s="31" t="inlineStr">
        <is>
          <t>Near 52W High Breakout</t>
        </is>
      </c>
      <c r="S149" s="31" t="inlineStr">
        <is>
          <t>Nifty FMCG</t>
        </is>
      </c>
      <c r="T149" s="32" t="n">
        <v>-11.8</v>
      </c>
      <c r="U149" s="32" t="n">
        <v>27.63</v>
      </c>
      <c r="V149" s="32" t="n">
        <v>44.72</v>
      </c>
      <c r="W149" s="32" t="n">
        <v>9.460000000000001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B2C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Less than 50%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IF(B150=0,"",RANK(B150,$B$2:$B$372,0))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AJANTPHARM</t>
        </is>
      </c>
      <c r="D150" s="31" t="inlineStr">
        <is>
          <t>Ajanta Pharma Limited</t>
        </is>
      </c>
      <c r="E150" s="31" t="inlineStr">
        <is>
          <t>healthcare</t>
        </is>
      </c>
      <c r="F150" s="31" t="inlineStr">
        <is>
          <t>pharmaceuticals - indian - formulations</t>
        </is>
      </c>
      <c r="G150" s="31" t="inlineStr">
        <is>
          <t>largecap</t>
        </is>
      </c>
      <c r="H150" s="32" t="n">
        <v>41323.71</v>
      </c>
      <c r="I150" s="32" t="n">
        <v>3348.6</v>
      </c>
      <c r="J150" s="32" t="n">
        <v>1.24</v>
      </c>
      <c r="K150" s="32" t="n">
        <v>55151</v>
      </c>
      <c r="L150" s="31" t="n">
        <v>48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67.37</v>
      </c>
      <c r="P150" s="32" t="n">
        <v>37.24</v>
      </c>
      <c r="Q150" s="32" t="n">
        <v>2758.28</v>
      </c>
      <c r="R150" s="31" t="inlineStr">
        <is>
          <t>Near 52W High Breakout</t>
        </is>
      </c>
      <c r="S150" s="31" t="inlineStr">
        <is>
          <t>Nifty Pharma</t>
        </is>
      </c>
      <c r="T150" s="32" t="n">
        <v>15.51</v>
      </c>
      <c r="U150" s="32" t="n">
        <v>28.92</v>
      </c>
      <c r="V150" s="32" t="n">
        <v>11.61</v>
      </c>
      <c r="W150" s="32" t="n">
        <v>9.539999999999999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Yes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Between 12 to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Less than 50%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IF(B151=0,"",RANK(B151,$B$2:$B$372,0))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HMVL</t>
        </is>
      </c>
      <c r="D151" s="31" t="inlineStr">
        <is>
          <t>Hindustan Media Ventures Limited</t>
        </is>
      </c>
      <c r="E151" s="31" t="inlineStr">
        <is>
          <t>media</t>
        </is>
      </c>
      <c r="F151" s="31" t="inlineStr">
        <is>
          <t>entertainment / electronic media software</t>
        </is>
      </c>
      <c r="G151" s="31" t="inlineStr">
        <is>
          <t>smallcap</t>
        </is>
      </c>
      <c r="H151" s="32" t="n">
        <v>662.23</v>
      </c>
      <c r="I151" s="32" t="n">
        <v>91</v>
      </c>
      <c r="J151" s="32" t="n">
        <v>1.23</v>
      </c>
      <c r="K151" s="32" t="n">
        <v>23473</v>
      </c>
      <c r="L151" s="31" t="n">
        <v>45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70.23999999999999</v>
      </c>
      <c r="P151" s="32" t="n">
        <v>27.25</v>
      </c>
      <c r="Q151" s="32" t="n">
        <v>70.01000000000001</v>
      </c>
      <c r="R151" s="31" t="inlineStr">
        <is>
          <t>Near 52W High Breakout</t>
        </is>
      </c>
      <c r="S151" s="31" t="inlineStr">
        <is>
          <t>Nifty IT</t>
        </is>
      </c>
      <c r="T151" s="32" t="n">
        <v>-25.69</v>
      </c>
      <c r="U151" s="32" t="n">
        <v>3.01</v>
      </c>
      <c r="V151" s="32" t="n">
        <v>38.62</v>
      </c>
      <c r="W151" s="32" t="n">
        <v>8.9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Annuity, Lower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Between 50% to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IF(B152=0,"",RANK(B152,$B$2:$B$372,0))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3" t="inlineStr">
        <is>
          <t>GLENMARK</t>
        </is>
      </c>
      <c r="D152" s="33" t="inlineStr">
        <is>
          <t>Glenmark Pharmaceuticals Limited</t>
        </is>
      </c>
      <c r="E152" s="31" t="inlineStr">
        <is>
          <t>healthcare</t>
        </is>
      </c>
      <c r="F152" s="31" t="inlineStr">
        <is>
          <t>pharmaceuticals - indian - bulk drugs &amp; formln</t>
        </is>
      </c>
      <c r="G152" s="31" t="inlineStr">
        <is>
          <t>largecap</t>
        </is>
      </c>
      <c r="H152" s="32" t="n">
        <v>63980.57</v>
      </c>
      <c r="I152" s="32" t="n">
        <v>2282.9</v>
      </c>
      <c r="J152" s="32" t="n">
        <v>0.6899999999999999</v>
      </c>
      <c r="K152" s="32" t="n">
        <v>602449</v>
      </c>
      <c r="L152" s="31" t="n">
        <v>10</v>
      </c>
      <c r="M152" s="31" t="inlineStr">
        <is>
          <t>Underperforming</t>
        </is>
      </c>
      <c r="N152" s="32">
        <f>IF(M152="Underperforming",-5,IF(L152&gt;=95,15,IF(L152&gt;=90,10,IF(L152&gt;=80,5,0))))</f>
        <v/>
      </c>
      <c r="O152" s="32" t="n">
        <v>58.75</v>
      </c>
      <c r="P152" s="32" t="n">
        <v>24.65</v>
      </c>
      <c r="Q152" s="32" t="n">
        <v>2009.32</v>
      </c>
      <c r="R152" s="31" t="inlineStr">
        <is>
          <t>Earnings / Momentum Support</t>
        </is>
      </c>
      <c r="S152" s="31" t="inlineStr">
        <is>
          <t>Nifty Pharma</t>
        </is>
      </c>
      <c r="T152" s="32" t="n">
        <v>15.51</v>
      </c>
      <c r="U152" s="32" t="n">
        <v>4.92</v>
      </c>
      <c r="V152" s="32" t="n">
        <v>-9.17</v>
      </c>
      <c r="W152" s="32" t="n">
        <v>2.29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Yes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IF(B153=0,"",RANK(B153,$B$2:$B$372,0))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LALPATHLAB</t>
        </is>
      </c>
      <c r="D153" s="31" t="inlineStr">
        <is>
          <t>Dr. Lal Path Labs Ltd.</t>
        </is>
      </c>
      <c r="E153" s="31" t="inlineStr">
        <is>
          <t>healthcare</t>
        </is>
      </c>
      <c r="F153" s="31" t="inlineStr">
        <is>
          <t>healthcare</t>
        </is>
      </c>
      <c r="G153" s="31" t="inlineStr">
        <is>
          <t>largecap</t>
        </is>
      </c>
      <c r="H153" s="32" t="n">
        <v>28226.32</v>
      </c>
      <c r="I153" s="32" t="n">
        <v>1692.8</v>
      </c>
      <c r="J153" s="32" t="n">
        <v>0.49</v>
      </c>
      <c r="K153" s="32" t="n">
        <v>207596</v>
      </c>
      <c r="L153" s="31" t="n">
        <v>39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63.56</v>
      </c>
      <c r="P153" s="32" t="n">
        <v>28.54</v>
      </c>
      <c r="Q153" s="32" t="n">
        <v>1377.7</v>
      </c>
      <c r="R153" s="31" t="inlineStr">
        <is>
          <t>Near 52W High Breakout</t>
        </is>
      </c>
      <c r="S153" s="31" t="inlineStr">
        <is>
          <t>Nifty Pharma</t>
        </is>
      </c>
      <c r="T153" s="32" t="n">
        <v>15.51</v>
      </c>
      <c r="U153" s="32" t="n">
        <v>16.74</v>
      </c>
      <c r="V153" s="32" t="n">
        <v>1.06</v>
      </c>
      <c r="W153" s="32" t="n">
        <v>7.74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Yes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IF(B154=0,"",RANK(B154,$B$2:$B$372,0))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3" t="inlineStr">
        <is>
          <t>RAINBOW</t>
        </is>
      </c>
      <c r="D154" s="33" t="inlineStr">
        <is>
          <t>Rainbow Childrens Medicare Ltd</t>
        </is>
      </c>
      <c r="E154" s="31" t="inlineStr">
        <is>
          <t>healthcare</t>
        </is>
      </c>
      <c r="F154" s="31" t="inlineStr">
        <is>
          <t>healthcare</t>
        </is>
      </c>
      <c r="G154" s="31" t="inlineStr">
        <is>
          <t>midcap</t>
        </is>
      </c>
      <c r="H154" s="32" t="n">
        <v>15045.99</v>
      </c>
      <c r="I154" s="32" t="n">
        <v>1470.4</v>
      </c>
      <c r="J154" s="32" t="n">
        <v>-0.75</v>
      </c>
      <c r="K154" s="32" t="n">
        <v>67379</v>
      </c>
      <c r="L154" s="31" t="n">
        <v>14</v>
      </c>
      <c r="M154" s="31" t="inlineStr">
        <is>
          <t>Underperforming</t>
        </is>
      </c>
      <c r="N154" s="32">
        <f>IF(M154="Underperforming",-5,IF(L154&gt;=95,15,IF(L154&gt;=90,10,IF(L154&gt;=80,5,0))))</f>
        <v/>
      </c>
      <c r="O154" s="32" t="n">
        <v>66.17</v>
      </c>
      <c r="P154" s="32" t="n">
        <v>28.23</v>
      </c>
      <c r="Q154" s="32" t="n">
        <v>1230.69</v>
      </c>
      <c r="R154" s="31" t="inlineStr">
        <is>
          <t>Earnings / Momentum Support</t>
        </is>
      </c>
      <c r="S154" s="31" t="inlineStr">
        <is>
          <t>Nifty Pharma</t>
        </is>
      </c>
      <c r="T154" s="32" t="n">
        <v>15.51</v>
      </c>
      <c r="U154" s="32" t="n">
        <v>-3.72</v>
      </c>
      <c r="V154" s="32" t="n">
        <v>-16.65</v>
      </c>
      <c r="W154" s="32" t="n">
        <v>3.24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Yes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IF(B155=0,"",RANK(B155,$B$2:$B$372,0))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GREAVESCOT</t>
        </is>
      </c>
      <c r="D155" s="31" t="inlineStr">
        <is>
          <t>Greaves Cotton Limited</t>
        </is>
      </c>
      <c r="E155" s="31" t="inlineStr">
        <is>
          <t>industrials</t>
        </is>
      </c>
      <c r="F155" s="31" t="inlineStr">
        <is>
          <t>engines</t>
        </is>
      </c>
      <c r="G155" s="31" t="inlineStr">
        <is>
          <t>midcap</t>
        </is>
      </c>
      <c r="H155" s="32" t="n">
        <v>5525.24</v>
      </c>
      <c r="I155" s="32" t="n">
        <v>263.6</v>
      </c>
      <c r="J155" s="32" t="n">
        <v>11.12</v>
      </c>
      <c r="K155" s="32" t="n">
        <v>20117335</v>
      </c>
      <c r="L155" s="31" t="n">
        <v>85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76.75</v>
      </c>
      <c r="P155" s="32" t="n">
        <v>21.44</v>
      </c>
      <c r="Q155" s="32" t="n">
        <v>204.72</v>
      </c>
      <c r="R155" s="31" t="inlineStr">
        <is>
          <t>Volume Spike &amp; Near 52W High Breakout</t>
        </is>
      </c>
      <c r="S155" s="31" t="inlineStr">
        <is>
          <t>Nifty 50</t>
        </is>
      </c>
      <c r="T155" s="32" t="n">
        <v>-3.75</v>
      </c>
      <c r="U155" s="32" t="n">
        <v>32.22</v>
      </c>
      <c r="V155" s="32" t="n">
        <v>37.37</v>
      </c>
      <c r="W155" s="32" t="n">
        <v>24.85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IF(B156=0,"",RANK(B156,$B$2:$B$372,0))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CCAVENUE</t>
        </is>
      </c>
      <c r="D156" s="31" t="inlineStr">
        <is>
          <t>AvenuesAI Ltd</t>
        </is>
      </c>
      <c r="E156" s="31" t="inlineStr">
        <is>
          <t>i.t</t>
        </is>
      </c>
      <c r="F156" s="31" t="inlineStr">
        <is>
          <t>miscellaneous</t>
        </is>
      </c>
      <c r="G156" s="31" t="inlineStr">
        <is>
          <t>midcap</t>
        </is>
      </c>
      <c r="H156" s="32" t="n">
        <v>5985.87</v>
      </c>
      <c r="I156" s="32" t="n">
        <v>18.1</v>
      </c>
      <c r="J156" s="32" t="n">
        <v>5.72</v>
      </c>
      <c r="K156" s="32" t="n">
        <v>57116453</v>
      </c>
      <c r="L156" s="31" t="n">
        <v>33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63.13</v>
      </c>
      <c r="P156" s="32" t="n">
        <v>14.58</v>
      </c>
      <c r="Q156" s="32" t="n">
        <v>13.65</v>
      </c>
      <c r="R156" s="31" t="inlineStr">
        <is>
          <t>Earnings / Momentum Support</t>
        </is>
      </c>
      <c r="S156" s="31" t="inlineStr">
        <is>
          <t>Nifty IT</t>
        </is>
      </c>
      <c r="T156" s="32" t="n">
        <v>-25.69</v>
      </c>
      <c r="U156" s="32" t="n">
        <v>9.17</v>
      </c>
      <c r="V156" s="32" t="n">
        <v>46.91</v>
      </c>
      <c r="W156" s="32" t="n">
        <v>6.78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0 to 20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IF(B157=0,"",RANK(B157,$B$2:$B$372,0))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SIGMAADV</t>
        </is>
      </c>
      <c r="D157" s="31" t="inlineStr">
        <is>
          <t>Sigma Advanced System Ltd</t>
        </is>
      </c>
      <c r="E157" s="31" t="inlineStr">
        <is>
          <t>aerospace &amp; defence</t>
        </is>
      </c>
      <c r="F157" s="31" t="inlineStr">
        <is>
          <t>electronics - components</t>
        </is>
      </c>
      <c r="G157" s="31" t="inlineStr">
        <is>
          <t>midcap</t>
        </is>
      </c>
      <c r="H157" s="32" t="n">
        <v>9835.059999999999</v>
      </c>
      <c r="I157" s="32" t="n">
        <v>582.65</v>
      </c>
      <c r="J157" s="32" t="n">
        <v>4.41</v>
      </c>
      <c r="K157" s="32" t="n">
        <v>1121568</v>
      </c>
      <c r="L157" s="31" t="n">
        <v>99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78.92</v>
      </c>
      <c r="P157" s="32" t="n">
        <v>59.31</v>
      </c>
      <c r="Q157" s="32" t="n">
        <v>459.96</v>
      </c>
      <c r="R157" s="31" t="inlineStr">
        <is>
          <t>Earnings / Momentum Support</t>
        </is>
      </c>
      <c r="S157" s="31" t="inlineStr">
        <is>
          <t>Nifty 50</t>
        </is>
      </c>
      <c r="T157" s="32" t="n">
        <v>-3.75</v>
      </c>
      <c r="U157" s="32" t="n">
        <v>497.71</v>
      </c>
      <c r="V157" s="32" t="n">
        <v>521</v>
      </c>
      <c r="W157" s="32" t="n">
        <v>105.36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Negative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Between 0.7 to 1.2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IF(B158=0,"",RANK(B158,$B$2:$B$372,0))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SOTL</t>
        </is>
      </c>
      <c r="D158" s="31" t="inlineStr">
        <is>
          <t>Savita Oil Technologies Limited</t>
        </is>
      </c>
      <c r="E158" s="31" t="inlineStr">
        <is>
          <t>energy</t>
        </is>
      </c>
      <c r="F158" s="31" t="inlineStr">
        <is>
          <t>petrochemicals</t>
        </is>
      </c>
      <c r="G158" s="31" t="inlineStr">
        <is>
          <t>smallcap</t>
        </is>
      </c>
      <c r="H158" s="32" t="n">
        <v>3988.84</v>
      </c>
      <c r="I158" s="32" t="n">
        <v>607.45</v>
      </c>
      <c r="J158" s="32" t="n">
        <v>4.41</v>
      </c>
      <c r="K158" s="32" t="n">
        <v>717523</v>
      </c>
      <c r="L158" s="31" t="n">
        <v>86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69.84999999999999</v>
      </c>
      <c r="P158" s="32" t="n">
        <v>33.79</v>
      </c>
      <c r="Q158" s="32" t="n">
        <v>446.66</v>
      </c>
      <c r="R158" s="31" t="inlineStr">
        <is>
          <t>Near 52W High Breakout</t>
        </is>
      </c>
      <c r="S158" s="31" t="inlineStr">
        <is>
          <t>Nifty Energy</t>
        </is>
      </c>
      <c r="T158" s="32" t="n">
        <v>8.710000000000001</v>
      </c>
      <c r="U158" s="32" t="n">
        <v>43.59</v>
      </c>
      <c r="V158" s="32" t="n">
        <v>32.08</v>
      </c>
      <c r="W158" s="32" t="n">
        <v>26.66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Oligopoly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Cyclical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Volatile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Between 50% to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IF(B159=0,"",RANK(B159,$B$2:$B$372,0))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ADANIGREEN</t>
        </is>
      </c>
      <c r="D159" s="31" t="inlineStr">
        <is>
          <t>Adani Green Energy Ltd</t>
        </is>
      </c>
      <c r="E159" s="31" t="inlineStr">
        <is>
          <t>power &amp; utilities</t>
        </is>
      </c>
      <c r="F159" s="31" t="inlineStr">
        <is>
          <t>power generation and supply</t>
        </is>
      </c>
      <c r="G159" s="31" t="inlineStr">
        <is>
          <t>largecap</t>
        </is>
      </c>
      <c r="H159" s="32" t="n">
        <v>244869.21</v>
      </c>
      <c r="I159" s="32" t="n">
        <v>1536.6</v>
      </c>
      <c r="J159" s="32" t="n">
        <v>3.36</v>
      </c>
      <c r="K159" s="32" t="n">
        <v>2070226</v>
      </c>
      <c r="L159" s="31" t="n">
        <v>74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73.06</v>
      </c>
      <c r="P159" s="32" t="n">
        <v>49.64</v>
      </c>
      <c r="Q159" s="32" t="n">
        <v>1248.72</v>
      </c>
      <c r="R159" s="31" t="inlineStr">
        <is>
          <t>Near 52W High Breakout</t>
        </is>
      </c>
      <c r="S159" s="31" t="inlineStr">
        <is>
          <t>Nifty IT</t>
        </is>
      </c>
      <c r="T159" s="32" t="n">
        <v>-25.69</v>
      </c>
      <c r="U159" s="32" t="n">
        <v>54.4</v>
      </c>
      <c r="V159" s="32" t="n">
        <v>107.78</v>
      </c>
      <c r="W159" s="32" t="n">
        <v>18.74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Above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More than 1.2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IF(B160=0,"",RANK(B160,$B$2:$B$372,0))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SWANDEF</t>
        </is>
      </c>
      <c r="D160" s="31" t="inlineStr">
        <is>
          <t>Swan Defence and Heavy Industries Ltd</t>
        </is>
      </c>
      <c r="E160" s="31" t="inlineStr">
        <is>
          <t>transportation</t>
        </is>
      </c>
      <c r="F160" s="31" t="inlineStr">
        <is>
          <t>miscellaneous</t>
        </is>
      </c>
      <c r="G160" s="31" t="inlineStr">
        <is>
          <t>midcap</t>
        </is>
      </c>
      <c r="H160" s="32" t="n">
        <v>11387.25</v>
      </c>
      <c r="I160" s="32" t="n">
        <v>2233</v>
      </c>
      <c r="J160" s="32" t="n">
        <v>3.31</v>
      </c>
      <c r="K160" s="32" t="n">
        <v>67117</v>
      </c>
      <c r="L160" s="31" t="n">
        <v>99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64.78</v>
      </c>
      <c r="P160" s="32" t="n">
        <v>44.41</v>
      </c>
      <c r="Q160" s="32" t="n">
        <v>1782.38</v>
      </c>
      <c r="R160" s="31" t="inlineStr">
        <is>
          <t>Earnings / Momentum Support</t>
        </is>
      </c>
      <c r="S160" s="31" t="inlineStr">
        <is>
          <t>Nifty 50</t>
        </is>
      </c>
      <c r="T160" s="32" t="n">
        <v>-3.75</v>
      </c>
      <c r="U160" s="32" t="n">
        <v>703.84</v>
      </c>
      <c r="V160" s="32" t="n">
        <v>735.16</v>
      </c>
      <c r="W160" s="32" t="n">
        <v>72.43000000000001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Negative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More than 1.2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IF(B161=0,"",RANK(B161,$B$2:$B$372,0))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OBEROIRLTY</t>
        </is>
      </c>
      <c r="D161" s="31" t="inlineStr">
        <is>
          <t>Oberoi Realty Limited</t>
        </is>
      </c>
      <c r="E161" s="31" t="inlineStr">
        <is>
          <t>realty</t>
        </is>
      </c>
      <c r="F161" s="31" t="inlineStr">
        <is>
          <t>construction</t>
        </is>
      </c>
      <c r="G161" s="31" t="inlineStr">
        <is>
          <t>largecap</t>
        </is>
      </c>
      <c r="H161" s="32" t="n">
        <v>68109.97</v>
      </c>
      <c r="I161" s="32" t="n">
        <v>1924.8</v>
      </c>
      <c r="J161" s="32" t="n">
        <v>2.75</v>
      </c>
      <c r="K161" s="32" t="n">
        <v>752700</v>
      </c>
      <c r="L161" s="31" t="n">
        <v>21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67.98999999999999</v>
      </c>
      <c r="P161" s="32" t="n">
        <v>14.7</v>
      </c>
      <c r="Q161" s="32" t="n">
        <v>1606.69</v>
      </c>
      <c r="R161" s="31" t="inlineStr">
        <is>
          <t>Volume Spike &amp; Near 52W High Breakout</t>
        </is>
      </c>
      <c r="S161" s="31" t="inlineStr">
        <is>
          <t>Nifty Realty</t>
        </is>
      </c>
      <c r="T161" s="32" t="n">
        <v>-2.52</v>
      </c>
      <c r="U161" s="32" t="n">
        <v>5.38</v>
      </c>
      <c r="V161" s="32" t="n">
        <v>8.109999999999999</v>
      </c>
      <c r="W161" s="32" t="n">
        <v>4.53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0 to 20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Less than 50%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IF(B162=0,"",RANK(B162,$B$2:$B$372,0))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MIRZAINT</t>
        </is>
      </c>
      <c r="D162" s="31" t="inlineStr">
        <is>
          <t>Mirza International Limited</t>
        </is>
      </c>
      <c r="E162" s="31" t="inlineStr">
        <is>
          <t>consumer discretionary</t>
        </is>
      </c>
      <c r="F162" s="31" t="inlineStr">
        <is>
          <t>leather / leather products</t>
        </is>
      </c>
      <c r="G162" s="31" t="inlineStr">
        <is>
          <t>smallcap</t>
        </is>
      </c>
      <c r="H162" s="32" t="n">
        <v>538.85</v>
      </c>
      <c r="I162" s="32" t="n">
        <v>39.86</v>
      </c>
      <c r="J162" s="32" t="n">
        <v>2.23</v>
      </c>
      <c r="K162" s="32" t="n">
        <v>977955</v>
      </c>
      <c r="L162" s="31" t="n">
        <v>47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62.04</v>
      </c>
      <c r="P162" s="32" t="n">
        <v>12.28</v>
      </c>
      <c r="Q162" s="32" t="n">
        <v>28.93</v>
      </c>
      <c r="R162" s="31" t="inlineStr">
        <is>
          <t>Volume Spike / Accumulation</t>
        </is>
      </c>
      <c r="S162" s="31" t="inlineStr">
        <is>
          <t>Nifty 50</t>
        </is>
      </c>
      <c r="T162" s="32" t="n">
        <v>-3.75</v>
      </c>
      <c r="U162" s="32" t="n">
        <v>18.63</v>
      </c>
      <c r="V162" s="32" t="n">
        <v>23.25</v>
      </c>
      <c r="W162" s="32" t="n">
        <v>9.41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IF(B163=0,"",RANK(B163,$B$2:$B$372,0))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ADANIENSOL</t>
        </is>
      </c>
      <c r="D163" s="31" t="inlineStr">
        <is>
          <t>Adani Energy Solutions Ltd</t>
        </is>
      </c>
      <c r="E163" s="31" t="inlineStr">
        <is>
          <t>power &amp; utilities</t>
        </is>
      </c>
      <c r="F163" s="31" t="inlineStr">
        <is>
          <t>power generation and supply</t>
        </is>
      </c>
      <c r="G163" s="31" t="inlineStr">
        <is>
          <t>largecap</t>
        </is>
      </c>
      <c r="H163" s="32" t="n">
        <v>194427.6</v>
      </c>
      <c r="I163" s="32" t="n">
        <v>1654</v>
      </c>
      <c r="J163" s="32" t="n">
        <v>2.19</v>
      </c>
      <c r="K163" s="32" t="n">
        <v>1603831</v>
      </c>
      <c r="L163" s="31" t="n">
        <v>82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73.81</v>
      </c>
      <c r="P163" s="32" t="n">
        <v>49.11</v>
      </c>
      <c r="Q163" s="32" t="n">
        <v>1308.96</v>
      </c>
      <c r="R163" s="31" t="inlineStr">
        <is>
          <t>Near 52W High Breakout</t>
        </is>
      </c>
      <c r="S163" s="31" t="inlineStr">
        <is>
          <t>Nifty IT</t>
        </is>
      </c>
      <c r="T163" s="32" t="n">
        <v>-25.69</v>
      </c>
      <c r="U163" s="32" t="n">
        <v>89.23</v>
      </c>
      <c r="V163" s="32" t="n">
        <v>154.65</v>
      </c>
      <c r="W163" s="32" t="n">
        <v>23.18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More than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IF(B164=0,"",RANK(B164,$B$2:$B$372,0))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VAIBHAVGBL</t>
        </is>
      </c>
      <c r="D164" s="31" t="inlineStr">
        <is>
          <t>Vaibhav Global Limited</t>
        </is>
      </c>
      <c r="E164" s="31" t="inlineStr">
        <is>
          <t>consumer discretionary</t>
        </is>
      </c>
      <c r="F164" s="31" t="inlineStr">
        <is>
          <t>diamond cutting / jewellery</t>
        </is>
      </c>
      <c r="G164" s="31" t="inlineStr">
        <is>
          <t>smallcap</t>
        </is>
      </c>
      <c r="H164" s="32" t="n">
        <v>4273.26</v>
      </c>
      <c r="I164" s="32" t="n">
        <v>261.36</v>
      </c>
      <c r="J164" s="32" t="n">
        <v>2.18</v>
      </c>
      <c r="K164" s="32" t="n">
        <v>1227833</v>
      </c>
      <c r="L164" s="31" t="n">
        <v>36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62.83</v>
      </c>
      <c r="P164" s="32" t="n">
        <v>15.27</v>
      </c>
      <c r="Q164" s="32" t="n">
        <v>197</v>
      </c>
      <c r="R164" s="31" t="inlineStr">
        <is>
          <t>Volume Spike &amp; Near 52W High Breakout</t>
        </is>
      </c>
      <c r="S164" s="31" t="inlineStr">
        <is>
          <t>Nifty 50</t>
        </is>
      </c>
      <c r="T164" s="32" t="n">
        <v>-3.75</v>
      </c>
      <c r="U164" s="32" t="n">
        <v>13.23</v>
      </c>
      <c r="V164" s="32" t="n">
        <v>17.65</v>
      </c>
      <c r="W164" s="32" t="n">
        <v>7.09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0 to 20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IF(B165=0,"",RANK(B165,$B$2:$B$372,0))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JSWINFRA</t>
        </is>
      </c>
      <c r="D165" s="31" t="inlineStr">
        <is>
          <t>JSW Infrastructure Ltd</t>
        </is>
      </c>
      <c r="E165" s="31" t="inlineStr">
        <is>
          <t>transportation</t>
        </is>
      </c>
      <c r="F165" s="31" t="inlineStr">
        <is>
          <t>miscellaneous</t>
        </is>
      </c>
      <c r="G165" s="31" t="inlineStr">
        <is>
          <t>largecap</t>
        </is>
      </c>
      <c r="H165" s="32" t="n">
        <v>75468.75</v>
      </c>
      <c r="I165" s="32" t="n">
        <v>330.05</v>
      </c>
      <c r="J165" s="32" t="n">
        <v>1.9</v>
      </c>
      <c r="K165" s="32" t="n">
        <v>3265699</v>
      </c>
      <c r="L165" s="31" t="n">
        <v>32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69.58</v>
      </c>
      <c r="P165" s="32" t="n">
        <v>28.81</v>
      </c>
      <c r="Q165" s="32" t="n">
        <v>267.54</v>
      </c>
      <c r="R165" s="31" t="inlineStr">
        <is>
          <t>Near 52W High Breakout</t>
        </is>
      </c>
      <c r="S165" s="31" t="inlineStr">
        <is>
          <t>Nifty 500</t>
        </is>
      </c>
      <c r="T165" s="32" t="n">
        <v>0.28</v>
      </c>
      <c r="U165" s="32" t="n">
        <v>4.41</v>
      </c>
      <c r="V165" s="32" t="n">
        <v>4.12</v>
      </c>
      <c r="W165" s="32" t="n">
        <v>6.45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IF(B166=0,"",RANK(B166,$B$2:$B$372,0))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IKIO</t>
        </is>
      </c>
      <c r="D166" s="31" t="inlineStr">
        <is>
          <t>IKIO Lighting Ltd</t>
        </is>
      </c>
      <c r="E166" s="31" t="inlineStr">
        <is>
          <t>consumer discretionary</t>
        </is>
      </c>
      <c r="F166" s="31" t="inlineStr">
        <is>
          <t>electric equipment</t>
        </is>
      </c>
      <c r="G166" s="31" t="inlineStr">
        <is>
          <t>smallcap</t>
        </is>
      </c>
      <c r="H166" s="32" t="n">
        <v>1598.78</v>
      </c>
      <c r="I166" s="32" t="n">
        <v>210.75</v>
      </c>
      <c r="J166" s="32" t="n">
        <v>1.87</v>
      </c>
      <c r="K166" s="32" t="n">
        <v>4530310</v>
      </c>
      <c r="L166" s="31" t="n">
        <v>58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67.34</v>
      </c>
      <c r="P166" s="32" t="n">
        <v>18.13</v>
      </c>
      <c r="Q166" s="32" t="n">
        <v>150.41</v>
      </c>
      <c r="R166" s="31" t="inlineStr">
        <is>
          <t>Volume Spike / Accumulation</t>
        </is>
      </c>
      <c r="S166" s="31" t="inlineStr">
        <is>
          <t>Nifty 50</t>
        </is>
      </c>
      <c r="T166" s="32" t="n">
        <v>-3.75</v>
      </c>
      <c r="U166" s="32" t="n">
        <v>0.27</v>
      </c>
      <c r="V166" s="32" t="n">
        <v>4.17</v>
      </c>
      <c r="W166" s="32" t="n">
        <v>12.57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0 to 20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Less than 50%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IF(B167=0,"",RANK(B167,$B$2:$B$372,0))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KERNEX</t>
        </is>
      </c>
      <c r="D167" s="31" t="inlineStr">
        <is>
          <t>Kernex Microsystems (india) Limited</t>
        </is>
      </c>
      <c r="E167" s="31" t="inlineStr">
        <is>
          <t>consumer discretionary</t>
        </is>
      </c>
      <c r="F167" s="31" t="inlineStr">
        <is>
          <t>electronics - components</t>
        </is>
      </c>
      <c r="G167" s="31" t="inlineStr">
        <is>
          <t>smallcap</t>
        </is>
      </c>
      <c r="H167" s="32" t="n">
        <v>3568.83</v>
      </c>
      <c r="I167" s="32" t="n">
        <v>2157.5</v>
      </c>
      <c r="J167" s="32" t="n">
        <v>1.58</v>
      </c>
      <c r="K167" s="32" t="n">
        <v>161832</v>
      </c>
      <c r="L167" s="31" t="n">
        <v>91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69.38</v>
      </c>
      <c r="P167" s="32" t="n">
        <v>43.2</v>
      </c>
      <c r="Q167" s="32" t="n">
        <v>1738.05</v>
      </c>
      <c r="R167" s="31" t="inlineStr">
        <is>
          <t>Earnings / Momentum Support</t>
        </is>
      </c>
      <c r="S167" s="31" t="inlineStr">
        <is>
          <t>Nifty 50</t>
        </is>
      </c>
      <c r="T167" s="32" t="n">
        <v>-3.75</v>
      </c>
      <c r="U167" s="32" t="n">
        <v>86.73</v>
      </c>
      <c r="V167" s="32" t="n">
        <v>94.01000000000001</v>
      </c>
      <c r="W167" s="32" t="n">
        <v>34.19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Negative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IF(B168=0,"",RANK(B168,$B$2:$B$372,0))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XPROINDIA</t>
        </is>
      </c>
      <c r="D168" s="31" t="inlineStr">
        <is>
          <t>Xpro India Limited</t>
        </is>
      </c>
      <c r="E168" s="31" t="inlineStr">
        <is>
          <t>industrials</t>
        </is>
      </c>
      <c r="F168" s="31" t="inlineStr">
        <is>
          <t>packaging</t>
        </is>
      </c>
      <c r="G168" s="31" t="inlineStr">
        <is>
          <t>smallcap</t>
        </is>
      </c>
      <c r="H168" s="32" t="n">
        <v>3368.47</v>
      </c>
      <c r="I168" s="32" t="n">
        <v>1455</v>
      </c>
      <c r="J168" s="32" t="n">
        <v>1.38</v>
      </c>
      <c r="K168" s="32" t="n">
        <v>33490</v>
      </c>
      <c r="L168" s="31" t="n">
        <v>56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68.95999999999999</v>
      </c>
      <c r="P168" s="32" t="n">
        <v>34.74</v>
      </c>
      <c r="Q168" s="32" t="n">
        <v>1113.23</v>
      </c>
      <c r="R168" s="31" t="inlineStr">
        <is>
          <t>Near 52W High Breakout</t>
        </is>
      </c>
      <c r="S168" s="31" t="inlineStr">
        <is>
          <t>Nifty 50</t>
        </is>
      </c>
      <c r="T168" s="32" t="n">
        <v>-3.75</v>
      </c>
      <c r="U168" s="32" t="n">
        <v>22.51</v>
      </c>
      <c r="V168" s="32" t="n">
        <v>27.28</v>
      </c>
      <c r="W168" s="32" t="n">
        <v>12.25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Between 1.5 to 2</t>
        </is>
      </c>
      <c r="BU168" s="31">
        <f>IF(BT168="Above 2",0,IF(BT168="Between 1.5 to 2",5,IF(BT168="Less than 1.5",10,0)))</f>
        <v/>
      </c>
      <c r="BV168" s="31" t="inlineStr">
        <is>
          <t>Less than 50%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IF(B169=0,"",RANK(B169,$B$2:$B$372,0))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GREENLAM</t>
        </is>
      </c>
      <c r="D169" s="31" t="inlineStr">
        <is>
          <t>Greenlam Industries Limited</t>
        </is>
      </c>
      <c r="E169" s="31" t="inlineStr">
        <is>
          <t>building materials</t>
        </is>
      </c>
      <c r="F169" s="31" t="inlineStr">
        <is>
          <t>miscellaneous</t>
        </is>
      </c>
      <c r="G169" s="31" t="inlineStr">
        <is>
          <t>midcap</t>
        </is>
      </c>
      <c r="H169" s="32" t="n">
        <v>6516.47</v>
      </c>
      <c r="I169" s="32" t="n">
        <v>258.15</v>
      </c>
      <c r="J169" s="32" t="n">
        <v>1.08</v>
      </c>
      <c r="K169" s="32" t="n">
        <v>24641</v>
      </c>
      <c r="L169" s="31" t="n">
        <v>25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59.19</v>
      </c>
      <c r="P169" s="32" t="n">
        <v>20.6</v>
      </c>
      <c r="Q169" s="32" t="n">
        <v>201.7</v>
      </c>
      <c r="R169" s="31" t="inlineStr">
        <is>
          <t>Near 52W High Breakout</t>
        </is>
      </c>
      <c r="S169" s="31" t="inlineStr">
        <is>
          <t>Nifty Infra</t>
        </is>
      </c>
      <c r="T169" s="32" t="n">
        <v>1.87</v>
      </c>
      <c r="U169" s="32" t="n">
        <v>6.25</v>
      </c>
      <c r="V169" s="32" t="n">
        <v>4.31</v>
      </c>
      <c r="W169" s="32" t="n">
        <v>5.3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Between 0.7 to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IF(B170=0,"",RANK(B170,$B$2:$B$372,0))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TTKPRESTIG</t>
        </is>
      </c>
      <c r="D170" s="31" t="inlineStr">
        <is>
          <t>Ttk Prestige Limited</t>
        </is>
      </c>
      <c r="E170" s="31" t="inlineStr">
        <is>
          <t>consumer discretionary</t>
        </is>
      </c>
      <c r="F170" s="31" t="inlineStr">
        <is>
          <t>domestic appliances</t>
        </is>
      </c>
      <c r="G170" s="31" t="inlineStr">
        <is>
          <t>midcap</t>
        </is>
      </c>
      <c r="H170" s="32" t="n">
        <v>8582.719999999999</v>
      </c>
      <c r="I170" s="32" t="n">
        <v>633</v>
      </c>
      <c r="J170" s="32" t="n">
        <v>1.01</v>
      </c>
      <c r="K170" s="32" t="n">
        <v>40705</v>
      </c>
      <c r="L170" s="31" t="n">
        <v>41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65.66</v>
      </c>
      <c r="P170" s="32" t="n">
        <v>30.52</v>
      </c>
      <c r="Q170" s="32" t="n">
        <v>493.18</v>
      </c>
      <c r="R170" s="31" t="inlineStr">
        <is>
          <t>Earnings / Momentum Support</t>
        </is>
      </c>
      <c r="S170" s="31" t="inlineStr">
        <is>
          <t>Nifty 50</t>
        </is>
      </c>
      <c r="T170" s="32" t="n">
        <v>-3.75</v>
      </c>
      <c r="U170" s="32" t="n">
        <v>1.18</v>
      </c>
      <c r="V170" s="32" t="n">
        <v>5.12</v>
      </c>
      <c r="W170" s="32" t="n">
        <v>8.119999999999999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IF(B171=0,"",RANK(B171,$B$2:$B$372,0))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CHEVIOT</t>
        </is>
      </c>
      <c r="D171" s="31" t="inlineStr">
        <is>
          <t>Cheviot Company Ltd</t>
        </is>
      </c>
      <c r="E171" s="31" t="inlineStr">
        <is>
          <t>textiles</t>
        </is>
      </c>
      <c r="F171" s="31" t="inlineStr">
        <is>
          <t>textiles - jute - yarn / products</t>
        </is>
      </c>
      <c r="G171" s="31" t="inlineStr">
        <is>
          <t>smallcap</t>
        </is>
      </c>
      <c r="H171" s="32" t="n">
        <v>656.5700000000001</v>
      </c>
      <c r="I171" s="32" t="n">
        <v>1135</v>
      </c>
      <c r="J171" s="32" t="n">
        <v>0.99</v>
      </c>
      <c r="K171" s="32" t="n">
        <v>3278</v>
      </c>
      <c r="L171" s="31" t="n">
        <v>6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53.73</v>
      </c>
      <c r="P171" s="32" t="n">
        <v>20.2</v>
      </c>
      <c r="Q171" s="32" t="n">
        <v>1095.15</v>
      </c>
      <c r="R171" s="31" t="inlineStr">
        <is>
          <t>Earnings / Momentum Support</t>
        </is>
      </c>
      <c r="S171" s="31" t="inlineStr">
        <is>
          <t>Nifty IT</t>
        </is>
      </c>
      <c r="T171" s="32" t="n">
        <v>-25.69</v>
      </c>
      <c r="U171" s="32" t="n">
        <v>-4.07</v>
      </c>
      <c r="V171" s="32" t="n">
        <v>29.09</v>
      </c>
      <c r="W171" s="32" t="n">
        <v>1.06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Between 50% to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IF(B172=0,"",RANK(B172,$B$2:$B$372,0))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GMRAIRPORT</t>
        </is>
      </c>
      <c r="D172" s="31" t="inlineStr">
        <is>
          <t>GMR Airports Ltd</t>
        </is>
      </c>
      <c r="E172" s="31" t="inlineStr">
        <is>
          <t>miscellaneous</t>
        </is>
      </c>
      <c r="F172" s="31" t="inlineStr">
        <is>
          <t>miscellaneous</t>
        </is>
      </c>
      <c r="G172" s="31" t="inlineStr">
        <is>
          <t>largecap</t>
        </is>
      </c>
      <c r="H172" s="32" t="n">
        <v>118081.03</v>
      </c>
      <c r="I172" s="32" t="n">
        <v>112.51</v>
      </c>
      <c r="J172" s="32" t="n">
        <v>0.61</v>
      </c>
      <c r="K172" s="32" t="n">
        <v>10389709</v>
      </c>
      <c r="L172" s="31" t="n">
        <v>41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66.42</v>
      </c>
      <c r="P172" s="32" t="n">
        <v>18.05</v>
      </c>
      <c r="Q172" s="32" t="n">
        <v>93.81999999999999</v>
      </c>
      <c r="R172" s="31" t="inlineStr">
        <is>
          <t>Near 52W High Breakout</t>
        </is>
      </c>
      <c r="S172" s="31" t="inlineStr">
        <is>
          <t>Nifty 500</t>
        </is>
      </c>
      <c r="T172" s="32" t="n">
        <v>0.28</v>
      </c>
      <c r="U172" s="32" t="n">
        <v>24.17</v>
      </c>
      <c r="V172" s="32" t="n">
        <v>23.82</v>
      </c>
      <c r="W172" s="32" t="n">
        <v>8.369999999999999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IF(B173=0,"",RANK(B173,$B$2:$B$372,0))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STOVEKRAFT</t>
        </is>
      </c>
      <c r="D173" s="31" t="inlineStr">
        <is>
          <t>Stove Kraft Ltd</t>
        </is>
      </c>
      <c r="E173" s="31" t="inlineStr">
        <is>
          <t>consumer discretionary</t>
        </is>
      </c>
      <c r="F173" s="31" t="inlineStr">
        <is>
          <t>domestic appliances</t>
        </is>
      </c>
      <c r="G173" s="31" t="inlineStr">
        <is>
          <t>smallcap</t>
        </is>
      </c>
      <c r="H173" s="32" t="n">
        <v>2639.98</v>
      </c>
      <c r="I173" s="32" t="n">
        <v>798.95</v>
      </c>
      <c r="J173" s="32" t="n">
        <v>0.19</v>
      </c>
      <c r="K173" s="32" t="n">
        <v>152530</v>
      </c>
      <c r="L173" s="31" t="n">
        <v>73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77.36</v>
      </c>
      <c r="P173" s="32" t="n">
        <v>37.77</v>
      </c>
      <c r="Q173" s="32" t="n">
        <v>625.77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-3.75</v>
      </c>
      <c r="U173" s="32" t="n">
        <v>37.73</v>
      </c>
      <c r="V173" s="32" t="n">
        <v>43.1</v>
      </c>
      <c r="W173" s="32" t="n">
        <v>16.78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Above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IF(B174=0,"",RANK(B174,$B$2:$B$372,0))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TPLPLASTEH</t>
        </is>
      </c>
      <c r="D174" s="31" t="inlineStr">
        <is>
          <t>Tpl Plastech Limited</t>
        </is>
      </c>
      <c r="E174" s="31" t="inlineStr">
        <is>
          <t>industrials</t>
        </is>
      </c>
      <c r="F174" s="31" t="inlineStr">
        <is>
          <t>packaging</t>
        </is>
      </c>
      <c r="G174" s="31" t="inlineStr">
        <is>
          <t>smallcap</t>
        </is>
      </c>
      <c r="H174" s="32" t="n">
        <v>643.76</v>
      </c>
      <c r="I174" s="32" t="n">
        <v>82.61</v>
      </c>
      <c r="J174" s="32" t="n">
        <v>0.1</v>
      </c>
      <c r="K174" s="32" t="n">
        <v>145256</v>
      </c>
      <c r="L174" s="31" t="n">
        <v>26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61.87</v>
      </c>
      <c r="P174" s="32" t="n">
        <v>15.68</v>
      </c>
      <c r="Q174" s="32" t="n">
        <v>64.22</v>
      </c>
      <c r="R174" s="31" t="inlineStr">
        <is>
          <t>Volume Spike / Accumulation</t>
        </is>
      </c>
      <c r="S174" s="31" t="inlineStr">
        <is>
          <t>Nifty 50</t>
        </is>
      </c>
      <c r="T174" s="32" t="n">
        <v>-3.75</v>
      </c>
      <c r="U174" s="32" t="n">
        <v>5.55</v>
      </c>
      <c r="V174" s="32" t="n">
        <v>9.66</v>
      </c>
      <c r="W174" s="32" t="n">
        <v>5.44</v>
      </c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Between 12 to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IF(B175=0,"",RANK(B175,$B$2:$B$372,0))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3" t="inlineStr">
        <is>
          <t>EXIDEIND</t>
        </is>
      </c>
      <c r="D175" s="33" t="inlineStr">
        <is>
          <t>Exide Industries Limited</t>
        </is>
      </c>
      <c r="E175" s="31" t="inlineStr">
        <is>
          <t>auto</t>
        </is>
      </c>
      <c r="F175" s="31" t="inlineStr">
        <is>
          <t>auto ancillaries</t>
        </is>
      </c>
      <c r="G175" s="31" t="inlineStr">
        <is>
          <t>largecap</t>
        </is>
      </c>
      <c r="H175" s="32" t="n">
        <v>36142</v>
      </c>
      <c r="I175" s="32" t="n">
        <v>424.4</v>
      </c>
      <c r="J175" s="32" t="n">
        <v>-0.19</v>
      </c>
      <c r="K175" s="32" t="n">
        <v>3514011</v>
      </c>
      <c r="L175" s="31" t="n">
        <v>49</v>
      </c>
      <c r="M175" s="31" t="inlineStr">
        <is>
          <t>Underperforming</t>
        </is>
      </c>
      <c r="N175" s="32">
        <f>IF(M175="Underperforming",-5,IF(L175&gt;=95,15,IF(L175&gt;=90,10,IF(L175&gt;=80,5,0))))</f>
        <v/>
      </c>
      <c r="O175" s="32" t="n">
        <v>68.37</v>
      </c>
      <c r="P175" s="32" t="n">
        <v>28.91</v>
      </c>
      <c r="Q175" s="32" t="n">
        <v>348.25</v>
      </c>
      <c r="R175" s="31" t="inlineStr">
        <is>
          <t>Near 52W High Breakout</t>
        </is>
      </c>
      <c r="S175" s="31" t="inlineStr">
        <is>
          <t>Nifty Auto</t>
        </is>
      </c>
      <c r="T175" s="32" t="n">
        <v>14.33</v>
      </c>
      <c r="U175" s="32" t="n">
        <v>12.62</v>
      </c>
      <c r="V175" s="32" t="n">
        <v>-1.5</v>
      </c>
      <c r="W175" s="32" t="n">
        <v>9.75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Between 12 to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IF(B176=0,"",RANK(B176,$B$2:$B$372,0))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WELSPUNLIV</t>
        </is>
      </c>
      <c r="D176" s="31" t="inlineStr">
        <is>
          <t>Welspun Living Ltd</t>
        </is>
      </c>
      <c r="E176" s="31" t="inlineStr">
        <is>
          <t>textiles</t>
        </is>
      </c>
      <c r="F176" s="31" t="inlineStr">
        <is>
          <t>textiles - products</t>
        </is>
      </c>
      <c r="G176" s="31" t="inlineStr">
        <is>
          <t>midcap</t>
        </is>
      </c>
      <c r="H176" s="32" t="n">
        <v>15972.77</v>
      </c>
      <c r="I176" s="32" t="n">
        <v>166.17</v>
      </c>
      <c r="J176" s="32" t="n">
        <v>-0.22</v>
      </c>
      <c r="K176" s="32" t="n">
        <v>1025777</v>
      </c>
      <c r="L176" s="31" t="n">
        <v>54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68.16</v>
      </c>
      <c r="P176" s="32" t="n">
        <v>24.79</v>
      </c>
      <c r="Q176" s="32" t="n">
        <v>134.67</v>
      </c>
      <c r="R176" s="31" t="inlineStr">
        <is>
          <t>Near 52W High Breakout</t>
        </is>
      </c>
      <c r="S176" s="31" t="inlineStr">
        <is>
          <t>Nifty 50</t>
        </is>
      </c>
      <c r="T176" s="32" t="n">
        <v>-3.75</v>
      </c>
      <c r="U176" s="32" t="n">
        <v>18.42</v>
      </c>
      <c r="V176" s="32" t="n">
        <v>23.03</v>
      </c>
      <c r="W176" s="32" t="n">
        <v>11.58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IF(B177=0,"",RANK(B177,$B$2:$B$372,0))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SONACOMS</t>
        </is>
      </c>
      <c r="D177" s="31" t="inlineStr">
        <is>
          <t>Sona BLW Precision Forgings Ltd</t>
        </is>
      </c>
      <c r="E177" s="31" t="inlineStr">
        <is>
          <t>auto</t>
        </is>
      </c>
      <c r="F177" s="31" t="inlineStr">
        <is>
          <t>auto ancillaries</t>
        </is>
      </c>
      <c r="G177" s="31" t="inlineStr">
        <is>
          <t>largecap</t>
        </is>
      </c>
      <c r="H177" s="32" t="n">
        <v>41710.38</v>
      </c>
      <c r="I177" s="32" t="n">
        <v>668.55</v>
      </c>
      <c r="J177" s="32" t="n">
        <v>-0.33</v>
      </c>
      <c r="K177" s="32" t="n">
        <v>1239095</v>
      </c>
      <c r="L177" s="31" t="n">
        <v>61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70.90000000000001</v>
      </c>
      <c r="P177" s="32" t="n">
        <v>36.24</v>
      </c>
      <c r="Q177" s="32" t="n">
        <v>559.35</v>
      </c>
      <c r="R177" s="31" t="inlineStr">
        <is>
          <t>Near 52W High Breakout</t>
        </is>
      </c>
      <c r="S177" s="31" t="inlineStr">
        <is>
          <t>Nifty Auto</t>
        </is>
      </c>
      <c r="T177" s="32" t="n">
        <v>14.33</v>
      </c>
      <c r="U177" s="32" t="n">
        <v>50.44</v>
      </c>
      <c r="V177" s="32" t="n">
        <v>31.58</v>
      </c>
      <c r="W177" s="32" t="n">
        <v>13.18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Between 12 to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Between 50% to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IF(B178=0,"",RANK(B178,$B$2:$B$372,0))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KABRAEXTRU</t>
        </is>
      </c>
      <c r="D178" s="33" t="inlineStr">
        <is>
          <t>Kabra Extrusion Technik Limited</t>
        </is>
      </c>
      <c r="E178" s="31" t="inlineStr">
        <is>
          <t>industrials</t>
        </is>
      </c>
      <c r="F178" s="31" t="inlineStr">
        <is>
          <t>engineering</t>
        </is>
      </c>
      <c r="G178" s="31" t="inlineStr">
        <is>
          <t>smallcap</t>
        </is>
      </c>
      <c r="H178" s="32" t="n">
        <v>1033.97</v>
      </c>
      <c r="I178" s="32" t="n">
        <v>293.95</v>
      </c>
      <c r="J178" s="32" t="n">
        <v>-0.58</v>
      </c>
      <c r="K178" s="32" t="n">
        <v>39906</v>
      </c>
      <c r="L178" s="31" t="n">
        <v>28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65.59999999999999</v>
      </c>
      <c r="P178" s="32" t="n">
        <v>13.25</v>
      </c>
      <c r="Q178" s="32" t="n">
        <v>215.57</v>
      </c>
      <c r="R178" s="31" t="inlineStr">
        <is>
          <t>Volume Spike &amp; Near 52W High Breakout</t>
        </is>
      </c>
      <c r="S178" s="31" t="inlineStr">
        <is>
          <t>Nifty 50</t>
        </is>
      </c>
      <c r="T178" s="32" t="n">
        <v>-3.75</v>
      </c>
      <c r="U178" s="32" t="n">
        <v>-9.07</v>
      </c>
      <c r="V178" s="32" t="n">
        <v>-5.52</v>
      </c>
      <c r="W178" s="32" t="n">
        <v>5.66</v>
      </c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0 to 20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IF(B179=0,"",RANK(B179,$B$2:$B$372,0))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TBZ</t>
        </is>
      </c>
      <c r="D179" s="31" t="inlineStr">
        <is>
          <t>Tribhovandas Bhimji Zaveri Limited</t>
        </is>
      </c>
      <c r="E179" s="31" t="inlineStr">
        <is>
          <t>consumer discretionary</t>
        </is>
      </c>
      <c r="F179" s="31" t="inlineStr">
        <is>
          <t>diamond cutting / jewellery</t>
        </is>
      </c>
      <c r="G179" s="31" t="inlineStr">
        <is>
          <t>smallcap</t>
        </is>
      </c>
      <c r="H179" s="32" t="n">
        <v>1545.15</v>
      </c>
      <c r="I179" s="32" t="n">
        <v>228.34</v>
      </c>
      <c r="J179" s="32" t="n">
        <v>-1.39</v>
      </c>
      <c r="K179" s="32" t="n">
        <v>3068775</v>
      </c>
      <c r="L179" s="31" t="n">
        <v>77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73.17</v>
      </c>
      <c r="P179" s="32" t="n">
        <v>20.24</v>
      </c>
      <c r="Q179" s="32" t="n">
        <v>169.89</v>
      </c>
      <c r="R179" s="31" t="inlineStr">
        <is>
          <t>Volume Spike &amp; Near 52W High Breakout</t>
        </is>
      </c>
      <c r="S179" s="31" t="inlineStr">
        <is>
          <t>Nifty 50</t>
        </is>
      </c>
      <c r="T179" s="32" t="n">
        <v>-3.75</v>
      </c>
      <c r="U179" s="32" t="n">
        <v>21.92</v>
      </c>
      <c r="V179" s="32" t="n">
        <v>26.67</v>
      </c>
      <c r="W179" s="32" t="n">
        <v>19.31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Less than 50% and Borrowings are increasing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Between 0.7 to 1.2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IF(B180=0,"",RANK(B180,$B$2:$B$372,0))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INOXINDIA</t>
        </is>
      </c>
      <c r="D180" s="31" t="inlineStr">
        <is>
          <t>Inox India Ltd</t>
        </is>
      </c>
      <c r="E180" s="31" t="inlineStr">
        <is>
          <t>industrials</t>
        </is>
      </c>
      <c r="F180" s="31" t="inlineStr">
        <is>
          <t>packaging</t>
        </is>
      </c>
      <c r="G180" s="31" t="inlineStr">
        <is>
          <t>midcap</t>
        </is>
      </c>
      <c r="H180" s="32" t="n">
        <v>18208.97</v>
      </c>
      <c r="I180" s="32" t="n">
        <v>1978</v>
      </c>
      <c r="J180" s="32" t="n">
        <v>-1.41</v>
      </c>
      <c r="K180" s="32" t="n">
        <v>204886</v>
      </c>
      <c r="L180" s="31" t="n">
        <v>80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81.90000000000001</v>
      </c>
      <c r="P180" s="32" t="n">
        <v>64.91</v>
      </c>
      <c r="Q180" s="32" t="n">
        <v>1512.66</v>
      </c>
      <c r="R180" s="31" t="inlineStr">
        <is>
          <t>Near 52W High Breakout</t>
        </is>
      </c>
      <c r="S180" s="31" t="inlineStr">
        <is>
          <t>Nifty 50</t>
        </is>
      </c>
      <c r="T180" s="32" t="n">
        <v>-3.75</v>
      </c>
      <c r="U180" s="32" t="n">
        <v>60.68</v>
      </c>
      <c r="V180" s="32" t="n">
        <v>66.94</v>
      </c>
      <c r="W180" s="32" t="n">
        <v>22.12</v>
      </c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Above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Between 12 to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Less than 50%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IF(B181=0,"",RANK(B181,$B$2:$B$372,0))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ITDC</t>
        </is>
      </c>
      <c r="D181" s="31" t="inlineStr">
        <is>
          <t>India Tourism Development Corporation Ltd</t>
        </is>
      </c>
      <c r="E181" s="31" t="inlineStr">
        <is>
          <t>services</t>
        </is>
      </c>
      <c r="F181" s="31" t="inlineStr">
        <is>
          <t>hotels</t>
        </is>
      </c>
      <c r="G181" s="31" t="inlineStr">
        <is>
          <t>midcap</t>
        </is>
      </c>
      <c r="H181" s="32" t="n">
        <v>6244.87</v>
      </c>
      <c r="I181" s="32" t="n">
        <v>716.8</v>
      </c>
      <c r="J181" s="32" t="n">
        <v>-1.55</v>
      </c>
      <c r="K181" s="32" t="n">
        <v>3469707</v>
      </c>
      <c r="L181" s="31" t="n">
        <v>38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63.15</v>
      </c>
      <c r="P181" s="32" t="n">
        <v>31.5</v>
      </c>
      <c r="Q181" s="32" t="n">
        <v>497.24</v>
      </c>
      <c r="R181" s="31" t="inlineStr">
        <is>
          <t>Volume Spike &amp; Near 52W High Breakout</t>
        </is>
      </c>
      <c r="S181" s="31" t="inlineStr">
        <is>
          <t>Nifty 50</t>
        </is>
      </c>
      <c r="T181" s="32" t="n">
        <v>-3.75</v>
      </c>
      <c r="U181" s="32" t="n">
        <v>19.96</v>
      </c>
      <c r="V181" s="32" t="n">
        <v>24.63</v>
      </c>
      <c r="W181" s="32" t="n">
        <v>7.61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IF(B182=0,"",RANK(B182,$B$2:$B$372,0))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SPAL</t>
        </is>
      </c>
      <c r="D182" s="31" t="inlineStr">
        <is>
          <t>S. P. Apparels Limited</t>
        </is>
      </c>
      <c r="E182" s="31" t="inlineStr">
        <is>
          <t>consumer discretionary</t>
        </is>
      </c>
      <c r="F182" s="31" t="inlineStr">
        <is>
          <t>textiles - products</t>
        </is>
      </c>
      <c r="G182" s="31" t="inlineStr">
        <is>
          <t>smallcap</t>
        </is>
      </c>
      <c r="H182" s="32" t="n">
        <v>2962.87</v>
      </c>
      <c r="I182" s="32" t="n">
        <v>1160</v>
      </c>
      <c r="J182" s="32" t="n">
        <v>-1.58</v>
      </c>
      <c r="K182" s="32" t="n">
        <v>116082</v>
      </c>
      <c r="L182" s="31" t="n">
        <v>76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81.84999999999999</v>
      </c>
      <c r="P182" s="32" t="n">
        <v>36.54</v>
      </c>
      <c r="Q182" s="32" t="n">
        <v>866.6900000000001</v>
      </c>
      <c r="R182" s="31" t="inlineStr">
        <is>
          <t>Near 52W High Breakout</t>
        </is>
      </c>
      <c r="S182" s="31" t="inlineStr">
        <is>
          <t>Nifty 50</t>
        </is>
      </c>
      <c r="T182" s="32" t="n">
        <v>-3.75</v>
      </c>
      <c r="U182" s="32" t="n">
        <v>38.11</v>
      </c>
      <c r="V182" s="32" t="n">
        <v>43.49</v>
      </c>
      <c r="W182" s="32" t="n">
        <v>19.3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Above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IF(B183=0,"",RANK(B183,$B$2:$B$372,0))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3" t="inlineStr">
        <is>
          <t>ASKAUTOLTD</t>
        </is>
      </c>
      <c r="D183" s="33" t="inlineStr">
        <is>
          <t>ASK Automotive Ltd</t>
        </is>
      </c>
      <c r="E183" s="31" t="inlineStr">
        <is>
          <t>auto</t>
        </is>
      </c>
      <c r="F183" s="31" t="inlineStr">
        <is>
          <t>auto ancillaries</t>
        </is>
      </c>
      <c r="G183" s="31" t="inlineStr">
        <is>
          <t>midcap</t>
        </is>
      </c>
      <c r="H183" s="32" t="n">
        <v>9461.860000000001</v>
      </c>
      <c r="I183" s="32" t="n">
        <v>471.85</v>
      </c>
      <c r="J183" s="32" t="n">
        <v>-1.69</v>
      </c>
      <c r="K183" s="32" t="n">
        <v>432530</v>
      </c>
      <c r="L183" s="31" t="n">
        <v>1</v>
      </c>
      <c r="M183" s="31" t="inlineStr">
        <is>
          <t>Underperforming</t>
        </is>
      </c>
      <c r="N183" s="32">
        <f>IF(M183="Underperforming",-5,IF(L183&gt;=95,15,IF(L183&gt;=90,10,IF(L183&gt;=80,5,0))))</f>
        <v/>
      </c>
      <c r="O183" s="32" t="n">
        <v>55.89</v>
      </c>
      <c r="P183" s="32" t="n">
        <v>7.95</v>
      </c>
      <c r="Q183" s="32" t="n">
        <v>375.56</v>
      </c>
      <c r="R183" s="31" t="inlineStr">
        <is>
          <t>Volume Spike / Accumulation</t>
        </is>
      </c>
      <c r="S183" s="31" t="inlineStr">
        <is>
          <t>Nifty Auto</t>
        </is>
      </c>
      <c r="T183" s="32" t="n">
        <v>14.33</v>
      </c>
      <c r="U183" s="32" t="n">
        <v>-12.76</v>
      </c>
      <c r="V183" s="32" t="n">
        <v>-23.69</v>
      </c>
      <c r="W183" s="32" t="n">
        <v>-1.09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0 to 20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Between 50% to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IF(B184=0,"",RANK(B184,$B$2:$B$372,0))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BHAGCHEM</t>
        </is>
      </c>
      <c r="D184" s="31" t="inlineStr">
        <is>
          <t>Bhagiradha Chemicals &amp; Industries Ltd</t>
        </is>
      </c>
      <c r="E184" s="31" t="inlineStr">
        <is>
          <t>chemicals</t>
        </is>
      </c>
      <c r="F184" s="31" t="inlineStr">
        <is>
          <t>pesticides / agrochemicals - indian</t>
        </is>
      </c>
      <c r="G184" s="31" t="inlineStr">
        <is>
          <t>smallcap</t>
        </is>
      </c>
      <c r="H184" s="32" t="n">
        <v>3906.28</v>
      </c>
      <c r="I184" s="32" t="n">
        <v>295.9</v>
      </c>
      <c r="J184" s="32" t="n">
        <v>-1.78</v>
      </c>
      <c r="K184" s="32" t="n">
        <v>238089</v>
      </c>
      <c r="L184" s="31" t="n">
        <v>41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69.19</v>
      </c>
      <c r="P184" s="32" t="n">
        <v>23.04</v>
      </c>
      <c r="Q184" s="32" t="n">
        <v>222.63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-3.75</v>
      </c>
      <c r="U184" s="32" t="n">
        <v>0.15</v>
      </c>
      <c r="V184" s="32" t="n">
        <v>4.06</v>
      </c>
      <c r="W184" s="32" t="n">
        <v>8.17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Less than 50%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IF(B185=0,"",RANK(B185,$B$2:$B$372,0))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AKUMS</t>
        </is>
      </c>
      <c r="D185" s="31" t="inlineStr">
        <is>
          <t>Akums Drugs &amp; Pharmaceuticals Ltd</t>
        </is>
      </c>
      <c r="E185" s="31" t="inlineStr">
        <is>
          <t>healthcare</t>
        </is>
      </c>
      <c r="F185" s="31" t="inlineStr">
        <is>
          <t>pharmaceuticals - indian - bulk drugs &amp; formln</t>
        </is>
      </c>
      <c r="G185" s="31" t="inlineStr">
        <is>
          <t>midcap</t>
        </is>
      </c>
      <c r="H185" s="32" t="n">
        <v>10359.67</v>
      </c>
      <c r="I185" s="32" t="n">
        <v>701.95</v>
      </c>
      <c r="J185" s="32" t="n">
        <v>6.65</v>
      </c>
      <c r="K185" s="32" t="n">
        <v>881187</v>
      </c>
      <c r="L185" s="31" t="n">
        <v>63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77.04000000000001</v>
      </c>
      <c r="P185" s="32" t="n">
        <v>45.33</v>
      </c>
      <c r="Q185" s="32" t="n">
        <v>567.97</v>
      </c>
      <c r="R185" s="31" t="inlineStr">
        <is>
          <t>Volume Spike &amp; Near 52W High Breakout</t>
        </is>
      </c>
      <c r="S185" s="31" t="inlineStr">
        <is>
          <t>Nifty Pharma</t>
        </is>
      </c>
      <c r="T185" s="32" t="n">
        <v>15.51</v>
      </c>
      <c r="U185" s="32" t="n">
        <v>26.4</v>
      </c>
      <c r="V185" s="32" t="n">
        <v>9.43</v>
      </c>
      <c r="W185" s="32" t="n">
        <v>13.81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Yes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Above 40</t>
        </is>
      </c>
      <c r="AY185" s="31">
        <f>IF(AX185="Above 40",20,IF(AX185="20 to 40",10,IF(AX185="0 to 20",-5,0)))</f>
        <v/>
      </c>
      <c r="AZ185" s="31" t="inlineStr">
        <is>
          <t>Above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IF(B186=0,"",RANK(B186,$B$2:$B$372,0))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3" t="inlineStr">
        <is>
          <t>WANBURY</t>
        </is>
      </c>
      <c r="D186" s="33" t="inlineStr">
        <is>
          <t>Wanbury Limited</t>
        </is>
      </c>
      <c r="E186" s="31" t="inlineStr">
        <is>
          <t>healthcare</t>
        </is>
      </c>
      <c r="F186" s="31" t="inlineStr">
        <is>
          <t>pharmaceuticals - indian - bulk drugs &amp; formln</t>
        </is>
      </c>
      <c r="G186" s="31" t="inlineStr">
        <is>
          <t>smallcap</t>
        </is>
      </c>
      <c r="H186" s="32" t="n">
        <v>991.9299999999999</v>
      </c>
      <c r="I186" s="32" t="n">
        <v>302</v>
      </c>
      <c r="J186" s="32" t="n">
        <v>6.38</v>
      </c>
      <c r="K186" s="32" t="n">
        <v>260021</v>
      </c>
      <c r="L186" s="31" t="n">
        <v>34</v>
      </c>
      <c r="M186" s="31" t="inlineStr">
        <is>
          <t>Underperforming</t>
        </is>
      </c>
      <c r="N186" s="32">
        <f>IF(M186="Underperforming",-5,IF(L186&gt;=95,15,IF(L186&gt;=90,10,IF(L186&gt;=80,5,0))))</f>
        <v/>
      </c>
      <c r="O186" s="32" t="n">
        <v>59.99</v>
      </c>
      <c r="P186" s="32" t="n">
        <v>14.26</v>
      </c>
      <c r="Q186" s="32" t="n">
        <v>216.45</v>
      </c>
      <c r="R186" s="31" t="inlineStr">
        <is>
          <t>Near 52W High Breakout</t>
        </is>
      </c>
      <c r="S186" s="31" t="inlineStr">
        <is>
          <t>Nifty Pharma</t>
        </is>
      </c>
      <c r="T186" s="32" t="n">
        <v>15.51</v>
      </c>
      <c r="U186" s="32" t="n">
        <v>9.32</v>
      </c>
      <c r="V186" s="32" t="n">
        <v>-5.36</v>
      </c>
      <c r="W186" s="32" t="n">
        <v>6.88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Yes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IF(B187=0,"",RANK(B187,$B$2:$B$372,0))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BLSE</t>
        </is>
      </c>
      <c r="D187" s="31" t="inlineStr">
        <is>
          <t>BLS E-Services Ltd</t>
        </is>
      </c>
      <c r="E187" s="31" t="inlineStr">
        <is>
          <t>i.t</t>
        </is>
      </c>
      <c r="F187" s="31" t="inlineStr">
        <is>
          <t>computers - software - medium / small</t>
        </is>
      </c>
      <c r="G187" s="31" t="inlineStr">
        <is>
          <t>smallcap</t>
        </is>
      </c>
      <c r="H187" s="32" t="n">
        <v>2374.53</v>
      </c>
      <c r="I187" s="32" t="n">
        <v>263.25</v>
      </c>
      <c r="J187" s="32" t="n">
        <v>0.73</v>
      </c>
      <c r="K187" s="32" t="n">
        <v>321796</v>
      </c>
      <c r="L187" s="31" t="n">
        <v>81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75.06</v>
      </c>
      <c r="P187" s="32" t="n">
        <v>26.79</v>
      </c>
      <c r="Q187" s="32" t="n">
        <v>204.94</v>
      </c>
      <c r="R187" s="31" t="inlineStr">
        <is>
          <t>Volume Spike &amp; Near 52W High Breakout</t>
        </is>
      </c>
      <c r="S187" s="31" t="inlineStr">
        <is>
          <t>Nifty IT</t>
        </is>
      </c>
      <c r="T187" s="32" t="n">
        <v>-25.69</v>
      </c>
      <c r="U187" s="32" t="n">
        <v>42.47</v>
      </c>
      <c r="V187" s="32" t="n">
        <v>91.72</v>
      </c>
      <c r="W187" s="32" t="n">
        <v>22.47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Above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Blue sky scenario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Between 50% to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IF(B188=0,"",RANK(B188,$B$2:$B$372,0))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UNITDSPR</t>
        </is>
      </c>
      <c r="D188" s="31" t="inlineStr">
        <is>
          <t>United Spirits Ltd</t>
        </is>
      </c>
      <c r="E188" s="31" t="inlineStr">
        <is>
          <t>fmcg</t>
        </is>
      </c>
      <c r="F188" s="31" t="inlineStr">
        <is>
          <t>breweries &amp; distilleries</t>
        </is>
      </c>
      <c r="G188" s="31" t="inlineStr">
        <is>
          <t>largecap</t>
        </is>
      </c>
      <c r="H188" s="32" t="n">
        <v>100461.7</v>
      </c>
      <c r="I188" s="32" t="n">
        <v>1385.7</v>
      </c>
      <c r="J188" s="32" t="n">
        <v>0.33</v>
      </c>
      <c r="K188" s="32" t="n">
        <v>568746</v>
      </c>
      <c r="L188" s="31" t="n">
        <v>12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57.28</v>
      </c>
      <c r="P188" s="32" t="n">
        <v>15.1</v>
      </c>
      <c r="Q188" s="32" t="n">
        <v>1171.52</v>
      </c>
      <c r="R188" s="31" t="inlineStr">
        <is>
          <t>Near 52W High Breakout</t>
        </is>
      </c>
      <c r="S188" s="31" t="inlineStr">
        <is>
          <t>Nifty FMCG</t>
        </is>
      </c>
      <c r="T188" s="32" t="n">
        <v>-11.8</v>
      </c>
      <c r="U188" s="32" t="n">
        <v>3.94</v>
      </c>
      <c r="V188" s="32" t="n">
        <v>17.85</v>
      </c>
      <c r="W188" s="32" t="n">
        <v>2.91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B2C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Annuity, Lower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0 to 20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Between 50% to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IF(B189=0,"",RANK(B189,$B$2:$B$372,0))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ASTERDM</t>
        </is>
      </c>
      <c r="D189" s="31" t="inlineStr">
        <is>
          <t>Aster DM Healthcare Ltd</t>
        </is>
      </c>
      <c r="E189" s="31" t="inlineStr">
        <is>
          <t>healthcare</t>
        </is>
      </c>
      <c r="F189" s="31" t="inlineStr">
        <is>
          <t>healthcare</t>
        </is>
      </c>
      <c r="G189" s="31" t="inlineStr">
        <is>
          <t>largecap</t>
        </is>
      </c>
      <c r="H189" s="32" t="n">
        <v>41820.14</v>
      </c>
      <c r="I189" s="32" t="n">
        <v>808.9</v>
      </c>
      <c r="J189" s="32" t="n">
        <v>0.22</v>
      </c>
      <c r="K189" s="32" t="n">
        <v>381074</v>
      </c>
      <c r="L189" s="31" t="n">
        <v>51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66.48999999999999</v>
      </c>
      <c r="P189" s="32" t="n">
        <v>45.74</v>
      </c>
      <c r="Q189" s="32" t="n">
        <v>659.89</v>
      </c>
      <c r="R189" s="31" t="inlineStr">
        <is>
          <t>Near 52W High Breakout</t>
        </is>
      </c>
      <c r="S189" s="31" t="inlineStr">
        <is>
          <t>Nifty Pharma</t>
        </is>
      </c>
      <c r="T189" s="32" t="n">
        <v>15.51</v>
      </c>
      <c r="U189" s="32" t="n">
        <v>34.09</v>
      </c>
      <c r="V189" s="32" t="n">
        <v>16.08</v>
      </c>
      <c r="W189" s="32" t="n">
        <v>10.3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Yes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Annuity, Lower One Time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Between 1.5 to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IF(B190=0,"",RANK(B190,$B$2:$B$372,0))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3" t="inlineStr">
        <is>
          <t>MANKIND</t>
        </is>
      </c>
      <c r="D190" s="33" t="inlineStr">
        <is>
          <t>Mankind Pharma Ltd</t>
        </is>
      </c>
      <c r="E190" s="31" t="inlineStr">
        <is>
          <t>healthcare</t>
        </is>
      </c>
      <c r="F190" s="31" t="inlineStr">
        <is>
          <t>pharmaceuticals - indian - bulk drugs &amp; formln</t>
        </is>
      </c>
      <c r="G190" s="31" t="inlineStr">
        <is>
          <t>largecap</t>
        </is>
      </c>
      <c r="H190" s="32" t="n">
        <v>104528.13</v>
      </c>
      <c r="I190" s="32" t="n">
        <v>2525.1</v>
      </c>
      <c r="J190" s="32" t="n">
        <v>-0.27</v>
      </c>
      <c r="K190" s="32" t="n">
        <v>524763</v>
      </c>
      <c r="L190" s="31" t="n">
        <v>21</v>
      </c>
      <c r="M190" s="31" t="inlineStr">
        <is>
          <t>Underperforming</t>
        </is>
      </c>
      <c r="N190" s="32">
        <f>IF(M190="Underperforming",-5,IF(L190&gt;=95,15,IF(L190&gt;=90,10,IF(L190&gt;=80,5,0))))</f>
        <v/>
      </c>
      <c r="O190" s="32" t="n">
        <v>63.24</v>
      </c>
      <c r="P190" s="32" t="n">
        <v>24.07</v>
      </c>
      <c r="Q190" s="32" t="n">
        <v>2117.5</v>
      </c>
      <c r="R190" s="31" t="inlineStr">
        <is>
          <t>Earnings / Momentum Support</t>
        </is>
      </c>
      <c r="S190" s="31" t="inlineStr">
        <is>
          <t>Nifty Pharma</t>
        </is>
      </c>
      <c r="T190" s="32" t="n">
        <v>15.51</v>
      </c>
      <c r="U190" s="32" t="n">
        <v>-2.02</v>
      </c>
      <c r="V190" s="32" t="n">
        <v>-15.18</v>
      </c>
      <c r="W190" s="32" t="n">
        <v>4.46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Yes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Annuity, Lower One Time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Between 1.5 to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IF(B191=0,"",RANK(B191,$B$2:$B$372,0))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JBCHEPHARM</t>
        </is>
      </c>
      <c r="D191" s="31" t="inlineStr">
        <is>
          <t>Jb Chemicals &amp; Pharmaceuticals Limited</t>
        </is>
      </c>
      <c r="E191" s="31" t="inlineStr">
        <is>
          <t>healthcare</t>
        </is>
      </c>
      <c r="F191" s="31" t="inlineStr">
        <is>
          <t>pharmaceuticals - indian - bulk drugs &amp; formln</t>
        </is>
      </c>
      <c r="G191" s="31" t="inlineStr">
        <is>
          <t>largecap</t>
        </is>
      </c>
      <c r="H191" s="32" t="n">
        <v>39248.58</v>
      </c>
      <c r="I191" s="32" t="n">
        <v>2420</v>
      </c>
      <c r="J191" s="32" t="n">
        <v>-1</v>
      </c>
      <c r="K191" s="32" t="n">
        <v>411937</v>
      </c>
      <c r="L191" s="31" t="n">
        <v>62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76.05</v>
      </c>
      <c r="P191" s="32" t="n">
        <v>41.06</v>
      </c>
      <c r="Q191" s="32" t="n">
        <v>2100.04</v>
      </c>
      <c r="R191" s="31" t="inlineStr">
        <is>
          <t>Volume Spike &amp; Near 52W High Breakout</t>
        </is>
      </c>
      <c r="S191" s="31" t="inlineStr">
        <is>
          <t>Nifty Pharma</t>
        </is>
      </c>
      <c r="T191" s="32" t="n">
        <v>15.51</v>
      </c>
      <c r="U191" s="32" t="n">
        <v>53.65</v>
      </c>
      <c r="V191" s="32" t="n">
        <v>33.02</v>
      </c>
      <c r="W191" s="32" t="n">
        <v>13.62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Yes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Annuity, Lower One Time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Above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Less than 12%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Between 50% to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IF(B192=0,"",RANK(B192,$B$2:$B$372,0))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VIYASH</t>
        </is>
      </c>
      <c r="D192" s="31" t="inlineStr">
        <is>
          <t>Viyash Scientific Ltd</t>
        </is>
      </c>
      <c r="E192" s="31" t="inlineStr">
        <is>
          <t>healthcare</t>
        </is>
      </c>
      <c r="F192" s="31" t="inlineStr">
        <is>
          <t>pharmaceuticals - indian - bulk drugs &amp; formln</t>
        </is>
      </c>
      <c r="G192" s="31" t="inlineStr">
        <is>
          <t>midcap</t>
        </is>
      </c>
      <c r="H192" s="32" t="n">
        <v>12277.69</v>
      </c>
      <c r="I192" s="32" t="n">
        <v>277.8</v>
      </c>
      <c r="J192" s="32" t="n">
        <v>-1.16</v>
      </c>
      <c r="K192" s="32" t="n">
        <v>1617553</v>
      </c>
      <c r="L192" s="31" t="n">
        <v>72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67.34999999999999</v>
      </c>
      <c r="P192" s="32" t="n">
        <v>42.05</v>
      </c>
      <c r="Q192" s="32" t="n">
        <v>226.24</v>
      </c>
      <c r="R192" s="31" t="inlineStr">
        <is>
          <t>Earnings / Momentum Support</t>
        </is>
      </c>
      <c r="S192" s="31" t="inlineStr">
        <is>
          <t>Nifty Pharma</t>
        </is>
      </c>
      <c r="T192" s="32" t="n">
        <v>15.51</v>
      </c>
      <c r="U192" s="32" t="n">
        <v>50.72</v>
      </c>
      <c r="V192" s="32" t="n">
        <v>30.47</v>
      </c>
      <c r="W192" s="32" t="n">
        <v>16.08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Yes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Annuity, Lower One Time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Less than 50%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IF(B193=0,"",RANK(B193,$B$2:$B$372,0))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HTMEDIA</t>
        </is>
      </c>
      <c r="D193" s="31" t="inlineStr">
        <is>
          <t>Ht Media Limited</t>
        </is>
      </c>
      <c r="E193" s="31" t="inlineStr">
        <is>
          <t>media</t>
        </is>
      </c>
      <c r="F193" s="31" t="inlineStr">
        <is>
          <t>entertainment / electronic media software</t>
        </is>
      </c>
      <c r="G193" s="31" t="inlineStr">
        <is>
          <t>smallcap</t>
        </is>
      </c>
      <c r="H193" s="32" t="n">
        <v>602.88</v>
      </c>
      <c r="I193" s="32" t="n">
        <v>25.43</v>
      </c>
      <c r="J193" s="32" t="n">
        <v>-1.81</v>
      </c>
      <c r="K193" s="32" t="n">
        <v>226725</v>
      </c>
      <c r="L193" s="31" t="n">
        <v>37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62.65</v>
      </c>
      <c r="P193" s="32" t="n">
        <v>14.45</v>
      </c>
      <c r="Q193" s="32" t="n">
        <v>18.55</v>
      </c>
      <c r="R193" s="31" t="inlineStr">
        <is>
          <t>Volume Spike / Accumulation</t>
        </is>
      </c>
      <c r="S193" s="31" t="inlineStr">
        <is>
          <t>Nifty IT</t>
        </is>
      </c>
      <c r="T193" s="32" t="n">
        <v>-25.69</v>
      </c>
      <c r="U193" s="32" t="n">
        <v>21.23</v>
      </c>
      <c r="V193" s="32" t="n">
        <v>63.14</v>
      </c>
      <c r="W193" s="32" t="n">
        <v>7.27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Annuity, Lower One Time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IF(B194=0,"",RANK(B194,$B$2:$B$372,0))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CHENNPETRO</t>
        </is>
      </c>
      <c r="D194" s="31" t="inlineStr">
        <is>
          <t>Chennai Petroleum Corporation Limited</t>
        </is>
      </c>
      <c r="E194" s="31" t="inlineStr">
        <is>
          <t>energy</t>
        </is>
      </c>
      <c r="F194" s="31" t="inlineStr">
        <is>
          <t>refineries</t>
        </is>
      </c>
      <c r="G194" s="31" t="inlineStr">
        <is>
          <t>midcap</t>
        </is>
      </c>
      <c r="H194" s="32" t="n">
        <v>16703.39</v>
      </c>
      <c r="I194" s="32" t="n">
        <v>1180.7</v>
      </c>
      <c r="J194" s="32" t="n">
        <v>5.26</v>
      </c>
      <c r="K194" s="32" t="n">
        <v>2011061</v>
      </c>
      <c r="L194" s="31" t="n">
        <v>69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62.25</v>
      </c>
      <c r="P194" s="32" t="n">
        <v>46.68</v>
      </c>
      <c r="Q194" s="32" t="n">
        <v>881.8</v>
      </c>
      <c r="R194" s="31" t="inlineStr">
        <is>
          <t>Near 52W High Breakout</t>
        </is>
      </c>
      <c r="S194" s="31" t="inlineStr">
        <is>
          <t>Nifty Energy</t>
        </is>
      </c>
      <c r="T194" s="32" t="n">
        <v>8.710000000000001</v>
      </c>
      <c r="U194" s="32" t="n">
        <v>66.67</v>
      </c>
      <c r="V194" s="32" t="n">
        <v>53.31</v>
      </c>
      <c r="W194" s="32" t="n">
        <v>15.56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Oligopoly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Yes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Cyclical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Volatile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Blue sky scenario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Between 50% to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IF(B195=0,"",RANK(B195,$B$2:$B$372,0))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3" t="inlineStr">
        <is>
          <t>LLOYDSENT</t>
        </is>
      </c>
      <c r="D195" s="33" t="inlineStr">
        <is>
          <t>Lloyds Enterprises Ltd</t>
        </is>
      </c>
      <c r="E195" s="31" t="inlineStr">
        <is>
          <t>services</t>
        </is>
      </c>
      <c r="F195" s="31" t="inlineStr">
        <is>
          <t>trading</t>
        </is>
      </c>
      <c r="G195" s="31" t="inlineStr">
        <is>
          <t>midcap</t>
        </is>
      </c>
      <c r="H195" s="32" t="n">
        <v>11385.02</v>
      </c>
      <c r="I195" s="32" t="n">
        <v>78.18000000000001</v>
      </c>
      <c r="J195" s="32" t="n">
        <v>4.83</v>
      </c>
      <c r="K195" s="32" t="n">
        <v>5818662</v>
      </c>
      <c r="L195" s="31" t="n">
        <v>24</v>
      </c>
      <c r="M195" s="31" t="inlineStr">
        <is>
          <t>Underperforming</t>
        </is>
      </c>
      <c r="N195" s="32">
        <f>IF(M195="Underperforming",-5,IF(L195&gt;=95,15,IF(L195&gt;=90,10,IF(L195&gt;=80,5,0))))</f>
        <v/>
      </c>
      <c r="O195" s="32" t="n">
        <v>62.73</v>
      </c>
      <c r="P195" s="32" t="n">
        <v>29.74</v>
      </c>
      <c r="Q195" s="32" t="n">
        <v>57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-3.75</v>
      </c>
      <c r="U195" s="32" t="n">
        <v>-13.47</v>
      </c>
      <c r="V195" s="32" t="n">
        <v>-10.1</v>
      </c>
      <c r="W195" s="32" t="n">
        <v>5.08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Less than 1.5</t>
        </is>
      </c>
      <c r="BU195" s="31">
        <f>IF(BT195="Above 2",0,IF(BT195="Between 1.5 to 2",5,IF(BT195="Less than 1.5",10,0)))</f>
        <v/>
      </c>
      <c r="BV195" s="31" t="inlineStr">
        <is>
          <t>Negative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IF(B196=0,"",RANK(B196,$B$2:$B$372,0))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3" t="inlineStr">
        <is>
          <t>NH</t>
        </is>
      </c>
      <c r="D196" s="33" t="inlineStr">
        <is>
          <t>Narayana Hrudayalaya Ltd.</t>
        </is>
      </c>
      <c r="E196" s="31" t="inlineStr">
        <is>
          <t>healthcare</t>
        </is>
      </c>
      <c r="F196" s="31" t="inlineStr">
        <is>
          <t>healthcare</t>
        </is>
      </c>
      <c r="G196" s="31" t="inlineStr">
        <is>
          <t>largecap</t>
        </is>
      </c>
      <c r="H196" s="32" t="n">
        <v>40733.2</v>
      </c>
      <c r="I196" s="32" t="n">
        <v>2027.3</v>
      </c>
      <c r="J196" s="32" t="n">
        <v>1.71</v>
      </c>
      <c r="K196" s="32" t="n">
        <v>158548</v>
      </c>
      <c r="L196" s="31" t="n">
        <v>18</v>
      </c>
      <c r="M196" s="31" t="inlineStr">
        <is>
          <t>Underperforming</t>
        </is>
      </c>
      <c r="N196" s="32">
        <f>IF(M196="Underperforming",-5,IF(L196&gt;=95,15,IF(L196&gt;=90,10,IF(L196&gt;=80,5,0))))</f>
        <v/>
      </c>
      <c r="O196" s="32" t="n">
        <v>63.5</v>
      </c>
      <c r="P196" s="32" t="n">
        <v>22.17</v>
      </c>
      <c r="Q196" s="32" t="n">
        <v>1684.07</v>
      </c>
      <c r="R196" s="31" t="inlineStr">
        <is>
          <t>Near 52W High Breakout</t>
        </is>
      </c>
      <c r="S196" s="31" t="inlineStr">
        <is>
          <t>Nifty Pharma</t>
        </is>
      </c>
      <c r="T196" s="32" t="n">
        <v>15.51</v>
      </c>
      <c r="U196" s="32" t="n">
        <v>1.25</v>
      </c>
      <c r="V196" s="32" t="n">
        <v>-12.35</v>
      </c>
      <c r="W196" s="32" t="n">
        <v>3.83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Yes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Shallow Cyclical (2 to 3 Years Growth)</t>
        </is>
      </c>
      <c r="AG196" s="31">
        <f>IF(AF196="Structural (10 Years Consistency)",10,IF(AF196="Shallow Cyclical (2 to 3 years growth)",5,0))</f>
        <v/>
      </c>
      <c r="AH196" s="31" t="inlineStr">
        <is>
          <t>Yes due to Product Mix change or Operating Leverage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B2C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Between 12 to 20%</t>
        </is>
      </c>
      <c r="BO196" s="31">
        <f>IF(BN196="More than 20%",10,IF(BN196="Between 12 to 20%",5,IF(BN196="Less than 12%",0,0)))</f>
        <v/>
      </c>
      <c r="BP196" s="31" t="inlineStr">
        <is>
          <t>Yes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Less than 1.5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IF(B197=0,"",RANK(B197,$B$2:$B$372,0))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CYIENTDLM</t>
        </is>
      </c>
      <c r="D197" s="31" t="inlineStr">
        <is>
          <t>Cyient DLM Ltd</t>
        </is>
      </c>
      <c r="E197" s="31" t="inlineStr">
        <is>
          <t>consumer discretionary</t>
        </is>
      </c>
      <c r="F197" s="31" t="inlineStr">
        <is>
          <t>electronics - components</t>
        </is>
      </c>
      <c r="G197" s="31" t="inlineStr">
        <is>
          <t>smallcap</t>
        </is>
      </c>
      <c r="H197" s="32" t="n">
        <v>4272.19</v>
      </c>
      <c r="I197" s="32" t="n">
        <v>545.65</v>
      </c>
      <c r="J197" s="32" t="n">
        <v>1.37</v>
      </c>
      <c r="K197" s="32" t="n">
        <v>573931</v>
      </c>
      <c r="L197" s="31" t="n">
        <v>80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74.34999999999999</v>
      </c>
      <c r="P197" s="32" t="n">
        <v>38.61</v>
      </c>
      <c r="Q197" s="32" t="n">
        <v>419.1</v>
      </c>
      <c r="R197" s="31" t="inlineStr">
        <is>
          <t>Volume Spike &amp; Near 52W High Breakout</t>
        </is>
      </c>
      <c r="S197" s="31" t="inlineStr">
        <is>
          <t>Nifty 50</t>
        </is>
      </c>
      <c r="T197" s="32" t="n">
        <v>-3.75</v>
      </c>
      <c r="U197" s="32" t="n">
        <v>13.04</v>
      </c>
      <c r="V197" s="32" t="n">
        <v>17.44</v>
      </c>
      <c r="W197" s="32" t="n">
        <v>21.65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Less than 50%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IF(B198=0,"",RANK(B198,$B$2:$B$372,0))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TIRUPATIFL</t>
        </is>
      </c>
      <c r="D198" s="31" t="inlineStr">
        <is>
          <t>Tirupati Forge Ltd</t>
        </is>
      </c>
      <c r="E198" s="31" t="inlineStr">
        <is>
          <t>industrials</t>
        </is>
      </c>
      <c r="F198" s="31" t="inlineStr">
        <is>
          <t>castings &amp; forgings</t>
        </is>
      </c>
      <c r="G198" s="31" t="inlineStr">
        <is>
          <t>smallcap</t>
        </is>
      </c>
      <c r="H198" s="32" t="n">
        <v>866.74</v>
      </c>
      <c r="I198" s="32" t="n">
        <v>68</v>
      </c>
      <c r="J198" s="32" t="n">
        <v>1.36</v>
      </c>
      <c r="K198" s="32" t="n">
        <v>490593</v>
      </c>
      <c r="L198" s="31" t="n">
        <v>83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78.09999999999999</v>
      </c>
      <c r="P198" s="32" t="n">
        <v>33.73</v>
      </c>
      <c r="Q198" s="32" t="n">
        <v>48.28</v>
      </c>
      <c r="R198" s="31" t="inlineStr">
        <is>
          <t>Volume Spike &amp; Near 52W High Breakout</t>
        </is>
      </c>
      <c r="S198" s="31" t="inlineStr">
        <is>
          <t>Nifty 50</t>
        </is>
      </c>
      <c r="T198" s="32" t="n">
        <v>-3.75</v>
      </c>
      <c r="U198" s="32" t="n">
        <v>56.12</v>
      </c>
      <c r="V198" s="32" t="n">
        <v>62.2</v>
      </c>
      <c r="W198" s="32" t="n">
        <v>23.46</v>
      </c>
      <c r="X198" s="31" t="inlineStr">
        <is>
          <t>Cyclical in an Upturn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Above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Blue sky scenario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IF(B199=0,"",RANK(B199,$B$2:$B$372,0))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3" t="inlineStr">
        <is>
          <t>MMP</t>
        </is>
      </c>
      <c r="D199" s="33" t="inlineStr">
        <is>
          <t>MMP Industries Ltd</t>
        </is>
      </c>
      <c r="E199" s="31" t="inlineStr">
        <is>
          <t>metals &amp; mining</t>
        </is>
      </c>
      <c r="F199" s="31" t="inlineStr">
        <is>
          <t>aluminium and aluminium products</t>
        </is>
      </c>
      <c r="G199" s="31" t="inlineStr">
        <is>
          <t>smallcap</t>
        </is>
      </c>
      <c r="H199" s="32" t="n">
        <v>718</v>
      </c>
      <c r="I199" s="32" t="n">
        <v>286.35</v>
      </c>
      <c r="J199" s="32" t="n">
        <v>1.31</v>
      </c>
      <c r="K199" s="32" t="n">
        <v>54489</v>
      </c>
      <c r="L199" s="31" t="n">
        <v>19</v>
      </c>
      <c r="M199" s="31" t="inlineStr">
        <is>
          <t>Underperforming</t>
        </is>
      </c>
      <c r="N199" s="32">
        <f>IF(M199="Underperforming",-5,IF(L199&gt;=95,15,IF(L199&gt;=90,10,IF(L199&gt;=80,5,0))))</f>
        <v/>
      </c>
      <c r="O199" s="32" t="n">
        <v>58.86</v>
      </c>
      <c r="P199" s="32" t="n">
        <v>25.57</v>
      </c>
      <c r="Q199" s="32" t="n">
        <v>210.12</v>
      </c>
      <c r="R199" s="31" t="inlineStr">
        <is>
          <t>Near 52W High Breakout</t>
        </is>
      </c>
      <c r="S199" s="31" t="inlineStr">
        <is>
          <t>Nifty Metal</t>
        </is>
      </c>
      <c r="T199" s="32" t="n">
        <v>35.24</v>
      </c>
      <c r="U199" s="32" t="n">
        <v>-1.55</v>
      </c>
      <c r="V199" s="32" t="n">
        <v>-27.2</v>
      </c>
      <c r="W199" s="32" t="n">
        <v>3.97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Cyclical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Volatile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IF(B200=0,"",RANK(B200,$B$2:$B$372,0))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3" t="inlineStr">
        <is>
          <t>JINDALSAW</t>
        </is>
      </c>
      <c r="D200" s="33" t="inlineStr">
        <is>
          <t>Jindal Saw Limited</t>
        </is>
      </c>
      <c r="E200" s="31" t="inlineStr">
        <is>
          <t>industrials</t>
        </is>
      </c>
      <c r="F200" s="31" t="inlineStr">
        <is>
          <t>steel - large</t>
        </is>
      </c>
      <c r="G200" s="31" t="inlineStr">
        <is>
          <t>midcap</t>
        </is>
      </c>
      <c r="H200" s="32" t="n">
        <v>17413.81</v>
      </c>
      <c r="I200" s="32" t="n">
        <v>275.8</v>
      </c>
      <c r="J200" s="32" t="n">
        <v>1.29</v>
      </c>
      <c r="K200" s="32" t="n">
        <v>2969482</v>
      </c>
      <c r="L200" s="31" t="n">
        <v>63</v>
      </c>
      <c r="M200" s="31" t="inlineStr">
        <is>
          <t>Underperforming</t>
        </is>
      </c>
      <c r="N200" s="32">
        <f>IF(M200="Underperforming",-5,IF(L200&gt;=95,15,IF(L200&gt;=90,10,IF(L200&gt;=80,5,0))))</f>
        <v/>
      </c>
      <c r="O200" s="32" t="n">
        <v>68.11</v>
      </c>
      <c r="P200" s="32" t="n">
        <v>37.05</v>
      </c>
      <c r="Q200" s="32" t="n">
        <v>210.9</v>
      </c>
      <c r="R200" s="31" t="inlineStr">
        <is>
          <t>Near 52W High Breakout</t>
        </is>
      </c>
      <c r="S200" s="31" t="inlineStr">
        <is>
          <t>Nifty Metal</t>
        </is>
      </c>
      <c r="T200" s="32" t="n">
        <v>35.24</v>
      </c>
      <c r="U200" s="32" t="n">
        <v>23.87</v>
      </c>
      <c r="V200" s="32" t="n">
        <v>-8.41</v>
      </c>
      <c r="W200" s="32" t="n">
        <v>13.74</v>
      </c>
      <c r="X200" s="31" t="inlineStr">
        <is>
          <t>Cyclical in an Upturn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IF(B201=0,"",RANK(B201,$B$2:$B$372,0))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AETHER</t>
        </is>
      </c>
      <c r="D201" s="31" t="inlineStr">
        <is>
          <t>Aether Industries Ltd</t>
        </is>
      </c>
      <c r="E201" s="31" t="inlineStr">
        <is>
          <t>chemicals</t>
        </is>
      </c>
      <c r="F201" s="31" t="inlineStr">
        <is>
          <t>chemicals</t>
        </is>
      </c>
      <c r="G201" s="31" t="inlineStr">
        <is>
          <t>midcap</t>
        </is>
      </c>
      <c r="H201" s="32" t="n">
        <v>19713.57</v>
      </c>
      <c r="I201" s="32" t="n">
        <v>1500.8</v>
      </c>
      <c r="J201" s="32" t="n">
        <v>1.01</v>
      </c>
      <c r="K201" s="32" t="n">
        <v>699280</v>
      </c>
      <c r="L201" s="31" t="n">
        <v>78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76</v>
      </c>
      <c r="P201" s="32" t="n">
        <v>46.55</v>
      </c>
      <c r="Q201" s="32" t="n">
        <v>1173.54</v>
      </c>
      <c r="R201" s="31" t="inlineStr">
        <is>
          <t>Volume Spike &amp; Near 52W High Breakout</t>
        </is>
      </c>
      <c r="S201" s="31" t="inlineStr">
        <is>
          <t>Nifty 50</t>
        </is>
      </c>
      <c r="T201" s="32" t="n">
        <v>-3.75</v>
      </c>
      <c r="U201" s="32" t="n">
        <v>92.77</v>
      </c>
      <c r="V201" s="32" t="n">
        <v>100.28</v>
      </c>
      <c r="W201" s="32" t="n">
        <v>20.13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Above 40</t>
        </is>
      </c>
      <c r="AY201" s="31">
        <f>IF(AX201="Above 40",20,IF(AX201="20 to 40",10,IF(AX201="0 to 20",-5,0)))</f>
        <v/>
      </c>
      <c r="AZ201" s="31" t="inlineStr">
        <is>
          <t>Above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Less than 50%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IF(B202=0,"",RANK(B202,$B$2:$B$372,0))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KSB</t>
        </is>
      </c>
      <c r="D202" s="31" t="inlineStr">
        <is>
          <t>KSB Ltd</t>
        </is>
      </c>
      <c r="E202" s="31" t="inlineStr">
        <is>
          <t>industrials</t>
        </is>
      </c>
      <c r="F202" s="31" t="inlineStr">
        <is>
          <t>pumps</t>
        </is>
      </c>
      <c r="G202" s="31" t="inlineStr">
        <is>
          <t>midcap</t>
        </is>
      </c>
      <c r="H202" s="32" t="n">
        <v>16232.64</v>
      </c>
      <c r="I202" s="32" t="n">
        <v>941.7</v>
      </c>
      <c r="J202" s="32" t="n">
        <v>0.96</v>
      </c>
      <c r="K202" s="32" t="n">
        <v>49230</v>
      </c>
      <c r="L202" s="31" t="n">
        <v>13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63.31</v>
      </c>
      <c r="P202" s="32" t="n">
        <v>27.71</v>
      </c>
      <c r="Q202" s="32" t="n">
        <v>792.51</v>
      </c>
      <c r="R202" s="31" t="inlineStr">
        <is>
          <t>Near 52W High Breakout</t>
        </is>
      </c>
      <c r="S202" s="31" t="inlineStr">
        <is>
          <t>Nifty 50</t>
        </is>
      </c>
      <c r="T202" s="32" t="n">
        <v>-3.75</v>
      </c>
      <c r="U202" s="32" t="n">
        <v>7.4</v>
      </c>
      <c r="V202" s="32" t="n">
        <v>11.59</v>
      </c>
      <c r="W202" s="32" t="n">
        <v>2.98</v>
      </c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IF(B203=0,"",RANK(B203,$B$2:$B$372,0))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SUNDRMFAST</t>
        </is>
      </c>
      <c r="D203" s="33" t="inlineStr">
        <is>
          <t>Sundram Fasteners Limited</t>
        </is>
      </c>
      <c r="E203" s="31" t="inlineStr">
        <is>
          <t>auto</t>
        </is>
      </c>
      <c r="F203" s="31" t="inlineStr">
        <is>
          <t>auto ancillaries</t>
        </is>
      </c>
      <c r="G203" s="31" t="inlineStr">
        <is>
          <t>midcap</t>
        </is>
      </c>
      <c r="H203" s="32" t="n">
        <v>19675.37</v>
      </c>
      <c r="I203" s="32" t="n">
        <v>942</v>
      </c>
      <c r="J203" s="32" t="n">
        <v>0.6</v>
      </c>
      <c r="K203" s="32" t="n">
        <v>46373</v>
      </c>
      <c r="L203" s="31" t="n">
        <v>11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62.31</v>
      </c>
      <c r="P203" s="32" t="n">
        <v>12.34</v>
      </c>
      <c r="Q203" s="32" t="n">
        <v>783.64</v>
      </c>
      <c r="R203" s="31" t="inlineStr">
        <is>
          <t>Earnings / Momentum Support</t>
        </is>
      </c>
      <c r="S203" s="31" t="inlineStr">
        <is>
          <t>Nifty Auto</t>
        </is>
      </c>
      <c r="T203" s="32" t="n">
        <v>14.33</v>
      </c>
      <c r="U203" s="32" t="n">
        <v>-7.86</v>
      </c>
      <c r="V203" s="32" t="n">
        <v>-19.41</v>
      </c>
      <c r="W203" s="32" t="n">
        <v>2.46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IF(B204=0,"",RANK(B204,$B$2:$B$372,0))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CRAFTSMAN</t>
        </is>
      </c>
      <c r="D204" s="31" t="inlineStr">
        <is>
          <t>Craftsman Automation Ltd</t>
        </is>
      </c>
      <c r="E204" s="31" t="inlineStr">
        <is>
          <t>auto</t>
        </is>
      </c>
      <c r="F204" s="31" t="inlineStr">
        <is>
          <t>auto ancillaries</t>
        </is>
      </c>
      <c r="G204" s="31" t="inlineStr">
        <is>
          <t>largecap</t>
        </is>
      </c>
      <c r="H204" s="32" t="n">
        <v>24277.85</v>
      </c>
      <c r="I204" s="32" t="n">
        <v>9301</v>
      </c>
      <c r="J204" s="32" t="n">
        <v>0.2</v>
      </c>
      <c r="K204" s="32" t="n">
        <v>16644</v>
      </c>
      <c r="L204" s="31" t="n">
        <v>66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62.75</v>
      </c>
      <c r="P204" s="32" t="n">
        <v>49.22</v>
      </c>
      <c r="Q204" s="32" t="n">
        <v>7842</v>
      </c>
      <c r="R204" s="31" t="inlineStr">
        <is>
          <t>Earnings / Momentum Support</t>
        </is>
      </c>
      <c r="S204" s="31" t="inlineStr">
        <is>
          <t>Nifty Auto</t>
        </is>
      </c>
      <c r="T204" s="32" t="n">
        <v>14.33</v>
      </c>
      <c r="U204" s="32" t="n">
        <v>56.79</v>
      </c>
      <c r="V204" s="32" t="n">
        <v>37.14</v>
      </c>
      <c r="W204" s="32" t="n">
        <v>14.93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Above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Less than 50% and Borrowings are increasing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Between 0.7 to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IF(B205=0,"",RANK(B205,$B$2:$B$372,0))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AZAD</t>
        </is>
      </c>
      <c r="D205" s="31" t="inlineStr">
        <is>
          <t>Azad Engineering Ltd</t>
        </is>
      </c>
      <c r="E205" s="31" t="inlineStr">
        <is>
          <t>aerospace &amp; defence</t>
        </is>
      </c>
      <c r="F205" s="31" t="inlineStr">
        <is>
          <t>engineering</t>
        </is>
      </c>
      <c r="G205" s="31" t="inlineStr">
        <is>
          <t>midcap</t>
        </is>
      </c>
      <c r="H205" s="32" t="n">
        <v>15991.09</v>
      </c>
      <c r="I205" s="32" t="n">
        <v>2479.5</v>
      </c>
      <c r="J205" s="32" t="n">
        <v>0.14</v>
      </c>
      <c r="K205" s="32" t="n">
        <v>923623</v>
      </c>
      <c r="L205" s="31" t="n">
        <v>78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69.09</v>
      </c>
      <c r="P205" s="32" t="n">
        <v>26.79</v>
      </c>
      <c r="Q205" s="32" t="n">
        <v>1886.92</v>
      </c>
      <c r="R205" s="31" t="inlineStr">
        <is>
          <t>Volume Spike &amp; Near 52W High Breakout</t>
        </is>
      </c>
      <c r="S205" s="31" t="inlineStr">
        <is>
          <t>Nifty 50</t>
        </is>
      </c>
      <c r="T205" s="32" t="n">
        <v>-3.75</v>
      </c>
      <c r="U205" s="32" t="n">
        <v>56.11</v>
      </c>
      <c r="V205" s="32" t="n">
        <v>62.19</v>
      </c>
      <c r="W205" s="32" t="n">
        <v>19.72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Negative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IF(B206=0,"",RANK(B206,$B$2:$B$372,0))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3" t="inlineStr">
        <is>
          <t>KKCL</t>
        </is>
      </c>
      <c r="D206" s="33" t="inlineStr">
        <is>
          <t>Kewal Kiran Clothing Limited</t>
        </is>
      </c>
      <c r="E206" s="31" t="inlineStr">
        <is>
          <t>consumer discretionary</t>
        </is>
      </c>
      <c r="F206" s="31" t="inlineStr">
        <is>
          <t>textiles - products</t>
        </is>
      </c>
      <c r="G206" s="31" t="inlineStr">
        <is>
          <t>smallcap</t>
        </is>
      </c>
      <c r="H206" s="32" t="n">
        <v>3053.84</v>
      </c>
      <c r="I206" s="32" t="n">
        <v>495.3</v>
      </c>
      <c r="J206" s="32" t="n">
        <v>-0.05</v>
      </c>
      <c r="K206" s="32" t="n">
        <v>44421</v>
      </c>
      <c r="L206" s="31" t="n">
        <v>2</v>
      </c>
      <c r="M206" s="31" t="inlineStr">
        <is>
          <t>Underperforming</t>
        </is>
      </c>
      <c r="N206" s="32">
        <f>IF(M206="Underperforming",-5,IF(L206&gt;=95,15,IF(L206&gt;=90,10,IF(L206&gt;=80,5,0))))</f>
        <v/>
      </c>
      <c r="O206" s="32" t="n">
        <v>55.3</v>
      </c>
      <c r="P206" s="32" t="n">
        <v>10.99</v>
      </c>
      <c r="Q206" s="32" t="n">
        <v>412.04</v>
      </c>
      <c r="R206" s="31" t="inlineStr">
        <is>
          <t>Earnings / Momentum Support</t>
        </is>
      </c>
      <c r="S206" s="31" t="inlineStr">
        <is>
          <t>Nifty 50</t>
        </is>
      </c>
      <c r="T206" s="32" t="n">
        <v>-3.75</v>
      </c>
      <c r="U206" s="32" t="n">
        <v>-9.57</v>
      </c>
      <c r="V206" s="32" t="n">
        <v>-6.05</v>
      </c>
      <c r="W206" s="32" t="n">
        <v>-0.84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Less than 1.5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IF(B207=0,"",RANK(B207,$B$2:$B$372,0))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BHARATFORG</t>
        </is>
      </c>
      <c r="D207" s="31" t="inlineStr">
        <is>
          <t>Bharat Forge Limited</t>
        </is>
      </c>
      <c r="E207" s="31" t="inlineStr">
        <is>
          <t>industrials</t>
        </is>
      </c>
      <c r="F207" s="31" t="inlineStr">
        <is>
          <t>castings &amp; forgings</t>
        </is>
      </c>
      <c r="G207" s="31" t="inlineStr">
        <is>
          <t>largecap</t>
        </is>
      </c>
      <c r="H207" s="32" t="n">
        <v>101861.56</v>
      </c>
      <c r="I207" s="32" t="n">
        <v>2117</v>
      </c>
      <c r="J207" s="32" t="n">
        <v>-0.64</v>
      </c>
      <c r="K207" s="32" t="n">
        <v>495500</v>
      </c>
      <c r="L207" s="31" t="n">
        <v>70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70.25</v>
      </c>
      <c r="P207" s="32" t="n">
        <v>40.87</v>
      </c>
      <c r="Q207" s="32" t="n">
        <v>1776.75</v>
      </c>
      <c r="R207" s="31" t="inlineStr">
        <is>
          <t>Near 52W High Breakout</t>
        </is>
      </c>
      <c r="S207" s="31" t="inlineStr">
        <is>
          <t>Nifty 500</t>
        </is>
      </c>
      <c r="T207" s="32" t="n">
        <v>0.28</v>
      </c>
      <c r="U207" s="32" t="n">
        <v>75</v>
      </c>
      <c r="V207" s="32" t="n">
        <v>74.5</v>
      </c>
      <c r="W207" s="32" t="n">
        <v>15.92</v>
      </c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Above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Between 50% to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Between 0.7 to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IF(B208=0,"",RANK(B208,$B$2:$B$372,0))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MGEL</t>
        </is>
      </c>
      <c r="D208" s="31" t="inlineStr">
        <is>
          <t>Mangalam Global Enterprise Ltd</t>
        </is>
      </c>
      <c r="E208" s="31" t="inlineStr">
        <is>
          <t>services</t>
        </is>
      </c>
      <c r="F208" s="31" t="inlineStr">
        <is>
          <t>trading</t>
        </is>
      </c>
      <c r="G208" s="31" t="inlineStr">
        <is>
          <t>smallcap</t>
        </is>
      </c>
      <c r="H208" s="32" t="n">
        <v>556.95</v>
      </c>
      <c r="I208" s="32" t="n">
        <v>16.75</v>
      </c>
      <c r="J208" s="32" t="n">
        <v>-0.89</v>
      </c>
      <c r="K208" s="32" t="n">
        <v>60661</v>
      </c>
      <c r="L208" s="31" t="n">
        <v>47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65.28</v>
      </c>
      <c r="P208" s="32" t="n">
        <v>36.3</v>
      </c>
      <c r="Q208" s="32" t="n">
        <v>12.17</v>
      </c>
      <c r="R208" s="31" t="inlineStr">
        <is>
          <t>Earnings / Momentum Support</t>
        </is>
      </c>
      <c r="S208" s="31" t="inlineStr">
        <is>
          <t>Nifty 50</t>
        </is>
      </c>
      <c r="T208" s="32" t="n">
        <v>-3.75</v>
      </c>
      <c r="U208" s="32" t="n">
        <v>-1.59</v>
      </c>
      <c r="V208" s="32" t="n">
        <v>2.25</v>
      </c>
      <c r="W208" s="32" t="n">
        <v>9.48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Between 0.7 to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IF(B209=0,"",RANK(B209,$B$2:$B$372,0))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CEATLTD</t>
        </is>
      </c>
      <c r="D209" s="33" t="inlineStr">
        <is>
          <t>Ceat Limited</t>
        </is>
      </c>
      <c r="E209" s="31" t="inlineStr">
        <is>
          <t>auto</t>
        </is>
      </c>
      <c r="F209" s="31" t="inlineStr">
        <is>
          <t>tyres</t>
        </is>
      </c>
      <c r="G209" s="31" t="inlineStr">
        <is>
          <t>midcap</t>
        </is>
      </c>
      <c r="H209" s="32" t="n">
        <v>15809.92</v>
      </c>
      <c r="I209" s="32" t="n">
        <v>3866.6</v>
      </c>
      <c r="J209" s="32" t="n">
        <v>-1.07</v>
      </c>
      <c r="K209" s="32" t="n">
        <v>204540</v>
      </c>
      <c r="L209" s="31" t="n">
        <v>10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61.65</v>
      </c>
      <c r="P209" s="32" t="n">
        <v>7.84</v>
      </c>
      <c r="Q209" s="32" t="n">
        <v>3070.21</v>
      </c>
      <c r="R209" s="31" t="inlineStr">
        <is>
          <t>Volume Spike / Accumulation</t>
        </is>
      </c>
      <c r="S209" s="31" t="inlineStr">
        <is>
          <t>Nifty Auto</t>
        </is>
      </c>
      <c r="T209" s="32" t="n">
        <v>14.33</v>
      </c>
      <c r="U209" s="32" t="n">
        <v>4.82</v>
      </c>
      <c r="V209" s="32" t="n">
        <v>-8.32</v>
      </c>
      <c r="W209" s="32" t="n">
        <v>2.29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IF(B210=0,"",RANK(B210,$B$2:$B$372,0))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DIVGIITTS</t>
        </is>
      </c>
      <c r="D210" s="31" t="inlineStr">
        <is>
          <t>Divgi Torqtransfer Systems Ltd</t>
        </is>
      </c>
      <c r="E210" s="31" t="inlineStr">
        <is>
          <t>auto</t>
        </is>
      </c>
      <c r="F210" s="31" t="inlineStr">
        <is>
          <t>auto ancillaries</t>
        </is>
      </c>
      <c r="G210" s="31" t="inlineStr">
        <is>
          <t>smallcap</t>
        </is>
      </c>
      <c r="H210" s="32" t="n">
        <v>2996.21</v>
      </c>
      <c r="I210" s="32" t="n">
        <v>967.4</v>
      </c>
      <c r="J210" s="32" t="n">
        <v>-1.26</v>
      </c>
      <c r="K210" s="32" t="n">
        <v>30706</v>
      </c>
      <c r="L210" s="31" t="n">
        <v>77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66.92</v>
      </c>
      <c r="P210" s="32" t="n">
        <v>36.65</v>
      </c>
      <c r="Q210" s="32" t="n">
        <v>763.3</v>
      </c>
      <c r="R210" s="31" t="inlineStr">
        <is>
          <t>Earnings / Momentum Support</t>
        </is>
      </c>
      <c r="S210" s="31" t="inlineStr">
        <is>
          <t>Nifty Auto</t>
        </is>
      </c>
      <c r="T210" s="32" t="n">
        <v>14.33</v>
      </c>
      <c r="U210" s="32" t="n">
        <v>55.95</v>
      </c>
      <c r="V210" s="32" t="n">
        <v>36.4</v>
      </c>
      <c r="W210" s="32" t="n">
        <v>19.36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Between 50% to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IF(B211=0,"",RANK(B211,$B$2:$B$372,0))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3" t="inlineStr">
        <is>
          <t>UNIMECH</t>
        </is>
      </c>
      <c r="D211" s="33" t="inlineStr">
        <is>
          <t>Unimech Aerospace and Manufacturing Ltd</t>
        </is>
      </c>
      <c r="E211" s="31" t="inlineStr">
        <is>
          <t>aerospace &amp; defence</t>
        </is>
      </c>
      <c r="F211" s="31" t="inlineStr">
        <is>
          <t>engineering</t>
        </is>
      </c>
      <c r="G211" s="31" t="inlineStr">
        <is>
          <t>midcap</t>
        </is>
      </c>
      <c r="H211" s="32" t="n">
        <v>6165.89</v>
      </c>
      <c r="I211" s="32" t="n">
        <v>1185</v>
      </c>
      <c r="J211" s="32" t="n">
        <v>-2.26</v>
      </c>
      <c r="K211" s="32" t="n">
        <v>113831</v>
      </c>
      <c r="L211" s="31" t="n">
        <v>43</v>
      </c>
      <c r="M211" s="31" t="inlineStr">
        <is>
          <t>Underperforming</t>
        </is>
      </c>
      <c r="N211" s="32">
        <f>IF(M211="Underperforming",-5,IF(L211&gt;=95,15,IF(L211&gt;=90,10,IF(L211&gt;=80,5,0))))</f>
        <v/>
      </c>
      <c r="O211" s="32" t="n">
        <v>63.6</v>
      </c>
      <c r="P211" s="32" t="n">
        <v>23.94</v>
      </c>
      <c r="Q211" s="32" t="n">
        <v>873.72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-3.75</v>
      </c>
      <c r="U211" s="32" t="n">
        <v>-5.09</v>
      </c>
      <c r="V211" s="32" t="n">
        <v>-1.4</v>
      </c>
      <c r="W211" s="32" t="n">
        <v>8.51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IF(B212=0,"",RANK(B212,$B$2:$B$372,0))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DIACABS</t>
        </is>
      </c>
      <c r="D212" s="31" t="inlineStr">
        <is>
          <t>Diamond Power Infrastructure Ltd</t>
        </is>
      </c>
      <c r="E212" s="31" t="inlineStr">
        <is>
          <t>industrials</t>
        </is>
      </c>
      <c r="F212" s="31" t="inlineStr">
        <is>
          <t>cables - power</t>
        </is>
      </c>
      <c r="G212" s="31" t="inlineStr">
        <is>
          <t>midcap</t>
        </is>
      </c>
      <c r="H212" s="32" t="n">
        <v>12605.15</v>
      </c>
      <c r="I212" s="32" t="n">
        <v>229.01</v>
      </c>
      <c r="J212" s="32" t="n">
        <v>-4.26</v>
      </c>
      <c r="K212" s="32" t="n">
        <v>10684418</v>
      </c>
      <c r="L212" s="31" t="n">
        <v>83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76.73</v>
      </c>
      <c r="P212" s="32" t="n">
        <v>45.92</v>
      </c>
      <c r="Q212" s="32" t="n">
        <v>169.07</v>
      </c>
      <c r="R212" s="31" t="inlineStr">
        <is>
          <t>Volume Spike &amp; Near 52W High Breakout</t>
        </is>
      </c>
      <c r="S212" s="31" t="inlineStr">
        <is>
          <t>Nifty Energy</t>
        </is>
      </c>
      <c r="T212" s="32" t="n">
        <v>8.710000000000001</v>
      </c>
      <c r="U212" s="32" t="n">
        <v>38.89</v>
      </c>
      <c r="V212" s="32" t="n">
        <v>27.76</v>
      </c>
      <c r="W212" s="32" t="n">
        <v>23.37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Above 40</t>
        </is>
      </c>
      <c r="AY212" s="31">
        <f>IF(AX212="Above 40",20,IF(AX212="20 to 40",10,IF(AX212="0 to 20",-5,0)))</f>
        <v/>
      </c>
      <c r="AZ212" s="31" t="inlineStr">
        <is>
          <t>Above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Negative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IF(B213=0,"",RANK(B213,$B$2:$B$372,0))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SUBEXLTD</t>
        </is>
      </c>
      <c r="D213" s="31" t="inlineStr">
        <is>
          <t>Subex Ltd</t>
        </is>
      </c>
      <c r="E213" s="31" t="inlineStr">
        <is>
          <t>i.t</t>
        </is>
      </c>
      <c r="F213" s="31" t="inlineStr">
        <is>
          <t>computers - software - medium / small</t>
        </is>
      </c>
      <c r="G213" s="31" t="inlineStr">
        <is>
          <t>smallcap</t>
        </is>
      </c>
      <c r="H213" s="32" t="n">
        <v>708.12</v>
      </c>
      <c r="I213" s="32" t="n">
        <v>13.23</v>
      </c>
      <c r="J213" s="32" t="n">
        <v>5</v>
      </c>
      <c r="K213" s="32" t="n">
        <v>2431346</v>
      </c>
      <c r="L213" s="31" t="n">
        <v>53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63.58</v>
      </c>
      <c r="P213" s="32" t="n">
        <v>18.78</v>
      </c>
      <c r="Q213" s="32" t="n">
        <v>9.25</v>
      </c>
      <c r="R213" s="31" t="inlineStr">
        <is>
          <t>Earnings / Momentum Support</t>
        </is>
      </c>
      <c r="S213" s="31" t="inlineStr">
        <is>
          <t>Nifty IT</t>
        </is>
      </c>
      <c r="T213" s="32" t="n">
        <v>-25.69</v>
      </c>
      <c r="U213" s="32" t="n">
        <v>-7.48</v>
      </c>
      <c r="V213" s="32" t="n">
        <v>24.5</v>
      </c>
      <c r="W213" s="32" t="n">
        <v>11.2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IF(B214=0,"",RANK(B214,$B$2:$B$372,0))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INDSWFTLAB</t>
        </is>
      </c>
      <c r="D214" s="31" t="inlineStr">
        <is>
          <t>Ind-swift Laboratories Limited</t>
        </is>
      </c>
      <c r="E214" s="31" t="inlineStr">
        <is>
          <t>healthcare</t>
        </is>
      </c>
      <c r="F214" s="31" t="inlineStr">
        <is>
          <t>pharmaceuticals - indian - bulk drugs &amp; formln</t>
        </is>
      </c>
      <c r="G214" s="31" t="inlineStr">
        <is>
          <t>smallcap</t>
        </is>
      </c>
      <c r="H214" s="32" t="n">
        <v>2045.7</v>
      </c>
      <c r="I214" s="32" t="n">
        <v>246.44</v>
      </c>
      <c r="J214" s="32" t="n">
        <v>4.61</v>
      </c>
      <c r="K214" s="32" t="n">
        <v>1902514</v>
      </c>
      <c r="L214" s="31" t="n">
        <v>94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88.78</v>
      </c>
      <c r="P214" s="32" t="n">
        <v>44.39</v>
      </c>
      <c r="Q214" s="32" t="n">
        <v>192.03</v>
      </c>
      <c r="R214" s="31" t="inlineStr">
        <is>
          <t>Volume Spike &amp; Near 52W High Breakout</t>
        </is>
      </c>
      <c r="S214" s="31" t="inlineStr">
        <is>
          <t>Nifty Pharma</t>
        </is>
      </c>
      <c r="T214" s="32" t="n">
        <v>15.51</v>
      </c>
      <c r="U214" s="32" t="n">
        <v>135.51</v>
      </c>
      <c r="V214" s="32" t="n">
        <v>103.88</v>
      </c>
      <c r="W214" s="32" t="n">
        <v>38.51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Yes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Above 40</t>
        </is>
      </c>
      <c r="AY214" s="31">
        <f>IF(AX214="Above 40",20,IF(AX214="20 to 40",10,IF(AX214="0 to 20",-5,0)))</f>
        <v/>
      </c>
      <c r="AZ214" s="31" t="inlineStr">
        <is>
          <t>Above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Negative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IF(B215=0,"",RANK(B215,$B$2:$B$372,0))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APOLLOPIPE</t>
        </is>
      </c>
      <c r="D215" s="31" t="inlineStr">
        <is>
          <t>Apollo Pipes Ltd</t>
        </is>
      </c>
      <c r="E215" s="31" t="inlineStr">
        <is>
          <t>plastic products</t>
        </is>
      </c>
      <c r="F215" s="31" t="inlineStr">
        <is>
          <t>plastics products</t>
        </is>
      </c>
      <c r="G215" s="31" t="inlineStr">
        <is>
          <t>smallcap</t>
        </is>
      </c>
      <c r="H215" s="32" t="n">
        <v>2148.23</v>
      </c>
      <c r="I215" s="32" t="n">
        <v>510</v>
      </c>
      <c r="J215" s="32" t="n">
        <v>4.57</v>
      </c>
      <c r="K215" s="32" t="n">
        <v>391200</v>
      </c>
      <c r="L215" s="31" t="n">
        <v>49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67.15000000000001</v>
      </c>
      <c r="P215" s="32" t="n">
        <v>51.78</v>
      </c>
      <c r="Q215" s="32" t="n">
        <v>392.3</v>
      </c>
      <c r="R215" s="31" t="inlineStr">
        <is>
          <t>Near 52W High Breakout</t>
        </is>
      </c>
      <c r="S215" s="31" t="inlineStr">
        <is>
          <t>Nifty 50</t>
        </is>
      </c>
      <c r="T215" s="32" t="n">
        <v>-3.75</v>
      </c>
      <c r="U215" s="32" t="n">
        <v>21.29</v>
      </c>
      <c r="V215" s="32" t="n">
        <v>26.02</v>
      </c>
      <c r="W215" s="32" t="n">
        <v>9.6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Oligopoly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Cyclical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B2C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Fully One Time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Above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Yes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Between 1.5 to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IF(B216=0,"",RANK(B216,$B$2:$B$372,0))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DATAMATICS</t>
        </is>
      </c>
      <c r="D216" s="31" t="inlineStr">
        <is>
          <t>Datamatics Global Services Limited</t>
        </is>
      </c>
      <c r="E216" s="31" t="inlineStr">
        <is>
          <t>i.t</t>
        </is>
      </c>
      <c r="F216" s="31" t="inlineStr">
        <is>
          <t>computers - software - medium / small</t>
        </is>
      </c>
      <c r="G216" s="31" t="inlineStr">
        <is>
          <t>midcap</t>
        </is>
      </c>
      <c r="H216" s="32" t="n">
        <v>5105.61</v>
      </c>
      <c r="I216" s="32" t="n">
        <v>900.45</v>
      </c>
      <c r="J216" s="32" t="n">
        <v>4.24</v>
      </c>
      <c r="K216" s="32" t="n">
        <v>490965</v>
      </c>
      <c r="L216" s="31" t="n">
        <v>52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63.07</v>
      </c>
      <c r="P216" s="32" t="n">
        <v>17.75</v>
      </c>
      <c r="Q216" s="32" t="n">
        <v>685.28</v>
      </c>
      <c r="R216" s="31" t="inlineStr">
        <is>
          <t>Volume Spike / Accumulation</t>
        </is>
      </c>
      <c r="S216" s="31" t="inlineStr">
        <is>
          <t>Nifty IT</t>
        </is>
      </c>
      <c r="T216" s="32" t="n">
        <v>-25.69</v>
      </c>
      <c r="U216" s="32" t="n">
        <v>23.65</v>
      </c>
      <c r="V216" s="32" t="n">
        <v>66.40000000000001</v>
      </c>
      <c r="W216" s="32" t="n">
        <v>10.89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Annuity, Lower One Time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IF(B217=0,"",RANK(B217,$B$2:$B$372,0))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GUFICBIO</t>
        </is>
      </c>
      <c r="D217" s="33" t="inlineStr">
        <is>
          <t>Gufic Biosciences Limited</t>
        </is>
      </c>
      <c r="E217" s="31" t="inlineStr">
        <is>
          <t>healthcare</t>
        </is>
      </c>
      <c r="F217" s="31" t="inlineStr">
        <is>
          <t>pharmaceuticals - indian - bulk drugs &amp; formln</t>
        </is>
      </c>
      <c r="G217" s="31" t="inlineStr">
        <is>
          <t>smallcap</t>
        </is>
      </c>
      <c r="H217" s="32" t="n">
        <v>3880.43</v>
      </c>
      <c r="I217" s="32" t="n">
        <v>392.8</v>
      </c>
      <c r="J217" s="32" t="n">
        <v>1.51</v>
      </c>
      <c r="K217" s="32" t="n">
        <v>132576</v>
      </c>
      <c r="L217" s="31" t="n">
        <v>46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67.3</v>
      </c>
      <c r="P217" s="32" t="n">
        <v>30.83</v>
      </c>
      <c r="Q217" s="32" t="n">
        <v>297.06</v>
      </c>
      <c r="R217" s="31" t="inlineStr">
        <is>
          <t>Near 52W High Breakout</t>
        </is>
      </c>
      <c r="S217" s="31" t="inlineStr">
        <is>
          <t>Nifty Pharma</t>
        </is>
      </c>
      <c r="T217" s="32" t="n">
        <v>15.51</v>
      </c>
      <c r="U217" s="32" t="n">
        <v>12.45</v>
      </c>
      <c r="V217" s="32" t="n">
        <v>-2.65</v>
      </c>
      <c r="W217" s="32" t="n">
        <v>9.210000000000001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Yes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Annuity, Lower One Time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Less than 50%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IF(B218=0,"",RANK(B218,$B$2:$B$372,0))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3" t="inlineStr">
        <is>
          <t>FDC</t>
        </is>
      </c>
      <c r="D218" s="33" t="inlineStr">
        <is>
          <t>Fdc Limited</t>
        </is>
      </c>
      <c r="E218" s="31" t="inlineStr">
        <is>
          <t>healthcare</t>
        </is>
      </c>
      <c r="F218" s="31" t="inlineStr">
        <is>
          <t>pharmaceuticals - indian - bulk drugs &amp; formln</t>
        </is>
      </c>
      <c r="G218" s="31" t="inlineStr">
        <is>
          <t>midcap</t>
        </is>
      </c>
      <c r="H218" s="32" t="n">
        <v>7035.02</v>
      </c>
      <c r="I218" s="32" t="n">
        <v>432.6</v>
      </c>
      <c r="J218" s="32" t="n">
        <v>0.12</v>
      </c>
      <c r="K218" s="32" t="n">
        <v>171808</v>
      </c>
      <c r="L218" s="31" t="n">
        <v>12</v>
      </c>
      <c r="M218" s="31" t="inlineStr">
        <is>
          <t>Underperforming</t>
        </is>
      </c>
      <c r="N218" s="32">
        <f>IF(M218="Underperforming",-5,IF(L218&gt;=95,15,IF(L218&gt;=90,10,IF(L218&gt;=80,5,0))))</f>
        <v/>
      </c>
      <c r="O218" s="32" t="n">
        <v>62.93</v>
      </c>
      <c r="P218" s="32" t="n">
        <v>23.62</v>
      </c>
      <c r="Q218" s="32" t="n">
        <v>347.28</v>
      </c>
      <c r="R218" s="31" t="inlineStr">
        <is>
          <t>Earnings / Momentum Support</t>
        </is>
      </c>
      <c r="S218" s="31" t="inlineStr">
        <is>
          <t>Nifty Pharma</t>
        </is>
      </c>
      <c r="T218" s="32" t="n">
        <v>15.51</v>
      </c>
      <c r="U218" s="32" t="n">
        <v>-12.67</v>
      </c>
      <c r="V218" s="32" t="n">
        <v>-24.4</v>
      </c>
      <c r="W218" s="32" t="n">
        <v>2.72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Annuity, Lower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Between 50% to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IF(B219=0,"",RANK(B219,$B$2:$B$372,0))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APOLLOHOSP</t>
        </is>
      </c>
      <c r="D219" s="31" t="inlineStr">
        <is>
          <t>Apollo Hospitals Enterprise Limited</t>
        </is>
      </c>
      <c r="E219" s="31" t="inlineStr">
        <is>
          <t>healthcare</t>
        </is>
      </c>
      <c r="F219" s="31" t="inlineStr">
        <is>
          <t>healthcare</t>
        </is>
      </c>
      <c r="G219" s="31" t="inlineStr">
        <is>
          <t>largecap</t>
        </is>
      </c>
      <c r="H219" s="32" t="n">
        <v>127184.72</v>
      </c>
      <c r="I219" s="32" t="n">
        <v>8841</v>
      </c>
      <c r="J219" s="32" t="n">
        <v>-0.05</v>
      </c>
      <c r="K219" s="32" t="n">
        <v>264699</v>
      </c>
      <c r="L219" s="31" t="n">
        <v>40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70.31</v>
      </c>
      <c r="P219" s="32" t="n">
        <v>20.63</v>
      </c>
      <c r="Q219" s="32" t="n">
        <v>7871.54</v>
      </c>
      <c r="R219" s="31" t="inlineStr">
        <is>
          <t>Near 52W High Breakout</t>
        </is>
      </c>
      <c r="S219" s="31" t="inlineStr">
        <is>
          <t>Nifty Pharma</t>
        </is>
      </c>
      <c r="T219" s="32" t="n">
        <v>15.51</v>
      </c>
      <c r="U219" s="32" t="n">
        <v>23.29</v>
      </c>
      <c r="V219" s="32" t="n">
        <v>6.73</v>
      </c>
      <c r="W219" s="32" t="n">
        <v>8.1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Oligopoly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Cyclical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B2C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Fully One Time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Above 40</t>
        </is>
      </c>
      <c r="AY219" s="31">
        <f>IF(AX219="Above 40",20,IF(AX219="20 to 40",10,IF(AX219="0 to 20",-5,0)))</f>
        <v/>
      </c>
      <c r="AZ219" s="31" t="inlineStr">
        <is>
          <t>Above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Yes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Between 1.5 to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IF(B220=0,"",RANK(B220,$B$2:$B$372,0))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ZYDUSLIFE</t>
        </is>
      </c>
      <c r="D220" s="31" t="inlineStr">
        <is>
          <t>Zydus Lifesciences Ltd</t>
        </is>
      </c>
      <c r="E220" s="31" t="inlineStr">
        <is>
          <t>healthcare</t>
        </is>
      </c>
      <c r="F220" s="31" t="inlineStr">
        <is>
          <t>pharmaceuticals - indian - bulk drugs &amp; formln</t>
        </is>
      </c>
      <c r="G220" s="31" t="inlineStr">
        <is>
          <t>largecap</t>
        </is>
      </c>
      <c r="H220" s="32" t="n">
        <v>115610.69</v>
      </c>
      <c r="I220" s="32" t="n">
        <v>1150.8</v>
      </c>
      <c r="J220" s="32" t="n">
        <v>-0.71</v>
      </c>
      <c r="K220" s="32" t="n">
        <v>824222</v>
      </c>
      <c r="L220" s="31" t="n">
        <v>47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72.23999999999999</v>
      </c>
      <c r="P220" s="32" t="n">
        <v>30.15</v>
      </c>
      <c r="Q220" s="32" t="n">
        <v>986.48</v>
      </c>
      <c r="R220" s="31" t="inlineStr">
        <is>
          <t>Near 52W High Breakout</t>
        </is>
      </c>
      <c r="S220" s="31" t="inlineStr">
        <is>
          <t>Nifty Pharma</t>
        </is>
      </c>
      <c r="T220" s="32" t="n">
        <v>15.51</v>
      </c>
      <c r="U220" s="32" t="n">
        <v>18.82</v>
      </c>
      <c r="V220" s="32" t="n">
        <v>2.86</v>
      </c>
      <c r="W220" s="32" t="n">
        <v>9.279999999999999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Yes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Annuity, Lower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Less than 50%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IF(B221=0,"",RANK(B221,$B$2:$B$372,0))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3" t="inlineStr">
        <is>
          <t>GPTHEALTH</t>
        </is>
      </c>
      <c r="D221" s="33" t="inlineStr">
        <is>
          <t>GPT Healthcare Ltd</t>
        </is>
      </c>
      <c r="E221" s="31" t="inlineStr">
        <is>
          <t>healthcare</t>
        </is>
      </c>
      <c r="F221" s="31" t="inlineStr">
        <is>
          <t>healthcare</t>
        </is>
      </c>
      <c r="G221" s="31" t="inlineStr">
        <is>
          <t>smallcap</t>
        </is>
      </c>
      <c r="H221" s="32" t="n">
        <v>1299.09</v>
      </c>
      <c r="I221" s="32" t="n">
        <v>157</v>
      </c>
      <c r="J221" s="32" t="n">
        <v>-0.83</v>
      </c>
      <c r="K221" s="32" t="n">
        <v>109183</v>
      </c>
      <c r="L221" s="31" t="n">
        <v>7</v>
      </c>
      <c r="M221" s="31" t="inlineStr">
        <is>
          <t>Underperforming</t>
        </is>
      </c>
      <c r="N221" s="32">
        <f>IF(M221="Underperforming",-5,IF(L221&gt;=95,15,IF(L221&gt;=90,10,IF(L221&gt;=80,5,0))))</f>
        <v/>
      </c>
      <c r="O221" s="32" t="n">
        <v>67.54000000000001</v>
      </c>
      <c r="P221" s="32" t="n">
        <v>28.71</v>
      </c>
      <c r="Q221" s="32" t="n">
        <v>129.58</v>
      </c>
      <c r="R221" s="31" t="inlineStr">
        <is>
          <t>Earnings / Momentum Support</t>
        </is>
      </c>
      <c r="S221" s="31" t="inlineStr">
        <is>
          <t>Nifty Pharma</t>
        </is>
      </c>
      <c r="T221" s="32" t="n">
        <v>15.51</v>
      </c>
      <c r="U221" s="32" t="n">
        <v>-8.59</v>
      </c>
      <c r="V221" s="32" t="n">
        <v>-20.86</v>
      </c>
      <c r="W221" s="32" t="n">
        <v>1.28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Yes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Annuity, Lower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Between 12 to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IF(B222=0,"",RANK(B222,$B$2:$B$372,0))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ONMOBILE</t>
        </is>
      </c>
      <c r="D222" s="31" t="inlineStr">
        <is>
          <t>Onmobile Global Limited</t>
        </is>
      </c>
      <c r="E222" s="31" t="inlineStr">
        <is>
          <t>telecom-service</t>
        </is>
      </c>
      <c r="F222" s="31" t="inlineStr">
        <is>
          <t>telecommunications - service provider</t>
        </is>
      </c>
      <c r="G222" s="31" t="inlineStr">
        <is>
          <t>smallcap</t>
        </is>
      </c>
      <c r="H222" s="32" t="n">
        <v>718.09</v>
      </c>
      <c r="I222" s="32" t="n">
        <v>69.79000000000001</v>
      </c>
      <c r="J222" s="32" t="n">
        <v>3.33</v>
      </c>
      <c r="K222" s="32" t="n">
        <v>136757</v>
      </c>
      <c r="L222" s="31" t="n">
        <v>75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61.25</v>
      </c>
      <c r="P222" s="32" t="n">
        <v>23.55</v>
      </c>
      <c r="Q222" s="32" t="n">
        <v>57.89</v>
      </c>
      <c r="R222" s="31" t="inlineStr">
        <is>
          <t>Earnings / Momentum Support</t>
        </is>
      </c>
      <c r="S222" s="31" t="inlineStr">
        <is>
          <t>Nifty 50</t>
        </is>
      </c>
      <c r="T222" s="32" t="n">
        <v>-3.75</v>
      </c>
      <c r="U222" s="32" t="n">
        <v>30.78</v>
      </c>
      <c r="V222" s="32" t="n">
        <v>35.87</v>
      </c>
      <c r="W222" s="32" t="n">
        <v>18.75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Oligopoly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Yes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Negative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IF(B223=0,"",RANK(B223,$B$2:$B$372,0))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MAHASTEEL</t>
        </is>
      </c>
      <c r="D223" s="31" t="inlineStr">
        <is>
          <t>Mahamaya Steel Industries Limited</t>
        </is>
      </c>
      <c r="E223" s="31" t="inlineStr">
        <is>
          <t>metals &amp; mining</t>
        </is>
      </c>
      <c r="F223" s="31" t="inlineStr">
        <is>
          <t>steel - medium / small</t>
        </is>
      </c>
      <c r="G223" s="31" t="inlineStr">
        <is>
          <t>smallcap</t>
        </is>
      </c>
      <c r="H223" s="32" t="n">
        <v>1366.11</v>
      </c>
      <c r="I223" s="32" t="n">
        <v>857</v>
      </c>
      <c r="J223" s="32" t="n">
        <v>3.1</v>
      </c>
      <c r="K223" s="32" t="n">
        <v>9069</v>
      </c>
      <c r="L223" s="31" t="n">
        <v>79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53.97</v>
      </c>
      <c r="P223" s="32" t="n">
        <v>24.51</v>
      </c>
      <c r="Q223" s="32" t="n">
        <v>675.52</v>
      </c>
      <c r="R223" s="31" t="inlineStr">
        <is>
          <t>Volume Spike / Accumulation</t>
        </is>
      </c>
      <c r="S223" s="31" t="inlineStr">
        <is>
          <t>Nifty Metal</t>
        </is>
      </c>
      <c r="T223" s="32" t="n">
        <v>35.24</v>
      </c>
      <c r="U223" s="32" t="n">
        <v>139.6</v>
      </c>
      <c r="V223" s="32" t="n">
        <v>77.18000000000001</v>
      </c>
      <c r="W223" s="32" t="n">
        <v>20.77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Cyclical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Volatile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Between 1.5 to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IF(B224=0,"",RANK(B224,$B$2:$B$372,0))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POLYPLEX</t>
        </is>
      </c>
      <c r="D224" s="33" t="inlineStr">
        <is>
          <t>Polyplex Corporation Limited</t>
        </is>
      </c>
      <c r="E224" s="31" t="inlineStr">
        <is>
          <t>industrials</t>
        </is>
      </c>
      <c r="F224" s="31" t="inlineStr">
        <is>
          <t>packaging</t>
        </is>
      </c>
      <c r="G224" s="31" t="inlineStr">
        <is>
          <t>smallcap</t>
        </is>
      </c>
      <c r="H224" s="32" t="n">
        <v>3231.7</v>
      </c>
      <c r="I224" s="32" t="n">
        <v>1060.55</v>
      </c>
      <c r="J224" s="32" t="n">
        <v>3.02</v>
      </c>
      <c r="K224" s="32" t="n">
        <v>175113</v>
      </c>
      <c r="L224" s="31" t="n">
        <v>19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65.97</v>
      </c>
      <c r="P224" s="32" t="n">
        <v>37.11</v>
      </c>
      <c r="Q224" s="32" t="n">
        <v>841.0700000000001</v>
      </c>
      <c r="R224" s="31" t="inlineStr">
        <is>
          <t>Earnings / Momentum Support</t>
        </is>
      </c>
      <c r="S224" s="31" t="inlineStr">
        <is>
          <t>Nifty 50</t>
        </is>
      </c>
      <c r="T224" s="32" t="n">
        <v>-3.75</v>
      </c>
      <c r="U224" s="32" t="n">
        <v>-6.72</v>
      </c>
      <c r="V224" s="32" t="n">
        <v>-3.08</v>
      </c>
      <c r="W224" s="32" t="n">
        <v>4.03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IF(B225=0,"",RANK(B225,$B$2:$B$372,0))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MAHLIFE</t>
        </is>
      </c>
      <c r="D225" s="31" t="inlineStr">
        <is>
          <t>Mahindra Lifespace Developers Limited</t>
        </is>
      </c>
      <c r="E225" s="31" t="inlineStr">
        <is>
          <t>realty</t>
        </is>
      </c>
      <c r="F225" s="31" t="inlineStr">
        <is>
          <t>construction</t>
        </is>
      </c>
      <c r="G225" s="31" t="inlineStr">
        <is>
          <t>midcap</t>
        </is>
      </c>
      <c r="H225" s="32" t="n">
        <v>7851.01</v>
      </c>
      <c r="I225" s="32" t="n">
        <v>378.9</v>
      </c>
      <c r="J225" s="32" t="n">
        <v>2.96</v>
      </c>
      <c r="K225" s="32" t="n">
        <v>1292910</v>
      </c>
      <c r="L225" s="31" t="n">
        <v>17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59.89</v>
      </c>
      <c r="P225" s="32" t="n">
        <v>11.33</v>
      </c>
      <c r="Q225" s="32" t="n">
        <v>306.78</v>
      </c>
      <c r="R225" s="31" t="inlineStr">
        <is>
          <t>Volume Spike / Accumulation</t>
        </is>
      </c>
      <c r="S225" s="31" t="inlineStr">
        <is>
          <t>Nifty Realty</t>
        </is>
      </c>
      <c r="T225" s="32" t="n">
        <v>-2.52</v>
      </c>
      <c r="U225" s="32" t="n">
        <v>7.06</v>
      </c>
      <c r="V225" s="32" t="n">
        <v>9.83</v>
      </c>
      <c r="W225" s="32" t="n">
        <v>3.78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IF(B226=0,"",RANK(B226,$B$2:$B$372,0))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INDHOTEL</t>
        </is>
      </c>
      <c r="D226" s="31" t="inlineStr">
        <is>
          <t>The Indian Hotels Company Limited</t>
        </is>
      </c>
      <c r="E226" s="31" t="inlineStr">
        <is>
          <t>services</t>
        </is>
      </c>
      <c r="F226" s="31" t="inlineStr">
        <is>
          <t>hotels</t>
        </is>
      </c>
      <c r="G226" s="31" t="inlineStr">
        <is>
          <t>largecap</t>
        </is>
      </c>
      <c r="H226" s="32" t="n">
        <v>104116.95</v>
      </c>
      <c r="I226" s="32" t="n">
        <v>752.3</v>
      </c>
      <c r="J226" s="32" t="n">
        <v>2.85</v>
      </c>
      <c r="K226" s="32" t="n">
        <v>3032336</v>
      </c>
      <c r="L226" s="31" t="n">
        <v>21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65.05</v>
      </c>
      <c r="P226" s="32" t="n">
        <v>12.11</v>
      </c>
      <c r="Q226" s="32" t="n">
        <v>640.74</v>
      </c>
      <c r="R226" s="31" t="inlineStr">
        <is>
          <t>Near 52W High Breakout</t>
        </is>
      </c>
      <c r="S226" s="31" t="inlineStr">
        <is>
          <t>Nifty 50</t>
        </is>
      </c>
      <c r="T226" s="32" t="n">
        <v>-3.75</v>
      </c>
      <c r="U226" s="32" t="n">
        <v>2.78</v>
      </c>
      <c r="V226" s="32" t="n">
        <v>6.79</v>
      </c>
      <c r="W226" s="32" t="n">
        <v>4.48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Between 12 to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IF(B227=0,"",RANK(B227,$B$2:$B$372,0))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AEGISVOPAK</t>
        </is>
      </c>
      <c r="D227" s="31" t="inlineStr">
        <is>
          <t>Aegis Vopak Terminals Ltd</t>
        </is>
      </c>
      <c r="E227" s="31" t="inlineStr">
        <is>
          <t>transportation</t>
        </is>
      </c>
      <c r="F227" s="31" t="inlineStr">
        <is>
          <t>miscellaneous</t>
        </is>
      </c>
      <c r="G227" s="31" t="inlineStr">
        <is>
          <t>largecap</t>
        </is>
      </c>
      <c r="H227" s="32" t="n">
        <v>30528.49</v>
      </c>
      <c r="I227" s="32" t="n">
        <v>283.18</v>
      </c>
      <c r="J227" s="32" t="n">
        <v>2.78</v>
      </c>
      <c r="K227" s="32" t="n">
        <v>1701430</v>
      </c>
      <c r="L227" s="31" t="n">
        <v>64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65.18000000000001</v>
      </c>
      <c r="P227" s="32" t="n">
        <v>18.65</v>
      </c>
      <c r="Q227" s="32" t="n">
        <v>206.72</v>
      </c>
      <c r="R227" s="31" t="inlineStr">
        <is>
          <t>Volume Spike &amp; Near 52W High Breakout</t>
        </is>
      </c>
      <c r="S227" s="31" t="inlineStr">
        <is>
          <t>Nifty 50</t>
        </is>
      </c>
      <c r="T227" s="32" t="n">
        <v>-3.75</v>
      </c>
      <c r="U227" s="32" t="n">
        <v>8.949999999999999</v>
      </c>
      <c r="V227" s="32" t="n">
        <v>13.2</v>
      </c>
      <c r="W227" s="32" t="n">
        <v>14.08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Between 0.7 to 1.2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IF(B228=0,"",RANK(B228,$B$2:$B$372,0))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SSWL</t>
        </is>
      </c>
      <c r="D228" s="33" t="inlineStr">
        <is>
          <t>Steel Strips Wheels Limited</t>
        </is>
      </c>
      <c r="E228" s="31" t="inlineStr">
        <is>
          <t>auto</t>
        </is>
      </c>
      <c r="F228" s="31" t="inlineStr">
        <is>
          <t>auto ancillaries</t>
        </is>
      </c>
      <c r="G228" s="31" t="inlineStr">
        <is>
          <t>smallcap</t>
        </is>
      </c>
      <c r="H228" s="32" t="n">
        <v>3773.12</v>
      </c>
      <c r="I228" s="32" t="n">
        <v>246.5</v>
      </c>
      <c r="J228" s="32" t="n">
        <v>2.69</v>
      </c>
      <c r="K228" s="32" t="n">
        <v>354663</v>
      </c>
      <c r="L228" s="31" t="n">
        <v>18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62.43</v>
      </c>
      <c r="P228" s="32" t="n">
        <v>10.57</v>
      </c>
      <c r="Q228" s="32" t="n">
        <v>194.59</v>
      </c>
      <c r="R228" s="31" t="inlineStr">
        <is>
          <t>Near 52W High Breakout</t>
        </is>
      </c>
      <c r="S228" s="31" t="inlineStr">
        <is>
          <t>Nifty Auto</t>
        </is>
      </c>
      <c r="T228" s="32" t="n">
        <v>14.33</v>
      </c>
      <c r="U228" s="32" t="n">
        <v>-0.35</v>
      </c>
      <c r="V228" s="32" t="n">
        <v>-12.84</v>
      </c>
      <c r="W228" s="32" t="n">
        <v>3.86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Less than 12%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Between 50% to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IF(B229=0,"",RANK(B229,$B$2:$B$372,0))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ADANIENT</t>
        </is>
      </c>
      <c r="D229" s="31" t="inlineStr">
        <is>
          <t>Adani Enterprises Limited</t>
        </is>
      </c>
      <c r="E229" s="31" t="inlineStr">
        <is>
          <t>services</t>
        </is>
      </c>
      <c r="F229" s="31" t="inlineStr">
        <is>
          <t>trading</t>
        </is>
      </c>
      <c r="G229" s="31" t="inlineStr">
        <is>
          <t>largecap</t>
        </is>
      </c>
      <c r="H229" s="32" t="n">
        <v>398611.55</v>
      </c>
      <c r="I229" s="32" t="n">
        <v>3157.3</v>
      </c>
      <c r="J229" s="32" t="n">
        <v>2.39</v>
      </c>
      <c r="K229" s="32" t="n">
        <v>2145335</v>
      </c>
      <c r="L229" s="31" t="n">
        <v>72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71.7</v>
      </c>
      <c r="P229" s="32" t="n">
        <v>34.22</v>
      </c>
      <c r="Q229" s="32" t="n">
        <v>2655.85</v>
      </c>
      <c r="R229" s="31" t="inlineStr">
        <is>
          <t>Near 52W High Breakout</t>
        </is>
      </c>
      <c r="S229" s="31" t="inlineStr">
        <is>
          <t>Nifty 50</t>
        </is>
      </c>
      <c r="T229" s="32" t="n">
        <v>-3.75</v>
      </c>
      <c r="U229" s="32" t="n">
        <v>23.45</v>
      </c>
      <c r="V229" s="32" t="n">
        <v>28.26</v>
      </c>
      <c r="W229" s="32" t="n">
        <v>16.75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Blue sky scenario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Less than 50% and Borrowings are increasing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Between 0.7 to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IF(B230=0,"",RANK(B230,$B$2:$B$372,0))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RML</t>
        </is>
      </c>
      <c r="D230" s="31" t="inlineStr">
        <is>
          <t>Rane (madras) Limited</t>
        </is>
      </c>
      <c r="E230" s="31" t="inlineStr">
        <is>
          <t>auto</t>
        </is>
      </c>
      <c r="F230" s="31" t="inlineStr">
        <is>
          <t>auto ancillaries</t>
        </is>
      </c>
      <c r="G230" s="31" t="inlineStr">
        <is>
          <t>smallcap</t>
        </is>
      </c>
      <c r="H230" s="32" t="n">
        <v>3530.09</v>
      </c>
      <c r="I230" s="32" t="n">
        <v>1299.6</v>
      </c>
      <c r="J230" s="32" t="n">
        <v>1.75</v>
      </c>
      <c r="K230" s="32" t="n">
        <v>40058</v>
      </c>
      <c r="L230" s="31" t="n">
        <v>87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75.34</v>
      </c>
      <c r="P230" s="32" t="n">
        <v>31.91</v>
      </c>
      <c r="Q230" s="32" t="n">
        <v>1015.31</v>
      </c>
      <c r="R230" s="31" t="inlineStr">
        <is>
          <t>Near 52W High Breakout</t>
        </is>
      </c>
      <c r="S230" s="31" t="inlineStr">
        <is>
          <t>Nifty Auto</t>
        </is>
      </c>
      <c r="T230" s="32" t="n">
        <v>14.33</v>
      </c>
      <c r="U230" s="32" t="n">
        <v>48.91</v>
      </c>
      <c r="V230" s="32" t="n">
        <v>30.24</v>
      </c>
      <c r="W230" s="32" t="n">
        <v>27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Above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Blue sky scenario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Between 50% to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Between 0.7 to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IF(B231=0,"",RANK(B231,$B$2:$B$372,0))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ARROWGREEN</t>
        </is>
      </c>
      <c r="D231" s="31" t="inlineStr">
        <is>
          <t>Arrow Greentech Limited</t>
        </is>
      </c>
      <c r="E231" s="31" t="inlineStr">
        <is>
          <t>plastic products</t>
        </is>
      </c>
      <c r="F231" s="31" t="inlineStr">
        <is>
          <t>plastics products</t>
        </is>
      </c>
      <c r="G231" s="31" t="inlineStr">
        <is>
          <t>smallcap</t>
        </is>
      </c>
      <c r="H231" s="32" t="n">
        <v>1038.8</v>
      </c>
      <c r="I231" s="32" t="n">
        <v>699</v>
      </c>
      <c r="J231" s="32" t="n">
        <v>1.53</v>
      </c>
      <c r="K231" s="32" t="n">
        <v>36938</v>
      </c>
      <c r="L231" s="31" t="n">
        <v>35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67.98</v>
      </c>
      <c r="P231" s="32" t="n">
        <v>23.05</v>
      </c>
      <c r="Q231" s="32" t="n">
        <v>485.66</v>
      </c>
      <c r="R231" s="31" t="inlineStr">
        <is>
          <t>Earnings / Momentum Support</t>
        </is>
      </c>
      <c r="S231" s="31" t="inlineStr">
        <is>
          <t>Nifty 50</t>
        </is>
      </c>
      <c r="T231" s="32" t="n">
        <v>-3.75</v>
      </c>
      <c r="U231" s="32" t="n">
        <v>6.97</v>
      </c>
      <c r="V231" s="32" t="n">
        <v>11.14</v>
      </c>
      <c r="W231" s="32" t="n">
        <v>6.91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Between 50% to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IF(B232=0,"",RANK(B232,$B$2:$B$372,0))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BOROSCI</t>
        </is>
      </c>
      <c r="D232" s="33" t="inlineStr">
        <is>
          <t>Borosil Scientific Ltd</t>
        </is>
      </c>
      <c r="E232" s="31" t="inlineStr">
        <is>
          <t>building materials</t>
        </is>
      </c>
      <c r="F232" s="31" t="inlineStr">
        <is>
          <t>glass &amp; glass products</t>
        </is>
      </c>
      <c r="G232" s="31" t="inlineStr">
        <is>
          <t>smallcap</t>
        </is>
      </c>
      <c r="H232" s="32" t="n">
        <v>1408.12</v>
      </c>
      <c r="I232" s="32" t="n">
        <v>160</v>
      </c>
      <c r="J232" s="32" t="n">
        <v>1.07</v>
      </c>
      <c r="K232" s="32" t="n">
        <v>76753</v>
      </c>
      <c r="L232" s="31" t="n">
        <v>44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66.90000000000001</v>
      </c>
      <c r="P232" s="32" t="n">
        <v>35</v>
      </c>
      <c r="Q232" s="32" t="n">
        <v>126.22</v>
      </c>
      <c r="R232" s="31" t="inlineStr">
        <is>
          <t>Earnings / Momentum Support</t>
        </is>
      </c>
      <c r="S232" s="31" t="inlineStr">
        <is>
          <t>Nifty Infra</t>
        </is>
      </c>
      <c r="T232" s="32" t="n">
        <v>1.87</v>
      </c>
      <c r="U232" s="32" t="n">
        <v>-0.2</v>
      </c>
      <c r="V232" s="32" t="n">
        <v>-2.02</v>
      </c>
      <c r="W232" s="32" t="n">
        <v>8.720000000000001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Between 50% to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IF(B233=0,"",RANK(B233,$B$2:$B$372,0))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DELHIVERY</t>
        </is>
      </c>
      <c r="D233" s="31" t="inlineStr">
        <is>
          <t>Delhivery Ltd</t>
        </is>
      </c>
      <c r="E233" s="31" t="inlineStr">
        <is>
          <t>transportation</t>
        </is>
      </c>
      <c r="F233" s="31" t="inlineStr">
        <is>
          <t>miscellaneous</t>
        </is>
      </c>
      <c r="G233" s="31" t="inlineStr">
        <is>
          <t>largecap</t>
        </is>
      </c>
      <c r="H233" s="32" t="n">
        <v>38601.98</v>
      </c>
      <c r="I233" s="32" t="n">
        <v>520.3</v>
      </c>
      <c r="J233" s="32" t="n">
        <v>0.9</v>
      </c>
      <c r="K233" s="32" t="n">
        <v>13915121</v>
      </c>
      <c r="L233" s="31" t="n">
        <v>37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68.36</v>
      </c>
      <c r="P233" s="32" t="n">
        <v>14.62</v>
      </c>
      <c r="Q233" s="32" t="n">
        <v>431.54</v>
      </c>
      <c r="R233" s="31" t="inlineStr">
        <is>
          <t>Volume Spike &amp; Near 52W High Breakout</t>
        </is>
      </c>
      <c r="S233" s="31" t="inlineStr">
        <is>
          <t>Nifty 50</t>
        </is>
      </c>
      <c r="T233" s="32" t="n">
        <v>-3.75</v>
      </c>
      <c r="U233" s="32" t="n">
        <v>26.52</v>
      </c>
      <c r="V233" s="32" t="n">
        <v>31.45</v>
      </c>
      <c r="W233" s="32" t="n">
        <v>7.5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0 to 20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IF(B234=0,"",RANK(B234,$B$2:$B$372,0))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PANACHE</t>
        </is>
      </c>
      <c r="D234" s="31" t="inlineStr">
        <is>
          <t>Panache Digilife Ltd</t>
        </is>
      </c>
      <c r="E234" s="31" t="inlineStr">
        <is>
          <t>i.t</t>
        </is>
      </c>
      <c r="F234" s="31" t="inlineStr">
        <is>
          <t>computers - hardware</t>
        </is>
      </c>
      <c r="G234" s="31" t="inlineStr">
        <is>
          <t>smallcap</t>
        </is>
      </c>
      <c r="H234" s="32" t="n">
        <v>704.38</v>
      </c>
      <c r="I234" s="32" t="n">
        <v>442.3</v>
      </c>
      <c r="J234" s="32" t="n">
        <v>0.5600000000000001</v>
      </c>
      <c r="K234" s="32" t="n">
        <v>15379</v>
      </c>
      <c r="L234" s="31" t="n">
        <v>91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65.15000000000001</v>
      </c>
      <c r="P234" s="32" t="n">
        <v>18.54</v>
      </c>
      <c r="Q234" s="32" t="n">
        <v>310.4</v>
      </c>
      <c r="R234" s="31" t="inlineStr">
        <is>
          <t>Near 52W High Breakout</t>
        </is>
      </c>
      <c r="S234" s="31" t="inlineStr">
        <is>
          <t>Nifty IT</t>
        </is>
      </c>
      <c r="T234" s="32" t="n">
        <v>-25.69</v>
      </c>
      <c r="U234" s="32" t="n">
        <v>105.72</v>
      </c>
      <c r="V234" s="32" t="n">
        <v>176.84</v>
      </c>
      <c r="W234" s="32" t="n">
        <v>32.9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Negative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IF(B235=0,"",RANK(B235,$B$2:$B$372,0))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NAZARA</t>
        </is>
      </c>
      <c r="D235" s="31" t="inlineStr">
        <is>
          <t>Nazara Technologies Ltd</t>
        </is>
      </c>
      <c r="E235" s="31" t="inlineStr">
        <is>
          <t>i.t</t>
        </is>
      </c>
      <c r="F235" s="31" t="inlineStr">
        <is>
          <t>telecommunications - service provider</t>
        </is>
      </c>
      <c r="G235" s="31" t="inlineStr">
        <is>
          <t>midcap</t>
        </is>
      </c>
      <c r="H235" s="32" t="n">
        <v>11254.73</v>
      </c>
      <c r="I235" s="32" t="n">
        <v>304.3</v>
      </c>
      <c r="J235" s="32" t="n">
        <v>0.16</v>
      </c>
      <c r="K235" s="32" t="n">
        <v>1345409</v>
      </c>
      <c r="L235" s="31" t="n">
        <v>14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60.51</v>
      </c>
      <c r="P235" s="32" t="n">
        <v>13.36</v>
      </c>
      <c r="Q235" s="32" t="n">
        <v>239.04</v>
      </c>
      <c r="R235" s="31" t="inlineStr">
        <is>
          <t>Earnings / Momentum Support</t>
        </is>
      </c>
      <c r="S235" s="31" t="inlineStr">
        <is>
          <t>Nifty IT</t>
        </is>
      </c>
      <c r="T235" s="32" t="n">
        <v>-25.69</v>
      </c>
      <c r="U235" s="32" t="n">
        <v>-8.76</v>
      </c>
      <c r="V235" s="32" t="n">
        <v>22.79</v>
      </c>
      <c r="W235" s="32" t="n">
        <v>3.22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Oligopoly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Yes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Less than 1.5</t>
        </is>
      </c>
      <c r="BU235" s="31">
        <f>IF(BT235="Above 2",0,IF(BT235="Between 1.5 to 2",5,IF(BT235="Less than 1.5",10,0)))</f>
        <v/>
      </c>
      <c r="BV235" s="31" t="inlineStr">
        <is>
          <t>Between 50% to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IF(B236=0,"",RANK(B236,$B$2:$B$372,0))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MACPOWER</t>
        </is>
      </c>
      <c r="D236" s="31" t="inlineStr">
        <is>
          <t>Macpower CNC Machines Ltd</t>
        </is>
      </c>
      <c r="E236" s="31" t="inlineStr">
        <is>
          <t>industrials</t>
        </is>
      </c>
      <c r="F236" s="31" t="inlineStr">
        <is>
          <t>engineering</t>
        </is>
      </c>
      <c r="G236" s="31" t="inlineStr">
        <is>
          <t>midcap</t>
        </is>
      </c>
      <c r="H236" s="32" t="n">
        <v>11478.79</v>
      </c>
      <c r="I236" s="32" t="n">
        <v>1371.7</v>
      </c>
      <c r="J236" s="32" t="n">
        <v>-0.04</v>
      </c>
      <c r="K236" s="32" t="n">
        <v>7528</v>
      </c>
      <c r="L236" s="31" t="n">
        <v>65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65.45999999999999</v>
      </c>
      <c r="P236" s="32" t="n">
        <v>27.12</v>
      </c>
      <c r="Q236" s="32" t="n">
        <v>987.97</v>
      </c>
      <c r="R236" s="31" t="inlineStr">
        <is>
          <t>Near 52W High Breakout</t>
        </is>
      </c>
      <c r="S236" s="31" t="inlineStr">
        <is>
          <t>Nifty 50</t>
        </is>
      </c>
      <c r="T236" s="32" t="n">
        <v>-3.75</v>
      </c>
      <c r="U236" s="32" t="n">
        <v>34.05</v>
      </c>
      <c r="V236" s="32" t="n">
        <v>39.27</v>
      </c>
      <c r="W236" s="32" t="n">
        <v>14.54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Between 12 to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Less than 50%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IF(B237=0,"",RANK(B237,$B$2:$B$372,0))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IRISDOREME</t>
        </is>
      </c>
      <c r="D237" s="31" t="inlineStr">
        <is>
          <t>Iris Clothings Ltd</t>
        </is>
      </c>
      <c r="E237" s="31" t="inlineStr">
        <is>
          <t>consumer discretionary</t>
        </is>
      </c>
      <c r="F237" s="31" t="inlineStr">
        <is>
          <t>textiles - products</t>
        </is>
      </c>
      <c r="G237" s="31" t="inlineStr">
        <is>
          <t>smallcap</t>
        </is>
      </c>
      <c r="H237" s="32" t="n">
        <v>853.64</v>
      </c>
      <c r="I237" s="32" t="n">
        <v>43.57</v>
      </c>
      <c r="J237" s="32" t="n">
        <v>-2.85</v>
      </c>
      <c r="K237" s="32" t="n">
        <v>221297</v>
      </c>
      <c r="L237" s="31" t="n">
        <v>69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71.13</v>
      </c>
      <c r="P237" s="32" t="n">
        <v>22.03</v>
      </c>
      <c r="Q237" s="32" t="n">
        <v>32.46</v>
      </c>
      <c r="R237" s="31" t="inlineStr">
        <is>
          <t>Near 52W High Breakout</t>
        </is>
      </c>
      <c r="S237" s="31" t="inlineStr">
        <is>
          <t>Nifty 50</t>
        </is>
      </c>
      <c r="T237" s="32" t="n">
        <v>-3.75</v>
      </c>
      <c r="U237" s="32" t="n">
        <v>39.01</v>
      </c>
      <c r="V237" s="32" t="n">
        <v>44.42</v>
      </c>
      <c r="W237" s="32" t="n">
        <v>15.58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Negative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IF(B238=0,"",RANK(B238,$B$2:$B$372,0))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APLLTD</t>
        </is>
      </c>
      <c r="D238" s="33" t="inlineStr">
        <is>
          <t>Alembic Pharmaceuticals Limited</t>
        </is>
      </c>
      <c r="E238" s="31" t="inlineStr">
        <is>
          <t>healthcare</t>
        </is>
      </c>
      <c r="F238" s="31" t="inlineStr">
        <is>
          <t>pharmaceuticals - indian - bulk drugs &amp; formln</t>
        </is>
      </c>
      <c r="G238" s="31" t="inlineStr">
        <is>
          <t>midcap</t>
        </is>
      </c>
      <c r="H238" s="32" t="n">
        <v>16057.24</v>
      </c>
      <c r="I238" s="32" t="n">
        <v>837.4</v>
      </c>
      <c r="J238" s="32" t="n">
        <v>2.51</v>
      </c>
      <c r="K238" s="32" t="n">
        <v>109731</v>
      </c>
      <c r="L238" s="31" t="n">
        <v>6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60.33</v>
      </c>
      <c r="P238" s="32" t="n">
        <v>9.69</v>
      </c>
      <c r="Q238" s="32" t="n">
        <v>686.77</v>
      </c>
      <c r="R238" s="31" t="inlineStr">
        <is>
          <t>Earnings / Momentum Support</t>
        </is>
      </c>
      <c r="S238" s="31" t="inlineStr">
        <is>
          <t>Nifty Pharma</t>
        </is>
      </c>
      <c r="T238" s="32" t="n">
        <v>15.51</v>
      </c>
      <c r="U238" s="32" t="n">
        <v>-13.3</v>
      </c>
      <c r="V238" s="32" t="n">
        <v>-24.94</v>
      </c>
      <c r="W238" s="32" t="n">
        <v>0.87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Yes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Between 50% to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IF(B239=0,"",RANK(B239,$B$2:$B$372,0))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AVADHSUGAR</t>
        </is>
      </c>
      <c r="D239" s="31" t="inlineStr">
        <is>
          <t>Avadh Sugar &amp; Energy</t>
        </is>
      </c>
      <c r="E239" s="31" t="inlineStr">
        <is>
          <t>fmcg</t>
        </is>
      </c>
      <c r="F239" s="31" t="inlineStr">
        <is>
          <t>sugar</t>
        </is>
      </c>
      <c r="G239" s="31" t="inlineStr">
        <is>
          <t>smallcap</t>
        </is>
      </c>
      <c r="H239" s="32" t="n">
        <v>1039.16</v>
      </c>
      <c r="I239" s="32" t="n">
        <v>525</v>
      </c>
      <c r="J239" s="32" t="n">
        <v>1.14</v>
      </c>
      <c r="K239" s="32" t="n">
        <v>15880</v>
      </c>
      <c r="L239" s="31" t="n">
        <v>26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67.41</v>
      </c>
      <c r="P239" s="32" t="n">
        <v>33.97</v>
      </c>
      <c r="Q239" s="32" t="n">
        <v>397.9</v>
      </c>
      <c r="R239" s="31" t="inlineStr">
        <is>
          <t>Volume Spike &amp; Near 52W High Breakout</t>
        </is>
      </c>
      <c r="S239" s="31" t="inlineStr">
        <is>
          <t>Nifty FMCG</t>
        </is>
      </c>
      <c r="T239" s="32" t="n">
        <v>-11.8</v>
      </c>
      <c r="U239" s="32" t="n">
        <v>6.75</v>
      </c>
      <c r="V239" s="32" t="n">
        <v>21.04</v>
      </c>
      <c r="W239" s="32" t="n">
        <v>5.45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B2C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Between 50% to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More than 1.2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IF(B240=0,"",RANK(B240,$B$2:$B$372,0))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MOREPENLAB</t>
        </is>
      </c>
      <c r="D240" s="33" t="inlineStr">
        <is>
          <t>Morepen Laboratories Limited</t>
        </is>
      </c>
      <c r="E240" s="31" t="inlineStr">
        <is>
          <t>healthcare</t>
        </is>
      </c>
      <c r="F240" s="31" t="inlineStr">
        <is>
          <t>pharmaceuticals - indian - bulk drugs &amp; formln</t>
        </is>
      </c>
      <c r="G240" s="31" t="inlineStr">
        <is>
          <t>smallcap</t>
        </is>
      </c>
      <c r="H240" s="32" t="n">
        <v>3340.33</v>
      </c>
      <c r="I240" s="32" t="n">
        <v>61.22</v>
      </c>
      <c r="J240" s="32" t="n">
        <v>0.43</v>
      </c>
      <c r="K240" s="32" t="n">
        <v>7960104</v>
      </c>
      <c r="L240" s="31" t="n">
        <v>61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74.75</v>
      </c>
      <c r="P240" s="32" t="n">
        <v>20.06</v>
      </c>
      <c r="Q240" s="32" t="n">
        <v>45.8</v>
      </c>
      <c r="R240" s="31" t="inlineStr">
        <is>
          <t>Near 52W High Breakout</t>
        </is>
      </c>
      <c r="S240" s="31" t="inlineStr">
        <is>
          <t>Nifty Pharma</t>
        </is>
      </c>
      <c r="T240" s="32" t="n">
        <v>15.51</v>
      </c>
      <c r="U240" s="32" t="n">
        <v>-1.9</v>
      </c>
      <c r="V240" s="32" t="n">
        <v>-15.07</v>
      </c>
      <c r="W240" s="32" t="n">
        <v>13.19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Yes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Annuity, Lower One Time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Less than 50%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IF(B241=0,"",RANK(B241,$B$2:$B$372,0))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DIVISLAB</t>
        </is>
      </c>
      <c r="D241" s="33" t="inlineStr">
        <is>
          <t>Divi's Laboratories Limited</t>
        </is>
      </c>
      <c r="E241" s="31" t="inlineStr">
        <is>
          <t>healthcare</t>
        </is>
      </c>
      <c r="F241" s="31" t="inlineStr">
        <is>
          <t>pharmaceuticals - indian - bulk drugs</t>
        </is>
      </c>
      <c r="G241" s="31" t="inlineStr">
        <is>
          <t>largecap</t>
        </is>
      </c>
      <c r="H241" s="32" t="n">
        <v>180863.74</v>
      </c>
      <c r="I241" s="32" t="n">
        <v>6836</v>
      </c>
      <c r="J241" s="32" t="n">
        <v>0.34</v>
      </c>
      <c r="K241" s="32" t="n">
        <v>222861</v>
      </c>
      <c r="L241" s="31" t="n">
        <v>11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61.62</v>
      </c>
      <c r="P241" s="32" t="n">
        <v>16.58</v>
      </c>
      <c r="Q241" s="32" t="n">
        <v>5985.98</v>
      </c>
      <c r="R241" s="31" t="inlineStr">
        <is>
          <t>Near 52W High Breakout</t>
        </is>
      </c>
      <c r="S241" s="31" t="inlineStr">
        <is>
          <t>Nifty Pharma</t>
        </is>
      </c>
      <c r="T241" s="32" t="n">
        <v>15.51</v>
      </c>
      <c r="U241" s="32" t="n">
        <v>0.47</v>
      </c>
      <c r="V241" s="32" t="n">
        <v>-13.02</v>
      </c>
      <c r="W241" s="32" t="n">
        <v>2.66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Yes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Annuity, Lower One Time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Blue sky scenario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Between 12 to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IF(B242=0,"",RANK(B242,$B$2:$B$372,0))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TORNTPHARM</t>
        </is>
      </c>
      <c r="D242" s="31" t="inlineStr">
        <is>
          <t>Torrent Pharmaceuticals Limited</t>
        </is>
      </c>
      <c r="E242" s="31" t="inlineStr">
        <is>
          <t>healthcare</t>
        </is>
      </c>
      <c r="F242" s="31" t="inlineStr">
        <is>
          <t>pharmaceuticals - indian - formulations</t>
        </is>
      </c>
      <c r="G242" s="31" t="inlineStr">
        <is>
          <t>largecap</t>
        </is>
      </c>
      <c r="H242" s="32" t="n">
        <v>165777.35</v>
      </c>
      <c r="I242" s="32" t="n">
        <v>4901.5</v>
      </c>
      <c r="J242" s="32" t="n">
        <v>0.07000000000000001</v>
      </c>
      <c r="K242" s="32" t="n">
        <v>963170</v>
      </c>
      <c r="L242" s="31" t="n">
        <v>56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73.09</v>
      </c>
      <c r="P242" s="32" t="n">
        <v>31.77</v>
      </c>
      <c r="Q242" s="32" t="n">
        <v>4234.25</v>
      </c>
      <c r="R242" s="31" t="inlineStr">
        <is>
          <t>Near 52W High Breakout</t>
        </is>
      </c>
      <c r="S242" s="31" t="inlineStr">
        <is>
          <t>Nifty Pharma</t>
        </is>
      </c>
      <c r="T242" s="32" t="n">
        <v>15.51</v>
      </c>
      <c r="U242" s="32" t="n">
        <v>49.2</v>
      </c>
      <c r="V242" s="32" t="n">
        <v>29.16</v>
      </c>
      <c r="W242" s="32" t="n">
        <v>12.15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Yes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Annuity, Lower One Time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Blue sky scenario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Between 50% to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Between 0.7 to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IF(B243=0,"",RANK(B243,$B$2:$B$372,0))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DALMIASUG</t>
        </is>
      </c>
      <c r="D243" s="31" t="inlineStr">
        <is>
          <t>Dalmia Bharat Sugar And Industries Limited</t>
        </is>
      </c>
      <c r="E243" s="31" t="inlineStr">
        <is>
          <t>fmcg</t>
        </is>
      </c>
      <c r="F243" s="31" t="inlineStr">
        <is>
          <t>sugar</t>
        </is>
      </c>
      <c r="G243" s="31" t="inlineStr">
        <is>
          <t>smallcap</t>
        </is>
      </c>
      <c r="H243" s="32" t="n">
        <v>2918.27</v>
      </c>
      <c r="I243" s="32" t="n">
        <v>357.5</v>
      </c>
      <c r="J243" s="32" t="n">
        <v>-0.85</v>
      </c>
      <c r="K243" s="32" t="n">
        <v>57034</v>
      </c>
      <c r="L243" s="31" t="n">
        <v>1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55.59</v>
      </c>
      <c r="P243" s="32" t="n">
        <v>24.95</v>
      </c>
      <c r="Q243" s="32" t="n">
        <v>301.78</v>
      </c>
      <c r="R243" s="31" t="inlineStr">
        <is>
          <t>Volume Spike / Accumulation</t>
        </is>
      </c>
      <c r="S243" s="31" t="inlineStr">
        <is>
          <t>Nifty FMCG</t>
        </is>
      </c>
      <c r="T243" s="32" t="n">
        <v>-11.8</v>
      </c>
      <c r="U243" s="32" t="n">
        <v>-9.6</v>
      </c>
      <c r="V243" s="32" t="n">
        <v>2.5</v>
      </c>
      <c r="W243" s="32" t="n">
        <v>-1.08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B2C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Annuity, Lower One Time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1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Between 50% to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IF(B244=0,"",RANK(B244,$B$2:$B$372,0))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LLOYDSENGG</t>
        </is>
      </c>
      <c r="D244" s="31" t="inlineStr">
        <is>
          <t>Lloyds Engineering Works Ltd</t>
        </is>
      </c>
      <c r="E244" s="31" t="inlineStr">
        <is>
          <t>industrials</t>
        </is>
      </c>
      <c r="F244" s="31" t="inlineStr">
        <is>
          <t>engineering</t>
        </is>
      </c>
      <c r="G244" s="31" t="inlineStr">
        <is>
          <t>midcap</t>
        </is>
      </c>
      <c r="H244" s="32" t="n">
        <v>12635.81</v>
      </c>
      <c r="I244" s="32" t="n">
        <v>90.59999999999999</v>
      </c>
      <c r="J244" s="32" t="n">
        <v>6.14</v>
      </c>
      <c r="K244" s="32" t="n">
        <v>19219089</v>
      </c>
      <c r="L244" s="31" t="n">
        <v>84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75.08</v>
      </c>
      <c r="P244" s="32" t="n">
        <v>34.15</v>
      </c>
      <c r="Q244" s="32" t="n">
        <v>67.84</v>
      </c>
      <c r="R244" s="31" t="inlineStr">
        <is>
          <t>Near 52W High Breakout</t>
        </is>
      </c>
      <c r="S244" s="31" t="inlineStr">
        <is>
          <t>Nifty 50</t>
        </is>
      </c>
      <c r="T244" s="32" t="n">
        <v>-3.75</v>
      </c>
      <c r="U244" s="32" t="n">
        <v>11.71</v>
      </c>
      <c r="V244" s="32" t="n">
        <v>16.06</v>
      </c>
      <c r="W244" s="32" t="n">
        <v>23.94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Above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Negative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IF(B245=0,"",RANK(B245,$B$2:$B$372,0))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GODREJPROP</t>
        </is>
      </c>
      <c r="D245" s="33" t="inlineStr">
        <is>
          <t>Godrej Properties Limited</t>
        </is>
      </c>
      <c r="E245" s="31" t="inlineStr">
        <is>
          <t>realty</t>
        </is>
      </c>
      <c r="F245" s="31" t="inlineStr">
        <is>
          <t>construction</t>
        </is>
      </c>
      <c r="G245" s="31" t="inlineStr">
        <is>
          <t>largecap</t>
        </is>
      </c>
      <c r="H245" s="32" t="n">
        <v>61141.88</v>
      </c>
      <c r="I245" s="32" t="n">
        <v>2133</v>
      </c>
      <c r="J245" s="32" t="n">
        <v>5.08</v>
      </c>
      <c r="K245" s="32" t="n">
        <v>1296675</v>
      </c>
      <c r="L245" s="31" t="n">
        <v>23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64.65000000000001</v>
      </c>
      <c r="P245" s="32" t="n">
        <v>7.87</v>
      </c>
      <c r="Q245" s="32" t="n">
        <v>1714.36</v>
      </c>
      <c r="R245" s="31" t="inlineStr">
        <is>
          <t>Earnings / Momentum Support</t>
        </is>
      </c>
      <c r="S245" s="31" t="inlineStr">
        <is>
          <t>Nifty Realty</t>
        </is>
      </c>
      <c r="T245" s="32" t="n">
        <v>-2.52</v>
      </c>
      <c r="U245" s="32" t="n">
        <v>-3.32</v>
      </c>
      <c r="V245" s="32" t="n">
        <v>-0.82</v>
      </c>
      <c r="W245" s="32" t="n">
        <v>4.95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Less than 1.5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Between 0.7 to 1.2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IF(B246=0,"",RANK(B246,$B$2:$B$372,0))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DLF</t>
        </is>
      </c>
      <c r="D246" s="33" t="inlineStr">
        <is>
          <t>Dlf Limited</t>
        </is>
      </c>
      <c r="E246" s="31" t="inlineStr">
        <is>
          <t>realty</t>
        </is>
      </c>
      <c r="F246" s="31" t="inlineStr">
        <is>
          <t>construction</t>
        </is>
      </c>
      <c r="G246" s="31" t="inlineStr">
        <is>
          <t>largecap</t>
        </is>
      </c>
      <c r="H246" s="32" t="n">
        <v>163271.56</v>
      </c>
      <c r="I246" s="32" t="n">
        <v>685.75</v>
      </c>
      <c r="J246" s="32" t="n">
        <v>3.96</v>
      </c>
      <c r="K246" s="32" t="n">
        <v>11338498</v>
      </c>
      <c r="L246" s="31" t="n">
        <v>8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61.26</v>
      </c>
      <c r="P246" s="32" t="n">
        <v>17.22</v>
      </c>
      <c r="Q246" s="32" t="n">
        <v>557.3</v>
      </c>
      <c r="R246" s="31" t="inlineStr">
        <is>
          <t>Volume Spike / Accumulation</t>
        </is>
      </c>
      <c r="S246" s="31" t="inlineStr">
        <is>
          <t>Nifty Realty</t>
        </is>
      </c>
      <c r="T246" s="32" t="n">
        <v>-2.52</v>
      </c>
      <c r="U246" s="32" t="n">
        <v>-15.25</v>
      </c>
      <c r="V246" s="32" t="n">
        <v>-13.06</v>
      </c>
      <c r="W246" s="32" t="n">
        <v>1.56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IF(B247=0,"",RANK(B247,$B$2:$B$372,0))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SENCO</t>
        </is>
      </c>
      <c r="D247" s="31" t="inlineStr">
        <is>
          <t>Senco Gold Ltd</t>
        </is>
      </c>
      <c r="E247" s="31" t="inlineStr">
        <is>
          <t>consumer discretionary</t>
        </is>
      </c>
      <c r="F247" s="31" t="inlineStr">
        <is>
          <t>diamond cutting / jewellery</t>
        </is>
      </c>
      <c r="G247" s="31" t="inlineStr">
        <is>
          <t>midcap</t>
        </is>
      </c>
      <c r="H247" s="32" t="n">
        <v>5711.12</v>
      </c>
      <c r="I247" s="32" t="n">
        <v>362.15</v>
      </c>
      <c r="J247" s="32" t="n">
        <v>3.87</v>
      </c>
      <c r="K247" s="32" t="n">
        <v>4077839</v>
      </c>
      <c r="L247" s="31" t="n">
        <v>18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57.97</v>
      </c>
      <c r="P247" s="32" t="n">
        <v>24.04</v>
      </c>
      <c r="Q247" s="32" t="n">
        <v>275.01</v>
      </c>
      <c r="R247" s="31" t="inlineStr">
        <is>
          <t>Volume Spike / Accumulation</t>
        </is>
      </c>
      <c r="S247" s="31" t="inlineStr">
        <is>
          <t>Nifty 50</t>
        </is>
      </c>
      <c r="T247" s="32" t="n">
        <v>-3.75</v>
      </c>
      <c r="U247" s="32" t="n">
        <v>6.23</v>
      </c>
      <c r="V247" s="32" t="n">
        <v>10.36</v>
      </c>
      <c r="W247" s="32" t="n">
        <v>3.93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Negative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IF(B248=0,"",RANK(B248,$B$2:$B$372,0))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PRESTIGE</t>
        </is>
      </c>
      <c r="D248" s="31" t="inlineStr">
        <is>
          <t>Prestige Estates Projects Limited</t>
        </is>
      </c>
      <c r="E248" s="31" t="inlineStr">
        <is>
          <t>realty</t>
        </is>
      </c>
      <c r="F248" s="31" t="inlineStr">
        <is>
          <t>construction</t>
        </is>
      </c>
      <c r="G248" s="31" t="inlineStr">
        <is>
          <t>largecap</t>
        </is>
      </c>
      <c r="H248" s="32" t="n">
        <v>72099.92999999999</v>
      </c>
      <c r="I248" s="32" t="n">
        <v>1733.2</v>
      </c>
      <c r="J248" s="32" t="n">
        <v>3.54</v>
      </c>
      <c r="K248" s="32" t="n">
        <v>871919</v>
      </c>
      <c r="L248" s="31" t="n">
        <v>39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66.31999999999999</v>
      </c>
      <c r="P248" s="32" t="n">
        <v>12.34</v>
      </c>
      <c r="Q248" s="32" t="n">
        <v>1387.75</v>
      </c>
      <c r="R248" s="31" t="inlineStr">
        <is>
          <t>Near 52W High Breakout</t>
        </is>
      </c>
      <c r="S248" s="31" t="inlineStr">
        <is>
          <t>Nifty Realty</t>
        </is>
      </c>
      <c r="T248" s="32" t="n">
        <v>-2.52</v>
      </c>
      <c r="U248" s="32" t="n">
        <v>2.37</v>
      </c>
      <c r="V248" s="32" t="n">
        <v>5.02</v>
      </c>
      <c r="W248" s="32" t="n">
        <v>7.78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Between 0.7 to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IF(B249=0,"",RANK(B249,$B$2:$B$372,0))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SOBHA</t>
        </is>
      </c>
      <c r="D249" s="31" t="inlineStr">
        <is>
          <t>Sobha Limited</t>
        </is>
      </c>
      <c r="E249" s="31" t="inlineStr">
        <is>
          <t>realty</t>
        </is>
      </c>
      <c r="F249" s="31" t="inlineStr">
        <is>
          <t>construction</t>
        </is>
      </c>
      <c r="G249" s="31" t="inlineStr">
        <is>
          <t>midcap</t>
        </is>
      </c>
      <c r="H249" s="32" t="n">
        <v>15720.07</v>
      </c>
      <c r="I249" s="32" t="n">
        <v>1511.3</v>
      </c>
      <c r="J249" s="32" t="n">
        <v>2.82</v>
      </c>
      <c r="K249" s="32" t="n">
        <v>378345</v>
      </c>
      <c r="L249" s="31" t="n">
        <v>20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58.34</v>
      </c>
      <c r="P249" s="32" t="n">
        <v>8.93</v>
      </c>
      <c r="Q249" s="32" t="n">
        <v>1214.74</v>
      </c>
      <c r="R249" s="31" t="inlineStr">
        <is>
          <t>Volume Spike / Accumulation</t>
        </is>
      </c>
      <c r="S249" s="31" t="inlineStr">
        <is>
          <t>Nifty Realty</t>
        </is>
      </c>
      <c r="T249" s="32" t="n">
        <v>-2.52</v>
      </c>
      <c r="U249" s="32" t="n">
        <v>1.17</v>
      </c>
      <c r="V249" s="32" t="n">
        <v>3.79</v>
      </c>
      <c r="W249" s="32" t="n">
        <v>4.2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IF(B250=0,"",RANK(B250,$B$2:$B$372,0))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LMW</t>
        </is>
      </c>
      <c r="D250" s="33" t="inlineStr">
        <is>
          <t>LMW Ltd</t>
        </is>
      </c>
      <c r="E250" s="31" t="inlineStr">
        <is>
          <t>industrials</t>
        </is>
      </c>
      <c r="F250" s="31" t="inlineStr">
        <is>
          <t>textile machinery</t>
        </is>
      </c>
      <c r="G250" s="31" t="inlineStr">
        <is>
          <t>midcap</t>
        </is>
      </c>
      <c r="H250" s="32" t="n">
        <v>16807.56</v>
      </c>
      <c r="I250" s="32" t="n">
        <v>16134</v>
      </c>
      <c r="J250" s="32" t="n">
        <v>2.55</v>
      </c>
      <c r="K250" s="32" t="n">
        <v>6928</v>
      </c>
      <c r="L250" s="31" t="n">
        <v>17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58.18</v>
      </c>
      <c r="P250" s="32" t="n">
        <v>19.26</v>
      </c>
      <c r="Q250" s="32" t="n">
        <v>13726.49</v>
      </c>
      <c r="R250" s="31" t="inlineStr">
        <is>
          <t>Near 52W High Breakout</t>
        </is>
      </c>
      <c r="S250" s="31" t="inlineStr">
        <is>
          <t>Nifty Infra</t>
        </is>
      </c>
      <c r="T250" s="32" t="n">
        <v>1.87</v>
      </c>
      <c r="U250" s="32" t="n">
        <v>-2.24</v>
      </c>
      <c r="V250" s="32" t="n">
        <v>-4.03</v>
      </c>
      <c r="W250" s="32" t="n">
        <v>3.73</v>
      </c>
      <c r="X250" s="31" t="inlineStr">
        <is>
          <t>Cyclical in an Upturn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IF(B251=0,"",RANK(B251,$B$2:$B$372,0))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RATNAMANI</t>
        </is>
      </c>
      <c r="D251" s="33" t="inlineStr">
        <is>
          <t>Ratnamani Metals &amp; Tubes Limited</t>
        </is>
      </c>
      <c r="E251" s="31" t="inlineStr">
        <is>
          <t>industrials</t>
        </is>
      </c>
      <c r="F251" s="31" t="inlineStr">
        <is>
          <t>steel - medium / small</t>
        </is>
      </c>
      <c r="G251" s="31" t="inlineStr">
        <is>
          <t>midcap</t>
        </is>
      </c>
      <c r="H251" s="32" t="n">
        <v>18461.53</v>
      </c>
      <c r="I251" s="32" t="n">
        <v>2693.8</v>
      </c>
      <c r="J251" s="32" t="n">
        <v>2.27</v>
      </c>
      <c r="K251" s="32" t="n">
        <v>29901</v>
      </c>
      <c r="L251" s="31" t="n">
        <v>10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56.07</v>
      </c>
      <c r="P251" s="32" t="n">
        <v>33.68</v>
      </c>
      <c r="Q251" s="32" t="n">
        <v>2214.19</v>
      </c>
      <c r="R251" s="31" t="inlineStr">
        <is>
          <t>Earnings / Momentum Support</t>
        </is>
      </c>
      <c r="S251" s="31" t="inlineStr">
        <is>
          <t>Nifty Metal</t>
        </is>
      </c>
      <c r="T251" s="32" t="n">
        <v>35.24</v>
      </c>
      <c r="U251" s="32" t="n">
        <v>-6.66</v>
      </c>
      <c r="V251" s="32" t="n">
        <v>-30.98</v>
      </c>
      <c r="W251" s="32" t="n">
        <v>2.36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IF(B252=0,"",RANK(B252,$B$2:$B$372,0))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MMFL</t>
        </is>
      </c>
      <c r="D252" s="31" t="inlineStr">
        <is>
          <t>Mm Forgings Limited</t>
        </is>
      </c>
      <c r="E252" s="31" t="inlineStr">
        <is>
          <t>industrials</t>
        </is>
      </c>
      <c r="F252" s="31" t="inlineStr">
        <is>
          <t>castings &amp; forgings</t>
        </is>
      </c>
      <c r="G252" s="31" t="inlineStr">
        <is>
          <t>smallcap</t>
        </is>
      </c>
      <c r="H252" s="32" t="n">
        <v>2462.84</v>
      </c>
      <c r="I252" s="32" t="n">
        <v>520</v>
      </c>
      <c r="J252" s="32" t="n">
        <v>1.94</v>
      </c>
      <c r="K252" s="32" t="n">
        <v>245573</v>
      </c>
      <c r="L252" s="31" t="n">
        <v>62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67.84999999999999</v>
      </c>
      <c r="P252" s="32" t="n">
        <v>16.15</v>
      </c>
      <c r="Q252" s="32" t="n">
        <v>396.01</v>
      </c>
      <c r="R252" s="31" t="inlineStr">
        <is>
          <t>Volume Spike &amp; Near 52W High Breakout</t>
        </is>
      </c>
      <c r="S252" s="31" t="inlineStr">
        <is>
          <t>Nifty 50</t>
        </is>
      </c>
      <c r="T252" s="32" t="n">
        <v>-3.75</v>
      </c>
      <c r="U252" s="32" t="n">
        <v>47.24</v>
      </c>
      <c r="V252" s="32" t="n">
        <v>52.98</v>
      </c>
      <c r="W252" s="32" t="n">
        <v>13.58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Less than 1.5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More than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IF(B253=0,"",RANK(B253,$B$2:$B$372,0))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POKARNA</t>
        </is>
      </c>
      <c r="D253" s="31" t="inlineStr">
        <is>
          <t>Pokarna Limited</t>
        </is>
      </c>
      <c r="E253" s="31" t="inlineStr">
        <is>
          <t>consumer discretionary</t>
        </is>
      </c>
      <c r="F253" s="31" t="inlineStr">
        <is>
          <t>miscellaneous</t>
        </is>
      </c>
      <c r="G253" s="31" t="inlineStr">
        <is>
          <t>smallcap</t>
        </is>
      </c>
      <c r="H253" s="32" t="n">
        <v>3210.15</v>
      </c>
      <c r="I253" s="32" t="n">
        <v>1049.9</v>
      </c>
      <c r="J253" s="32" t="n">
        <v>1.4</v>
      </c>
      <c r="K253" s="32" t="n">
        <v>62916</v>
      </c>
      <c r="L253" s="31" t="n">
        <v>24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60.24</v>
      </c>
      <c r="P253" s="32" t="n">
        <v>16.53</v>
      </c>
      <c r="Q253" s="32" t="n">
        <v>790.01</v>
      </c>
      <c r="R253" s="31" t="inlineStr">
        <is>
          <t>Near 52W High Breakout</t>
        </is>
      </c>
      <c r="S253" s="31" t="inlineStr">
        <is>
          <t>Nifty 50</t>
        </is>
      </c>
      <c r="T253" s="32" t="n">
        <v>-3.75</v>
      </c>
      <c r="U253" s="32" t="n">
        <v>2.56</v>
      </c>
      <c r="V253" s="32" t="n">
        <v>6.55</v>
      </c>
      <c r="W253" s="32" t="n">
        <v>5.27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IF(B254=0,"",RANK(B254,$B$2:$B$372,0))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GOODLUCK</t>
        </is>
      </c>
      <c r="D254" s="31" t="inlineStr">
        <is>
          <t>Goodluck India Limited</t>
        </is>
      </c>
      <c r="E254" s="31" t="inlineStr">
        <is>
          <t>metals &amp; mining</t>
        </is>
      </c>
      <c r="F254" s="31" t="inlineStr">
        <is>
          <t>steel - medium / small</t>
        </is>
      </c>
      <c r="G254" s="31" t="inlineStr">
        <is>
          <t>midcap</t>
        </is>
      </c>
      <c r="H254" s="32" t="n">
        <v>5151.3</v>
      </c>
      <c r="I254" s="32" t="n">
        <v>1565.9</v>
      </c>
      <c r="J254" s="32" t="n">
        <v>1.04</v>
      </c>
      <c r="K254" s="32" t="n">
        <v>211600</v>
      </c>
      <c r="L254" s="31" t="n">
        <v>73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66.2</v>
      </c>
      <c r="P254" s="32" t="n">
        <v>31.37</v>
      </c>
      <c r="Q254" s="32" t="n">
        <v>1185.06</v>
      </c>
      <c r="R254" s="31" t="inlineStr">
        <is>
          <t>Near 52W High Breakout</t>
        </is>
      </c>
      <c r="S254" s="31" t="inlineStr">
        <is>
          <t>Nifty Metal</t>
        </is>
      </c>
      <c r="T254" s="32" t="n">
        <v>35.24</v>
      </c>
      <c r="U254" s="32" t="n">
        <v>41.82</v>
      </c>
      <c r="V254" s="32" t="n">
        <v>4.87</v>
      </c>
      <c r="W254" s="32" t="n">
        <v>16.8</v>
      </c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Cyclical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Volatile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Blue sky scenario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Less than 50%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Between 0.7 to 1.2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IF(B255=0,"",RANK(B255,$B$2:$B$372,0))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GRASIM</t>
        </is>
      </c>
      <c r="D255" s="31" t="inlineStr">
        <is>
          <t>Grasim Industries Limited</t>
        </is>
      </c>
      <c r="E255" s="31" t="inlineStr">
        <is>
          <t>textiles</t>
        </is>
      </c>
      <c r="F255" s="31" t="inlineStr">
        <is>
          <t>textiles - manmade</t>
        </is>
      </c>
      <c r="G255" s="31" t="inlineStr">
        <is>
          <t>largecap</t>
        </is>
      </c>
      <c r="H255" s="32" t="n">
        <v>217234.51</v>
      </c>
      <c r="I255" s="32" t="n">
        <v>3213.6</v>
      </c>
      <c r="J255" s="32" t="n">
        <v>0.68</v>
      </c>
      <c r="K255" s="32" t="n">
        <v>515711</v>
      </c>
      <c r="L255" s="31" t="n">
        <v>33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67.98</v>
      </c>
      <c r="P255" s="32" t="n">
        <v>26.51</v>
      </c>
      <c r="Q255" s="32" t="n">
        <v>2817.56</v>
      </c>
      <c r="R255" s="31" t="inlineStr">
        <is>
          <t>Near 52W High Breakout</t>
        </is>
      </c>
      <c r="S255" s="31" t="inlineStr">
        <is>
          <t>Nifty 50</t>
        </is>
      </c>
      <c r="T255" s="32" t="n">
        <v>-3.75</v>
      </c>
      <c r="U255" s="32" t="n">
        <v>16.77</v>
      </c>
      <c r="V255" s="32" t="n">
        <v>21.32</v>
      </c>
      <c r="W255" s="32" t="n">
        <v>6.81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Blue sky scenario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Less than 1.5</t>
        </is>
      </c>
      <c r="BU255" s="31">
        <f>IF(BT255="Above 2",0,IF(BT255="Between 1.5 to 2",5,IF(BT255="Less than 1.5",10,0)))</f>
        <v/>
      </c>
      <c r="BV255" s="31" t="inlineStr">
        <is>
          <t>Negative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More than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IF(B256=0,"",RANK(B256,$B$2:$B$372,0))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SBC</t>
        </is>
      </c>
      <c r="D256" s="31" t="inlineStr">
        <is>
          <t>SBC Exports Ltd</t>
        </is>
      </c>
      <c r="E256" s="31" t="inlineStr">
        <is>
          <t>textiles</t>
        </is>
      </c>
      <c r="F256" s="31" t="inlineStr">
        <is>
          <t>textiles - products</t>
        </is>
      </c>
      <c r="G256" s="31" t="inlineStr">
        <is>
          <t>smallcap</t>
        </is>
      </c>
      <c r="H256" s="32" t="n">
        <v>2005.24</v>
      </c>
      <c r="I256" s="32" t="n">
        <v>42.38</v>
      </c>
      <c r="J256" s="32" t="n">
        <v>0.64</v>
      </c>
      <c r="K256" s="32" t="n">
        <v>7193318</v>
      </c>
      <c r="L256" s="31" t="n">
        <v>87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73.67</v>
      </c>
      <c r="P256" s="32" t="n">
        <v>35.92</v>
      </c>
      <c r="Q256" s="32" t="n">
        <v>35.99</v>
      </c>
      <c r="R256" s="31" t="inlineStr">
        <is>
          <t>Near 52W High Breakout</t>
        </is>
      </c>
      <c r="S256" s="31" t="inlineStr">
        <is>
          <t>Nifty 50</t>
        </is>
      </c>
      <c r="T256" s="32" t="n">
        <v>-3.75</v>
      </c>
      <c r="U256" s="32" t="n">
        <v>162.25</v>
      </c>
      <c r="V256" s="32" t="n">
        <v>172.47</v>
      </c>
      <c r="W256" s="32" t="n">
        <v>27.56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Blue sky scenario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Between 1.5 to 2</t>
        </is>
      </c>
      <c r="BU256" s="31">
        <f>IF(BT256="Above 2",0,IF(BT256="Between 1.5 to 2",5,IF(BT256="Less than 1.5",10,0)))</f>
        <v/>
      </c>
      <c r="BV256" s="31" t="inlineStr">
        <is>
          <t>Negative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More than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IF(B257=0,"",RANK(B257,$B$2:$B$372,0))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3" t="inlineStr">
        <is>
          <t>CERA</t>
        </is>
      </c>
      <c r="D257" s="33" t="inlineStr">
        <is>
          <t>Cera Sanitaryware Limited</t>
        </is>
      </c>
      <c r="E257" s="31" t="inlineStr">
        <is>
          <t>building materials</t>
        </is>
      </c>
      <c r="F257" s="31" t="inlineStr">
        <is>
          <t>ceramics - tiles / sanitaryware</t>
        </is>
      </c>
      <c r="G257" s="31" t="inlineStr">
        <is>
          <t>midcap</t>
        </is>
      </c>
      <c r="H257" s="32" t="n">
        <v>8113.84</v>
      </c>
      <c r="I257" s="32" t="n">
        <v>6330</v>
      </c>
      <c r="J257" s="32" t="n">
        <v>0.62</v>
      </c>
      <c r="K257" s="32" t="n">
        <v>5409</v>
      </c>
      <c r="L257" s="31" t="n">
        <v>23</v>
      </c>
      <c r="M257" s="31" t="inlineStr">
        <is>
          <t>Underperforming</t>
        </is>
      </c>
      <c r="N257" s="32">
        <f>IF(M257="Underperforming",-5,IF(L257&gt;=95,15,IF(L257&gt;=90,10,IF(L257&gt;=80,5,0))))</f>
        <v/>
      </c>
      <c r="O257" s="32" t="n">
        <v>65.29000000000001</v>
      </c>
      <c r="P257" s="32" t="n">
        <v>34.53</v>
      </c>
      <c r="Q257" s="32" t="n">
        <v>5240.26</v>
      </c>
      <c r="R257" s="31" t="inlineStr">
        <is>
          <t>Earnings / Momentum Support</t>
        </is>
      </c>
      <c r="S257" s="31" t="inlineStr">
        <is>
          <t>Nifty Infra</t>
        </is>
      </c>
      <c r="T257" s="32" t="n">
        <v>1.87</v>
      </c>
      <c r="U257" s="32" t="n">
        <v>-4.3</v>
      </c>
      <c r="V257" s="32" t="n">
        <v>-6.05</v>
      </c>
      <c r="W257" s="32" t="n">
        <v>4.69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IF(B258=0,"",RANK(B258,$B$2:$B$372,0))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NAVINFLUOR</t>
        </is>
      </c>
      <c r="D258" s="31" t="inlineStr">
        <is>
          <t>Navin Fluorine International Limited</t>
        </is>
      </c>
      <c r="E258" s="31" t="inlineStr">
        <is>
          <t>chemicals</t>
        </is>
      </c>
      <c r="F258" s="31" t="inlineStr">
        <is>
          <t>chemicals</t>
        </is>
      </c>
      <c r="G258" s="31" t="inlineStr">
        <is>
          <t>largecap</t>
        </is>
      </c>
      <c r="H258" s="32" t="n">
        <v>39405.03</v>
      </c>
      <c r="I258" s="32" t="n">
        <v>7712</v>
      </c>
      <c r="J258" s="32" t="n">
        <v>0.3</v>
      </c>
      <c r="K258" s="32" t="n">
        <v>85310</v>
      </c>
      <c r="L258" s="31" t="n">
        <v>65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73.3</v>
      </c>
      <c r="P258" s="32" t="n">
        <v>46.05</v>
      </c>
      <c r="Q258" s="32" t="n">
        <v>6365.24</v>
      </c>
      <c r="R258" s="31" t="inlineStr">
        <is>
          <t>Near 52W High Breakout</t>
        </is>
      </c>
      <c r="S258" s="31" t="inlineStr">
        <is>
          <t>Nifty 50</t>
        </is>
      </c>
      <c r="T258" s="32" t="n">
        <v>-3.75</v>
      </c>
      <c r="U258" s="32" t="n">
        <v>52.36</v>
      </c>
      <c r="V258" s="32" t="n">
        <v>58.3</v>
      </c>
      <c r="W258" s="32" t="n">
        <v>14.42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Oligopoly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Shallow Cyclical (2 to 3 Years Growth)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Between 50% to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IF(B259=0,"",RANK(B259,$B$2:$B$372,0))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ALKYLAMINE</t>
        </is>
      </c>
      <c r="D259" s="33" t="inlineStr">
        <is>
          <t>Alkyl Amines Chemicals Limited</t>
        </is>
      </c>
      <c r="E259" s="31" t="inlineStr">
        <is>
          <t>chemicals</t>
        </is>
      </c>
      <c r="F259" s="31" t="inlineStr">
        <is>
          <t>chemicals</t>
        </is>
      </c>
      <c r="G259" s="31" t="inlineStr">
        <is>
          <t>midcap</t>
        </is>
      </c>
      <c r="H259" s="32" t="n">
        <v>9996.620000000001</v>
      </c>
      <c r="I259" s="32" t="n">
        <v>1956</v>
      </c>
      <c r="J259" s="32" t="n">
        <v>0.07000000000000001</v>
      </c>
      <c r="K259" s="32" t="n">
        <v>174667</v>
      </c>
      <c r="L259" s="31" t="n">
        <v>38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69.63</v>
      </c>
      <c r="P259" s="32" t="n">
        <v>32.4</v>
      </c>
      <c r="Q259" s="32" t="n">
        <v>1464.25</v>
      </c>
      <c r="R259" s="31" t="inlineStr">
        <is>
          <t>Earnings / Momentum Support</t>
        </is>
      </c>
      <c r="S259" s="31" t="inlineStr">
        <is>
          <t>Nifty 50</t>
        </is>
      </c>
      <c r="T259" s="32" t="n">
        <v>-3.75</v>
      </c>
      <c r="U259" s="32" t="n">
        <v>-11.96</v>
      </c>
      <c r="V259" s="32" t="n">
        <v>-8.529999999999999</v>
      </c>
      <c r="W259" s="32" t="n">
        <v>7.7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IF(B260=0,"",RANK(B260,$B$2:$B$372,0))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MAHLOG</t>
        </is>
      </c>
      <c r="D260" s="31" t="inlineStr">
        <is>
          <t>Mahindra Logistics Ltd</t>
        </is>
      </c>
      <c r="E260" s="31" t="inlineStr">
        <is>
          <t>transportation</t>
        </is>
      </c>
      <c r="F260" s="31" t="inlineStr">
        <is>
          <t>miscellaneous</t>
        </is>
      </c>
      <c r="G260" s="31" t="inlineStr">
        <is>
          <t>smallcap</t>
        </is>
      </c>
      <c r="H260" s="32" t="n">
        <v>3859.26</v>
      </c>
      <c r="I260" s="32" t="n">
        <v>387.2</v>
      </c>
      <c r="J260" s="32" t="n">
        <v>-0.45</v>
      </c>
      <c r="K260" s="32" t="n">
        <v>91346</v>
      </c>
      <c r="L260" s="31" t="n">
        <v>8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55.93</v>
      </c>
      <c r="P260" s="32" t="n">
        <v>18.66</v>
      </c>
      <c r="Q260" s="32" t="n">
        <v>332.85</v>
      </c>
      <c r="R260" s="31" t="inlineStr">
        <is>
          <t>Earnings / Momentum Support</t>
        </is>
      </c>
      <c r="S260" s="31" t="inlineStr">
        <is>
          <t>Nifty 50</t>
        </is>
      </c>
      <c r="T260" s="32" t="n">
        <v>-3.75</v>
      </c>
      <c r="U260" s="32" t="n">
        <v>2.87</v>
      </c>
      <c r="V260" s="32" t="n">
        <v>6.87</v>
      </c>
      <c r="W260" s="32" t="n">
        <v>1.47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IF(B261=0,"",RANK(B261,$B$2:$B$372,0))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MOSCHIP</t>
        </is>
      </c>
      <c r="D261" s="31" t="inlineStr">
        <is>
          <t>Moschip Technologies Ltd</t>
        </is>
      </c>
      <c r="E261" s="31" t="inlineStr">
        <is>
          <t>i.t</t>
        </is>
      </c>
      <c r="F261" s="31" t="inlineStr">
        <is>
          <t>computers - hardware</t>
        </is>
      </c>
      <c r="G261" s="31" t="inlineStr">
        <is>
          <t>smallcap</t>
        </is>
      </c>
      <c r="H261" s="32" t="n">
        <v>4626.04</v>
      </c>
      <c r="I261" s="32" t="n">
        <v>236.82</v>
      </c>
      <c r="J261" s="32" t="n">
        <v>-0.75</v>
      </c>
      <c r="K261" s="32" t="n">
        <v>4768756</v>
      </c>
      <c r="L261" s="31" t="n">
        <v>74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60.82</v>
      </c>
      <c r="P261" s="32" t="n">
        <v>17.28</v>
      </c>
      <c r="Q261" s="32" t="n">
        <v>171.56</v>
      </c>
      <c r="R261" s="31" t="inlineStr">
        <is>
          <t>Volume Spike / Accumulation</t>
        </is>
      </c>
      <c r="S261" s="31" t="inlineStr">
        <is>
          <t>Nifty IT</t>
        </is>
      </c>
      <c r="T261" s="32" t="n">
        <v>-25.69</v>
      </c>
      <c r="U261" s="32" t="n">
        <v>35.88</v>
      </c>
      <c r="V261" s="32" t="n">
        <v>82.84999999999999</v>
      </c>
      <c r="W261" s="32" t="n">
        <v>17.32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IF(B262=0,"",RANK(B262,$B$2:$B$372,0))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EPL</t>
        </is>
      </c>
      <c r="D262" s="31" t="inlineStr">
        <is>
          <t>EPL Ltd</t>
        </is>
      </c>
      <c r="E262" s="31" t="inlineStr">
        <is>
          <t>industrials</t>
        </is>
      </c>
      <c r="F262" s="31" t="inlineStr">
        <is>
          <t>packaging</t>
        </is>
      </c>
      <c r="G262" s="31" t="inlineStr">
        <is>
          <t>midcap</t>
        </is>
      </c>
      <c r="H262" s="32" t="n">
        <v>7669.62</v>
      </c>
      <c r="I262" s="32" t="n">
        <v>237.56</v>
      </c>
      <c r="J262" s="32" t="n">
        <v>-0.8100000000000001</v>
      </c>
      <c r="K262" s="32" t="n">
        <v>243867</v>
      </c>
      <c r="L262" s="31" t="n">
        <v>6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59.95</v>
      </c>
      <c r="P262" s="32" t="n">
        <v>8.279999999999999</v>
      </c>
      <c r="Q262" s="32" t="n">
        <v>189.52</v>
      </c>
      <c r="R262" s="31" t="inlineStr">
        <is>
          <t>Near 52W High Breakout</t>
        </is>
      </c>
      <c r="S262" s="31" t="inlineStr">
        <is>
          <t>Nifty 50</t>
        </is>
      </c>
      <c r="T262" s="32" t="n">
        <v>-3.75</v>
      </c>
      <c r="U262" s="32" t="n">
        <v>2.97</v>
      </c>
      <c r="V262" s="32" t="n">
        <v>6.98</v>
      </c>
      <c r="W262" s="32" t="n">
        <v>1.12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Less than 12%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IF(B263=0,"",RANK(B263,$B$2:$B$372,0))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SUYOG</t>
        </is>
      </c>
      <c r="D263" s="31" t="inlineStr">
        <is>
          <t>Suyog Telematics Ltd</t>
        </is>
      </c>
      <c r="E263" s="31" t="inlineStr">
        <is>
          <t>telecom</t>
        </is>
      </c>
      <c r="F263" s="31" t="inlineStr">
        <is>
          <t>transmisson line towers / equipment</t>
        </is>
      </c>
      <c r="G263" s="31" t="inlineStr">
        <is>
          <t>smallcap</t>
        </is>
      </c>
      <c r="H263" s="32" t="n">
        <v>1028.41</v>
      </c>
      <c r="I263" s="32" t="n">
        <v>869</v>
      </c>
      <c r="J263" s="32" t="n">
        <v>-0.99</v>
      </c>
      <c r="K263" s="32" t="n">
        <v>19776</v>
      </c>
      <c r="L263" s="31" t="n">
        <v>15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60.22</v>
      </c>
      <c r="P263" s="32" t="n">
        <v>17.32</v>
      </c>
      <c r="Q263" s="32" t="n">
        <v>634.5</v>
      </c>
      <c r="R263" s="31" t="inlineStr">
        <is>
          <t>Volume Spike &amp; Near 52W High Breakout</t>
        </is>
      </c>
      <c r="S263" s="31" t="inlineStr">
        <is>
          <t>Nifty 50</t>
        </is>
      </c>
      <c r="T263" s="32" t="n">
        <v>-3.75</v>
      </c>
      <c r="U263" s="32" t="n">
        <v>1.95</v>
      </c>
      <c r="V263" s="32" t="n">
        <v>5.92</v>
      </c>
      <c r="W263" s="32" t="n">
        <v>3.41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Oligopoly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Yes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Less than 1.5</t>
        </is>
      </c>
      <c r="BU263" s="31">
        <f>IF(BT263="Above 2",0,IF(BT263="Between 1.5 to 2",5,IF(BT263="Less than 1.5",10,0)))</f>
        <v/>
      </c>
      <c r="BV263" s="31" t="inlineStr">
        <is>
          <t>Less than 50%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Between 0.7 to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IF(B264=0,"",RANK(B264,$B$2:$B$372,0))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MAXHEALTH</t>
        </is>
      </c>
      <c r="D264" s="33" t="inlineStr">
        <is>
          <t>Max Healthcare Institute Ltd</t>
        </is>
      </c>
      <c r="E264" s="31" t="inlineStr">
        <is>
          <t>healthcare</t>
        </is>
      </c>
      <c r="F264" s="31" t="inlineStr">
        <is>
          <t>healthcare</t>
        </is>
      </c>
      <c r="G264" s="31" t="inlineStr">
        <is>
          <t>largecap</t>
        </is>
      </c>
      <c r="H264" s="32" t="n">
        <v>107171.36</v>
      </c>
      <c r="I264" s="32" t="n">
        <v>1108.1</v>
      </c>
      <c r="J264" s="32" t="n">
        <v>0.62</v>
      </c>
      <c r="K264" s="32" t="n">
        <v>1749090</v>
      </c>
      <c r="L264" s="31" t="n">
        <v>9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56.67</v>
      </c>
      <c r="P264" s="32" t="n">
        <v>20.21</v>
      </c>
      <c r="Q264" s="32" t="n">
        <v>956.1900000000001</v>
      </c>
      <c r="R264" s="31" t="inlineStr">
        <is>
          <t>Earnings / Momentum Support</t>
        </is>
      </c>
      <c r="S264" s="31" t="inlineStr">
        <is>
          <t>Nifty Pharma</t>
        </is>
      </c>
      <c r="T264" s="32" t="n">
        <v>15.51</v>
      </c>
      <c r="U264" s="32" t="n">
        <v>-8.949999999999999</v>
      </c>
      <c r="V264" s="32" t="n">
        <v>-21.18</v>
      </c>
      <c r="W264" s="32" t="n">
        <v>1.88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Yes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Annuity, Lower One Time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IF(B265=0,"",RANK(B265,$B$2:$B$372,0))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KOVAI</t>
        </is>
      </c>
      <c r="D265" s="33" t="inlineStr">
        <is>
          <t>Kovai Medical Center &amp; Hospital Ltd</t>
        </is>
      </c>
      <c r="E265" s="31" t="inlineStr">
        <is>
          <t>healthcare</t>
        </is>
      </c>
      <c r="F265" s="31" t="inlineStr">
        <is>
          <t>healthcare</t>
        </is>
      </c>
      <c r="G265" s="31" t="inlineStr">
        <is>
          <t>midcap</t>
        </is>
      </c>
      <c r="H265" s="32" t="n">
        <v>6533.08</v>
      </c>
      <c r="I265" s="32" t="n">
        <v>5995</v>
      </c>
      <c r="J265" s="32" t="n">
        <v>0.41</v>
      </c>
      <c r="K265" s="32" t="n">
        <v>4445</v>
      </c>
      <c r="L265" s="31" t="n">
        <v>9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62</v>
      </c>
      <c r="P265" s="32" t="n">
        <v>18.5</v>
      </c>
      <c r="Q265" s="32" t="n">
        <v>5073.23</v>
      </c>
      <c r="R265" s="31" t="inlineStr">
        <is>
          <t>Earnings / Momentum Support</t>
        </is>
      </c>
      <c r="S265" s="31" t="inlineStr">
        <is>
          <t>Nifty Pharma</t>
        </is>
      </c>
      <c r="T265" s="32" t="n">
        <v>15.51</v>
      </c>
      <c r="U265" s="32" t="n">
        <v>-4.05</v>
      </c>
      <c r="V265" s="32" t="n">
        <v>-16.93</v>
      </c>
      <c r="W265" s="32" t="n">
        <v>1.84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Yes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Annuity, Lower One Time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Between 12 to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Between 1.5 to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IF(B266=0,"",RANK(B266,$B$2:$B$372,0))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MEDANTA</t>
        </is>
      </c>
      <c r="D266" s="33" t="inlineStr">
        <is>
          <t>Global Health Ltd</t>
        </is>
      </c>
      <c r="E266" s="31" t="inlineStr">
        <is>
          <t>healthcare</t>
        </is>
      </c>
      <c r="F266" s="31" t="inlineStr">
        <is>
          <t>healthcare</t>
        </is>
      </c>
      <c r="G266" s="31" t="inlineStr">
        <is>
          <t>largecap</t>
        </is>
      </c>
      <c r="H266" s="32" t="n">
        <v>36241.01</v>
      </c>
      <c r="I266" s="32" t="n">
        <v>1336.9</v>
      </c>
      <c r="J266" s="32" t="n">
        <v>-0.85</v>
      </c>
      <c r="K266" s="32" t="n">
        <v>91300</v>
      </c>
      <c r="L266" s="31" t="n">
        <v>31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64.94</v>
      </c>
      <c r="P266" s="32" t="n">
        <v>13.59</v>
      </c>
      <c r="Q266" s="32" t="n">
        <v>1121.41</v>
      </c>
      <c r="R266" s="31" t="inlineStr">
        <is>
          <t>Earnings / Momentum Support</t>
        </is>
      </c>
      <c r="S266" s="31" t="inlineStr">
        <is>
          <t>Nifty Pharma</t>
        </is>
      </c>
      <c r="T266" s="32" t="n">
        <v>15.51</v>
      </c>
      <c r="U266" s="32" t="n">
        <v>2.61</v>
      </c>
      <c r="V266" s="32" t="n">
        <v>-11.17</v>
      </c>
      <c r="W266" s="32" t="n">
        <v>6.44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Yes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Annuity, Lower One Time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Between 1.5 to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IF(B267=0,"",RANK(B267,$B$2:$B$372,0))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GODREJIND</t>
        </is>
      </c>
      <c r="D267" s="31" t="inlineStr">
        <is>
          <t>Godrej Industries Limited</t>
        </is>
      </c>
      <c r="E267" s="31" t="inlineStr">
        <is>
          <t>chemicals</t>
        </is>
      </c>
      <c r="F267" s="31" t="inlineStr">
        <is>
          <t>chemicals</t>
        </is>
      </c>
      <c r="G267" s="31" t="inlineStr">
        <is>
          <t>largecap</t>
        </is>
      </c>
      <c r="H267" s="32" t="n">
        <v>41063.25</v>
      </c>
      <c r="I267" s="32" t="n">
        <v>1417.7</v>
      </c>
      <c r="J267" s="32" t="n">
        <v>16.28</v>
      </c>
      <c r="K267" s="32" t="n">
        <v>2661745</v>
      </c>
      <c r="L267" s="31" t="n">
        <v>78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71.31999999999999</v>
      </c>
      <c r="P267" s="32" t="n">
        <v>30.08</v>
      </c>
      <c r="Q267" s="32" t="n">
        <v>1094.58</v>
      </c>
      <c r="R267" s="31" t="inlineStr">
        <is>
          <t>Volume Spike &amp; Near 52W High Breakout</t>
        </is>
      </c>
      <c r="S267" s="31" t="inlineStr">
        <is>
          <t>Nifty 50</t>
        </is>
      </c>
      <c r="T267" s="32" t="n">
        <v>-3.75</v>
      </c>
      <c r="U267" s="32" t="n">
        <v>29.4</v>
      </c>
      <c r="V267" s="32" t="n">
        <v>34.44</v>
      </c>
      <c r="W267" s="32" t="n">
        <v>19.67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Negative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More than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IF(B268=0,"",RANK(B268,$B$2:$B$372,0))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GANDHAR</t>
        </is>
      </c>
      <c r="D268" s="31" t="inlineStr">
        <is>
          <t>Gandhar Oil Refinery (India) Ltd</t>
        </is>
      </c>
      <c r="E268" s="31" t="inlineStr">
        <is>
          <t>energy</t>
        </is>
      </c>
      <c r="F268" s="31" t="inlineStr">
        <is>
          <t>refineries</t>
        </is>
      </c>
      <c r="G268" s="31" t="inlineStr">
        <is>
          <t>smallcap</t>
        </is>
      </c>
      <c r="H268" s="32" t="n">
        <v>1892.5</v>
      </c>
      <c r="I268" s="32" t="n">
        <v>203.15</v>
      </c>
      <c r="J268" s="32" t="n">
        <v>5.07</v>
      </c>
      <c r="K268" s="32" t="n">
        <v>3577727</v>
      </c>
      <c r="L268" s="31" t="n">
        <v>69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71.53</v>
      </c>
      <c r="P268" s="32" t="n">
        <v>38.25</v>
      </c>
      <c r="Q268" s="32" t="n">
        <v>155.16</v>
      </c>
      <c r="R268" s="31" t="inlineStr">
        <is>
          <t>Near 52W High Breakout</t>
        </is>
      </c>
      <c r="S268" s="31" t="inlineStr">
        <is>
          <t>Nifty Energy</t>
        </is>
      </c>
      <c r="T268" s="32" t="n">
        <v>8.710000000000001</v>
      </c>
      <c r="U268" s="32" t="n">
        <v>20.78</v>
      </c>
      <c r="V268" s="32" t="n">
        <v>11.1</v>
      </c>
      <c r="W268" s="32" t="n">
        <v>15.74</v>
      </c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Oligopoly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Yes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Cyclical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Volatile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Between 50% to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IF(B269=0,"",RANK(B269,$B$2:$B$372,0))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3" t="inlineStr">
        <is>
          <t>JASH</t>
        </is>
      </c>
      <c r="D269" s="33" t="inlineStr">
        <is>
          <t>Jash Engineering Ltd</t>
        </is>
      </c>
      <c r="E269" s="31" t="inlineStr">
        <is>
          <t>industrials</t>
        </is>
      </c>
      <c r="F269" s="31" t="inlineStr">
        <is>
          <t>engineering</t>
        </is>
      </c>
      <c r="G269" s="31" t="inlineStr">
        <is>
          <t>smallcap</t>
        </is>
      </c>
      <c r="H269" s="32" t="n">
        <v>3231.41</v>
      </c>
      <c r="I269" s="32" t="n">
        <v>532.75</v>
      </c>
      <c r="J269" s="32" t="n">
        <v>4.19</v>
      </c>
      <c r="K269" s="32" t="n">
        <v>610140</v>
      </c>
      <c r="L269" s="31" t="n">
        <v>30</v>
      </c>
      <c r="M269" s="31" t="inlineStr">
        <is>
          <t>Underperforming</t>
        </is>
      </c>
      <c r="N269" s="32">
        <f>IF(M269="Underperforming",-5,IF(L269&gt;=95,15,IF(L269&gt;=90,10,IF(L269&gt;=80,5,0))))</f>
        <v/>
      </c>
      <c r="O269" s="32" t="n">
        <v>63.48</v>
      </c>
      <c r="P269" s="32" t="n">
        <v>15.54</v>
      </c>
      <c r="Q269" s="32" t="n">
        <v>413.81</v>
      </c>
      <c r="R269" s="31" t="inlineStr">
        <is>
          <t>Earnings / Momentum Support</t>
        </is>
      </c>
      <c r="S269" s="31" t="inlineStr">
        <is>
          <t>Nifty Infra</t>
        </is>
      </c>
      <c r="T269" s="32" t="n">
        <v>1.87</v>
      </c>
      <c r="U269" s="32" t="n">
        <v>-8.130000000000001</v>
      </c>
      <c r="V269" s="32" t="n">
        <v>-9.81</v>
      </c>
      <c r="W269" s="32" t="n">
        <v>6.21</v>
      </c>
      <c r="X269" s="31" t="inlineStr">
        <is>
          <t>Cyclical in an Upturn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Less than 1.5</t>
        </is>
      </c>
      <c r="BU269" s="31">
        <f>IF(BT269="Above 2",0,IF(BT269="Between 1.5 to 2",5,IF(BT269="Less than 1.5",10,0)))</f>
        <v/>
      </c>
      <c r="BV269" s="31" t="inlineStr">
        <is>
          <t>Between 50% to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IF(B270=0,"",RANK(B270,$B$2:$B$372,0))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NEOGEN</t>
        </is>
      </c>
      <c r="D270" s="31" t="inlineStr">
        <is>
          <t>Neogen Chemicals Ltd</t>
        </is>
      </c>
      <c r="E270" s="31" t="inlineStr">
        <is>
          <t>chemicals</t>
        </is>
      </c>
      <c r="F270" s="31" t="inlineStr">
        <is>
          <t>chemicals</t>
        </is>
      </c>
      <c r="G270" s="31" t="inlineStr">
        <is>
          <t>midcap</t>
        </is>
      </c>
      <c r="H270" s="32" t="n">
        <v>5549.44</v>
      </c>
      <c r="I270" s="32" t="n">
        <v>2085.1</v>
      </c>
      <c r="J270" s="32" t="n">
        <v>2.88</v>
      </c>
      <c r="K270" s="32" t="n">
        <v>137815</v>
      </c>
      <c r="L270" s="31" t="n">
        <v>76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68.66</v>
      </c>
      <c r="P270" s="32" t="n">
        <v>43.41</v>
      </c>
      <c r="Q270" s="32" t="n">
        <v>1567.75</v>
      </c>
      <c r="R270" s="31" t="inlineStr">
        <is>
          <t>Near 52W High Breakout</t>
        </is>
      </c>
      <c r="S270" s="31" t="inlineStr">
        <is>
          <t>Nifty 50</t>
        </is>
      </c>
      <c r="T270" s="32" t="n">
        <v>-3.75</v>
      </c>
      <c r="U270" s="32" t="n">
        <v>31.4</v>
      </c>
      <c r="V270" s="32" t="n">
        <v>36.51</v>
      </c>
      <c r="W270" s="32" t="n">
        <v>19.24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Above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Negative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More than 1.2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IF(B271=0,"",RANK(B271,$B$2:$B$372,0))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ACMESOLAR</t>
        </is>
      </c>
      <c r="D271" s="31" t="inlineStr">
        <is>
          <t>ACME Solar Holdings Ltd</t>
        </is>
      </c>
      <c r="E271" s="31" t="inlineStr">
        <is>
          <t>realty</t>
        </is>
      </c>
      <c r="F271" s="31" t="inlineStr">
        <is>
          <t>engineering - turnkey services</t>
        </is>
      </c>
      <c r="G271" s="31" t="inlineStr">
        <is>
          <t>largecap</t>
        </is>
      </c>
      <c r="H271" s="32" t="n">
        <v>25972.22</v>
      </c>
      <c r="I271" s="32" t="n">
        <v>377</v>
      </c>
      <c r="J271" s="32" t="n">
        <v>2.5</v>
      </c>
      <c r="K271" s="32" t="n">
        <v>1486538</v>
      </c>
      <c r="L271" s="31" t="n">
        <v>67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70.17</v>
      </c>
      <c r="P271" s="32" t="n">
        <v>30.68</v>
      </c>
      <c r="Q271" s="32" t="n">
        <v>298.3</v>
      </c>
      <c r="R271" s="31" t="inlineStr">
        <is>
          <t>Near 52W High Breakout</t>
        </is>
      </c>
      <c r="S271" s="31" t="inlineStr">
        <is>
          <t>Nifty Realty</t>
        </is>
      </c>
      <c r="T271" s="32" t="n">
        <v>-2.52</v>
      </c>
      <c r="U271" s="32" t="n">
        <v>27.74</v>
      </c>
      <c r="V271" s="32" t="n">
        <v>31.05</v>
      </c>
      <c r="W271" s="32" t="n">
        <v>15.07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Blue sky scenario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Between 50% to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More than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IF(B272=0,"",RANK(B272,$B$2:$B$372,0))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JGCHEM</t>
        </is>
      </c>
      <c r="D272" s="33" t="inlineStr">
        <is>
          <t>J.G.Chemicals Ltd</t>
        </is>
      </c>
      <c r="E272" s="31" t="inlineStr">
        <is>
          <t>chemicals</t>
        </is>
      </c>
      <c r="F272" s="31" t="inlineStr">
        <is>
          <t>chemicals</t>
        </is>
      </c>
      <c r="G272" s="31" t="inlineStr">
        <is>
          <t>smallcap</t>
        </is>
      </c>
      <c r="H272" s="32" t="n">
        <v>1744.76</v>
      </c>
      <c r="I272" s="32" t="n">
        <v>456.35</v>
      </c>
      <c r="J272" s="32" t="n">
        <v>2.49</v>
      </c>
      <c r="K272" s="32" t="n">
        <v>175249</v>
      </c>
      <c r="L272" s="31" t="n">
        <v>25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62.6</v>
      </c>
      <c r="P272" s="32" t="n">
        <v>19.63</v>
      </c>
      <c r="Q272" s="32" t="n">
        <v>347.34</v>
      </c>
      <c r="R272" s="31" t="inlineStr">
        <is>
          <t>Earnings / Momentum Support</t>
        </is>
      </c>
      <c r="S272" s="31" t="inlineStr">
        <is>
          <t>Nifty 50</t>
        </is>
      </c>
      <c r="T272" s="32" t="n">
        <v>-3.75</v>
      </c>
      <c r="U272" s="32" t="n">
        <v>-8.640000000000001</v>
      </c>
      <c r="V272" s="32" t="n">
        <v>-5.08</v>
      </c>
      <c r="W272" s="32" t="n">
        <v>5.37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Between 12 to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Between 1.5 to 2</t>
        </is>
      </c>
      <c r="BU272" s="31">
        <f>IF(BT272="Above 2",0,IF(BT272="Between 1.5 to 2",5,IF(BT272="Less than 1.5",10,0)))</f>
        <v/>
      </c>
      <c r="BV272" s="31" t="inlineStr">
        <is>
          <t>Between 50% to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IF(B273=0,"",RANK(B273,$B$2:$B$372,0))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PDSL</t>
        </is>
      </c>
      <c r="D273" s="33" t="inlineStr">
        <is>
          <t>PDS Ltd</t>
        </is>
      </c>
      <c r="E273" s="31" t="inlineStr">
        <is>
          <t>textiles</t>
        </is>
      </c>
      <c r="F273" s="31" t="inlineStr">
        <is>
          <t>trading</t>
        </is>
      </c>
      <c r="G273" s="31" t="inlineStr">
        <is>
          <t>smallcap</t>
        </is>
      </c>
      <c r="H273" s="32" t="n">
        <v>4945.52</v>
      </c>
      <c r="I273" s="32" t="n">
        <v>356.85</v>
      </c>
      <c r="J273" s="32" t="n">
        <v>2.06</v>
      </c>
      <c r="K273" s="32" t="n">
        <v>37490</v>
      </c>
      <c r="L273" s="31" t="n">
        <v>19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58.84</v>
      </c>
      <c r="P273" s="32" t="n">
        <v>15.65</v>
      </c>
      <c r="Q273" s="32" t="n">
        <v>269.01</v>
      </c>
      <c r="R273" s="31" t="inlineStr">
        <is>
          <t>Earnings / Momentum Support</t>
        </is>
      </c>
      <c r="S273" s="31" t="inlineStr">
        <is>
          <t>Nifty 50</t>
        </is>
      </c>
      <c r="T273" s="32" t="n">
        <v>-3.75</v>
      </c>
      <c r="U273" s="32" t="n">
        <v>-7.34</v>
      </c>
      <c r="V273" s="32" t="n">
        <v>-3.73</v>
      </c>
      <c r="W273" s="32" t="n">
        <v>4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IF(B274=0,"",RANK(B274,$B$2:$B$372,0))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MANGLMCEM</t>
        </is>
      </c>
      <c r="D274" s="31" t="inlineStr">
        <is>
          <t>Mangalam Cement Limited</t>
        </is>
      </c>
      <c r="E274" s="31" t="inlineStr">
        <is>
          <t>building materials</t>
        </is>
      </c>
      <c r="F274" s="31" t="inlineStr">
        <is>
          <t>cement - north india</t>
        </is>
      </c>
      <c r="G274" s="31" t="inlineStr">
        <is>
          <t>smallcap</t>
        </is>
      </c>
      <c r="H274" s="32" t="n">
        <v>2597.39</v>
      </c>
      <c r="I274" s="32" t="n">
        <v>962.75</v>
      </c>
      <c r="J274" s="32" t="n">
        <v>1.92</v>
      </c>
      <c r="K274" s="32" t="n">
        <v>68345</v>
      </c>
      <c r="L274" s="31" t="n">
        <v>41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65.03</v>
      </c>
      <c r="P274" s="32" t="n">
        <v>19.73</v>
      </c>
      <c r="Q274" s="32" t="n">
        <v>786.55</v>
      </c>
      <c r="R274" s="31" t="inlineStr">
        <is>
          <t>Near 52W High Breakout</t>
        </is>
      </c>
      <c r="S274" s="31" t="inlineStr">
        <is>
          <t>Nifty Infra</t>
        </is>
      </c>
      <c r="T274" s="32" t="n">
        <v>1.87</v>
      </c>
      <c r="U274" s="32" t="n">
        <v>31.49</v>
      </c>
      <c r="V274" s="32" t="n">
        <v>29.08</v>
      </c>
      <c r="W274" s="32" t="n">
        <v>8.109999999999999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Less than 50%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Between 0.7 to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IF(B275=0,"",RANK(B275,$B$2:$B$372,0))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BEPL</t>
        </is>
      </c>
      <c r="D275" s="33" t="inlineStr">
        <is>
          <t>Bhansali Engineering Polymers Limited</t>
        </is>
      </c>
      <c r="E275" s="31" t="inlineStr">
        <is>
          <t>energy</t>
        </is>
      </c>
      <c r="F275" s="31" t="inlineStr">
        <is>
          <t>petrochemicals</t>
        </is>
      </c>
      <c r="G275" s="31" t="inlineStr">
        <is>
          <t>smallcap</t>
        </is>
      </c>
      <c r="H275" s="32" t="n">
        <v>2519.69</v>
      </c>
      <c r="I275" s="32" t="n">
        <v>103.14</v>
      </c>
      <c r="J275" s="32" t="n">
        <v>1.87</v>
      </c>
      <c r="K275" s="32" t="n">
        <v>1461554</v>
      </c>
      <c r="L275" s="31" t="n">
        <v>10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60.39</v>
      </c>
      <c r="P275" s="32" t="n">
        <v>35.05</v>
      </c>
      <c r="Q275" s="32" t="n">
        <v>84.27</v>
      </c>
      <c r="R275" s="31" t="inlineStr">
        <is>
          <t>Earnings / Momentum Support</t>
        </is>
      </c>
      <c r="S275" s="31" t="inlineStr">
        <is>
          <t>Nifty Energy</t>
        </is>
      </c>
      <c r="T275" s="32" t="n">
        <v>8.710000000000001</v>
      </c>
      <c r="U275" s="32" t="n">
        <v>-5.23</v>
      </c>
      <c r="V275" s="32" t="n">
        <v>-12.83</v>
      </c>
      <c r="W275" s="32" t="n">
        <v>2.01</v>
      </c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Oligopoly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Yes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Cyclical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Volatile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Less than 1.5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IF(B276=0,"",RANK(B276,$B$2:$B$372,0))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3MINDIA</t>
        </is>
      </c>
      <c r="D276" s="31" t="inlineStr">
        <is>
          <t>3m India Limited</t>
        </is>
      </c>
      <c r="E276" s="31" t="inlineStr">
        <is>
          <t>miscellaneous</t>
        </is>
      </c>
      <c r="F276" s="31" t="inlineStr">
        <is>
          <t>diversified - large</t>
        </is>
      </c>
      <c r="G276" s="31" t="inlineStr">
        <is>
          <t>largecap</t>
        </is>
      </c>
      <c r="H276" s="32" t="n">
        <v>39140.49</v>
      </c>
      <c r="I276" s="32" t="n">
        <v>35370</v>
      </c>
      <c r="J276" s="32" t="n">
        <v>1.8</v>
      </c>
      <c r="K276" s="32" t="n">
        <v>2908</v>
      </c>
      <c r="L276" s="31" t="n">
        <v>33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58.76</v>
      </c>
      <c r="P276" s="32" t="n">
        <v>10.17</v>
      </c>
      <c r="Q276" s="32" t="n">
        <v>29290.35</v>
      </c>
      <c r="R276" s="31" t="inlineStr">
        <is>
          <t>Earnings / Momentum Support</t>
        </is>
      </c>
      <c r="S276" s="31" t="inlineStr">
        <is>
          <t>Nifty 50</t>
        </is>
      </c>
      <c r="T276" s="32" t="n">
        <v>-3.75</v>
      </c>
      <c r="U276" s="32" t="n">
        <v>21.14</v>
      </c>
      <c r="V276" s="32" t="n">
        <v>25.86</v>
      </c>
      <c r="W276" s="32" t="n">
        <v>6.73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Between 50% to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IF(B277=0,"",RANK(B277,$B$2:$B$372,0))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TITAN</t>
        </is>
      </c>
      <c r="D277" s="31" t="inlineStr">
        <is>
          <t>Titan Company Limited</t>
        </is>
      </c>
      <c r="E277" s="31" t="inlineStr">
        <is>
          <t>consumer discretionary</t>
        </is>
      </c>
      <c r="F277" s="31" t="inlineStr">
        <is>
          <t>diamond cutting / jewellery</t>
        </is>
      </c>
      <c r="G277" s="31" t="inlineStr">
        <is>
          <t>largecap</t>
        </is>
      </c>
      <c r="H277" s="32" t="n">
        <v>404457.62</v>
      </c>
      <c r="I277" s="32" t="n">
        <v>4584.4</v>
      </c>
      <c r="J277" s="32" t="n">
        <v>0.63</v>
      </c>
      <c r="K277" s="32" t="n">
        <v>652687</v>
      </c>
      <c r="L277" s="31" t="n">
        <v>36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61.85</v>
      </c>
      <c r="P277" s="32" t="n">
        <v>15.74</v>
      </c>
      <c r="Q277" s="32" t="n">
        <v>3897.86</v>
      </c>
      <c r="R277" s="31" t="inlineStr">
        <is>
          <t>Near 52W High Breakout</t>
        </is>
      </c>
      <c r="S277" s="31" t="inlineStr">
        <is>
          <t>Nifty 50</t>
        </is>
      </c>
      <c r="T277" s="32" t="n">
        <v>-3.75</v>
      </c>
      <c r="U277" s="32" t="n">
        <v>36.82</v>
      </c>
      <c r="V277" s="32" t="n">
        <v>42.15</v>
      </c>
      <c r="W277" s="32" t="n">
        <v>7.09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Blue sky scenario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More than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IF(B278=0,"",RANK(B278,$B$2:$B$372,0))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GANESHHOU</t>
        </is>
      </c>
      <c r="D278" s="33" t="inlineStr">
        <is>
          <t>Ganesh Housing Ltd</t>
        </is>
      </c>
      <c r="E278" s="31" t="inlineStr">
        <is>
          <t>realty</t>
        </is>
      </c>
      <c r="F278" s="31" t="inlineStr">
        <is>
          <t>construction</t>
        </is>
      </c>
      <c r="G278" s="31" t="inlineStr">
        <is>
          <t>midcap</t>
        </is>
      </c>
      <c r="H278" s="32" t="n">
        <v>7222.57</v>
      </c>
      <c r="I278" s="32" t="n">
        <v>869.85</v>
      </c>
      <c r="J278" s="32" t="n">
        <v>0.43</v>
      </c>
      <c r="K278" s="32" t="n">
        <v>52341</v>
      </c>
      <c r="L278" s="31" t="n">
        <v>45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67.3</v>
      </c>
      <c r="P278" s="32" t="n">
        <v>17</v>
      </c>
      <c r="Q278" s="32" t="n">
        <v>676.6</v>
      </c>
      <c r="R278" s="31" t="inlineStr">
        <is>
          <t>Volume Spike / Accumulation</t>
        </is>
      </c>
      <c r="S278" s="31" t="inlineStr">
        <is>
          <t>Nifty Realty</t>
        </is>
      </c>
      <c r="T278" s="32" t="n">
        <v>-2.52</v>
      </c>
      <c r="U278" s="32" t="n">
        <v>-12.13</v>
      </c>
      <c r="V278" s="32" t="n">
        <v>-9.859999999999999</v>
      </c>
      <c r="W278" s="32" t="n">
        <v>9.140000000000001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Between 50% to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IF(B279=0,"",RANK(B279,$B$2:$B$372,0))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TEXINFRA</t>
        </is>
      </c>
      <c r="D279" s="31" t="inlineStr">
        <is>
          <t>Texmaco Infrastructure &amp; Holdings Limited</t>
        </is>
      </c>
      <c r="E279" s="31" t="inlineStr">
        <is>
          <t>realty</t>
        </is>
      </c>
      <c r="F279" s="31" t="inlineStr">
        <is>
          <t>construction</t>
        </is>
      </c>
      <c r="G279" s="31" t="inlineStr">
        <is>
          <t>smallcap</t>
        </is>
      </c>
      <c r="H279" s="32" t="n">
        <v>1454.57</v>
      </c>
      <c r="I279" s="32" t="n">
        <v>114.5</v>
      </c>
      <c r="J279" s="32" t="n">
        <v>0.31</v>
      </c>
      <c r="K279" s="32" t="n">
        <v>80387</v>
      </c>
      <c r="L279" s="31" t="n">
        <v>29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68.23999999999999</v>
      </c>
      <c r="P279" s="32" t="n">
        <v>24.9</v>
      </c>
      <c r="Q279" s="32" t="n">
        <v>92.68000000000001</v>
      </c>
      <c r="R279" s="31" t="inlineStr">
        <is>
          <t>Near 52W High Breakout</t>
        </is>
      </c>
      <c r="S279" s="31" t="inlineStr">
        <is>
          <t>Nifty Realty</t>
        </is>
      </c>
      <c r="T279" s="32" t="n">
        <v>-2.52</v>
      </c>
      <c r="U279" s="32" t="n">
        <v>13.08</v>
      </c>
      <c r="V279" s="32" t="n">
        <v>16.01</v>
      </c>
      <c r="W279" s="32" t="n">
        <v>5.99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Negative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IF(B280=0,"",RANK(B280,$B$2:$B$372,0))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VMART</t>
        </is>
      </c>
      <c r="D280" s="31" t="inlineStr">
        <is>
          <t>V-mart Retail Limited</t>
        </is>
      </c>
      <c r="E280" s="31" t="inlineStr">
        <is>
          <t>consumer discretionary</t>
        </is>
      </c>
      <c r="F280" s="31" t="inlineStr">
        <is>
          <t>trading</t>
        </is>
      </c>
      <c r="G280" s="31" t="inlineStr">
        <is>
          <t>midcap</t>
        </is>
      </c>
      <c r="H280" s="32" t="n">
        <v>6194.57</v>
      </c>
      <c r="I280" s="32" t="n">
        <v>775</v>
      </c>
      <c r="J280" s="32" t="n">
        <v>-0.59</v>
      </c>
      <c r="K280" s="32" t="n">
        <v>82454</v>
      </c>
      <c r="L280" s="31" t="n">
        <v>33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62.17</v>
      </c>
      <c r="P280" s="32" t="n">
        <v>20.9</v>
      </c>
      <c r="Q280" s="32" t="n">
        <v>625.4</v>
      </c>
      <c r="R280" s="31" t="inlineStr">
        <is>
          <t>Earnings / Momentum Support</t>
        </is>
      </c>
      <c r="S280" s="31" t="inlineStr">
        <is>
          <t>Nifty 50</t>
        </is>
      </c>
      <c r="T280" s="32" t="n">
        <v>-3.75</v>
      </c>
      <c r="U280" s="32" t="n">
        <v>1.65</v>
      </c>
      <c r="V280" s="32" t="n">
        <v>5.61</v>
      </c>
      <c r="W280" s="32" t="n">
        <v>6.7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Between 0.7 to 1.2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IF(B281=0,"",RANK(B281,$B$2:$B$372,0))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ENDURANCE</t>
        </is>
      </c>
      <c r="D281" s="33" t="inlineStr">
        <is>
          <t>Endurance Technologies Limited</t>
        </is>
      </c>
      <c r="E281" s="31" t="inlineStr">
        <is>
          <t>auto</t>
        </is>
      </c>
      <c r="F281" s="31" t="inlineStr">
        <is>
          <t>auto ancillaries</t>
        </is>
      </c>
      <c r="G281" s="31" t="inlineStr">
        <is>
          <t>largecap</t>
        </is>
      </c>
      <c r="H281" s="32" t="n">
        <v>38074.62</v>
      </c>
      <c r="I281" s="32" t="n">
        <v>2686.4</v>
      </c>
      <c r="J281" s="32" t="n">
        <v>-0.75</v>
      </c>
      <c r="K281" s="32" t="n">
        <v>187258</v>
      </c>
      <c r="L281" s="31" t="n">
        <v>13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56.41</v>
      </c>
      <c r="P281" s="32" t="n">
        <v>12.93</v>
      </c>
      <c r="Q281" s="32" t="n">
        <v>2186.87</v>
      </c>
      <c r="R281" s="31" t="inlineStr">
        <is>
          <t>Earnings / Momentum Support</t>
        </is>
      </c>
      <c r="S281" s="31" t="inlineStr">
        <is>
          <t>Nifty Auto</t>
        </is>
      </c>
      <c r="T281" s="32" t="n">
        <v>14.33</v>
      </c>
      <c r="U281" s="32" t="n">
        <v>2.82</v>
      </c>
      <c r="V281" s="32" t="n">
        <v>-10.07</v>
      </c>
      <c r="W281" s="32" t="n">
        <v>2.99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Between 12 to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IF(B282=0,"",RANK(B282,$B$2:$B$372,0))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VINCOFE</t>
        </is>
      </c>
      <c r="D282" s="31" t="inlineStr">
        <is>
          <t>Vintage Coffee &amp; Beverages Ltd</t>
        </is>
      </c>
      <c r="E282" s="31" t="inlineStr">
        <is>
          <t>consumer discretionary</t>
        </is>
      </c>
      <c r="F282" s="31" t="inlineStr">
        <is>
          <t>trading</t>
        </is>
      </c>
      <c r="G282" s="31" t="inlineStr">
        <is>
          <t>smallcap</t>
        </is>
      </c>
      <c r="H282" s="32" t="n">
        <v>2376.91</v>
      </c>
      <c r="I282" s="32" t="n">
        <v>161.55</v>
      </c>
      <c r="J282" s="32" t="n">
        <v>-0.98</v>
      </c>
      <c r="K282" s="32" t="n">
        <v>2394427</v>
      </c>
      <c r="L282" s="31" t="n">
        <v>40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60.65</v>
      </c>
      <c r="P282" s="32" t="n">
        <v>17.14</v>
      </c>
      <c r="Q282" s="32" t="n">
        <v>119.71</v>
      </c>
      <c r="R282" s="31" t="inlineStr">
        <is>
          <t>Earnings / Momentum Support</t>
        </is>
      </c>
      <c r="S282" s="31" t="inlineStr">
        <is>
          <t>Nifty 50</t>
        </is>
      </c>
      <c r="T282" s="32" t="n">
        <v>-3.75</v>
      </c>
      <c r="U282" s="32" t="n">
        <v>20.02</v>
      </c>
      <c r="V282" s="32" t="n">
        <v>24.7</v>
      </c>
      <c r="W282" s="32" t="n">
        <v>7.95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Between 12 to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Between 1.5 to 2</t>
        </is>
      </c>
      <c r="BU282" s="31">
        <f>IF(BT282="Above 2",0,IF(BT282="Between 1.5 to 2",5,IF(BT282="Less than 1.5",10,0)))</f>
        <v/>
      </c>
      <c r="BV282" s="31" t="inlineStr">
        <is>
          <t>Less than 50%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IF(B283=0,"",RANK(B283,$B$2:$B$372,0))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RGL</t>
        </is>
      </c>
      <c r="D283" s="31" t="inlineStr">
        <is>
          <t>Renaissance Global Ltd</t>
        </is>
      </c>
      <c r="E283" s="31" t="inlineStr">
        <is>
          <t>consumer discretionary</t>
        </is>
      </c>
      <c r="F283" s="31" t="inlineStr">
        <is>
          <t>diamond cutting / jewellery</t>
        </is>
      </c>
      <c r="G283" s="31" t="inlineStr">
        <is>
          <t>smallcap</t>
        </is>
      </c>
      <c r="H283" s="32" t="n">
        <v>1293.59</v>
      </c>
      <c r="I283" s="32" t="n">
        <v>119.25</v>
      </c>
      <c r="J283" s="32" t="n">
        <v>-1.06</v>
      </c>
      <c r="K283" s="32" t="n">
        <v>243099</v>
      </c>
      <c r="L283" s="31" t="n">
        <v>12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55.91</v>
      </c>
      <c r="P283" s="32" t="n">
        <v>8.93</v>
      </c>
      <c r="Q283" s="32" t="n">
        <v>87.78</v>
      </c>
      <c r="R283" s="31" t="inlineStr">
        <is>
          <t>Earnings / Momentum Support</t>
        </is>
      </c>
      <c r="S283" s="31" t="inlineStr">
        <is>
          <t>Nifty 50</t>
        </is>
      </c>
      <c r="T283" s="32" t="n">
        <v>-3.75</v>
      </c>
      <c r="U283" s="32" t="n">
        <v>1.88</v>
      </c>
      <c r="V283" s="32" t="n">
        <v>5.85</v>
      </c>
      <c r="W283" s="32" t="n">
        <v>2.88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Between 1.5 to 2</t>
        </is>
      </c>
      <c r="BU283" s="31">
        <f>IF(BT283="Above 2",0,IF(BT283="Between 1.5 to 2",5,IF(BT283="Less than 1.5",10,0)))</f>
        <v/>
      </c>
      <c r="BV283" s="31" t="inlineStr">
        <is>
          <t>Less than 50%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IF(B284=0,"",RANK(B284,$B$2:$B$372,0))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RELTD</t>
        </is>
      </c>
      <c r="D284" s="31" t="inlineStr">
        <is>
          <t>Ravindra Energy Ltd</t>
        </is>
      </c>
      <c r="E284" s="31" t="inlineStr">
        <is>
          <t>industrials</t>
        </is>
      </c>
      <c r="F284" s="31" t="inlineStr">
        <is>
          <t>electric equipment</t>
        </is>
      </c>
      <c r="G284" s="31" t="inlineStr">
        <is>
          <t>smallcap</t>
        </is>
      </c>
      <c r="H284" s="32" t="n">
        <v>3554.23</v>
      </c>
      <c r="I284" s="32" t="n">
        <v>174.12</v>
      </c>
      <c r="J284" s="32" t="n">
        <v>-2.73</v>
      </c>
      <c r="K284" s="32" t="n">
        <v>682994</v>
      </c>
      <c r="L284" s="31" t="n">
        <v>59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63.8</v>
      </c>
      <c r="P284" s="32" t="n">
        <v>15.62</v>
      </c>
      <c r="Q284" s="32" t="n">
        <v>118.39</v>
      </c>
      <c r="R284" s="31" t="inlineStr">
        <is>
          <t>Volume Spike &amp; Near 52W High Breakout</t>
        </is>
      </c>
      <c r="S284" s="31" t="inlineStr">
        <is>
          <t>Nifty 50</t>
        </is>
      </c>
      <c r="T284" s="32" t="n">
        <v>-3.75</v>
      </c>
      <c r="U284" s="32" t="n">
        <v>36.65</v>
      </c>
      <c r="V284" s="32" t="n">
        <v>41.97</v>
      </c>
      <c r="W284" s="32" t="n">
        <v>12.86</v>
      </c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Blue sky scenario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More than 1.2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IF(B285=0,"",RANK(B285,$B$2:$B$372,0))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RPGLIFE</t>
        </is>
      </c>
      <c r="D285" s="33" t="inlineStr">
        <is>
          <t>Rpg Life Sciences Limited</t>
        </is>
      </c>
      <c r="E285" s="31" t="inlineStr">
        <is>
          <t>healthcare</t>
        </is>
      </c>
      <c r="F285" s="31" t="inlineStr">
        <is>
          <t>pharmaceuticals - indian - bulk drugs &amp; formln</t>
        </is>
      </c>
      <c r="G285" s="31" t="inlineStr">
        <is>
          <t>smallcap</t>
        </is>
      </c>
      <c r="H285" s="32" t="n">
        <v>4394.09</v>
      </c>
      <c r="I285" s="32" t="n">
        <v>2856.9</v>
      </c>
      <c r="J285" s="32" t="n">
        <v>7.53</v>
      </c>
      <c r="K285" s="32" t="n">
        <v>196584</v>
      </c>
      <c r="L285" s="31" t="n">
        <v>71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75.05</v>
      </c>
      <c r="P285" s="32" t="n">
        <v>22.71</v>
      </c>
      <c r="Q285" s="32" t="n">
        <v>2282.93</v>
      </c>
      <c r="R285" s="31" t="inlineStr">
        <is>
          <t>Volume Spike &amp; Near 52W High Breakout</t>
        </is>
      </c>
      <c r="S285" s="31" t="inlineStr">
        <is>
          <t>Nifty Pharma</t>
        </is>
      </c>
      <c r="T285" s="32" t="n">
        <v>15.51</v>
      </c>
      <c r="U285" s="32" t="n">
        <v>14.21</v>
      </c>
      <c r="V285" s="32" t="n">
        <v>-1.13</v>
      </c>
      <c r="W285" s="32" t="n">
        <v>15.98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Yes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Annuity, Lower One Time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Above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Blue sky scenario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Less than 12%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Less than 50%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IF(B286=0,"",RANK(B286,$B$2:$B$372,0))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HCG</t>
        </is>
      </c>
      <c r="D286" s="31" t="inlineStr">
        <is>
          <t>Healthcare Global Enterprises Limited</t>
        </is>
      </c>
      <c r="E286" s="31" t="inlineStr">
        <is>
          <t>healthcare</t>
        </is>
      </c>
      <c r="F286" s="31" t="inlineStr">
        <is>
          <t>healthcare</t>
        </is>
      </c>
      <c r="G286" s="31" t="inlineStr">
        <is>
          <t>midcap</t>
        </is>
      </c>
      <c r="H286" s="32" t="n">
        <v>9744.950000000001</v>
      </c>
      <c r="I286" s="32" t="n">
        <v>666.4</v>
      </c>
      <c r="J286" s="32" t="n">
        <v>2.1</v>
      </c>
      <c r="K286" s="32" t="n">
        <v>273486</v>
      </c>
      <c r="L286" s="31" t="n">
        <v>42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61.3</v>
      </c>
      <c r="P286" s="32" t="n">
        <v>20.37</v>
      </c>
      <c r="Q286" s="32" t="n">
        <v>537.76</v>
      </c>
      <c r="R286" s="31" t="inlineStr">
        <is>
          <t>Volume Spike / Accumulation</t>
        </is>
      </c>
      <c r="S286" s="31" t="inlineStr">
        <is>
          <t>Nifty Pharma</t>
        </is>
      </c>
      <c r="T286" s="32" t="n">
        <v>15.51</v>
      </c>
      <c r="U286" s="32" t="n">
        <v>19.19</v>
      </c>
      <c r="V286" s="32" t="n">
        <v>3.18</v>
      </c>
      <c r="W286" s="32" t="n">
        <v>8.43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Yes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Annuity, Lower One Time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More than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IF(B287=0,"",RANK(B287,$B$2:$B$372,0))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PRICOLLTD</t>
        </is>
      </c>
      <c r="D287" s="31" t="inlineStr">
        <is>
          <t>Pricol Ltd.</t>
        </is>
      </c>
      <c r="E287" s="31" t="inlineStr">
        <is>
          <t>auto</t>
        </is>
      </c>
      <c r="F287" s="31" t="inlineStr">
        <is>
          <t>auto ancillaries</t>
        </is>
      </c>
      <c r="G287" s="31" t="inlineStr">
        <is>
          <t>midcap</t>
        </is>
      </c>
      <c r="H287" s="32" t="n">
        <v>7534.71</v>
      </c>
      <c r="I287" s="32" t="n">
        <v>627.25</v>
      </c>
      <c r="J287" s="32" t="n">
        <v>1.46</v>
      </c>
      <c r="K287" s="32" t="n">
        <v>375998</v>
      </c>
      <c r="L287" s="31" t="n">
        <v>43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58.97</v>
      </c>
      <c r="P287" s="32" t="n">
        <v>18.05</v>
      </c>
      <c r="Q287" s="32" t="n">
        <v>490.63</v>
      </c>
      <c r="R287" s="31" t="inlineStr">
        <is>
          <t>Earnings / Momentum Support</t>
        </is>
      </c>
      <c r="S287" s="31" t="inlineStr">
        <is>
          <t>Nifty Auto</t>
        </is>
      </c>
      <c r="T287" s="32" t="n">
        <v>14.33</v>
      </c>
      <c r="U287" s="32" t="n">
        <v>37.24</v>
      </c>
      <c r="V287" s="32" t="n">
        <v>20.04</v>
      </c>
      <c r="W287" s="32" t="n">
        <v>8.460000000000001</v>
      </c>
      <c r="X287" s="31" t="inlineStr">
        <is>
          <t>Cyclical in an Upturn</t>
        </is>
      </c>
      <c r="Y287" s="31">
        <f>IF(X287="Growing Industry",10,IF(X287="Cyclical in an Upturn",5,0))</f>
        <v/>
      </c>
      <c r="Z287" s="31" t="inlineStr">
        <is>
          <t>Oligopoly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Shallow Cyclical (2 to 3 Years Growth)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Fully One Time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Allocated capital in Non-core Areas</t>
        </is>
      </c>
      <c r="AU287" s="31">
        <f>IF(AT287="Good",10,0)</f>
        <v/>
      </c>
      <c r="AV287" s="31" t="inlineStr">
        <is>
          <t>Yes only for next 1 to 2 years</t>
        </is>
      </c>
      <c r="AW287" s="31">
        <f>IF(AV287="Yes for more than 2 years",10,IF(AV287="Yes only for next 1 to 2 years",5,0))</f>
        <v/>
      </c>
      <c r="AX287" s="31" t="inlineStr">
        <is>
          <t>20 to 40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Blue sky scenario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Between 12 to 20%</t>
        </is>
      </c>
      <c r="BO287" s="31">
        <f>IF(BN287="More than 20%",10,IF(BN287="Between 12 to 20%",5,IF(BN287="Less than 12%",0,0)))</f>
        <v/>
      </c>
      <c r="BP287" s="31" t="inlineStr">
        <is>
          <t>Yes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Between 1.5 to 2</t>
        </is>
      </c>
      <c r="BU287" s="31">
        <f>IF(BT287="Above 2",0,IF(BT287="Between 1.5 to 2",5,IF(BT287="Less than 1.5",10,0)))</f>
        <v/>
      </c>
      <c r="BV287" s="31" t="inlineStr">
        <is>
          <t>Between 50% to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IF(B288=0,"",RANK(B288,$B$2:$B$372,0))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ZOTA</t>
        </is>
      </c>
      <c r="D288" s="31" t="inlineStr">
        <is>
          <t>Zota Health Care Ltd</t>
        </is>
      </c>
      <c r="E288" s="31" t="inlineStr">
        <is>
          <t>healthcare</t>
        </is>
      </c>
      <c r="F288" s="31" t="inlineStr">
        <is>
          <t>pharmaceuticals - indian - bulk drugs &amp; formln</t>
        </is>
      </c>
      <c r="G288" s="31" t="inlineStr">
        <is>
          <t>smallcap</t>
        </is>
      </c>
      <c r="H288" s="32" t="n">
        <v>4910.21</v>
      </c>
      <c r="I288" s="32" t="n">
        <v>1415.5</v>
      </c>
      <c r="J288" s="32" t="n">
        <v>-0.16</v>
      </c>
      <c r="K288" s="32" t="n">
        <v>99493</v>
      </c>
      <c r="L288" s="31" t="n">
        <v>26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58.05</v>
      </c>
      <c r="P288" s="32" t="n">
        <v>10.14</v>
      </c>
      <c r="Q288" s="32" t="n">
        <v>1103.17</v>
      </c>
      <c r="R288" s="31" t="inlineStr">
        <is>
          <t>Earnings / Momentum Support</t>
        </is>
      </c>
      <c r="S288" s="31" t="inlineStr">
        <is>
          <t>Nifty Pharma</t>
        </is>
      </c>
      <c r="T288" s="32" t="n">
        <v>15.51</v>
      </c>
      <c r="U288" s="32" t="n">
        <v>18.35</v>
      </c>
      <c r="V288" s="32" t="n">
        <v>2.45</v>
      </c>
      <c r="W288" s="32" t="n">
        <v>5.44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Yes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Annuity, Lower One Time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0 to 20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Less than 1.5</t>
        </is>
      </c>
      <c r="BU288" s="31">
        <f>IF(BT288="Above 2",0,IF(BT288="Between 1.5 to 2",5,IF(BT288="Less than 1.5",10,0)))</f>
        <v/>
      </c>
      <c r="BV288" s="31" t="inlineStr">
        <is>
          <t>Negative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IF(B289=0,"",RANK(B289,$B$2:$B$372,0))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UNICHEMLAB</t>
        </is>
      </c>
      <c r="D289" s="33" t="inlineStr">
        <is>
          <t>Unichem Laboratories Limited</t>
        </is>
      </c>
      <c r="E289" s="31" t="inlineStr">
        <is>
          <t>healthcare</t>
        </is>
      </c>
      <c r="F289" s="31" t="inlineStr">
        <is>
          <t>pharmaceuticals - indian - bulk drugs &amp; formln</t>
        </is>
      </c>
      <c r="G289" s="31" t="inlineStr">
        <is>
          <t>smallcap</t>
        </is>
      </c>
      <c r="H289" s="32" t="n">
        <v>4580.6</v>
      </c>
      <c r="I289" s="32" t="n">
        <v>638.75</v>
      </c>
      <c r="J289" s="32" t="n">
        <v>-1.82</v>
      </c>
      <c r="K289" s="32" t="n">
        <v>1113541</v>
      </c>
      <c r="L289" s="31" t="n">
        <v>86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77.88</v>
      </c>
      <c r="P289" s="32" t="n">
        <v>21.36</v>
      </c>
      <c r="Q289" s="32" t="n">
        <v>464.26</v>
      </c>
      <c r="R289" s="31" t="inlineStr">
        <is>
          <t>Volume Spike &amp; Near 52W High Breakout</t>
        </is>
      </c>
      <c r="S289" s="31" t="inlineStr">
        <is>
          <t>Nifty Pharma</t>
        </is>
      </c>
      <c r="T289" s="32" t="n">
        <v>15.51</v>
      </c>
      <c r="U289" s="32" t="n">
        <v>8.109999999999999</v>
      </c>
      <c r="V289" s="32" t="n">
        <v>-6.41</v>
      </c>
      <c r="W289" s="32" t="n">
        <v>25.82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Yes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Annuity, Lower One Time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20 to 40</t>
        </is>
      </c>
      <c r="AY289" s="31">
        <f>IF(AX289="Above 40",20,IF(AX289="20 to 40",10,IF(AX289="0 to 20",-5,0)))</f>
        <v/>
      </c>
      <c r="AZ289" s="31" t="inlineStr">
        <is>
          <t>Above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Less than 12%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Less than 50%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IF(B290=0,"",RANK(B290,$B$2:$B$372,0))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KAPSTON</t>
        </is>
      </c>
      <c r="D290" s="31" t="inlineStr">
        <is>
          <t>Kapston Services Ltd</t>
        </is>
      </c>
      <c r="E290" s="31" t="inlineStr">
        <is>
          <t>miscellaneous</t>
        </is>
      </c>
      <c r="F290" s="31" t="inlineStr">
        <is>
          <t>miscellaneous</t>
        </is>
      </c>
      <c r="G290" s="31" t="inlineStr">
        <is>
          <t>smallcap</t>
        </is>
      </c>
      <c r="H290" s="32" t="n">
        <v>1147.9</v>
      </c>
      <c r="I290" s="32" t="n">
        <v>415.3</v>
      </c>
      <c r="J290" s="32" t="n">
        <v>10.1</v>
      </c>
      <c r="K290" s="32" t="n">
        <v>481005</v>
      </c>
      <c r="L290" s="31" t="n">
        <v>81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68.56</v>
      </c>
      <c r="P290" s="32" t="n">
        <v>16.5</v>
      </c>
      <c r="Q290" s="32" t="n">
        <v>302.79</v>
      </c>
      <c r="R290" s="31" t="inlineStr">
        <is>
          <t>Volume Spike &amp; Near 52W High Breakout</t>
        </is>
      </c>
      <c r="S290" s="31" t="inlineStr">
        <is>
          <t>Nifty 50</t>
        </is>
      </c>
      <c r="T290" s="32" t="n">
        <v>-3.75</v>
      </c>
      <c r="U290" s="32" t="n">
        <v>68.23</v>
      </c>
      <c r="V290" s="32" t="n">
        <v>74.78</v>
      </c>
      <c r="W290" s="32" t="n">
        <v>22.24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Yes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Blue sky scenario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Between 1.5 to 2</t>
        </is>
      </c>
      <c r="BU290" s="31">
        <f>IF(BT290="Above 2",0,IF(BT290="Between 1.5 to 2",5,IF(BT290="Less than 1.5",10,0)))</f>
        <v/>
      </c>
      <c r="BV290" s="31" t="inlineStr">
        <is>
          <t>Less than 50% and Borrowings are increasing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More than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IF(B291=0,"",RANK(B291,$B$2:$B$372,0))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OMAXE</t>
        </is>
      </c>
      <c r="D291" s="33" t="inlineStr">
        <is>
          <t>Omaxe Limited</t>
        </is>
      </c>
      <c r="E291" s="31" t="inlineStr">
        <is>
          <t>realty</t>
        </is>
      </c>
      <c r="F291" s="31" t="inlineStr">
        <is>
          <t>construction</t>
        </is>
      </c>
      <c r="G291" s="31" t="inlineStr">
        <is>
          <t>smallcap</t>
        </is>
      </c>
      <c r="H291" s="32" t="n">
        <v>1589.41</v>
      </c>
      <c r="I291" s="32" t="n">
        <v>90.48</v>
      </c>
      <c r="J291" s="32" t="n">
        <v>4.12</v>
      </c>
      <c r="K291" s="32" t="n">
        <v>3960477</v>
      </c>
      <c r="L291" s="31" t="n">
        <v>8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62.83</v>
      </c>
      <c r="P291" s="32" t="n">
        <v>16.57</v>
      </c>
      <c r="Q291" s="32" t="n">
        <v>63.12</v>
      </c>
      <c r="R291" s="31" t="inlineStr">
        <is>
          <t>Volume Spike / Accumulation</t>
        </is>
      </c>
      <c r="S291" s="31" t="inlineStr">
        <is>
          <t>Nifty Realty</t>
        </is>
      </c>
      <c r="T291" s="32" t="n">
        <v>-2.52</v>
      </c>
      <c r="U291" s="32" t="n">
        <v>-11.36</v>
      </c>
      <c r="V291" s="32" t="n">
        <v>-9.07</v>
      </c>
      <c r="W291" s="32" t="n">
        <v>1.81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Negative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IF(B292=0,"",RANK(B292,$B$2:$B$372,0))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DEEDEV</t>
        </is>
      </c>
      <c r="D292" s="31" t="inlineStr">
        <is>
          <t>DEE Development Engineers Ltd</t>
        </is>
      </c>
      <c r="E292" s="31" t="inlineStr">
        <is>
          <t>metals &amp; mining</t>
        </is>
      </c>
      <c r="F292" s="31" t="inlineStr">
        <is>
          <t>steel - medium / small</t>
        </is>
      </c>
      <c r="G292" s="31" t="inlineStr">
        <is>
          <t>smallcap</t>
        </is>
      </c>
      <c r="H292" s="32" t="n">
        <v>4692.59</v>
      </c>
      <c r="I292" s="32" t="n">
        <v>698.7</v>
      </c>
      <c r="J292" s="32" t="n">
        <v>3.13</v>
      </c>
      <c r="K292" s="32" t="n">
        <v>129630</v>
      </c>
      <c r="L292" s="31" t="n">
        <v>96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79.64</v>
      </c>
      <c r="P292" s="32" t="n">
        <v>66.22</v>
      </c>
      <c r="Q292" s="32" t="n">
        <v>518.2</v>
      </c>
      <c r="R292" s="31" t="inlineStr">
        <is>
          <t>Near 52W High Breakout</t>
        </is>
      </c>
      <c r="S292" s="31" t="inlineStr">
        <is>
          <t>Nifty Metal</t>
        </is>
      </c>
      <c r="T292" s="32" t="n">
        <v>35.24</v>
      </c>
      <c r="U292" s="32" t="n">
        <v>134.82</v>
      </c>
      <c r="V292" s="32" t="n">
        <v>73.64</v>
      </c>
      <c r="W292" s="32" t="n">
        <v>46.8</v>
      </c>
      <c r="X292" s="31" t="inlineStr">
        <is>
          <t>Cyclical in an Upturn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Cyclical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Volatile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Above 40</t>
        </is>
      </c>
      <c r="AY292" s="31">
        <f>IF(AX292="Above 40",20,IF(AX292="20 to 40",10,IF(AX292="0 to 20",-5,0)))</f>
        <v/>
      </c>
      <c r="AZ292" s="31" t="inlineStr">
        <is>
          <t>Above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Blue sky scenario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Less than 50%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Between 0.7 to 1.2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IF(B293=0,"",RANK(B293,$B$2:$B$372,0))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RSWM</t>
        </is>
      </c>
      <c r="D293" s="31" t="inlineStr">
        <is>
          <t>Rswm Limited</t>
        </is>
      </c>
      <c r="E293" s="31" t="inlineStr">
        <is>
          <t>textiles</t>
        </is>
      </c>
      <c r="F293" s="31" t="inlineStr">
        <is>
          <t>textiles - cotton/blended</t>
        </is>
      </c>
      <c r="G293" s="31" t="inlineStr">
        <is>
          <t>smallcap</t>
        </is>
      </c>
      <c r="H293" s="32" t="n">
        <v>915.23</v>
      </c>
      <c r="I293" s="32" t="n">
        <v>200</v>
      </c>
      <c r="J293" s="32" t="n">
        <v>2.93</v>
      </c>
      <c r="K293" s="32" t="n">
        <v>29472</v>
      </c>
      <c r="L293" s="31" t="n">
        <v>48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63.95</v>
      </c>
      <c r="P293" s="32" t="n">
        <v>29.01</v>
      </c>
      <c r="Q293" s="32" t="n">
        <v>155.76</v>
      </c>
      <c r="R293" s="31" t="inlineStr">
        <is>
          <t>Near 52W High Breakout</t>
        </is>
      </c>
      <c r="S293" s="31" t="inlineStr">
        <is>
          <t>Nifty 50</t>
        </is>
      </c>
      <c r="T293" s="32" t="n">
        <v>-3.75</v>
      </c>
      <c r="U293" s="32" t="n">
        <v>16.56</v>
      </c>
      <c r="V293" s="32" t="n">
        <v>21.1</v>
      </c>
      <c r="W293" s="32" t="n">
        <v>9.59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Less than 1.5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More than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IF(B294=0,"",RANK(B294,$B$2:$B$372,0))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HAL</t>
        </is>
      </c>
      <c r="D294" s="33" t="inlineStr">
        <is>
          <t>Hindustan Aeronautics Ltd</t>
        </is>
      </c>
      <c r="E294" s="31" t="inlineStr">
        <is>
          <t>aerospace &amp; defence</t>
        </is>
      </c>
      <c r="F294" s="31" t="inlineStr">
        <is>
          <t>engineering</t>
        </is>
      </c>
      <c r="G294" s="31" t="inlineStr">
        <is>
          <t>largecap</t>
        </is>
      </c>
      <c r="H294" s="32" t="n">
        <v>292849.88</v>
      </c>
      <c r="I294" s="32" t="n">
        <v>4506.8</v>
      </c>
      <c r="J294" s="32" t="n">
        <v>2.92</v>
      </c>
      <c r="K294" s="32" t="n">
        <v>1080290</v>
      </c>
      <c r="L294" s="31" t="n">
        <v>6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55.62</v>
      </c>
      <c r="P294" s="32" t="n">
        <v>16.15</v>
      </c>
      <c r="Q294" s="32" t="n">
        <v>4012.99</v>
      </c>
      <c r="R294" s="31" t="inlineStr">
        <is>
          <t>Earnings / Momentum Support</t>
        </is>
      </c>
      <c r="S294" s="31" t="inlineStr">
        <is>
          <t>Nifty 50</t>
        </is>
      </c>
      <c r="T294" s="32" t="n">
        <v>-3.75</v>
      </c>
      <c r="U294" s="32" t="n">
        <v>-6.3</v>
      </c>
      <c r="V294" s="32" t="n">
        <v>-2.65</v>
      </c>
      <c r="W294" s="32" t="n">
        <v>0.82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Less than 12%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IF(B295=0,"",RANK(B295,$B$2:$B$372,0))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3" t="inlineStr">
        <is>
          <t>JKPAPER</t>
        </is>
      </c>
      <c r="D295" s="33" t="inlineStr">
        <is>
          <t>Jk Paper Limited</t>
        </is>
      </c>
      <c r="E295" s="31" t="inlineStr">
        <is>
          <t>building materials</t>
        </is>
      </c>
      <c r="F295" s="31" t="inlineStr">
        <is>
          <t>paper</t>
        </is>
      </c>
      <c r="G295" s="31" t="inlineStr">
        <is>
          <t>midcap</t>
        </is>
      </c>
      <c r="H295" s="32" t="n">
        <v>6450.42</v>
      </c>
      <c r="I295" s="32" t="n">
        <v>365</v>
      </c>
      <c r="J295" s="32" t="n">
        <v>2.6</v>
      </c>
      <c r="K295" s="32" t="n">
        <v>402868</v>
      </c>
      <c r="L295" s="31" t="n">
        <v>4</v>
      </c>
      <c r="M295" s="31" t="inlineStr">
        <is>
          <t>Underperforming</t>
        </is>
      </c>
      <c r="N295" s="32">
        <f>IF(M295="Underperforming",-5,IF(L295&gt;=95,15,IF(L295&gt;=90,10,IF(L295&gt;=80,5,0))))</f>
        <v/>
      </c>
      <c r="O295" s="32" t="n">
        <v>53.1</v>
      </c>
      <c r="P295" s="32" t="n">
        <v>18.63</v>
      </c>
      <c r="Q295" s="32" t="n">
        <v>307.67</v>
      </c>
      <c r="R295" s="31" t="inlineStr">
        <is>
          <t>Earnings / Momentum Support</t>
        </is>
      </c>
      <c r="S295" s="31" t="inlineStr">
        <is>
          <t>Nifty Infra</t>
        </is>
      </c>
      <c r="T295" s="32" t="n">
        <v>1.87</v>
      </c>
      <c r="U295" s="32" t="n">
        <v>-5.28</v>
      </c>
      <c r="V295" s="32" t="n">
        <v>-7.01</v>
      </c>
      <c r="W295" s="32" t="n">
        <v>0.02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1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Less than 1.5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IF(B296=0,"",RANK(B296,$B$2:$B$372,0))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LODHA</t>
        </is>
      </c>
      <c r="D296" s="33" t="inlineStr">
        <is>
          <t>Lodha Developers Ltd</t>
        </is>
      </c>
      <c r="E296" s="31" t="inlineStr">
        <is>
          <t>realty</t>
        </is>
      </c>
      <c r="F296" s="31" t="inlineStr">
        <is>
          <t>construction</t>
        </is>
      </c>
      <c r="G296" s="31" t="inlineStr">
        <is>
          <t>largecap</t>
        </is>
      </c>
      <c r="H296" s="32" t="n">
        <v>119085.67</v>
      </c>
      <c r="I296" s="32" t="n">
        <v>1220.75</v>
      </c>
      <c r="J296" s="32" t="n">
        <v>2.4</v>
      </c>
      <c r="K296" s="32" t="n">
        <v>6417830</v>
      </c>
      <c r="L296" s="31" t="n">
        <v>48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66.02</v>
      </c>
      <c r="P296" s="32" t="n">
        <v>13.19</v>
      </c>
      <c r="Q296" s="32" t="n">
        <v>951.53</v>
      </c>
      <c r="R296" s="31" t="inlineStr">
        <is>
          <t>Volume Spike / Accumulation</t>
        </is>
      </c>
      <c r="S296" s="31" t="inlineStr">
        <is>
          <t>Nifty Realty</t>
        </is>
      </c>
      <c r="T296" s="32" t="n">
        <v>-2.52</v>
      </c>
      <c r="U296" s="32" t="n">
        <v>-12.52</v>
      </c>
      <c r="V296" s="32" t="n">
        <v>-10.26</v>
      </c>
      <c r="W296" s="32" t="n">
        <v>9.58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Less than 12%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Less than 50%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IF(B297=0,"",RANK(B297,$B$2:$B$372,0))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ARE&amp;M</t>
        </is>
      </c>
      <c r="D297" s="33" t="inlineStr">
        <is>
          <t>Amara Raja Energy &amp; Mobility Ltd</t>
        </is>
      </c>
      <c r="E297" s="31" t="inlineStr">
        <is>
          <t>auto</t>
        </is>
      </c>
      <c r="F297" s="31" t="inlineStr">
        <is>
          <t>auto ancillaries</t>
        </is>
      </c>
      <c r="G297" s="31" t="inlineStr">
        <is>
          <t>midcap</t>
        </is>
      </c>
      <c r="H297" s="32" t="n">
        <v>15914.06</v>
      </c>
      <c r="I297" s="32" t="n">
        <v>890.05</v>
      </c>
      <c r="J297" s="32" t="n">
        <v>2.36</v>
      </c>
      <c r="K297" s="32" t="n">
        <v>1615916</v>
      </c>
      <c r="L297" s="31" t="n">
        <v>14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54.85</v>
      </c>
      <c r="P297" s="32" t="n">
        <v>14.33</v>
      </c>
      <c r="Q297" s="32" t="n">
        <v>719.01</v>
      </c>
      <c r="R297" s="31" t="inlineStr">
        <is>
          <t>Earnings / Momentum Support</t>
        </is>
      </c>
      <c r="S297" s="31" t="inlineStr">
        <is>
          <t>Nifty Auto</t>
        </is>
      </c>
      <c r="T297" s="32" t="n">
        <v>14.33</v>
      </c>
      <c r="U297" s="32" t="n">
        <v>-7.99</v>
      </c>
      <c r="V297" s="32" t="n">
        <v>-19.52</v>
      </c>
      <c r="W297" s="32" t="n">
        <v>3.17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1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Less than 1.5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IF(B298=0,"",RANK(B298,$B$2:$B$372,0))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MUNJALSHOW</t>
        </is>
      </c>
      <c r="D298" s="33" t="inlineStr">
        <is>
          <t>Munjal Showa Limited</t>
        </is>
      </c>
      <c r="E298" s="31" t="inlineStr">
        <is>
          <t>auto</t>
        </is>
      </c>
      <c r="F298" s="31" t="inlineStr">
        <is>
          <t>auto ancillaries</t>
        </is>
      </c>
      <c r="G298" s="31" t="inlineStr">
        <is>
          <t>smallcap</t>
        </is>
      </c>
      <c r="H298" s="32" t="n">
        <v>527.73</v>
      </c>
      <c r="I298" s="32" t="n">
        <v>134.84</v>
      </c>
      <c r="J298" s="32" t="n">
        <v>2.19</v>
      </c>
      <c r="K298" s="32" t="n">
        <v>32512</v>
      </c>
      <c r="L298" s="31" t="n">
        <v>4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55.42</v>
      </c>
      <c r="P298" s="32" t="n">
        <v>23.6</v>
      </c>
      <c r="Q298" s="32" t="n">
        <v>115.14</v>
      </c>
      <c r="R298" s="31" t="inlineStr">
        <is>
          <t>Volume Spike / Accumulation</t>
        </is>
      </c>
      <c r="S298" s="31" t="inlineStr">
        <is>
          <t>Nifty Auto</t>
        </is>
      </c>
      <c r="T298" s="32" t="n">
        <v>14.33</v>
      </c>
      <c r="U298" s="32" t="n">
        <v>-8.34</v>
      </c>
      <c r="V298" s="32" t="n">
        <v>-19.83</v>
      </c>
      <c r="W298" s="32" t="n">
        <v>0.02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20 to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1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Between 1.5 to 2</t>
        </is>
      </c>
      <c r="BU298" s="31">
        <f>IF(BT298="Above 2",0,IF(BT298="Between 1.5 to 2",5,IF(BT298="Less than 1.5",10,0)))</f>
        <v/>
      </c>
      <c r="BV298" s="31" t="inlineStr">
        <is>
          <t>Negative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IF(B299=0,"",RANK(B299,$B$2:$B$372,0))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CENTURYPLY</t>
        </is>
      </c>
      <c r="D299" s="31" t="inlineStr">
        <is>
          <t>Century Plyboards (india) Limited</t>
        </is>
      </c>
      <c r="E299" s="31" t="inlineStr">
        <is>
          <t>building materials</t>
        </is>
      </c>
      <c r="F299" s="31" t="inlineStr">
        <is>
          <t>miscellaneous</t>
        </is>
      </c>
      <c r="G299" s="31" t="inlineStr">
        <is>
          <t>midcap</t>
        </is>
      </c>
      <c r="H299" s="32" t="n">
        <v>17187.3</v>
      </c>
      <c r="I299" s="32" t="n">
        <v>790</v>
      </c>
      <c r="J299" s="32" t="n">
        <v>2.12</v>
      </c>
      <c r="K299" s="32" t="n">
        <v>142659</v>
      </c>
      <c r="L299" s="31" t="n">
        <v>14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55.78</v>
      </c>
      <c r="P299" s="32" t="n">
        <v>18.58</v>
      </c>
      <c r="Q299" s="32" t="n">
        <v>642.3099999999999</v>
      </c>
      <c r="R299" s="31" t="inlineStr">
        <is>
          <t>Earnings / Momentum Support</t>
        </is>
      </c>
      <c r="S299" s="31" t="inlineStr">
        <is>
          <t>Nifty Infra</t>
        </is>
      </c>
      <c r="T299" s="32" t="n">
        <v>1.87</v>
      </c>
      <c r="U299" s="32" t="n">
        <v>8.25</v>
      </c>
      <c r="V299" s="32" t="n">
        <v>6.27</v>
      </c>
      <c r="W299" s="32" t="n">
        <v>3.21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1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Less than 1.5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IF(B300=0,"",RANK(B300,$B$2:$B$372,0))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RAYMOND</t>
        </is>
      </c>
      <c r="D300" s="33" t="inlineStr">
        <is>
          <t>Raymond Limited</t>
        </is>
      </c>
      <c r="E300" s="31" t="inlineStr">
        <is>
          <t>transportation</t>
        </is>
      </c>
      <c r="F300" s="31" t="inlineStr">
        <is>
          <t>transport - airlines</t>
        </is>
      </c>
      <c r="G300" s="31" t="inlineStr">
        <is>
          <t>smallcap</t>
        </is>
      </c>
      <c r="H300" s="32" t="n">
        <v>4131.23</v>
      </c>
      <c r="I300" s="32" t="n">
        <v>631.7</v>
      </c>
      <c r="J300" s="32" t="n">
        <v>1.8</v>
      </c>
      <c r="K300" s="32" t="n">
        <v>526223</v>
      </c>
      <c r="L300" s="31" t="n">
        <v>67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65.93000000000001</v>
      </c>
      <c r="P300" s="32" t="n">
        <v>29.96</v>
      </c>
      <c r="Q300" s="32" t="n">
        <v>474.62</v>
      </c>
      <c r="R300" s="31" t="inlineStr">
        <is>
          <t>Earnings / Momentum Support</t>
        </is>
      </c>
      <c r="S300" s="31" t="inlineStr">
        <is>
          <t>Nifty 500</t>
        </is>
      </c>
      <c r="T300" s="32" t="n">
        <v>0.28</v>
      </c>
      <c r="U300" s="32" t="n">
        <v>-9.460000000000001</v>
      </c>
      <c r="V300" s="32" t="n">
        <v>-9.710000000000001</v>
      </c>
      <c r="W300" s="32" t="n">
        <v>15.05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Less than 50%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IF(B301=0,"",RANK(B301,$B$2:$B$372,0))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GALAPREC</t>
        </is>
      </c>
      <c r="D301" s="31" t="inlineStr">
        <is>
          <t>Gala Precision Engineering Ltd</t>
        </is>
      </c>
      <c r="E301" s="31" t="inlineStr">
        <is>
          <t>industrials</t>
        </is>
      </c>
      <c r="F301" s="31" t="inlineStr">
        <is>
          <t>fasteners</t>
        </is>
      </c>
      <c r="G301" s="31" t="inlineStr">
        <is>
          <t>smallcap</t>
        </is>
      </c>
      <c r="H301" s="32" t="n">
        <v>1507.85</v>
      </c>
      <c r="I301" s="32" t="n">
        <v>1189</v>
      </c>
      <c r="J301" s="32" t="n">
        <v>0.54</v>
      </c>
      <c r="K301" s="32" t="n">
        <v>29081</v>
      </c>
      <c r="L301" s="31" t="n">
        <v>79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80.02</v>
      </c>
      <c r="P301" s="32" t="n">
        <v>36.69</v>
      </c>
      <c r="Q301" s="32" t="n">
        <v>904.17</v>
      </c>
      <c r="R301" s="31" t="inlineStr">
        <is>
          <t>Near 52W High Breakout</t>
        </is>
      </c>
      <c r="S301" s="31" t="inlineStr">
        <is>
          <t>Nifty 50</t>
        </is>
      </c>
      <c r="T301" s="32" t="n">
        <v>-3.75</v>
      </c>
      <c r="U301" s="32" t="n">
        <v>31.91</v>
      </c>
      <c r="V301" s="32" t="n">
        <v>37.05</v>
      </c>
      <c r="W301" s="32" t="n">
        <v>20.57</v>
      </c>
      <c r="X301" s="31" t="inlineStr">
        <is>
          <t>Cyclical in an Upturn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20 to 40</t>
        </is>
      </c>
      <c r="AY301" s="31">
        <f>IF(AX301="Above 40",20,IF(AX301="20 to 40",10,IF(AX301="0 to 20",-5,0)))</f>
        <v/>
      </c>
      <c r="AZ301" s="31" t="inlineStr">
        <is>
          <t>Above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Less than 50%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IF(B302=0,"",RANK(B302,$B$2:$B$372,0))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HONAUT</t>
        </is>
      </c>
      <c r="D302" s="33" t="inlineStr">
        <is>
          <t>Honeywell Automation India Limited</t>
        </is>
      </c>
      <c r="E302" s="31" t="inlineStr">
        <is>
          <t>consumer discretionary</t>
        </is>
      </c>
      <c r="F302" s="31" t="inlineStr">
        <is>
          <t>electronics - components</t>
        </is>
      </c>
      <c r="G302" s="31" t="inlineStr">
        <is>
          <t>largecap</t>
        </is>
      </c>
      <c r="H302" s="32" t="n">
        <v>33611.05</v>
      </c>
      <c r="I302" s="32" t="n">
        <v>38205</v>
      </c>
      <c r="J302" s="32" t="n">
        <v>0.5</v>
      </c>
      <c r="K302" s="32" t="n">
        <v>4860</v>
      </c>
      <c r="L302" s="31" t="n">
        <v>35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61.81</v>
      </c>
      <c r="P302" s="32" t="n">
        <v>20</v>
      </c>
      <c r="Q302" s="32" t="n">
        <v>32655.12</v>
      </c>
      <c r="R302" s="31" t="inlineStr">
        <is>
          <t>Earnings / Momentum Support</t>
        </is>
      </c>
      <c r="S302" s="31" t="inlineStr">
        <is>
          <t>Nifty 50</t>
        </is>
      </c>
      <c r="T302" s="32" t="n">
        <v>-3.75</v>
      </c>
      <c r="U302" s="32" t="n">
        <v>-5.32</v>
      </c>
      <c r="V302" s="32" t="n">
        <v>-1.63</v>
      </c>
      <c r="W302" s="32" t="n">
        <v>6.95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Between 12 to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IF(B303=0,"",RANK(B303,$B$2:$B$372,0))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TVSSCS</t>
        </is>
      </c>
      <c r="D303" s="31" t="inlineStr">
        <is>
          <t>TVS Supply Chain Solutions Ltd</t>
        </is>
      </c>
      <c r="E303" s="31" t="inlineStr">
        <is>
          <t>transportation</t>
        </is>
      </c>
      <c r="F303" s="31" t="inlineStr">
        <is>
          <t>miscellaneous</t>
        </is>
      </c>
      <c r="G303" s="31" t="inlineStr">
        <is>
          <t>midcap</t>
        </is>
      </c>
      <c r="H303" s="32" t="n">
        <v>6236.96</v>
      </c>
      <c r="I303" s="32" t="n">
        <v>141.66</v>
      </c>
      <c r="J303" s="32" t="n">
        <v>0.21</v>
      </c>
      <c r="K303" s="32" t="n">
        <v>1218557</v>
      </c>
      <c r="L303" s="31" t="n">
        <v>38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61.65</v>
      </c>
      <c r="P303" s="32" t="n">
        <v>13.21</v>
      </c>
      <c r="Q303" s="32" t="n">
        <v>106.74</v>
      </c>
      <c r="R303" s="31" t="inlineStr">
        <is>
          <t>Near 52W High Breakout</t>
        </is>
      </c>
      <c r="S303" s="31" t="inlineStr">
        <is>
          <t>Nifty 50</t>
        </is>
      </c>
      <c r="T303" s="32" t="n">
        <v>-3.75</v>
      </c>
      <c r="U303" s="32" t="n">
        <v>5.87</v>
      </c>
      <c r="V303" s="32" t="n">
        <v>10</v>
      </c>
      <c r="W303" s="32" t="n">
        <v>7.58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More than 1.2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IF(B304=0,"",RANK(B304,$B$2:$B$372,0))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MSTCLTD</t>
        </is>
      </c>
      <c r="D304" s="31" t="inlineStr">
        <is>
          <t>MSTC Ltd</t>
        </is>
      </c>
      <c r="E304" s="31" t="inlineStr">
        <is>
          <t>i.t</t>
        </is>
      </c>
      <c r="F304" s="31" t="inlineStr">
        <is>
          <t>trading</t>
        </is>
      </c>
      <c r="G304" s="31" t="inlineStr">
        <is>
          <t>smallcap</t>
        </is>
      </c>
      <c r="H304" s="32" t="n">
        <v>4761.15</v>
      </c>
      <c r="I304" s="32" t="n">
        <v>670.65</v>
      </c>
      <c r="J304" s="32" t="n">
        <v>-0.84</v>
      </c>
      <c r="K304" s="32" t="n">
        <v>393566</v>
      </c>
      <c r="L304" s="31" t="n">
        <v>77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65.95</v>
      </c>
      <c r="P304" s="32" t="n">
        <v>25.53</v>
      </c>
      <c r="Q304" s="32" t="n">
        <v>537.24</v>
      </c>
      <c r="R304" s="31" t="inlineStr">
        <is>
          <t>Earnings / Momentum Support</t>
        </is>
      </c>
      <c r="S304" s="31" t="inlineStr">
        <is>
          <t>Nifty IT</t>
        </is>
      </c>
      <c r="T304" s="32" t="n">
        <v>-25.69</v>
      </c>
      <c r="U304" s="32" t="n">
        <v>28.46</v>
      </c>
      <c r="V304" s="32" t="n">
        <v>72.86</v>
      </c>
      <c r="W304" s="32" t="n">
        <v>19.47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Less than 12%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Negative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IF(B305=0,"",RANK(B305,$B$2:$B$372,0))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3" t="inlineStr">
        <is>
          <t>JLHL</t>
        </is>
      </c>
      <c r="D305" s="33" t="inlineStr">
        <is>
          <t>Jupiter Life Line Hospitals Ltd</t>
        </is>
      </c>
      <c r="E305" s="31" t="inlineStr">
        <is>
          <t>healthcare</t>
        </is>
      </c>
      <c r="F305" s="31" t="inlineStr">
        <is>
          <t>healthcare</t>
        </is>
      </c>
      <c r="G305" s="31" t="inlineStr">
        <is>
          <t>midcap</t>
        </is>
      </c>
      <c r="H305" s="32" t="n">
        <v>9599.52</v>
      </c>
      <c r="I305" s="32" t="n">
        <v>1467</v>
      </c>
      <c r="J305" s="32" t="n">
        <v>0.2</v>
      </c>
      <c r="K305" s="32" t="n">
        <v>14180</v>
      </c>
      <c r="L305" s="31" t="n">
        <v>13</v>
      </c>
      <c r="M305" s="31" t="inlineStr">
        <is>
          <t>Underperforming</t>
        </is>
      </c>
      <c r="N305" s="32">
        <f>IF(M305="Underperforming",-5,IF(L305&gt;=95,15,IF(L305&gt;=90,10,IF(L305&gt;=80,5,0))))</f>
        <v/>
      </c>
      <c r="O305" s="32" t="n">
        <v>64.52</v>
      </c>
      <c r="P305" s="32" t="n">
        <v>19.99</v>
      </c>
      <c r="Q305" s="32" t="n">
        <v>1224.15</v>
      </c>
      <c r="R305" s="31" t="inlineStr">
        <is>
          <t>Earnings / Momentum Support</t>
        </is>
      </c>
      <c r="S305" s="31" t="inlineStr">
        <is>
          <t>Nifty Pharma</t>
        </is>
      </c>
      <c r="T305" s="32" t="n">
        <v>15.51</v>
      </c>
      <c r="U305" s="32" t="n">
        <v>-2.68</v>
      </c>
      <c r="V305" s="32" t="n">
        <v>-15.75</v>
      </c>
      <c r="W305" s="32" t="n">
        <v>3.13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Yes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Annuity, Lower One Time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Between 12 to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IF(B306=0,"",RANK(B306,$B$2:$B$372,0))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KIMS</t>
        </is>
      </c>
      <c r="D306" s="33" t="inlineStr">
        <is>
          <t>Krishna Institute of Medical Sciences Ltd</t>
        </is>
      </c>
      <c r="E306" s="31" t="inlineStr">
        <is>
          <t>healthcare</t>
        </is>
      </c>
      <c r="F306" s="31" t="inlineStr">
        <is>
          <t>healthcare</t>
        </is>
      </c>
      <c r="G306" s="31" t="inlineStr">
        <is>
          <t>largecap</t>
        </is>
      </c>
      <c r="H306" s="32" t="n">
        <v>32561.31</v>
      </c>
      <c r="I306" s="32" t="n">
        <v>814.9</v>
      </c>
      <c r="J306" s="32" t="n">
        <v>0.14</v>
      </c>
      <c r="K306" s="32" t="n">
        <v>405414</v>
      </c>
      <c r="L306" s="31" t="n">
        <v>39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62.97</v>
      </c>
      <c r="P306" s="32" t="n">
        <v>32.69</v>
      </c>
      <c r="Q306" s="32" t="n">
        <v>690.97</v>
      </c>
      <c r="R306" s="31" t="inlineStr">
        <is>
          <t>Near 52W High Breakout</t>
        </is>
      </c>
      <c r="S306" s="31" t="inlineStr">
        <is>
          <t>Nifty Pharma</t>
        </is>
      </c>
      <c r="T306" s="32" t="n">
        <v>15.51</v>
      </c>
      <c r="U306" s="32" t="n">
        <v>14.8</v>
      </c>
      <c r="V306" s="32" t="n">
        <v>-0.62</v>
      </c>
      <c r="W306" s="32" t="n">
        <v>7.94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Yes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Yes</t>
        </is>
      </c>
      <c r="AQ306" s="31">
        <f>IF(AP306="Yes",10,0)</f>
        <v/>
      </c>
      <c r="AR306" s="31" t="inlineStr">
        <is>
          <t>Higher Annuity, Lower One Time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20 to 40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Blue sky scenario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Less than 12%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Between 50% to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More than 1.2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IF(B307=0,"",RANK(B307,$B$2:$B$372,0))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PAYTM</t>
        </is>
      </c>
      <c r="D307" s="31" t="inlineStr">
        <is>
          <t>One 97 Communications Ltd</t>
        </is>
      </c>
      <c r="E307" s="31" t="inlineStr">
        <is>
          <t>i.t</t>
        </is>
      </c>
      <c r="F307" s="31" t="inlineStr">
        <is>
          <t>miscellaneous</t>
        </is>
      </c>
      <c r="G307" s="31" t="inlineStr">
        <is>
          <t>largecap</t>
        </is>
      </c>
      <c r="H307" s="32" t="n">
        <v>80831.37</v>
      </c>
      <c r="I307" s="32" t="n">
        <v>1341.8</v>
      </c>
      <c r="J307" s="32" t="n">
        <v>6.25</v>
      </c>
      <c r="K307" s="32" t="n">
        <v>6813451</v>
      </c>
      <c r="L307" s="31" t="n">
        <v>56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64.67</v>
      </c>
      <c r="P307" s="32" t="n">
        <v>15.86</v>
      </c>
      <c r="Q307" s="32" t="n">
        <v>1049.22</v>
      </c>
      <c r="R307" s="31" t="inlineStr">
        <is>
          <t>Near 52W High Breakout</t>
        </is>
      </c>
      <c r="S307" s="31" t="inlineStr">
        <is>
          <t>Nifty IT</t>
        </is>
      </c>
      <c r="T307" s="32" t="n">
        <v>-25.69</v>
      </c>
      <c r="U307" s="32" t="n">
        <v>41.07</v>
      </c>
      <c r="V307" s="32" t="n">
        <v>89.84</v>
      </c>
      <c r="W307" s="32" t="n">
        <v>12.04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Headwind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Yes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Blue sky scenario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Negative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IF(B308=0,"",RANK(B308,$B$2:$B$372,0))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3" t="inlineStr">
        <is>
          <t>JAYAGROGN</t>
        </is>
      </c>
      <c r="D308" s="33" t="inlineStr">
        <is>
          <t>Jayant Agro Organics Limited</t>
        </is>
      </c>
      <c r="E308" s="31" t="inlineStr">
        <is>
          <t>chemicals</t>
        </is>
      </c>
      <c r="F308" s="31" t="inlineStr">
        <is>
          <t>chemicals</t>
        </is>
      </c>
      <c r="G308" s="31" t="inlineStr">
        <is>
          <t>smallcap</t>
        </is>
      </c>
      <c r="H308" s="32" t="n">
        <v>624.33</v>
      </c>
      <c r="I308" s="32" t="n">
        <v>219.2</v>
      </c>
      <c r="J308" s="32" t="n">
        <v>5.33</v>
      </c>
      <c r="K308" s="32" t="n">
        <v>42434</v>
      </c>
      <c r="L308" s="31" t="n">
        <v>5</v>
      </c>
      <c r="M308" s="31" t="inlineStr">
        <is>
          <t>Underperforming</t>
        </is>
      </c>
      <c r="N308" s="32">
        <f>IF(M308="Underperforming",-5,IF(L308&gt;=95,15,IF(L308&gt;=90,10,IF(L308&gt;=80,5,0))))</f>
        <v/>
      </c>
      <c r="O308" s="32" t="n">
        <v>57.29</v>
      </c>
      <c r="P308" s="32" t="n">
        <v>33.29</v>
      </c>
      <c r="Q308" s="32" t="n">
        <v>174.52</v>
      </c>
      <c r="R308" s="31" t="inlineStr">
        <is>
          <t>Earnings / Momentum Support</t>
        </is>
      </c>
      <c r="S308" s="31" t="inlineStr">
        <is>
          <t>Nifty 50</t>
        </is>
      </c>
      <c r="T308" s="32" t="n">
        <v>-3.75</v>
      </c>
      <c r="U308" s="32" t="n">
        <v>-11.4</v>
      </c>
      <c r="V308" s="32" t="n">
        <v>-7.95</v>
      </c>
      <c r="W308" s="32" t="n">
        <v>0.38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20 to 40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Less than 1.5</t>
        </is>
      </c>
      <c r="BU308" s="31">
        <f>IF(BT308="Above 2",0,IF(BT308="Between 1.5 to 2",5,IF(BT308="Less than 1.5",10,0)))</f>
        <v/>
      </c>
      <c r="BV308" s="31" t="inlineStr">
        <is>
          <t>Less than 50%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IF(B309=0,"",RANK(B309,$B$2:$B$372,0))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KIRLFER</t>
        </is>
      </c>
      <c r="D309" s="33" t="inlineStr">
        <is>
          <t>Kirloskar Ferrous Industries Ltd</t>
        </is>
      </c>
      <c r="E309" s="31" t="inlineStr">
        <is>
          <t>metals &amp; mining</t>
        </is>
      </c>
      <c r="F309" s="31" t="inlineStr">
        <is>
          <t>steel - large</t>
        </is>
      </c>
      <c r="G309" s="31" t="inlineStr">
        <is>
          <t>midcap</t>
        </is>
      </c>
      <c r="H309" s="32" t="n">
        <v>7519.6</v>
      </c>
      <c r="I309" s="32" t="n">
        <v>470.7</v>
      </c>
      <c r="J309" s="32" t="n">
        <v>3.24</v>
      </c>
      <c r="K309" s="32" t="n">
        <v>66177</v>
      </c>
      <c r="L309" s="31" t="n">
        <v>4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55.16</v>
      </c>
      <c r="P309" s="32" t="n">
        <v>12.01</v>
      </c>
      <c r="Q309" s="32" t="n">
        <v>372.97</v>
      </c>
      <c r="R309" s="31" t="inlineStr">
        <is>
          <t>Earnings / Momentum Support</t>
        </is>
      </c>
      <c r="S309" s="31" t="inlineStr">
        <is>
          <t>Nifty Metal</t>
        </is>
      </c>
      <c r="T309" s="32" t="n">
        <v>35.24</v>
      </c>
      <c r="U309" s="32" t="n">
        <v>-18.75</v>
      </c>
      <c r="V309" s="32" t="n">
        <v>-39.92</v>
      </c>
      <c r="W309" s="32" t="n">
        <v>0.08</v>
      </c>
      <c r="X309" s="31" t="inlineStr">
        <is>
          <t>Cyclical in an Upturn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Cyclical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Volatile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Less than 1.5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IF(B310=0,"",RANK(B310,$B$2:$B$372,0))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3" t="inlineStr">
        <is>
          <t>INDIGO</t>
        </is>
      </c>
      <c r="D310" s="33" t="inlineStr">
        <is>
          <t>Interglobe Aviation Limited</t>
        </is>
      </c>
      <c r="E310" s="31" t="inlineStr">
        <is>
          <t>transportation</t>
        </is>
      </c>
      <c r="F310" s="31" t="inlineStr">
        <is>
          <t>transport - airlines</t>
        </is>
      </c>
      <c r="G310" s="31" t="inlineStr">
        <is>
          <t>largecap</t>
        </is>
      </c>
      <c r="H310" s="32" t="n">
        <v>202179.27</v>
      </c>
      <c r="I310" s="32" t="n">
        <v>5312</v>
      </c>
      <c r="J310" s="32" t="n">
        <v>1.58</v>
      </c>
      <c r="K310" s="32" t="n">
        <v>458039</v>
      </c>
      <c r="L310" s="31" t="n">
        <v>8</v>
      </c>
      <c r="M310" s="31" t="inlineStr">
        <is>
          <t>Underperforming</t>
        </is>
      </c>
      <c r="N310" s="32">
        <f>IF(M310="Underperforming",-5,IF(L310&gt;=95,15,IF(L310&gt;=90,10,IF(L310&gt;=80,5,0))))</f>
        <v/>
      </c>
      <c r="O310" s="32" t="n">
        <v>60.88</v>
      </c>
      <c r="P310" s="32" t="n">
        <v>25.79</v>
      </c>
      <c r="Q310" s="32" t="n">
        <v>4443.81</v>
      </c>
      <c r="R310" s="31" t="inlineStr">
        <is>
          <t>Earnings / Momentum Support</t>
        </is>
      </c>
      <c r="S310" s="31" t="inlineStr">
        <is>
          <t>Nifty 50</t>
        </is>
      </c>
      <c r="T310" s="32" t="n">
        <v>-3.75</v>
      </c>
      <c r="U310" s="32" t="n">
        <v>-10.08</v>
      </c>
      <c r="V310" s="32" t="n">
        <v>-6.58</v>
      </c>
      <c r="W310" s="32" t="n">
        <v>1.77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20 to 40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More than 1.2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IF(B311=0,"",RANK(B311,$B$2:$B$372,0))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ACE</t>
        </is>
      </c>
      <c r="D311" s="33" t="inlineStr">
        <is>
          <t>Action Construction Equipment Limited</t>
        </is>
      </c>
      <c r="E311" s="31" t="inlineStr">
        <is>
          <t>industrials</t>
        </is>
      </c>
      <c r="F311" s="31" t="inlineStr">
        <is>
          <t>engineering</t>
        </is>
      </c>
      <c r="G311" s="31" t="inlineStr">
        <is>
          <t>midcap</t>
        </is>
      </c>
      <c r="H311" s="32" t="n">
        <v>11629.66</v>
      </c>
      <c r="I311" s="32" t="n">
        <v>989</v>
      </c>
      <c r="J311" s="32" t="n">
        <v>1.27</v>
      </c>
      <c r="K311" s="32" t="n">
        <v>259105</v>
      </c>
      <c r="L311" s="31" t="n">
        <v>1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57.81</v>
      </c>
      <c r="P311" s="32" t="n">
        <v>11.07</v>
      </c>
      <c r="Q311" s="32" t="n">
        <v>792.74</v>
      </c>
      <c r="R311" s="31" t="inlineStr">
        <is>
          <t>Earnings / Momentum Support</t>
        </is>
      </c>
      <c r="S311" s="31" t="inlineStr">
        <is>
          <t>Nifty 50</t>
        </is>
      </c>
      <c r="T311" s="32" t="n">
        <v>-3.75</v>
      </c>
      <c r="U311" s="32" t="n">
        <v>-17.15</v>
      </c>
      <c r="V311" s="32" t="n">
        <v>-13.92</v>
      </c>
      <c r="W311" s="32" t="n">
        <v>-1.58</v>
      </c>
      <c r="X311" s="31" t="inlineStr">
        <is>
          <t>Cyclical in an Upturn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IF(B312=0,"",RANK(B312,$B$2:$B$372,0))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KAMDHENU</t>
        </is>
      </c>
      <c r="D312" s="33" t="inlineStr">
        <is>
          <t>Kamdhenu Limited</t>
        </is>
      </c>
      <c r="E312" s="31" t="inlineStr">
        <is>
          <t>metals &amp; mining</t>
        </is>
      </c>
      <c r="F312" s="31" t="inlineStr">
        <is>
          <t>steel - medium / small</t>
        </is>
      </c>
      <c r="G312" s="31" t="inlineStr">
        <is>
          <t>smallcap</t>
        </is>
      </c>
      <c r="H312" s="32" t="n">
        <v>917.8099999999999</v>
      </c>
      <c r="I312" s="32" t="n">
        <v>32.8</v>
      </c>
      <c r="J312" s="32" t="n">
        <v>0.74</v>
      </c>
      <c r="K312" s="32" t="n">
        <v>2809986</v>
      </c>
      <c r="L312" s="31" t="n">
        <v>65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69.01000000000001</v>
      </c>
      <c r="P312" s="32" t="n">
        <v>24.41</v>
      </c>
      <c r="Q312" s="32" t="n">
        <v>24.04</v>
      </c>
      <c r="R312" s="31" t="inlineStr">
        <is>
          <t>Near 52W High Breakout</t>
        </is>
      </c>
      <c r="S312" s="31" t="inlineStr">
        <is>
          <t>Nifty Metal</t>
        </is>
      </c>
      <c r="T312" s="32" t="n">
        <v>35.24</v>
      </c>
      <c r="U312" s="32" t="n">
        <v>10.46</v>
      </c>
      <c r="V312" s="32" t="n">
        <v>-18.32</v>
      </c>
      <c r="W312" s="32" t="n">
        <v>14.39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Cyclical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Volatile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Less than 12%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Between 50% to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IF(B313=0,"",RANK(B313,$B$2:$B$372,0))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3" t="inlineStr">
        <is>
          <t>VENUSPIPES</t>
        </is>
      </c>
      <c r="D313" s="33" t="inlineStr">
        <is>
          <t>Venus Pipes &amp; Tubes Ltd</t>
        </is>
      </c>
      <c r="E313" s="31" t="inlineStr">
        <is>
          <t>metals &amp; mining</t>
        </is>
      </c>
      <c r="F313" s="31" t="inlineStr">
        <is>
          <t>steel - medium / small</t>
        </is>
      </c>
      <c r="G313" s="31" t="inlineStr">
        <is>
          <t>smallcap</t>
        </is>
      </c>
      <c r="H313" s="32" t="n">
        <v>3735.74</v>
      </c>
      <c r="I313" s="32" t="n">
        <v>1807.9</v>
      </c>
      <c r="J313" s="32" t="n">
        <v>0.26</v>
      </c>
      <c r="K313" s="32" t="n">
        <v>71082</v>
      </c>
      <c r="L313" s="31" t="n">
        <v>64</v>
      </c>
      <c r="M313" s="31" t="inlineStr">
        <is>
          <t>Underperforming</t>
        </is>
      </c>
      <c r="N313" s="32">
        <f>IF(M313="Underperforming",-5,IF(L313&gt;=95,15,IF(L313&gt;=90,10,IF(L313&gt;=80,5,0))))</f>
        <v/>
      </c>
      <c r="O313" s="32" t="n">
        <v>74.3</v>
      </c>
      <c r="P313" s="32" t="n">
        <v>21.41</v>
      </c>
      <c r="Q313" s="32" t="n">
        <v>1384.65</v>
      </c>
      <c r="R313" s="31" t="inlineStr">
        <is>
          <t>Near 52W High Breakout</t>
        </is>
      </c>
      <c r="S313" s="31" t="inlineStr">
        <is>
          <t>Nifty Metal</t>
        </is>
      </c>
      <c r="T313" s="32" t="n">
        <v>35.24</v>
      </c>
      <c r="U313" s="32" t="n">
        <v>13.1</v>
      </c>
      <c r="V313" s="32" t="n">
        <v>-16.37</v>
      </c>
      <c r="W313" s="32" t="n">
        <v>14.06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Cyclical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Yes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20 to 40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Less than 12%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Between 50% to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IF(B314=0,"",RANK(B314,$B$2:$B$372,0))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AVANTEL</t>
        </is>
      </c>
      <c r="D314" s="31" t="inlineStr">
        <is>
          <t>Avantel Ltd</t>
        </is>
      </c>
      <c r="E314" s="31" t="inlineStr">
        <is>
          <t>aerospace &amp; defence</t>
        </is>
      </c>
      <c r="F314" s="31" t="inlineStr">
        <is>
          <t>telecommunications - equipment</t>
        </is>
      </c>
      <c r="G314" s="31" t="inlineStr">
        <is>
          <t>smallcap</t>
        </is>
      </c>
      <c r="H314" s="32" t="n">
        <v>4777.75</v>
      </c>
      <c r="I314" s="32" t="n">
        <v>180.19</v>
      </c>
      <c r="J314" s="32" t="n">
        <v>0.21</v>
      </c>
      <c r="K314" s="32" t="n">
        <v>2916167</v>
      </c>
      <c r="L314" s="31" t="n">
        <v>43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59.28</v>
      </c>
      <c r="P314" s="32" t="n">
        <v>11.64</v>
      </c>
      <c r="Q314" s="32" t="n">
        <v>129.37</v>
      </c>
      <c r="R314" s="31" t="inlineStr">
        <is>
          <t>Volume Spike / Accumulation</t>
        </is>
      </c>
      <c r="S314" s="31" t="inlineStr">
        <is>
          <t>Nifty Infra</t>
        </is>
      </c>
      <c r="T314" s="32" t="n">
        <v>1.87</v>
      </c>
      <c r="U314" s="32" t="n">
        <v>16.5</v>
      </c>
      <c r="V314" s="32" t="n">
        <v>14.36</v>
      </c>
      <c r="W314" s="32" t="n">
        <v>8.460000000000001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Oligopoly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Yes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Less than 50%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IF(B315=0,"",RANK(B315,$B$2:$B$372,0))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3" t="inlineStr">
        <is>
          <t>NELCO</t>
        </is>
      </c>
      <c r="D315" s="33" t="inlineStr">
        <is>
          <t>Nelco Limited</t>
        </is>
      </c>
      <c r="E315" s="31" t="inlineStr">
        <is>
          <t>telecom</t>
        </is>
      </c>
      <c r="F315" s="31" t="inlineStr">
        <is>
          <t>telecommunications - service provider</t>
        </is>
      </c>
      <c r="G315" s="31" t="inlineStr">
        <is>
          <t>smallcap</t>
        </is>
      </c>
      <c r="H315" s="32" t="n">
        <v>2044.87</v>
      </c>
      <c r="I315" s="32" t="n">
        <v>890.35</v>
      </c>
      <c r="J315" s="32" t="n">
        <v>-0.65</v>
      </c>
      <c r="K315" s="32" t="n">
        <v>237458</v>
      </c>
      <c r="L315" s="31" t="n">
        <v>46</v>
      </c>
      <c r="M315" s="31" t="inlineStr">
        <is>
          <t>Underperforming</t>
        </is>
      </c>
      <c r="N315" s="32">
        <f>IF(M315="Underperforming",-5,IF(L315&gt;=95,15,IF(L315&gt;=90,10,IF(L315&gt;=80,5,0))))</f>
        <v/>
      </c>
      <c r="O315" s="32" t="n">
        <v>62.33</v>
      </c>
      <c r="P315" s="32" t="n">
        <v>19.65</v>
      </c>
      <c r="Q315" s="32" t="n">
        <v>695.04</v>
      </c>
      <c r="R315" s="31" t="inlineStr">
        <is>
          <t>Earnings / Momentum Support</t>
        </is>
      </c>
      <c r="S315" s="31" t="inlineStr">
        <is>
          <t>Nifty 50</t>
        </is>
      </c>
      <c r="T315" s="32" t="n">
        <v>-3.75</v>
      </c>
      <c r="U315" s="32" t="n">
        <v>-5.84</v>
      </c>
      <c r="V315" s="32" t="n">
        <v>-2.18</v>
      </c>
      <c r="W315" s="32" t="n">
        <v>9.27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Oligopoly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Yes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Between 50% to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IF(B316=0,"",RANK(B316,$B$2:$B$372,0))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3" t="inlineStr">
        <is>
          <t>JINDRILL</t>
        </is>
      </c>
      <c r="D316" s="33" t="inlineStr">
        <is>
          <t>Jindal Drilling And Industries Limited</t>
        </is>
      </c>
      <c r="E316" s="31" t="inlineStr">
        <is>
          <t>energy</t>
        </is>
      </c>
      <c r="F316" s="31" t="inlineStr">
        <is>
          <t>oil drilling / allied services</t>
        </is>
      </c>
      <c r="G316" s="31" t="inlineStr">
        <is>
          <t>smallcap</t>
        </is>
      </c>
      <c r="H316" s="32" t="n">
        <v>1799</v>
      </c>
      <c r="I316" s="32" t="n">
        <v>603.05</v>
      </c>
      <c r="J316" s="32" t="n">
        <v>-2.85</v>
      </c>
      <c r="K316" s="32" t="n">
        <v>952506</v>
      </c>
      <c r="L316" s="31" t="n">
        <v>10</v>
      </c>
      <c r="M316" s="31" t="inlineStr">
        <is>
          <t>Underperforming</t>
        </is>
      </c>
      <c r="N316" s="32">
        <f>IF(M316="Underperforming",-5,IF(L316&gt;=95,15,IF(L316&gt;=90,10,IF(L316&gt;=80,5,0))))</f>
        <v/>
      </c>
      <c r="O316" s="32" t="n">
        <v>55.53</v>
      </c>
      <c r="P316" s="32" t="n">
        <v>43.93</v>
      </c>
      <c r="Q316" s="32" t="n">
        <v>479.13</v>
      </c>
      <c r="R316" s="31" t="inlineStr">
        <is>
          <t>Volume Spike / Accumulation</t>
        </is>
      </c>
      <c r="S316" s="31" t="inlineStr">
        <is>
          <t>Nifty Energy</t>
        </is>
      </c>
      <c r="T316" s="32" t="n">
        <v>8.710000000000001</v>
      </c>
      <c r="U316" s="32" t="n">
        <v>-1.52</v>
      </c>
      <c r="V316" s="32" t="n">
        <v>-9.42</v>
      </c>
      <c r="W316" s="32" t="n">
        <v>2.37</v>
      </c>
      <c r="X316" s="31" t="inlineStr">
        <is>
          <t>Cyclical in an Upturn</t>
        </is>
      </c>
      <c r="Y316" s="31">
        <f>IF(X316="Growing Industry",10,IF(X316="Cyclical in an Upturn",5,0))</f>
        <v/>
      </c>
      <c r="Z316" s="31" t="inlineStr">
        <is>
          <t>Oligopoly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Yes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Cyclical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Volatile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Above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Less than 12%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Less than 50%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IF(B317=0,"",RANK(B317,$B$2:$B$372,0))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3" t="inlineStr">
        <is>
          <t>NATCOPHARM</t>
        </is>
      </c>
      <c r="D317" s="33" t="inlineStr">
        <is>
          <t>Natco Pharma Limited</t>
        </is>
      </c>
      <c r="E317" s="31" t="inlineStr">
        <is>
          <t>healthcare</t>
        </is>
      </c>
      <c r="F317" s="31" t="inlineStr">
        <is>
          <t>pharmaceuticals - indian - bulk drugs &amp; formln</t>
        </is>
      </c>
      <c r="G317" s="31" t="inlineStr">
        <is>
          <t>midcap</t>
        </is>
      </c>
      <c r="H317" s="32" t="n">
        <v>17223.21</v>
      </c>
      <c r="I317" s="32" t="n">
        <v>984.1</v>
      </c>
      <c r="J317" s="32" t="n">
        <v>2.34</v>
      </c>
      <c r="K317" s="32" t="n">
        <v>706316</v>
      </c>
      <c r="L317" s="31" t="n">
        <v>2</v>
      </c>
      <c r="M317" s="31" t="inlineStr">
        <is>
          <t>Underperforming</t>
        </is>
      </c>
      <c r="N317" s="32">
        <f>IF(M317="Underperforming",-5,IF(L317&gt;=95,15,IF(L317&gt;=90,10,IF(L317&gt;=80,5,0))))</f>
        <v/>
      </c>
      <c r="O317" s="32" t="n">
        <v>51</v>
      </c>
      <c r="P317" s="32" t="n">
        <v>31.27</v>
      </c>
      <c r="Q317" s="32" t="n">
        <v>958.79</v>
      </c>
      <c r="R317" s="31" t="inlineStr">
        <is>
          <t>Earnings / Momentum Support</t>
        </is>
      </c>
      <c r="S317" s="31" t="inlineStr">
        <is>
          <t>Nifty Pharma</t>
        </is>
      </c>
      <c r="T317" s="32" t="n">
        <v>15.51</v>
      </c>
      <c r="U317" s="32" t="n">
        <v>2.91</v>
      </c>
      <c r="V317" s="32" t="n">
        <v>-10.91</v>
      </c>
      <c r="W317" s="32" t="n">
        <v>-0.78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Yes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Annuity, Lower One Time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1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IF(B318=0,"",RANK(B318,$B$2:$B$372,0))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3" t="inlineStr">
        <is>
          <t>CIPLA</t>
        </is>
      </c>
      <c r="D318" s="33" t="inlineStr">
        <is>
          <t>Cipla Limited</t>
        </is>
      </c>
      <c r="E318" s="31" t="inlineStr">
        <is>
          <t>healthcare</t>
        </is>
      </c>
      <c r="F318" s="31" t="inlineStr">
        <is>
          <t>pharmaceuticals - indian - bulk drugs &amp; formln</t>
        </is>
      </c>
      <c r="G318" s="31" t="inlineStr">
        <is>
          <t>largecap</t>
        </is>
      </c>
      <c r="H318" s="32" t="n">
        <v>116425.71</v>
      </c>
      <c r="I318" s="32" t="n">
        <v>1439.4</v>
      </c>
      <c r="J318" s="32" t="n">
        <v>-0.13</v>
      </c>
      <c r="K318" s="32" t="n">
        <v>746186</v>
      </c>
      <c r="L318" s="31" t="n">
        <v>18</v>
      </c>
      <c r="M318" s="31" t="inlineStr">
        <is>
          <t>Underperforming</t>
        </is>
      </c>
      <c r="N318" s="32">
        <f>IF(M318="Underperforming",-5,IF(L318&gt;=95,15,IF(L318&gt;=90,10,IF(L318&gt;=80,5,0))))</f>
        <v/>
      </c>
      <c r="O318" s="32" t="n">
        <v>57.91</v>
      </c>
      <c r="P318" s="32" t="n">
        <v>18.43</v>
      </c>
      <c r="Q318" s="32" t="n">
        <v>1266.93</v>
      </c>
      <c r="R318" s="31" t="inlineStr">
        <is>
          <t>Earnings / Momentum Support</t>
        </is>
      </c>
      <c r="S318" s="31" t="inlineStr">
        <is>
          <t>Nifty Pharma</t>
        </is>
      </c>
      <c r="T318" s="32" t="n">
        <v>15.51</v>
      </c>
      <c r="U318" s="32" t="n">
        <v>-2.16</v>
      </c>
      <c r="V318" s="32" t="n">
        <v>-15.3</v>
      </c>
      <c r="W318" s="32" t="n">
        <v>3.85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Yes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Annuity, Lower One Time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Between 50% to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IF(B319=0,"",RANK(B319,$B$2:$B$372,0))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3" t="inlineStr">
        <is>
          <t>AGARWALEYE</t>
        </is>
      </c>
      <c r="D319" s="33" t="inlineStr">
        <is>
          <t>Dr Agarwals Health Care Ltd</t>
        </is>
      </c>
      <c r="E319" s="31" t="inlineStr">
        <is>
          <t>healthcare</t>
        </is>
      </c>
      <c r="F319" s="31" t="inlineStr">
        <is>
          <t>healthcare</t>
        </is>
      </c>
      <c r="G319" s="31" t="inlineStr">
        <is>
          <t>midcap</t>
        </is>
      </c>
      <c r="H319" s="32" t="n">
        <v>15392.7</v>
      </c>
      <c r="I319" s="32" t="n">
        <v>481.55</v>
      </c>
      <c r="J319" s="32" t="n">
        <v>-0.83</v>
      </c>
      <c r="K319" s="32" t="n">
        <v>76568</v>
      </c>
      <c r="L319" s="31" t="n">
        <v>25</v>
      </c>
      <c r="M319" s="31" t="inlineStr">
        <is>
          <t>Underperforming</t>
        </is>
      </c>
      <c r="N319" s="32">
        <f>IF(M319="Underperforming",-5,IF(L319&gt;=95,15,IF(L319&gt;=90,10,IF(L319&gt;=80,5,0))))</f>
        <v/>
      </c>
      <c r="O319" s="32" t="n">
        <v>56.42</v>
      </c>
      <c r="P319" s="32" t="n">
        <v>13.71</v>
      </c>
      <c r="Q319" s="32" t="n">
        <v>391.33</v>
      </c>
      <c r="R319" s="31" t="inlineStr">
        <is>
          <t>Earnings / Momentum Support</t>
        </is>
      </c>
      <c r="S319" s="31" t="inlineStr">
        <is>
          <t>Nifty Pharma</t>
        </is>
      </c>
      <c r="T319" s="32" t="n">
        <v>15.51</v>
      </c>
      <c r="U319" s="32" t="n">
        <v>12.71</v>
      </c>
      <c r="V319" s="32" t="n">
        <v>-2.43</v>
      </c>
      <c r="W319" s="32" t="n">
        <v>5.38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Yes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Annuity, Lower One Time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Yes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IF(B320=0,"",RANK(B320,$B$2:$B$372,0))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IONEXCHANG</t>
        </is>
      </c>
      <c r="D320" s="33" t="inlineStr">
        <is>
          <t>Ion Exchange (India) Ltd</t>
        </is>
      </c>
      <c r="E320" s="31" t="inlineStr">
        <is>
          <t>realty</t>
        </is>
      </c>
      <c r="F320" s="31" t="inlineStr">
        <is>
          <t>engineering - turnkey services</t>
        </is>
      </c>
      <c r="G320" s="31" t="inlineStr">
        <is>
          <t>midcap</t>
        </is>
      </c>
      <c r="H320" s="32" t="n">
        <v>5898.93</v>
      </c>
      <c r="I320" s="32" t="n">
        <v>468.3</v>
      </c>
      <c r="J320" s="32" t="n">
        <v>16.43</v>
      </c>
      <c r="K320" s="32" t="n">
        <v>12898024</v>
      </c>
      <c r="L320" s="31" t="n">
        <v>15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66.72</v>
      </c>
      <c r="P320" s="32" t="n">
        <v>16.29</v>
      </c>
      <c r="Q320" s="32" t="n">
        <v>353.97</v>
      </c>
      <c r="R320" s="31" t="inlineStr">
        <is>
          <t>Volume Spike / Accumulation</t>
        </is>
      </c>
      <c r="S320" s="31" t="inlineStr">
        <is>
          <t>Nifty Realty</t>
        </is>
      </c>
      <c r="T320" s="32" t="n">
        <v>-2.52</v>
      </c>
      <c r="U320" s="32" t="n">
        <v>-13.82</v>
      </c>
      <c r="V320" s="32" t="n">
        <v>-11.58</v>
      </c>
      <c r="W320" s="32" t="n">
        <v>3.32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Negative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IF(B321=0,"",RANK(B321,$B$2:$B$372,0))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TATVA</t>
        </is>
      </c>
      <c r="D321" s="31" t="inlineStr">
        <is>
          <t>Tatva Chintan Pharma Chem Ltd</t>
        </is>
      </c>
      <c r="E321" s="31" t="inlineStr">
        <is>
          <t>chemicals</t>
        </is>
      </c>
      <c r="F321" s="31" t="inlineStr">
        <is>
          <t>chemicals</t>
        </is>
      </c>
      <c r="G321" s="31" t="inlineStr">
        <is>
          <t>smallcap</t>
        </is>
      </c>
      <c r="H321" s="32" t="n">
        <v>2898.74</v>
      </c>
      <c r="I321" s="32" t="n">
        <v>1326.5</v>
      </c>
      <c r="J321" s="32" t="n">
        <v>7.04</v>
      </c>
      <c r="K321" s="32" t="n">
        <v>120039</v>
      </c>
      <c r="L321" s="31" t="n">
        <v>47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57.76</v>
      </c>
      <c r="P321" s="32" t="n">
        <v>16.94</v>
      </c>
      <c r="Q321" s="32" t="n">
        <v>993.0599999999999</v>
      </c>
      <c r="R321" s="31" t="inlineStr">
        <is>
          <t>Earnings / Momentum Support</t>
        </is>
      </c>
      <c r="S321" s="31" t="inlineStr">
        <is>
          <t>Nifty 50</t>
        </is>
      </c>
      <c r="T321" s="32" t="n">
        <v>-3.75</v>
      </c>
      <c r="U321" s="32" t="n">
        <v>39.34</v>
      </c>
      <c r="V321" s="32" t="n">
        <v>44.77</v>
      </c>
      <c r="W321" s="32" t="n">
        <v>9.279999999999999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Headwind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Less than 50%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IF(B322=0,"",RANK(B322,$B$2:$B$372,0))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3" t="inlineStr">
        <is>
          <t>LLOYDSME</t>
        </is>
      </c>
      <c r="D322" s="33" t="inlineStr">
        <is>
          <t>Lloyds Metals &amp; Energy Ltd</t>
        </is>
      </c>
      <c r="E322" s="31" t="inlineStr">
        <is>
          <t>metals &amp; mining</t>
        </is>
      </c>
      <c r="F322" s="31" t="inlineStr">
        <is>
          <t>mining / minerals / metals</t>
        </is>
      </c>
      <c r="G322" s="31" t="inlineStr">
        <is>
          <t>largecap</t>
        </is>
      </c>
      <c r="H322" s="32" t="n">
        <v>98211.63</v>
      </c>
      <c r="I322" s="32" t="n">
        <v>1799.6</v>
      </c>
      <c r="J322" s="32" t="n">
        <v>3.12</v>
      </c>
      <c r="K322" s="32" t="n">
        <v>632423</v>
      </c>
      <c r="L322" s="31" t="n">
        <v>43</v>
      </c>
      <c r="M322" s="31" t="inlineStr">
        <is>
          <t>Underperforming</t>
        </is>
      </c>
      <c r="N322" s="32">
        <f>IF(M322="Underperforming",-5,IF(L322&gt;=95,15,IF(L322&gt;=90,10,IF(L322&gt;=80,5,0))))</f>
        <v/>
      </c>
      <c r="O322" s="32" t="n">
        <v>68.55</v>
      </c>
      <c r="P322" s="32" t="n">
        <v>44.63</v>
      </c>
      <c r="Q322" s="32" t="n">
        <v>1455.53</v>
      </c>
      <c r="R322" s="31" t="inlineStr">
        <is>
          <t>Near 52W High Breakout</t>
        </is>
      </c>
      <c r="S322" s="31" t="inlineStr">
        <is>
          <t>Nifty Metal</t>
        </is>
      </c>
      <c r="T322" s="32" t="n">
        <v>35.24</v>
      </c>
      <c r="U322" s="32" t="n">
        <v>20.94</v>
      </c>
      <c r="V322" s="32" t="n">
        <v>-10.57</v>
      </c>
      <c r="W322" s="32" t="n">
        <v>8.51</v>
      </c>
      <c r="X322" s="31" t="inlineStr">
        <is>
          <t>Cyclical in an Upturn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Cyclical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Volatile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Above 40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Blue sky scenario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Less than 50% and Borrowings are increasing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More than 1.2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IF(B323=0,"",RANK(B323,$B$2:$B$372,0))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3" t="inlineStr">
        <is>
          <t>REDINGTON</t>
        </is>
      </c>
      <c r="D323" s="33" t="inlineStr">
        <is>
          <t>Redington (india) Limited</t>
        </is>
      </c>
      <c r="E323" s="31" t="inlineStr">
        <is>
          <t>services</t>
        </is>
      </c>
      <c r="F323" s="31" t="inlineStr">
        <is>
          <t>trading</t>
        </is>
      </c>
      <c r="G323" s="31" t="inlineStr">
        <is>
          <t>largecap</t>
        </is>
      </c>
      <c r="H323" s="32" t="n">
        <v>21479.25</v>
      </c>
      <c r="I323" s="32" t="n">
        <v>280.4</v>
      </c>
      <c r="J323" s="32" t="n">
        <v>2.06</v>
      </c>
      <c r="K323" s="32" t="n">
        <v>2211416</v>
      </c>
      <c r="L323" s="31" t="n">
        <v>30</v>
      </c>
      <c r="M323" s="31" t="inlineStr">
        <is>
          <t>Underperforming</t>
        </is>
      </c>
      <c r="N323" s="32">
        <f>IF(M323="Underperforming",-5,IF(L323&gt;=95,15,IF(L323&gt;=90,10,IF(L323&gt;=80,5,0))))</f>
        <v/>
      </c>
      <c r="O323" s="32" t="n">
        <v>62.49</v>
      </c>
      <c r="P323" s="32" t="n">
        <v>16.62</v>
      </c>
      <c r="Q323" s="32" t="n">
        <v>213.89</v>
      </c>
      <c r="R323" s="31" t="inlineStr">
        <is>
          <t>Earnings / Momentum Support</t>
        </is>
      </c>
      <c r="S323" s="31" t="inlineStr">
        <is>
          <t>Nifty 50</t>
        </is>
      </c>
      <c r="T323" s="32" t="n">
        <v>-3.75</v>
      </c>
      <c r="U323" s="32" t="n">
        <v>-4.42</v>
      </c>
      <c r="V323" s="32" t="n">
        <v>-0.6899999999999999</v>
      </c>
      <c r="W323" s="32" t="n">
        <v>6.2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Less than 12%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Less than 50%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IF(B324=0,"",RANK(B324,$B$2:$B$372,0))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3" t="inlineStr">
        <is>
          <t>RAMRAT</t>
        </is>
      </c>
      <c r="D324" s="33" t="inlineStr">
        <is>
          <t>Ram Ratna Wires Ltd</t>
        </is>
      </c>
      <c r="E324" s="31" t="inlineStr">
        <is>
          <t>metals &amp; mining</t>
        </is>
      </c>
      <c r="F324" s="31" t="inlineStr">
        <is>
          <t>mining / minerals / metals</t>
        </is>
      </c>
      <c r="G324" s="31" t="inlineStr">
        <is>
          <t>smallcap</t>
        </is>
      </c>
      <c r="H324" s="32" t="n">
        <v>3845.98</v>
      </c>
      <c r="I324" s="32" t="n">
        <v>419.05</v>
      </c>
      <c r="J324" s="32" t="n">
        <v>1.71</v>
      </c>
      <c r="K324" s="32" t="n">
        <v>204458</v>
      </c>
      <c r="L324" s="31" t="n">
        <v>54</v>
      </c>
      <c r="M324" s="31" t="inlineStr">
        <is>
          <t>Underperforming</t>
        </is>
      </c>
      <c r="N324" s="32">
        <f>IF(M324="Underperforming",-5,IF(L324&gt;=95,15,IF(L324&gt;=90,10,IF(L324&gt;=80,5,0))))</f>
        <v/>
      </c>
      <c r="O324" s="32" t="n">
        <v>60.8</v>
      </c>
      <c r="P324" s="32" t="n">
        <v>47.44</v>
      </c>
      <c r="Q324" s="32" t="n">
        <v>329.07</v>
      </c>
      <c r="R324" s="31" t="inlineStr">
        <is>
          <t>Earnings / Momentum Support</t>
        </is>
      </c>
      <c r="S324" s="31" t="inlineStr">
        <is>
          <t>Nifty Metal</t>
        </is>
      </c>
      <c r="T324" s="32" t="n">
        <v>35.24</v>
      </c>
      <c r="U324" s="32" t="n">
        <v>29.03</v>
      </c>
      <c r="V324" s="32" t="n">
        <v>-4.59</v>
      </c>
      <c r="W324" s="32" t="n">
        <v>11.21</v>
      </c>
      <c r="X324" s="31" t="inlineStr">
        <is>
          <t>Cyclical in an Upturn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Cyclical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Volatile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Above 40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Less than 1.5</t>
        </is>
      </c>
      <c r="BU324" s="31">
        <f>IF(BT324="Above 2",0,IF(BT324="Between 1.5 to 2",5,IF(BT324="Less than 1.5",10,0)))</f>
        <v/>
      </c>
      <c r="BV324" s="31" t="inlineStr">
        <is>
          <t>Negative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Between 0.7 to 1.2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IF(B325=0,"",RANK(B325,$B$2:$B$372,0))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NHPC</t>
        </is>
      </c>
      <c r="D325" s="31" t="inlineStr">
        <is>
          <t>Nhpc Limited</t>
        </is>
      </c>
      <c r="E325" s="31" t="inlineStr">
        <is>
          <t>power &amp; utilities</t>
        </is>
      </c>
      <c r="F325" s="31" t="inlineStr">
        <is>
          <t>power generation and supply</t>
        </is>
      </c>
      <c r="G325" s="31" t="inlineStr">
        <is>
          <t>largecap</t>
        </is>
      </c>
      <c r="H325" s="32" t="n">
        <v>78964.02</v>
      </c>
      <c r="I325" s="32" t="n">
        <v>79.81999999999999</v>
      </c>
      <c r="J325" s="32" t="n">
        <v>1.54</v>
      </c>
      <c r="K325" s="32" t="n">
        <v>6253523</v>
      </c>
      <c r="L325" s="31" t="n">
        <v>2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52.86</v>
      </c>
      <c r="P325" s="32" t="n">
        <v>15.34</v>
      </c>
      <c r="Q325" s="32" t="n">
        <v>70.34999999999999</v>
      </c>
      <c r="R325" s="31" t="inlineStr">
        <is>
          <t>Earnings / Momentum Support</t>
        </is>
      </c>
      <c r="S325" s="31" t="inlineStr">
        <is>
          <t>Nifty IT</t>
        </is>
      </c>
      <c r="T325" s="32" t="n">
        <v>-25.69</v>
      </c>
      <c r="U325" s="32" t="n">
        <v>-7.15</v>
      </c>
      <c r="V325" s="32" t="n">
        <v>24.94</v>
      </c>
      <c r="W325" s="32" t="n">
        <v>-0.71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1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Less than 1.5</t>
        </is>
      </c>
      <c r="BU325" s="31">
        <f>IF(BT325="Above 2",0,IF(BT325="Between 1.5 to 2",5,IF(BT325="Less than 1.5",10,0)))</f>
        <v/>
      </c>
      <c r="BV325" s="31" t="inlineStr">
        <is>
          <t>Between 50% to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Between 0.7 to 1.2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IF(B326=0,"",RANK(B326,$B$2:$B$372,0))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JUBLINGREA</t>
        </is>
      </c>
      <c r="D326" s="33" t="inlineStr">
        <is>
          <t>Jubilant Ingrevia Ltd</t>
        </is>
      </c>
      <c r="E326" s="31" t="inlineStr">
        <is>
          <t>chemicals</t>
        </is>
      </c>
      <c r="F326" s="31" t="inlineStr">
        <is>
          <t>chemicals</t>
        </is>
      </c>
      <c r="G326" s="31" t="inlineStr">
        <is>
          <t>midcap</t>
        </is>
      </c>
      <c r="H326" s="32" t="n">
        <v>11396.57</v>
      </c>
      <c r="I326" s="32" t="n">
        <v>722.3</v>
      </c>
      <c r="J326" s="32" t="n">
        <v>0.95</v>
      </c>
      <c r="K326" s="32" t="n">
        <v>631923</v>
      </c>
      <c r="L326" s="31" t="n">
        <v>6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57.86</v>
      </c>
      <c r="P326" s="32" t="n">
        <v>14.23</v>
      </c>
      <c r="Q326" s="32" t="n">
        <v>568.9299999999999</v>
      </c>
      <c r="R326" s="31" t="inlineStr">
        <is>
          <t>Volume Spike / Accumulation</t>
        </is>
      </c>
      <c r="S326" s="31" t="inlineStr">
        <is>
          <t>Nifty 50</t>
        </is>
      </c>
      <c r="T326" s="32" t="n">
        <v>-3.75</v>
      </c>
      <c r="U326" s="32" t="n">
        <v>-9.94</v>
      </c>
      <c r="V326" s="32" t="n">
        <v>-6.44</v>
      </c>
      <c r="W326" s="32" t="n">
        <v>0.79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1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Between 12 to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Yes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IF(B327=0,"",RANK(B327,$B$2:$B$372,0))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ARVSMART</t>
        </is>
      </c>
      <c r="D327" s="33" t="inlineStr">
        <is>
          <t>Arvind Smartspaces Limited</t>
        </is>
      </c>
      <c r="E327" s="31" t="inlineStr">
        <is>
          <t>realty</t>
        </is>
      </c>
      <c r="F327" s="31" t="inlineStr">
        <is>
          <t>construction</t>
        </is>
      </c>
      <c r="G327" s="31" t="inlineStr">
        <is>
          <t>smallcap</t>
        </is>
      </c>
      <c r="H327" s="32" t="n">
        <v>2793.76</v>
      </c>
      <c r="I327" s="32" t="n">
        <v>612.5</v>
      </c>
      <c r="J327" s="32" t="n">
        <v>0.5600000000000001</v>
      </c>
      <c r="K327" s="32" t="n">
        <v>19680</v>
      </c>
      <c r="L327" s="31" t="n">
        <v>2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54.01</v>
      </c>
      <c r="P327" s="32" t="n">
        <v>19.87</v>
      </c>
      <c r="Q327" s="32" t="n">
        <v>503.16</v>
      </c>
      <c r="R327" s="31" t="inlineStr">
        <is>
          <t>Earnings / Momentum Support</t>
        </is>
      </c>
      <c r="S327" s="31" t="inlineStr">
        <is>
          <t>Nifty Realty</t>
        </is>
      </c>
      <c r="T327" s="32" t="n">
        <v>-2.52</v>
      </c>
      <c r="U327" s="32" t="n">
        <v>-6.47</v>
      </c>
      <c r="V327" s="32" t="n">
        <v>-4.04</v>
      </c>
      <c r="W327" s="32" t="n">
        <v>-0.72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Negative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IF(B328=0,"",RANK(B328,$B$2:$B$372,0))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KRYSTAL</t>
        </is>
      </c>
      <c r="D328" s="33" t="inlineStr">
        <is>
          <t>Krystal Integrated Services Ltd</t>
        </is>
      </c>
      <c r="E328" s="31" t="inlineStr">
        <is>
          <t>miscellaneous</t>
        </is>
      </c>
      <c r="F328" s="31" t="inlineStr">
        <is>
          <t>miscellaneous</t>
        </is>
      </c>
      <c r="G328" s="31" t="inlineStr">
        <is>
          <t>smallcap</t>
        </is>
      </c>
      <c r="H328" s="32" t="n">
        <v>840.13</v>
      </c>
      <c r="I328" s="32" t="n">
        <v>603.8</v>
      </c>
      <c r="J328" s="32" t="n">
        <v>0.42</v>
      </c>
      <c r="K328" s="32" t="n">
        <v>12569</v>
      </c>
      <c r="L328" s="31" t="n">
        <v>5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53.31</v>
      </c>
      <c r="P328" s="32" t="n">
        <v>19.48</v>
      </c>
      <c r="Q328" s="32" t="n">
        <v>495.5</v>
      </c>
      <c r="R328" s="31" t="inlineStr">
        <is>
          <t>Earnings / Momentum Support</t>
        </is>
      </c>
      <c r="S328" s="31" t="inlineStr">
        <is>
          <t>Nifty 50</t>
        </is>
      </c>
      <c r="T328" s="32" t="n">
        <v>-3.75</v>
      </c>
      <c r="U328" s="32" t="n">
        <v>-8.17</v>
      </c>
      <c r="V328" s="32" t="n">
        <v>-4.59</v>
      </c>
      <c r="W328" s="32" t="n">
        <v>0.75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Headwind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Less than 12%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Less than 1.5</t>
        </is>
      </c>
      <c r="BU328" s="31">
        <f>IF(BT328="Above 2",0,IF(BT328="Between 1.5 to 2",5,IF(BT328="Less than 1.5",10,0)))</f>
        <v/>
      </c>
      <c r="BV328" s="31" t="inlineStr">
        <is>
          <t>Less than 50%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IF(B329=0,"",RANK(B329,$B$2:$B$372,0))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PANAMAPET</t>
        </is>
      </c>
      <c r="D329" s="31" t="inlineStr">
        <is>
          <t>Panama Petrochem Limited</t>
        </is>
      </c>
      <c r="E329" s="31" t="inlineStr">
        <is>
          <t>energy</t>
        </is>
      </c>
      <c r="F329" s="31" t="inlineStr">
        <is>
          <t>petrochemicals</t>
        </is>
      </c>
      <c r="G329" s="31" t="inlineStr">
        <is>
          <t>smallcap</t>
        </is>
      </c>
      <c r="H329" s="32" t="n">
        <v>2583.08</v>
      </c>
      <c r="I329" s="32" t="n">
        <v>428.1</v>
      </c>
      <c r="J329" s="32" t="n">
        <v>0.26</v>
      </c>
      <c r="K329" s="32" t="n">
        <v>89418</v>
      </c>
      <c r="L329" s="31" t="n">
        <v>76</v>
      </c>
      <c r="M329" s="31" t="inlineStr">
        <is>
          <t>Outperforming</t>
        </is>
      </c>
      <c r="N329" s="32">
        <f>IF(M329="Underperforming",-5,IF(L329&gt;=95,15,IF(L329&gt;=90,10,IF(L329&gt;=80,5,0))))</f>
        <v/>
      </c>
      <c r="O329" s="32" t="n">
        <v>65.43000000000001</v>
      </c>
      <c r="P329" s="32" t="n">
        <v>32.08</v>
      </c>
      <c r="Q329" s="32" t="n">
        <v>350.41</v>
      </c>
      <c r="R329" s="31" t="inlineStr">
        <is>
          <t>Earnings / Momentum Support</t>
        </is>
      </c>
      <c r="S329" s="31" t="inlineStr">
        <is>
          <t>Nifty Energy</t>
        </is>
      </c>
      <c r="T329" s="32" t="n">
        <v>8.710000000000001</v>
      </c>
      <c r="U329" s="32" t="n">
        <v>24.49</v>
      </c>
      <c r="V329" s="32" t="n">
        <v>14.52</v>
      </c>
      <c r="W329" s="32" t="n">
        <v>19.23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Oligopoly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Yes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Cyclical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Volatile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20 to 40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Less than 1.5</t>
        </is>
      </c>
      <c r="BU329" s="31">
        <f>IF(BT329="Above 2",0,IF(BT329="Between 1.5 to 2",5,IF(BT329="Less than 1.5",10,0)))</f>
        <v/>
      </c>
      <c r="BV329" s="31" t="inlineStr">
        <is>
          <t>Negative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IF(B330=0,"",RANK(B330,$B$2:$B$372,0))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1" t="inlineStr">
        <is>
          <t>NAUKRI</t>
        </is>
      </c>
      <c r="D330" s="31" t="inlineStr">
        <is>
          <t>Info Edge (india) Limited</t>
        </is>
      </c>
      <c r="E330" s="31" t="inlineStr">
        <is>
          <t>i.t</t>
        </is>
      </c>
      <c r="F330" s="31" t="inlineStr">
        <is>
          <t>miscellaneous</t>
        </is>
      </c>
      <c r="G330" s="31" t="inlineStr">
        <is>
          <t>largecap</t>
        </is>
      </c>
      <c r="H330" s="32" t="n">
        <v>77930.42999999999</v>
      </c>
      <c r="I330" s="32" t="n">
        <v>1204.05</v>
      </c>
      <c r="J330" s="32" t="n">
        <v>0.18</v>
      </c>
      <c r="K330" s="32" t="n">
        <v>2000869</v>
      </c>
      <c r="L330" s="31" t="n">
        <v>13</v>
      </c>
      <c r="M330" s="31" t="inlineStr">
        <is>
          <t>Outperforming</t>
        </is>
      </c>
      <c r="N330" s="32">
        <f>IF(M330="Underperforming",-5,IF(L330&gt;=95,15,IF(L330&gt;=90,10,IF(L330&gt;=80,5,0))))</f>
        <v/>
      </c>
      <c r="O330" s="32" t="n">
        <v>62.73</v>
      </c>
      <c r="P330" s="32" t="n">
        <v>17.28</v>
      </c>
      <c r="Q330" s="32" t="n">
        <v>952.61</v>
      </c>
      <c r="R330" s="31" t="inlineStr">
        <is>
          <t>Volume Spike / Accumulation</t>
        </is>
      </c>
      <c r="S330" s="31" t="inlineStr">
        <is>
          <t>Nifty IT</t>
        </is>
      </c>
      <c r="T330" s="32" t="n">
        <v>-25.69</v>
      </c>
      <c r="U330" s="32" t="n">
        <v>-11.88</v>
      </c>
      <c r="V330" s="32" t="n">
        <v>18.58</v>
      </c>
      <c r="W330" s="32" t="n">
        <v>2.93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Headwind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Yes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1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IF(B331=0,"",RANK(B331,$B$2:$B$372,0))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PPLPHARMA</t>
        </is>
      </c>
      <c r="D331" s="33" t="inlineStr">
        <is>
          <t>Piramal Pharma Ltd</t>
        </is>
      </c>
      <c r="E331" s="31" t="inlineStr">
        <is>
          <t>healthcare</t>
        </is>
      </c>
      <c r="F331" s="31" t="inlineStr">
        <is>
          <t>pharmaceuticals - indian - bulk drugs &amp; formln</t>
        </is>
      </c>
      <c r="G331" s="31" t="inlineStr">
        <is>
          <t>largecap</t>
        </is>
      </c>
      <c r="H331" s="32" t="n">
        <v>22861.74</v>
      </c>
      <c r="I331" s="32" t="n">
        <v>177.16</v>
      </c>
      <c r="J331" s="32" t="n">
        <v>3.01</v>
      </c>
      <c r="K331" s="32" t="n">
        <v>5345365</v>
      </c>
      <c r="L331" s="31" t="n">
        <v>11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56.34</v>
      </c>
      <c r="P331" s="32" t="n">
        <v>19.94</v>
      </c>
      <c r="Q331" s="32" t="n">
        <v>138.04</v>
      </c>
      <c r="R331" s="31" t="inlineStr">
        <is>
          <t>Earnings / Momentum Support</t>
        </is>
      </c>
      <c r="S331" s="31" t="inlineStr">
        <is>
          <t>Nifty Pharma</t>
        </is>
      </c>
      <c r="T331" s="32" t="n">
        <v>15.51</v>
      </c>
      <c r="U331" s="32" t="n">
        <v>-11.79</v>
      </c>
      <c r="V331" s="32" t="n">
        <v>-23.64</v>
      </c>
      <c r="W331" s="32" t="n">
        <v>2.66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Yes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Annuity, Lower One Time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1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More than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IF(B332=0,"",RANK(B332,$B$2:$B$372,0))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3" t="inlineStr">
        <is>
          <t>KSL</t>
        </is>
      </c>
      <c r="D332" s="33" t="inlineStr">
        <is>
          <t>Kalyani Steels Limited</t>
        </is>
      </c>
      <c r="E332" s="31" t="inlineStr">
        <is>
          <t>metals &amp; mining</t>
        </is>
      </c>
      <c r="F332" s="31" t="inlineStr">
        <is>
          <t>steel - medium / small</t>
        </is>
      </c>
      <c r="G332" s="31" t="inlineStr">
        <is>
          <t>smallcap</t>
        </is>
      </c>
      <c r="H332" s="32" t="n">
        <v>4075.01</v>
      </c>
      <c r="I332" s="32" t="n">
        <v>959.2</v>
      </c>
      <c r="J332" s="32" t="n">
        <v>2.75</v>
      </c>
      <c r="K332" s="32" t="n">
        <v>183090</v>
      </c>
      <c r="L332" s="31" t="n">
        <v>57</v>
      </c>
      <c r="M332" s="31" t="inlineStr">
        <is>
          <t>Underperforming</t>
        </is>
      </c>
      <c r="N332" s="32">
        <f>IF(M332="Underperforming",-5,IF(L332&gt;=95,15,IF(L332&gt;=90,10,IF(L332&gt;=80,5,0))))</f>
        <v/>
      </c>
      <c r="O332" s="32" t="n">
        <v>69.7</v>
      </c>
      <c r="P332" s="32" t="n">
        <v>19.24</v>
      </c>
      <c r="Q332" s="32" t="n">
        <v>768.73</v>
      </c>
      <c r="R332" s="31" t="inlineStr">
        <is>
          <t>Volume Spike &amp; Near 52W High Breakout</t>
        </is>
      </c>
      <c r="S332" s="31" t="inlineStr">
        <is>
          <t>Nifty Metal</t>
        </is>
      </c>
      <c r="T332" s="32" t="n">
        <v>35.24</v>
      </c>
      <c r="U332" s="32" t="n">
        <v>6.54</v>
      </c>
      <c r="V332" s="32" t="n">
        <v>-21.22</v>
      </c>
      <c r="W332" s="32" t="n">
        <v>12.49</v>
      </c>
      <c r="X332" s="31" t="inlineStr">
        <is>
          <t>Cyclical in an Upturn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Cyclical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Volatile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Yes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IF(B333=0,"",RANK(B333,$B$2:$B$372,0))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POCL</t>
        </is>
      </c>
      <c r="D333" s="31" t="inlineStr">
        <is>
          <t>Pondy Oxides &amp; Chemicals Ltd</t>
        </is>
      </c>
      <c r="E333" s="31" t="inlineStr">
        <is>
          <t>metals &amp; mining</t>
        </is>
      </c>
      <c r="F333" s="31" t="inlineStr">
        <is>
          <t>mining / minerals / metals</t>
        </is>
      </c>
      <c r="G333" s="31" t="inlineStr">
        <is>
          <t>smallcap</t>
        </is>
      </c>
      <c r="H333" s="32" t="n">
        <v>4322.23</v>
      </c>
      <c r="I333" s="32" t="n">
        <v>1425</v>
      </c>
      <c r="J333" s="32" t="n">
        <v>0.59</v>
      </c>
      <c r="K333" s="32" t="n">
        <v>334104</v>
      </c>
      <c r="L333" s="31" t="n">
        <v>61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58.48</v>
      </c>
      <c r="P333" s="32" t="n">
        <v>22.92</v>
      </c>
      <c r="Q333" s="32" t="n">
        <v>1115.45</v>
      </c>
      <c r="R333" s="31" t="inlineStr">
        <is>
          <t>Earnings / Momentum Support</t>
        </is>
      </c>
      <c r="S333" s="31" t="inlineStr">
        <is>
          <t>Nifty Metal</t>
        </is>
      </c>
      <c r="T333" s="32" t="n">
        <v>35.24</v>
      </c>
      <c r="U333" s="32" t="n">
        <v>47.31</v>
      </c>
      <c r="V333" s="32" t="n">
        <v>8.93</v>
      </c>
      <c r="W333" s="32" t="n">
        <v>13.3</v>
      </c>
      <c r="X333" s="31" t="inlineStr">
        <is>
          <t>Cyclical in an Upturn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Cyclical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Volatile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20 to 40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Negative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IF(B334=0,"",RANK(B334,$B$2:$B$372,0))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GOKEX</t>
        </is>
      </c>
      <c r="D334" s="33" t="inlineStr">
        <is>
          <t>Gokaldas Exports Limited</t>
        </is>
      </c>
      <c r="E334" s="31" t="inlineStr">
        <is>
          <t>consumer discretionary</t>
        </is>
      </c>
      <c r="F334" s="31" t="inlineStr">
        <is>
          <t>textiles - products</t>
        </is>
      </c>
      <c r="G334" s="31" t="inlineStr">
        <is>
          <t>midcap</t>
        </is>
      </c>
      <c r="H334" s="32" t="n">
        <v>6091.61</v>
      </c>
      <c r="I334" s="32" t="n">
        <v>832.75</v>
      </c>
      <c r="J334" s="32" t="n">
        <v>0.13</v>
      </c>
      <c r="K334" s="32" t="n">
        <v>167781</v>
      </c>
      <c r="L334" s="31" t="n">
        <v>17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59.24</v>
      </c>
      <c r="P334" s="32" t="n">
        <v>14.62</v>
      </c>
      <c r="Q334" s="32" t="n">
        <v>625.98</v>
      </c>
      <c r="R334" s="31" t="inlineStr">
        <is>
          <t>Earnings / Momentum Support</t>
        </is>
      </c>
      <c r="S334" s="31" t="inlineStr">
        <is>
          <t>Nifty 50</t>
        </is>
      </c>
      <c r="T334" s="32" t="n">
        <v>-3.75</v>
      </c>
      <c r="U334" s="32" t="n">
        <v>-8.99</v>
      </c>
      <c r="V334" s="32" t="n">
        <v>-5.45</v>
      </c>
      <c r="W334" s="32" t="n">
        <v>3.75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Yes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Less than 50%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IF(B335=0,"",RANK(B335,$B$2:$B$372,0))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SHYAMMETL</t>
        </is>
      </c>
      <c r="D335" s="33" t="inlineStr">
        <is>
          <t>Shyam Metalics &amp; Energy Ltd</t>
        </is>
      </c>
      <c r="E335" s="31" t="inlineStr">
        <is>
          <t>metals &amp; mining</t>
        </is>
      </c>
      <c r="F335" s="31" t="inlineStr">
        <is>
          <t>steel - large</t>
        </is>
      </c>
      <c r="G335" s="31" t="inlineStr">
        <is>
          <t>largecap</t>
        </is>
      </c>
      <c r="H335" s="32" t="n">
        <v>26472.86</v>
      </c>
      <c r="I335" s="32" t="n">
        <v>975.1</v>
      </c>
      <c r="J335" s="32" t="n">
        <v>2.82</v>
      </c>
      <c r="K335" s="32" t="n">
        <v>303572</v>
      </c>
      <c r="L335" s="31" t="n">
        <v>32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60.61</v>
      </c>
      <c r="P335" s="32" t="n">
        <v>14.18</v>
      </c>
      <c r="Q335" s="32" t="n">
        <v>820.9299999999999</v>
      </c>
      <c r="R335" s="31" t="inlineStr">
        <is>
          <t>Near 52W High Breakout</t>
        </is>
      </c>
      <c r="S335" s="31" t="inlineStr">
        <is>
          <t>Nifty Metal</t>
        </is>
      </c>
      <c r="T335" s="32" t="n">
        <v>35.24</v>
      </c>
      <c r="U335" s="32" t="n">
        <v>15.12</v>
      </c>
      <c r="V335" s="32" t="n">
        <v>-14.87</v>
      </c>
      <c r="W335" s="32" t="n">
        <v>6.63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Cyclical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Volatile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Yes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Negative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Blue sky scenario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Less than 1.5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IF(B336=0,"",RANK(B336,$B$2:$B$372,0))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1" t="inlineStr">
        <is>
          <t>ASAHIINDIA</t>
        </is>
      </c>
      <c r="D336" s="31" t="inlineStr">
        <is>
          <t>Asahi India Glass Limited</t>
        </is>
      </c>
      <c r="E336" s="31" t="inlineStr">
        <is>
          <t>building materials</t>
        </is>
      </c>
      <c r="F336" s="31" t="inlineStr">
        <is>
          <t>glass &amp; glass products</t>
        </is>
      </c>
      <c r="G336" s="31" t="inlineStr">
        <is>
          <t>largecap</t>
        </is>
      </c>
      <c r="H336" s="32" t="n">
        <v>22728.03</v>
      </c>
      <c r="I336" s="32" t="n">
        <v>914.9</v>
      </c>
      <c r="J336" s="32" t="n">
        <v>2.62</v>
      </c>
      <c r="K336" s="32" t="n">
        <v>379949</v>
      </c>
      <c r="L336" s="31" t="n">
        <v>11</v>
      </c>
      <c r="M336" s="31" t="inlineStr">
        <is>
          <t>Outperforming</t>
        </is>
      </c>
      <c r="N336" s="32">
        <f>IF(M336="Underperforming",-5,IF(L336&gt;=95,15,IF(L336&gt;=90,10,IF(L336&gt;=80,5,0))))</f>
        <v/>
      </c>
      <c r="O336" s="32" t="n">
        <v>55.25</v>
      </c>
      <c r="P336" s="32" t="n">
        <v>13.04</v>
      </c>
      <c r="Q336" s="32" t="n">
        <v>712.55</v>
      </c>
      <c r="R336" s="31" t="inlineStr">
        <is>
          <t>Earnings / Momentum Support</t>
        </is>
      </c>
      <c r="S336" s="31" t="inlineStr">
        <is>
          <t>Nifty Infra</t>
        </is>
      </c>
      <c r="T336" s="32" t="n">
        <v>1.87</v>
      </c>
      <c r="U336" s="32" t="n">
        <v>7.68</v>
      </c>
      <c r="V336" s="32" t="n">
        <v>5.7</v>
      </c>
      <c r="W336" s="32" t="n">
        <v>2.68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Headwind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1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Yes</t>
        </is>
      </c>
      <c r="BS336" s="31">
        <f>IF(BR336="NO",5,0)</f>
        <v/>
      </c>
      <c r="BT336" s="31" t="inlineStr">
        <is>
          <t>Between 1.5 to 2</t>
        </is>
      </c>
      <c r="BU336" s="31">
        <f>IF(BT336="Above 2",0,IF(BT336="Between 1.5 to 2",5,IF(BT336="Less than 1.5",10,0)))</f>
        <v/>
      </c>
      <c r="BV336" s="31" t="inlineStr">
        <is>
          <t>Between 50% to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IF(B337=0,"",RANK(B337,$B$2:$B$372,0))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SIMPLEXINF</t>
        </is>
      </c>
      <c r="D337" s="31" t="inlineStr">
        <is>
          <t>Simplex Infrastructures Limited</t>
        </is>
      </c>
      <c r="E337" s="31" t="inlineStr">
        <is>
          <t>realty</t>
        </is>
      </c>
      <c r="F337" s="31" t="inlineStr">
        <is>
          <t>construction</t>
        </is>
      </c>
      <c r="G337" s="31" t="inlineStr">
        <is>
          <t>smallcap</t>
        </is>
      </c>
      <c r="H337" s="32" t="n">
        <v>2117.78</v>
      </c>
      <c r="I337" s="32" t="n">
        <v>272.05</v>
      </c>
      <c r="J337" s="32" t="n">
        <v>1.61</v>
      </c>
      <c r="K337" s="32" t="n">
        <v>277658</v>
      </c>
      <c r="L337" s="31" t="n">
        <v>53</v>
      </c>
      <c r="M337" s="31" t="inlineStr">
        <is>
          <t>Outperforming</t>
        </is>
      </c>
      <c r="N337" s="32">
        <f>IF(M337="Underperforming",-5,IF(L337&gt;=95,15,IF(L337&gt;=90,10,IF(L337&gt;=80,5,0))))</f>
        <v/>
      </c>
      <c r="O337" s="32" t="n">
        <v>58.59</v>
      </c>
      <c r="P337" s="32" t="n">
        <v>14.65</v>
      </c>
      <c r="Q337" s="32" t="n">
        <v>186.41</v>
      </c>
      <c r="R337" s="31" t="inlineStr">
        <is>
          <t>Earnings / Momentum Support</t>
        </is>
      </c>
      <c r="S337" s="31" t="inlineStr">
        <is>
          <t>Nifty Realty</t>
        </is>
      </c>
      <c r="T337" s="32" t="n">
        <v>-2.52</v>
      </c>
      <c r="U337" s="32" t="n">
        <v>3.6</v>
      </c>
      <c r="V337" s="32" t="n">
        <v>6.28</v>
      </c>
      <c r="W337" s="32" t="n">
        <v>11.1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More than 1.2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IF(B338=0,"",RANK(B338,$B$2:$B$372,0))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ALKEM</t>
        </is>
      </c>
      <c r="D338" s="31" t="inlineStr">
        <is>
          <t>Alkem Laboratories Limited</t>
        </is>
      </c>
      <c r="E338" s="31" t="inlineStr">
        <is>
          <t>healthcare</t>
        </is>
      </c>
      <c r="F338" s="31" t="inlineStr">
        <is>
          <t>pharmaceuticals - indian - bulk drugs &amp; formln</t>
        </is>
      </c>
      <c r="G338" s="31" t="inlineStr">
        <is>
          <t>largecap</t>
        </is>
      </c>
      <c r="H338" s="32" t="n">
        <v>67536.28999999999</v>
      </c>
      <c r="I338" s="32" t="n">
        <v>5676</v>
      </c>
      <c r="J338" s="32" t="n">
        <v>0.49</v>
      </c>
      <c r="K338" s="32" t="n">
        <v>104140</v>
      </c>
      <c r="L338" s="31" t="n">
        <v>22</v>
      </c>
      <c r="M338" s="31" t="inlineStr">
        <is>
          <t>Outperforming</t>
        </is>
      </c>
      <c r="N338" s="32">
        <f>IF(M338="Underperforming",-5,IF(L338&gt;=95,15,IF(L338&gt;=90,10,IF(L338&gt;=80,5,0))))</f>
        <v/>
      </c>
      <c r="O338" s="32" t="n">
        <v>57.02</v>
      </c>
      <c r="P338" s="32" t="n">
        <v>15.67</v>
      </c>
      <c r="Q338" s="32" t="n">
        <v>4844.16</v>
      </c>
      <c r="R338" s="31" t="inlineStr">
        <is>
          <t>Near 52W High Breakout</t>
        </is>
      </c>
      <c r="S338" s="31" t="inlineStr">
        <is>
          <t>Nifty Pharma</t>
        </is>
      </c>
      <c r="T338" s="32" t="n">
        <v>15.51</v>
      </c>
      <c r="U338" s="32" t="n">
        <v>19.1</v>
      </c>
      <c r="V338" s="32" t="n">
        <v>3.1</v>
      </c>
      <c r="W338" s="32" t="n">
        <v>4.6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Yes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Yes</t>
        </is>
      </c>
      <c r="AQ338" s="31">
        <f>IF(AP338="Yes",10,0)</f>
        <v/>
      </c>
      <c r="AR338" s="31" t="inlineStr">
        <is>
          <t>Higher Annuity, Lower One Time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1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Between 50% to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IF(B339=0,"",RANK(B339,$B$2:$B$372,0))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3" t="inlineStr">
        <is>
          <t>BHARTIHEXA</t>
        </is>
      </c>
      <c r="D339" s="33" t="inlineStr">
        <is>
          <t>Bharti Hexacom Ltd</t>
        </is>
      </c>
      <c r="E339" s="31" t="inlineStr">
        <is>
          <t>telecom-service</t>
        </is>
      </c>
      <c r="F339" s="31" t="inlineStr">
        <is>
          <t>telecommunications - service provider</t>
        </is>
      </c>
      <c r="G339" s="31" t="inlineStr">
        <is>
          <t>largecap</t>
        </is>
      </c>
      <c r="H339" s="32" t="n">
        <v>78575</v>
      </c>
      <c r="I339" s="32" t="n">
        <v>1615</v>
      </c>
      <c r="J339" s="32" t="n">
        <v>2.77</v>
      </c>
      <c r="K339" s="32" t="n">
        <v>159659</v>
      </c>
      <c r="L339" s="31" t="n">
        <v>2</v>
      </c>
      <c r="M339" s="31" t="inlineStr">
        <is>
          <t>Underperforming</t>
        </is>
      </c>
      <c r="N339" s="32">
        <f>IF(M339="Underperforming",-5,IF(L339&gt;=95,15,IF(L339&gt;=90,10,IF(L339&gt;=80,5,0))))</f>
        <v/>
      </c>
      <c r="O339" s="32" t="n">
        <v>53.89</v>
      </c>
      <c r="P339" s="32" t="n">
        <v>27.69</v>
      </c>
      <c r="Q339" s="32" t="n">
        <v>1314.7</v>
      </c>
      <c r="R339" s="31" t="inlineStr">
        <is>
          <t>Volume Spike / Accumulation</t>
        </is>
      </c>
      <c r="S339" s="31" t="inlineStr">
        <is>
          <t>Nifty 50</t>
        </is>
      </c>
      <c r="T339" s="32" t="n">
        <v>-3.75</v>
      </c>
      <c r="U339" s="32" t="n">
        <v>-9.91</v>
      </c>
      <c r="V339" s="32" t="n">
        <v>-6.4</v>
      </c>
      <c r="W339" s="32" t="n">
        <v>-0.79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Oligopoly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Yes</t>
        </is>
      </c>
      <c r="AC339" s="31">
        <f>IF(AB339="No",5,0)</f>
        <v/>
      </c>
      <c r="AD339" s="31" t="inlineStr">
        <is>
          <t>Headwind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Yes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20 to 40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1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Less than 12%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Between 0.7 to 1.2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IF(B340=0,"",RANK(B340,$B$2:$B$372,0))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3" t="inlineStr">
        <is>
          <t>GRAVITA</t>
        </is>
      </c>
      <c r="D340" s="33" t="inlineStr">
        <is>
          <t>Gravita India Limited</t>
        </is>
      </c>
      <c r="E340" s="31" t="inlineStr">
        <is>
          <t>metals &amp; mining</t>
        </is>
      </c>
      <c r="F340" s="31" t="inlineStr">
        <is>
          <t>mining / minerals / metals</t>
        </is>
      </c>
      <c r="G340" s="31" t="inlineStr">
        <is>
          <t>midcap</t>
        </is>
      </c>
      <c r="H340" s="32" t="n">
        <v>13369.66</v>
      </c>
      <c r="I340" s="32" t="n">
        <v>1854.6</v>
      </c>
      <c r="J340" s="32" t="n">
        <v>2.38</v>
      </c>
      <c r="K340" s="32" t="n">
        <v>597601</v>
      </c>
      <c r="L340" s="31" t="n">
        <v>27</v>
      </c>
      <c r="M340" s="31" t="inlineStr">
        <is>
          <t>Underperforming</t>
        </is>
      </c>
      <c r="N340" s="32">
        <f>IF(M340="Underperforming",-5,IF(L340&gt;=95,15,IF(L340&gt;=90,10,IF(L340&gt;=80,5,0))))</f>
        <v/>
      </c>
      <c r="O340" s="32" t="n">
        <v>60.79</v>
      </c>
      <c r="P340" s="32" t="n">
        <v>14.16</v>
      </c>
      <c r="Q340" s="32" t="n">
        <v>1442.71</v>
      </c>
      <c r="R340" s="31" t="inlineStr">
        <is>
          <t>Volume Spike &amp; Near 52W High Breakout</t>
        </is>
      </c>
      <c r="S340" s="31" t="inlineStr">
        <is>
          <t>Nifty Metal</t>
        </is>
      </c>
      <c r="T340" s="32" t="n">
        <v>35.24</v>
      </c>
      <c r="U340" s="32" t="n">
        <v>6.67</v>
      </c>
      <c r="V340" s="32" t="n">
        <v>-21.13</v>
      </c>
      <c r="W340" s="32" t="n">
        <v>5.51</v>
      </c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Cyclical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Volatile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Yes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Less than 12%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Less than 50%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IF(B341=0,"",RANK(B341,$B$2:$B$372,0))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SGIL</t>
        </is>
      </c>
      <c r="D341" s="31" t="inlineStr">
        <is>
          <t>Synergy Green Industries Ltd</t>
        </is>
      </c>
      <c r="E341" s="31" t="inlineStr">
        <is>
          <t>industrials</t>
        </is>
      </c>
      <c r="F341" s="31" t="inlineStr">
        <is>
          <t>castings &amp; forgings</t>
        </is>
      </c>
      <c r="G341" s="31" t="inlineStr">
        <is>
          <t>smallcap</t>
        </is>
      </c>
      <c r="H341" s="32" t="n">
        <v>923.1</v>
      </c>
      <c r="I341" s="32" t="n">
        <v>603.8</v>
      </c>
      <c r="J341" s="32" t="n">
        <v>1.67</v>
      </c>
      <c r="K341" s="32" t="n">
        <v>23899</v>
      </c>
      <c r="L341" s="31" t="n">
        <v>35</v>
      </c>
      <c r="M341" s="31" t="inlineStr">
        <is>
          <t>Outperforming</t>
        </is>
      </c>
      <c r="N341" s="32">
        <f>IF(M341="Underperforming",-5,IF(L341&gt;=95,15,IF(L341&gt;=90,10,IF(L341&gt;=80,5,0))))</f>
        <v/>
      </c>
      <c r="O341" s="32" t="n">
        <v>60.62</v>
      </c>
      <c r="P341" s="32" t="n">
        <v>17.62</v>
      </c>
      <c r="Q341" s="32" t="n">
        <v>448.82</v>
      </c>
      <c r="R341" s="31" t="inlineStr">
        <is>
          <t>Near 52W High Breakout</t>
        </is>
      </c>
      <c r="S341" s="31" t="inlineStr">
        <is>
          <t>Nifty 50</t>
        </is>
      </c>
      <c r="T341" s="32" t="n">
        <v>-3.75</v>
      </c>
      <c r="U341" s="32" t="n">
        <v>14.3</v>
      </c>
      <c r="V341" s="32" t="n">
        <v>18.75</v>
      </c>
      <c r="W341" s="32" t="n">
        <v>6.9</v>
      </c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Structural (10 Years Consistency)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Yes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0 to 20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Blue sky scenario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Less than 12%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Yes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Less than 50% and Borrowings are increasing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More than 1.2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IF(B342=0,"",RANK(B342,$B$2:$B$372,0))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3" t="inlineStr">
        <is>
          <t>UNOMINDA</t>
        </is>
      </c>
      <c r="D342" s="33" t="inlineStr">
        <is>
          <t>Uno Minda Ltd</t>
        </is>
      </c>
      <c r="E342" s="31" t="inlineStr">
        <is>
          <t>auto</t>
        </is>
      </c>
      <c r="F342" s="31" t="inlineStr">
        <is>
          <t>auto ancillaries</t>
        </is>
      </c>
      <c r="G342" s="31" t="inlineStr">
        <is>
          <t>largecap</t>
        </is>
      </c>
      <c r="H342" s="32" t="n">
        <v>66663.35000000001</v>
      </c>
      <c r="I342" s="32" t="n">
        <v>1166.1</v>
      </c>
      <c r="J342" s="32" t="n">
        <v>1</v>
      </c>
      <c r="K342" s="32" t="n">
        <v>925292</v>
      </c>
      <c r="L342" s="31" t="n">
        <v>18</v>
      </c>
      <c r="M342" s="31" t="inlineStr">
        <is>
          <t>Underperforming</t>
        </is>
      </c>
      <c r="N342" s="32">
        <f>IF(M342="Underperforming",-5,IF(L342&gt;=95,15,IF(L342&gt;=90,10,IF(L342&gt;=80,5,0))))</f>
        <v/>
      </c>
      <c r="O342" s="32" t="n">
        <v>54.07</v>
      </c>
      <c r="P342" s="32" t="n">
        <v>15.14</v>
      </c>
      <c r="Q342" s="32" t="n">
        <v>935.08</v>
      </c>
      <c r="R342" s="31" t="inlineStr">
        <is>
          <t>Earnings / Momentum Support</t>
        </is>
      </c>
      <c r="S342" s="31" t="inlineStr">
        <is>
          <t>Nifty Auto</t>
        </is>
      </c>
      <c r="T342" s="32" t="n">
        <v>14.33</v>
      </c>
      <c r="U342" s="32" t="n">
        <v>8.92</v>
      </c>
      <c r="V342" s="32" t="n">
        <v>-4.73</v>
      </c>
      <c r="W342" s="32" t="n">
        <v>3.83</v>
      </c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Structural (10 Years Consistency)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1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Yes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IF(B343=0,"",RANK(B343,$B$2:$B$372,0))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3" t="inlineStr">
        <is>
          <t>RAJRATAN</t>
        </is>
      </c>
      <c r="D343" s="33" t="inlineStr">
        <is>
          <t>Rajratan Global Wire Ltd</t>
        </is>
      </c>
      <c r="E343" s="31" t="inlineStr">
        <is>
          <t>metals &amp; mining</t>
        </is>
      </c>
      <c r="F343" s="31" t="inlineStr">
        <is>
          <t>steel - medium / small</t>
        </is>
      </c>
      <c r="G343" s="31" t="inlineStr">
        <is>
          <t>smallcap</t>
        </is>
      </c>
      <c r="H343" s="32" t="n">
        <v>2364.66</v>
      </c>
      <c r="I343" s="32" t="n">
        <v>482.05</v>
      </c>
      <c r="J343" s="32" t="n">
        <v>3.5</v>
      </c>
      <c r="K343" s="32" t="n">
        <v>93828</v>
      </c>
      <c r="L343" s="31" t="n">
        <v>49</v>
      </c>
      <c r="M343" s="31" t="inlineStr">
        <is>
          <t>Underperforming</t>
        </is>
      </c>
      <c r="N343" s="32">
        <f>IF(M343="Underperforming",-5,IF(L343&gt;=95,15,IF(L343&gt;=90,10,IF(L343&gt;=80,5,0))))</f>
        <v/>
      </c>
      <c r="O343" s="32" t="n">
        <v>60.32</v>
      </c>
      <c r="P343" s="32" t="n">
        <v>8.31</v>
      </c>
      <c r="Q343" s="32" t="n">
        <v>356.61</v>
      </c>
      <c r="R343" s="31" t="inlineStr">
        <is>
          <t>Volume Spike / Accumulation</t>
        </is>
      </c>
      <c r="S343" s="31" t="inlineStr">
        <is>
          <t>Nifty Metal</t>
        </is>
      </c>
      <c r="T343" s="32" t="n">
        <v>35.24</v>
      </c>
      <c r="U343" s="32" t="n">
        <v>16.09</v>
      </c>
      <c r="V343" s="32" t="n">
        <v>-14.15</v>
      </c>
      <c r="W343" s="32" t="n">
        <v>9.76</v>
      </c>
      <c r="X343" s="31" t="inlineStr">
        <is>
          <t>Cyclical in an Upturn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Headwind</t>
        </is>
      </c>
      <c r="AE343" s="31">
        <f>IF(AD343="Tailwind",10,0)</f>
        <v/>
      </c>
      <c r="AF343" s="31" t="inlineStr">
        <is>
          <t>Cyclical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Volatile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Yes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Less than 12%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Between 50% to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IF(B344=0,"",RANK(B344,$B$2:$B$372,0))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DOMS</t>
        </is>
      </c>
      <c r="D344" s="31" t="inlineStr">
        <is>
          <t>Doms Industries Ltd</t>
        </is>
      </c>
      <c r="E344" s="31" t="inlineStr">
        <is>
          <t>miscellaneous</t>
        </is>
      </c>
      <c r="F344" s="31" t="inlineStr">
        <is>
          <t>printing &amp; stationery</t>
        </is>
      </c>
      <c r="G344" s="31" t="inlineStr">
        <is>
          <t>midcap</t>
        </is>
      </c>
      <c r="H344" s="32" t="n">
        <v>14092.44</v>
      </c>
      <c r="I344" s="32" t="n">
        <v>2372</v>
      </c>
      <c r="J344" s="32" t="n">
        <v>2.15</v>
      </c>
      <c r="K344" s="32" t="n">
        <v>111700</v>
      </c>
      <c r="L344" s="31" t="n">
        <v>3</v>
      </c>
      <c r="M344" s="31" t="inlineStr">
        <is>
          <t>Outperforming</t>
        </is>
      </c>
      <c r="N344" s="32">
        <f>IF(M344="Underperforming",-5,IF(L344&gt;=95,15,IF(L344&gt;=90,10,IF(L344&gt;=80,5,0))))</f>
        <v/>
      </c>
      <c r="O344" s="32" t="n">
        <v>52.93</v>
      </c>
      <c r="P344" s="32" t="n">
        <v>8.69</v>
      </c>
      <c r="Q344" s="32" t="n">
        <v>1923.12</v>
      </c>
      <c r="R344" s="31" t="inlineStr">
        <is>
          <t>Earnings / Momentum Support</t>
        </is>
      </c>
      <c r="S344" s="31" t="inlineStr">
        <is>
          <t>Nifty 50</t>
        </is>
      </c>
      <c r="T344" s="32" t="n">
        <v>-3.75</v>
      </c>
      <c r="U344" s="32" t="n">
        <v>0.91</v>
      </c>
      <c r="V344" s="32" t="n">
        <v>4.84</v>
      </c>
      <c r="W344" s="32" t="n">
        <v>-0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Headwind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1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Between 12 to 20%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Yes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Between 50% to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IF(B345=0,"",RANK(B345,$B$2:$B$372,0))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3" t="inlineStr">
        <is>
          <t>ELECTHERM</t>
        </is>
      </c>
      <c r="D345" s="33" t="inlineStr">
        <is>
          <t>Electrotherm (india) Limited</t>
        </is>
      </c>
      <c r="E345" s="31" t="inlineStr">
        <is>
          <t>metals &amp; mining</t>
        </is>
      </c>
      <c r="F345" s="31" t="inlineStr">
        <is>
          <t>steel - medium / small</t>
        </is>
      </c>
      <c r="G345" s="31" t="inlineStr">
        <is>
          <t>smallcap</t>
        </is>
      </c>
      <c r="H345" s="32" t="n">
        <v>1426.05</v>
      </c>
      <c r="I345" s="32" t="n">
        <v>1130</v>
      </c>
      <c r="J345" s="32" t="n">
        <v>0.97</v>
      </c>
      <c r="K345" s="32" t="n">
        <v>9284</v>
      </c>
      <c r="L345" s="31" t="n">
        <v>66</v>
      </c>
      <c r="M345" s="31" t="inlineStr">
        <is>
          <t>Underperforming</t>
        </is>
      </c>
      <c r="N345" s="32">
        <f>IF(M345="Underperforming",-5,IF(L345&gt;=95,15,IF(L345&gt;=90,10,IF(L345&gt;=80,5,0))))</f>
        <v/>
      </c>
      <c r="O345" s="32" t="n">
        <v>61.43</v>
      </c>
      <c r="P345" s="32" t="n">
        <v>33.43</v>
      </c>
      <c r="Q345" s="32" t="n">
        <v>760.14</v>
      </c>
      <c r="R345" s="31" t="inlineStr">
        <is>
          <t>Earnings / Momentum Support</t>
        </is>
      </c>
      <c r="S345" s="31" t="inlineStr">
        <is>
          <t>Nifty Metal</t>
        </is>
      </c>
      <c r="T345" s="32" t="n">
        <v>35.24</v>
      </c>
      <c r="U345" s="32" t="n">
        <v>1.86</v>
      </c>
      <c r="V345" s="32" t="n">
        <v>-24.68</v>
      </c>
      <c r="W345" s="32" t="n">
        <v>14.97</v>
      </c>
      <c r="X345" s="31" t="inlineStr">
        <is>
          <t>Cyclical in an Upturn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Cyclical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20 to 40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2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Less than 12%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Less than 1.5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IF(B346=0,"",RANK(B346,$B$2:$B$372,0))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3" t="inlineStr">
        <is>
          <t>SHREECEM</t>
        </is>
      </c>
      <c r="D346" s="33" t="inlineStr">
        <is>
          <t>Shree Cements Limited</t>
        </is>
      </c>
      <c r="E346" s="31" t="inlineStr">
        <is>
          <t>building materials</t>
        </is>
      </c>
      <c r="F346" s="31" t="inlineStr">
        <is>
          <t>cement - north india</t>
        </is>
      </c>
      <c r="G346" s="31" t="inlineStr">
        <is>
          <t>largecap</t>
        </is>
      </c>
      <c r="H346" s="32" t="n">
        <v>94874.33</v>
      </c>
      <c r="I346" s="32" t="n">
        <v>26690</v>
      </c>
      <c r="J346" s="32" t="n">
        <v>1.5</v>
      </c>
      <c r="K346" s="32" t="n">
        <v>6542</v>
      </c>
      <c r="L346" s="31" t="n">
        <v>1</v>
      </c>
      <c r="M346" s="31" t="inlineStr">
        <is>
          <t>Underperforming</t>
        </is>
      </c>
      <c r="N346" s="32">
        <f>IF(M346="Underperforming",-5,IF(L346&gt;=95,15,IF(L346&gt;=90,10,IF(L346&gt;=80,5,0))))</f>
        <v/>
      </c>
      <c r="O346" s="32" t="n">
        <v>55.83</v>
      </c>
      <c r="P346" s="32" t="n">
        <v>15.94</v>
      </c>
      <c r="Q346" s="32" t="n">
        <v>22844.84</v>
      </c>
      <c r="R346" s="31" t="inlineStr">
        <is>
          <t>Earnings / Momentum Support</t>
        </is>
      </c>
      <c r="S346" s="31" t="inlineStr">
        <is>
          <t>Nifty Infra</t>
        </is>
      </c>
      <c r="T346" s="32" t="n">
        <v>1.87</v>
      </c>
      <c r="U346" s="32" t="n">
        <v>-14.31</v>
      </c>
      <c r="V346" s="32" t="n">
        <v>-15.88</v>
      </c>
      <c r="W346" s="32" t="n">
        <v>-0.9399999999999999</v>
      </c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Headwind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1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Less than 12%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Yes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IF(B347=0,"",RANK(B347,$B$2:$B$372,0))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3" t="inlineStr">
        <is>
          <t>ENTERO</t>
        </is>
      </c>
      <c r="D347" s="33" t="inlineStr">
        <is>
          <t>Entero Healthcare Solutions Ltd</t>
        </is>
      </c>
      <c r="E347" s="31" t="inlineStr">
        <is>
          <t>healthcare</t>
        </is>
      </c>
      <c r="F347" s="31" t="inlineStr">
        <is>
          <t>trading</t>
        </is>
      </c>
      <c r="G347" s="31" t="inlineStr">
        <is>
          <t>midcap</t>
        </is>
      </c>
      <c r="H347" s="32" t="n">
        <v>5292.67</v>
      </c>
      <c r="I347" s="32" t="n">
        <v>1210.9</v>
      </c>
      <c r="J347" s="32" t="n">
        <v>-0.45</v>
      </c>
      <c r="K347" s="32" t="n">
        <v>91817</v>
      </c>
      <c r="L347" s="31" t="n">
        <v>3</v>
      </c>
      <c r="M347" s="31" t="inlineStr">
        <is>
          <t>Underperforming</t>
        </is>
      </c>
      <c r="N347" s="32">
        <f>IF(M347="Underperforming",-5,IF(L347&gt;=95,15,IF(L347&gt;=90,10,IF(L347&gt;=80,5,0))))</f>
        <v/>
      </c>
      <c r="O347" s="32" t="n">
        <v>52.79</v>
      </c>
      <c r="P347" s="32" t="n">
        <v>17.67</v>
      </c>
      <c r="Q347" s="32" t="n">
        <v>1024.97</v>
      </c>
      <c r="R347" s="31" t="inlineStr">
        <is>
          <t>Earnings / Momentum Support</t>
        </is>
      </c>
      <c r="S347" s="31" t="inlineStr">
        <is>
          <t>Nifty Pharma</t>
        </is>
      </c>
      <c r="T347" s="32" t="n">
        <v>15.51</v>
      </c>
      <c r="U347" s="32" t="n">
        <v>-4.77</v>
      </c>
      <c r="V347" s="32" t="n">
        <v>-17.56</v>
      </c>
      <c r="W347" s="32" t="n">
        <v>-0.57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Yes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Annuity, Lower One Time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1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Yes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Less than 50%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IF(B348=0,"",RANK(B348,$B$2:$B$372,0))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BALAMINES</t>
        </is>
      </c>
      <c r="D348" s="31" t="inlineStr">
        <is>
          <t>Balaji Amines Limited</t>
        </is>
      </c>
      <c r="E348" s="31" t="inlineStr">
        <is>
          <t>chemicals</t>
        </is>
      </c>
      <c r="F348" s="31" t="inlineStr">
        <is>
          <t>chemicals</t>
        </is>
      </c>
      <c r="G348" s="31" t="inlineStr">
        <is>
          <t>midcap</t>
        </is>
      </c>
      <c r="H348" s="32" t="n">
        <v>7659.6</v>
      </c>
      <c r="I348" s="32" t="n">
        <v>2414.9</v>
      </c>
      <c r="J348" s="32" t="n">
        <v>2.15</v>
      </c>
      <c r="K348" s="32" t="n">
        <v>443698</v>
      </c>
      <c r="L348" s="31" t="n">
        <v>95</v>
      </c>
      <c r="M348" s="31" t="inlineStr">
        <is>
          <t>Outperforming</t>
        </is>
      </c>
      <c r="N348" s="32">
        <f>IF(M348="Underperforming",-5,IF(L348&gt;=95,15,IF(L348&gt;=90,10,IF(L348&gt;=80,5,0))))</f>
        <v/>
      </c>
      <c r="O348" s="32" t="n">
        <v>80.26000000000001</v>
      </c>
      <c r="P348" s="32" t="n">
        <v>53.01</v>
      </c>
      <c r="Q348" s="32" t="n">
        <v>1785.2</v>
      </c>
      <c r="R348" s="31" t="inlineStr">
        <is>
          <t>Near 52W High Breakout</t>
        </is>
      </c>
      <c r="S348" s="31" t="inlineStr">
        <is>
          <t>Nifty 50</t>
        </is>
      </c>
      <c r="T348" s="32" t="n">
        <v>-3.75</v>
      </c>
      <c r="U348" s="32" t="n">
        <v>36.07</v>
      </c>
      <c r="V348" s="32" t="n">
        <v>41.37</v>
      </c>
      <c r="W348" s="32" t="n">
        <v>41.03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Duopoly That Cooperate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Headwind</t>
        </is>
      </c>
      <c r="AE348" s="31">
        <f>IF(AD348="Tailwind",10,0)</f>
        <v/>
      </c>
      <c r="AF348" s="31" t="inlineStr">
        <is>
          <t>Shallow Cyclical (2 to 3 Years Growth)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Yes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20 to 40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4</t>
        </is>
      </c>
      <c r="BC348" s="31">
        <f>IF(BB348="Stage 2",20,IF(BB348="Stage 1",0,IF(BB348="Stage 3",5,IF(BB348="Stage 4",-5,0))))</f>
        <v/>
      </c>
      <c r="BD348" s="31" t="inlineStr">
        <is>
          <t>Negative Trend</t>
        </is>
      </c>
      <c r="BE348" s="31">
        <f>IF(BD348="Positive Trend",20,IF(BD348="Negative Trend",-10,0))</f>
        <v/>
      </c>
      <c r="BF348" s="31" t="inlineStr">
        <is>
          <t>Downtrend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Overhead supply in last 2 years in last 2 years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No</t>
        </is>
      </c>
      <c r="BM348" s="31">
        <f>IF(BL348="Yes",10,0)</f>
        <v/>
      </c>
      <c r="BN348" s="31" t="inlineStr">
        <is>
          <t>More than 20%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Yes</t>
        </is>
      </c>
      <c r="BS348" s="31">
        <f>IF(BR348="NO",5,0)</f>
        <v/>
      </c>
      <c r="BT348" s="31" t="inlineStr">
        <is>
          <t>Less than 1.5</t>
        </is>
      </c>
      <c r="BU348" s="31">
        <f>IF(BT348="Above 2",0,IF(BT348="Between 1.5 to 2",5,IF(BT348="Less than 1.5",10,0)))</f>
        <v/>
      </c>
      <c r="BV348" s="31" t="inlineStr">
        <is>
          <t>Between 50% to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IF(B349=0,"",RANK(B349,$B$2:$B$372,0))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TVSMOTOR</t>
        </is>
      </c>
      <c r="D349" s="31" t="inlineStr">
        <is>
          <t>Tvs Motor Company Limited</t>
        </is>
      </c>
      <c r="E349" s="31" t="inlineStr">
        <is>
          <t>auto</t>
        </is>
      </c>
      <c r="F349" s="31" t="inlineStr">
        <is>
          <t>automobiles - motorcycles / mopeds</t>
        </is>
      </c>
      <c r="G349" s="31" t="inlineStr">
        <is>
          <t>largecap</t>
        </is>
      </c>
      <c r="H349" s="32" t="n">
        <v>172271.34</v>
      </c>
      <c r="I349" s="32" t="n">
        <v>3623.1</v>
      </c>
      <c r="J349" s="32" t="n">
        <v>-0.08</v>
      </c>
      <c r="K349" s="32" t="n">
        <v>345846</v>
      </c>
      <c r="L349" s="31" t="n">
        <v>24</v>
      </c>
      <c r="M349" s="31" t="inlineStr">
        <is>
          <t>Outperforming</t>
        </is>
      </c>
      <c r="N349" s="32">
        <f>IF(M349="Underperforming",-5,IF(L349&gt;=95,15,IF(L349&gt;=90,10,IF(L349&gt;=80,5,0))))</f>
        <v/>
      </c>
      <c r="O349" s="32" t="n">
        <v>53.87</v>
      </c>
      <c r="P349" s="32" t="n">
        <v>9.01</v>
      </c>
      <c r="Q349" s="32" t="n">
        <v>3188.63</v>
      </c>
      <c r="R349" s="31" t="inlineStr">
        <is>
          <t>Earnings / Momentum Support</t>
        </is>
      </c>
      <c r="S349" s="31" t="inlineStr">
        <is>
          <t>Nifty Auto</t>
        </is>
      </c>
      <c r="T349" s="32" t="n">
        <v>14.33</v>
      </c>
      <c r="U349" s="32" t="n">
        <v>31.99</v>
      </c>
      <c r="V349" s="32" t="n">
        <v>15.45</v>
      </c>
      <c r="W349" s="32" t="n">
        <v>5.13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Headwind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2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Between 12 to 20%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Yes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Less than 50% and Borrowings are increasing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More than 1.2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IF(B350=0,"",RANK(B350,$B$2:$B$372,0))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FLUOROCHEM</t>
        </is>
      </c>
      <c r="D350" s="31" t="inlineStr">
        <is>
          <t>Gujarat Fluorochemicals Ltd</t>
        </is>
      </c>
      <c r="E350" s="31" t="inlineStr">
        <is>
          <t>chemicals</t>
        </is>
      </c>
      <c r="F350" s="31" t="inlineStr">
        <is>
          <t>chemicals</t>
        </is>
      </c>
      <c r="G350" s="31" t="inlineStr">
        <is>
          <t>largecap</t>
        </is>
      </c>
      <c r="H350" s="32" t="n">
        <v>42441.65</v>
      </c>
      <c r="I350" s="32" t="n">
        <v>3941.5</v>
      </c>
      <c r="J350" s="32" t="n">
        <v>2.02</v>
      </c>
      <c r="K350" s="32" t="n">
        <v>108651</v>
      </c>
      <c r="L350" s="31" t="n">
        <v>35</v>
      </c>
      <c r="M350" s="31" t="inlineStr">
        <is>
          <t>Outperforming</t>
        </is>
      </c>
      <c r="N350" s="32">
        <f>IF(M350="Underperforming",-5,IF(L350&gt;=95,15,IF(L350&gt;=90,10,IF(L350&gt;=80,5,0))))</f>
        <v/>
      </c>
      <c r="O350" s="32" t="n">
        <v>62</v>
      </c>
      <c r="P350" s="32" t="n">
        <v>16.25</v>
      </c>
      <c r="Q350" s="32" t="n">
        <v>3259.67</v>
      </c>
      <c r="R350" s="31" t="inlineStr">
        <is>
          <t>Near 52W High Breakout</t>
        </is>
      </c>
      <c r="S350" s="31" t="inlineStr">
        <is>
          <t>Nifty 50</t>
        </is>
      </c>
      <c r="T350" s="32" t="n">
        <v>-3.75</v>
      </c>
      <c r="U350" s="32" t="n">
        <v>16.59</v>
      </c>
      <c r="V350" s="32" t="n">
        <v>21.13</v>
      </c>
      <c r="W350" s="32" t="n">
        <v>7.08</v>
      </c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Oligopoly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Shallow Cyclical (2 to 3 Years Growth)</t>
        </is>
      </c>
      <c r="AG350" s="31">
        <f>IF(AF350="Structural (10 Years Consistency)",10,IF(AF350="Shallow Cyclical (2 to 3 years growth)",5,0))</f>
        <v/>
      </c>
      <c r="AH350" s="31" t="inlineStr">
        <is>
          <t>Yes due to Product Mix change or Operating Leverage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Volatile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Yes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Allocated capital in Non-core Areas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Above 40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3</t>
        </is>
      </c>
      <c r="BC350" s="31">
        <f>IF(BB350="Stage 2",20,IF(BB350="Stage 1",0,IF(BB350="Stage 3",5,IF(BB350="Stage 4",-5,0))))</f>
        <v/>
      </c>
      <c r="BD350" s="31" t="inlineStr">
        <is>
          <t>Negative Trend</t>
        </is>
      </c>
      <c r="BE350" s="31">
        <f>IF(BD350="Positive Trend",20,IF(BD350="Negative Trend",-10,0))</f>
        <v/>
      </c>
      <c r="BF350" s="31" t="inlineStr">
        <is>
          <t>Sideways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Overhead supply in last 2 years in last 2 years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Less than 1.5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More than 15%</t>
        </is>
      </c>
      <c r="CC350" s="31">
        <f>IF(CB350="More than 15%",-10,IF(CB350="Less than 15%",10,0))</f>
        <v/>
      </c>
      <c r="CD350" s="31" t="inlineStr">
        <is>
          <t>Yes Upto 10%</t>
        </is>
      </c>
      <c r="CE350" s="31">
        <f>IF(CD350="Yes, more than 10%",-10,IF(CD350="No",10,0))</f>
        <v/>
      </c>
    </row>
    <row r="351">
      <c r="A351" s="31">
        <f>IF(B351=0,"",RANK(B351,$B$2:$B$372,0))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1" t="inlineStr">
        <is>
          <t>BLUSPRING</t>
        </is>
      </c>
      <c r="D351" s="31" t="inlineStr">
        <is>
          <t>Bluspring Enterprises Ltd</t>
        </is>
      </c>
      <c r="E351" s="31" t="inlineStr">
        <is>
          <t>miscellaneous</t>
        </is>
      </c>
      <c r="F351" s="31" t="inlineStr">
        <is>
          <t>diversified - large</t>
        </is>
      </c>
      <c r="G351" s="31" t="inlineStr">
        <is>
          <t>smallcap</t>
        </is>
      </c>
      <c r="H351" s="32" t="n">
        <v>1590.65</v>
      </c>
      <c r="I351" s="32" t="n">
        <v>113.04</v>
      </c>
      <c r="J351" s="32" t="n">
        <v>5.98</v>
      </c>
      <c r="K351" s="32" t="n">
        <v>1067981</v>
      </c>
      <c r="L351" s="31" t="inlineStr"/>
      <c r="M351" s="31" t="inlineStr"/>
      <c r="N351" s="32">
        <f>IF(M351="Underperforming",-5,IF(L351&gt;=95,15,IF(L351&gt;=90,10,IF(L351&gt;=80,5,0))))</f>
        <v/>
      </c>
      <c r="O351" s="32" t="inlineStr"/>
      <c r="P351" s="32" t="inlineStr"/>
      <c r="Q351" s="32" t="inlineStr"/>
      <c r="R351" s="31" t="inlineStr"/>
      <c r="S351" s="31" t="inlineStr"/>
      <c r="T351" s="32" t="inlineStr"/>
      <c r="U351" s="32" t="inlineStr"/>
      <c r="V351" s="32" t="inlineStr"/>
      <c r="W351" s="32" t="inlineStr"/>
      <c r="X351" s="31" t="n"/>
      <c r="Y351" s="31">
        <f>IF(X351="Growing Industry",10,IF(X351="Cyclical in an Upturn",5,0))</f>
        <v/>
      </c>
      <c r="Z351" s="31" t="n"/>
      <c r="AA351" s="31">
        <f>IF(Z351="Monopoly",10,IF(Z351="Oligopoly",5,IF(Z351="Duopoly that cooperate",10,IF(Z351="Duopoly that compete",5,IF(Z351="Too many players with High ROCE",5,0)))))</f>
        <v/>
      </c>
      <c r="AB351" s="31" t="n"/>
      <c r="AC351" s="31">
        <f>IF(AB351="No",5,0)</f>
        <v/>
      </c>
      <c r="AD351" s="31" t="n"/>
      <c r="AE351" s="31">
        <f>IF(AD351="Tailwind",10,0)</f>
        <v/>
      </c>
      <c r="AF351" s="31" t="n"/>
      <c r="AG351" s="31">
        <f>IF(AF351="Structural (10 Years Consistency)",10,IF(AF351="Shallow Cyclical (2 to 3 years growth)",5,0))</f>
        <v/>
      </c>
      <c r="AH351" s="31" t="n"/>
      <c r="AI351" s="31">
        <f>IF(AH351="Yes due to Product Mix change or Operating Leverage",10,IF(AH351="Yes, these are peak margins",-5,IF(AH351="No",5,0)))</f>
        <v/>
      </c>
      <c r="AJ351" s="31" t="n"/>
      <c r="AK351" s="31">
        <f>IF(AJ351="Stable",10,0)</f>
        <v/>
      </c>
      <c r="AL351" s="31" t="n"/>
      <c r="AM351" s="31">
        <f>IF(AL351="Yes",10,0)</f>
        <v/>
      </c>
      <c r="AN351" s="31" t="n"/>
      <c r="AO351" s="31">
        <f>IF(AN351="B2C",10,IF(AN351="B2B",5,0))</f>
        <v/>
      </c>
      <c r="AP351" s="31" t="n"/>
      <c r="AQ351" s="31">
        <f>IF(AP351="Yes",10,0)</f>
        <v/>
      </c>
      <c r="AR351" s="31" t="n"/>
      <c r="AS351" s="31">
        <f>IF(AR351="Fully Annuity",10,IF(AR351="Higher Annuity, Lower One Time",5,IF(AR351="Higher One Time, Lower Annuity",3,0)))</f>
        <v/>
      </c>
      <c r="AT351" s="31" t="n"/>
      <c r="AU351" s="31">
        <f>IF(AT351="Good",10,0)</f>
        <v/>
      </c>
      <c r="AV351" s="31" t="n"/>
      <c r="AW351" s="31">
        <f>IF(AV351="Yes for more than 2 years",10,IF(AV351="Yes only for next 1 to 2 years",5,0))</f>
        <v/>
      </c>
      <c r="AX351" s="31" t="n"/>
      <c r="AY351" s="31">
        <f>IF(AX351="Above 40",20,IF(AX351="20 to 40",10,IF(AX351="0 to 20",-5,0)))</f>
        <v/>
      </c>
      <c r="AZ351" s="31" t="n"/>
      <c r="BA351" s="31">
        <f>IF(AZ351="Between 50 to 75",10,IF(AZ351="Above 75",0,0))</f>
        <v/>
      </c>
      <c r="BB351" s="31" t="n"/>
      <c r="BC351" s="31">
        <f>IF(BB351="Stage 2",20,IF(BB351="Stage 1",0,IF(BB351="Stage 3",5,IF(BB351="Stage 4",-5,0))))</f>
        <v/>
      </c>
      <c r="BD351" s="31" t="n"/>
      <c r="BE351" s="31">
        <f>IF(BD351="Positive Trend",20,IF(BD351="Negative Trend",-10,0))</f>
        <v/>
      </c>
      <c r="BF351" s="31" t="n"/>
      <c r="BG351" s="31">
        <f>IF(BF351="Uptrend",10,IF(BF351="Sideways",5,0))</f>
        <v/>
      </c>
      <c r="BH351" s="31" t="n"/>
      <c r="BI351" s="31">
        <f>IF(BH351="Uptrend",10,IF(BH351="Sideways",5,0))</f>
        <v/>
      </c>
      <c r="BJ351" s="31" t="n"/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n"/>
      <c r="BM351" s="31">
        <f>IF(BL351="Yes",10,0)</f>
        <v/>
      </c>
      <c r="BN351" s="31" t="n"/>
      <c r="BO351" s="31">
        <f>IF(BN351="More than 20%",10,IF(BN351="Between 12 to 20%",5,IF(BN351="Less than 12%",0,0)))</f>
        <v/>
      </c>
      <c r="BP351" s="31" t="n"/>
      <c r="BQ351" s="31">
        <f>IF(BP351="No",10,0)</f>
        <v/>
      </c>
      <c r="BR351" s="31" t="n"/>
      <c r="BS351" s="31">
        <f>IF(BR351="NO",5,0)</f>
        <v/>
      </c>
      <c r="BT351" s="31" t="n"/>
      <c r="BU351" s="31">
        <f>IF(BT351="Above 2",0,IF(BT351="Between 1.5 to 2",5,IF(BT351="Less than 1.5",10,0)))</f>
        <v/>
      </c>
      <c r="BV351" s="31" t="n"/>
      <c r="BW351" s="31">
        <f>IF(BV351="Above 70%",10,IF(BV351="Between 50% to 70%",5,IF(BV351="Less than 50%",0,IF(BV351="Negative",-10,IF(BV351="Less than 50% and Borrowings are increasing",-5,0)))))</f>
        <v/>
      </c>
      <c r="BX351" s="31" t="n"/>
      <c r="BY351" s="31">
        <f>IF(BX351="More than 1.2",-10,IF(BX351="Between 0.7 to 1.2",0,IF(BX351="Less than 0.7",10,0)))</f>
        <v/>
      </c>
      <c r="BZ351" s="31" t="n"/>
      <c r="CA351" s="31">
        <f>IF(BZ351="Yes",-10,0)</f>
        <v/>
      </c>
      <c r="CB351" s="31" t="n"/>
      <c r="CC351" s="31">
        <f>IF(CB351="More than 15%",-10,IF(CB351="Less than 15%",10,0))</f>
        <v/>
      </c>
      <c r="CD351" s="31" t="n"/>
      <c r="CE351" s="31">
        <f>IF(CD351="Yes, more than 10%",-10,IF(CD351="No",10,0))</f>
        <v/>
      </c>
    </row>
    <row r="352">
      <c r="A352" s="31">
        <f>IF(B352=0,"",RANK(B352,$B$2:$B$372,0))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1" t="inlineStr">
        <is>
          <t>VENKEYS</t>
        </is>
      </c>
      <c r="D352" s="31" t="inlineStr">
        <is>
          <t>Venky's (india) Limited</t>
        </is>
      </c>
      <c r="E352" s="31" t="inlineStr">
        <is>
          <t>fmcg</t>
        </is>
      </c>
      <c r="F352" s="31" t="inlineStr">
        <is>
          <t>miscellaneous</t>
        </is>
      </c>
      <c r="G352" s="31" t="inlineStr">
        <is>
          <t>smallcap</t>
        </is>
      </c>
      <c r="H352" s="32" t="n">
        <v>1979.41</v>
      </c>
      <c r="I352" s="32" t="n">
        <v>1485.7</v>
      </c>
      <c r="J352" s="32" t="n">
        <v>5.74</v>
      </c>
      <c r="K352" s="32" t="n">
        <v>74957</v>
      </c>
      <c r="L352" s="31" t="inlineStr"/>
      <c r="M352" s="31" t="inlineStr"/>
      <c r="N352" s="32">
        <f>IF(M352="Underperforming",-5,IF(L352&gt;=95,15,IF(L352&gt;=90,10,IF(L352&gt;=80,5,0))))</f>
        <v/>
      </c>
      <c r="O352" s="32" t="inlineStr"/>
      <c r="P352" s="32" t="inlineStr"/>
      <c r="Q352" s="32" t="inlineStr"/>
      <c r="R352" s="31" t="inlineStr"/>
      <c r="S352" s="31" t="inlineStr"/>
      <c r="T352" s="32" t="inlineStr"/>
      <c r="U352" s="32" t="inlineStr"/>
      <c r="V352" s="32" t="inlineStr"/>
      <c r="W352" s="32" t="inlineStr"/>
      <c r="X352" s="31" t="n"/>
      <c r="Y352" s="31">
        <f>IF(X352="Growing Industry",10,IF(X352="Cyclical in an Upturn",5,0))</f>
        <v/>
      </c>
      <c r="Z352" s="31" t="n"/>
      <c r="AA352" s="31">
        <f>IF(Z352="Monopoly",10,IF(Z352="Oligopoly",5,IF(Z352="Duopoly that cooperate",10,IF(Z352="Duopoly that compete",5,IF(Z352="Too many players with High ROCE",5,0)))))</f>
        <v/>
      </c>
      <c r="AB352" s="31" t="n"/>
      <c r="AC352" s="31">
        <f>IF(AB352="No",5,0)</f>
        <v/>
      </c>
      <c r="AD352" s="31" t="n"/>
      <c r="AE352" s="31">
        <f>IF(AD352="Tailwind",10,0)</f>
        <v/>
      </c>
      <c r="AF352" s="31" t="n"/>
      <c r="AG352" s="31">
        <f>IF(AF352="Structural (10 Years Consistency)",10,IF(AF352="Shallow Cyclical (2 to 3 years growth)",5,0))</f>
        <v/>
      </c>
      <c r="AH352" s="31" t="n"/>
      <c r="AI352" s="31">
        <f>IF(AH352="Yes due to Product Mix change or Operating Leverage",10,IF(AH352="Yes, these are peak margins",-5,IF(AH352="No",5,0)))</f>
        <v/>
      </c>
      <c r="AJ352" s="31" t="n"/>
      <c r="AK352" s="31">
        <f>IF(AJ352="Stable",10,0)</f>
        <v/>
      </c>
      <c r="AL352" s="31" t="n"/>
      <c r="AM352" s="31">
        <f>IF(AL352="Yes",10,0)</f>
        <v/>
      </c>
      <c r="AN352" s="31" t="n"/>
      <c r="AO352" s="31">
        <f>IF(AN352="B2C",10,IF(AN352="B2B",5,0))</f>
        <v/>
      </c>
      <c r="AP352" s="31" t="n"/>
      <c r="AQ352" s="31">
        <f>IF(AP352="Yes",10,0)</f>
        <v/>
      </c>
      <c r="AR352" s="31" t="n"/>
      <c r="AS352" s="31">
        <f>IF(AR352="Fully Annuity",10,IF(AR352="Higher Annuity, Lower One Time",5,IF(AR352="Higher One Time, Lower Annuity",3,0)))</f>
        <v/>
      </c>
      <c r="AT352" s="31" t="n"/>
      <c r="AU352" s="31">
        <f>IF(AT352="Good",10,0)</f>
        <v/>
      </c>
      <c r="AV352" s="31" t="n"/>
      <c r="AW352" s="31">
        <f>IF(AV352="Yes for more than 2 years",10,IF(AV352="Yes only for next 1 to 2 years",5,0))</f>
        <v/>
      </c>
      <c r="AX352" s="31" t="n"/>
      <c r="AY352" s="31">
        <f>IF(AX352="Above 40",20,IF(AX352="20 to 40",10,IF(AX352="0 to 20",-5,0)))</f>
        <v/>
      </c>
      <c r="AZ352" s="31" t="n"/>
      <c r="BA352" s="31">
        <f>IF(AZ352="Between 50 to 75",10,IF(AZ352="Above 75",0,0))</f>
        <v/>
      </c>
      <c r="BB352" s="31" t="n"/>
      <c r="BC352" s="31">
        <f>IF(BB352="Stage 2",20,IF(BB352="Stage 1",0,IF(BB352="Stage 3",5,IF(BB352="Stage 4",-5,0))))</f>
        <v/>
      </c>
      <c r="BD352" s="31" t="n"/>
      <c r="BE352" s="31">
        <f>IF(BD352="Positive Trend",20,IF(BD352="Negative Trend",-10,0))</f>
        <v/>
      </c>
      <c r="BF352" s="31" t="n"/>
      <c r="BG352" s="31">
        <f>IF(BF352="Uptrend",10,IF(BF352="Sideways",5,0))</f>
        <v/>
      </c>
      <c r="BH352" s="31" t="n"/>
      <c r="BI352" s="31">
        <f>IF(BH352="Uptrend",10,IF(BH352="Sideways",5,0))</f>
        <v/>
      </c>
      <c r="BJ352" s="31" t="n"/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n"/>
      <c r="BM352" s="31">
        <f>IF(BL352="Yes",10,0)</f>
        <v/>
      </c>
      <c r="BN352" s="31" t="n"/>
      <c r="BO352" s="31">
        <f>IF(BN352="More than 20%",10,IF(BN352="Between 12 to 20%",5,IF(BN352="Less than 12%",0,0)))</f>
        <v/>
      </c>
      <c r="BP352" s="31" t="n"/>
      <c r="BQ352" s="31">
        <f>IF(BP352="No",10,0)</f>
        <v/>
      </c>
      <c r="BR352" s="31" t="n"/>
      <c r="BS352" s="31">
        <f>IF(BR352="NO",5,0)</f>
        <v/>
      </c>
      <c r="BT352" s="31" t="n"/>
      <c r="BU352" s="31">
        <f>IF(BT352="Above 2",0,IF(BT352="Between 1.5 to 2",5,IF(BT352="Less than 1.5",10,0)))</f>
        <v/>
      </c>
      <c r="BV352" s="31" t="n"/>
      <c r="BW352" s="31">
        <f>IF(BV352="Above 70%",10,IF(BV352="Between 50% to 70%",5,IF(BV352="Less than 50%",0,IF(BV352="Negative",-10,IF(BV352="Less than 50% and Borrowings are increasing",-5,0)))))</f>
        <v/>
      </c>
      <c r="BX352" s="31" t="n"/>
      <c r="BY352" s="31">
        <f>IF(BX352="More than 1.2",-10,IF(BX352="Between 0.7 to 1.2",0,IF(BX352="Less than 0.7",10,0)))</f>
        <v/>
      </c>
      <c r="BZ352" s="31" t="n"/>
      <c r="CA352" s="31">
        <f>IF(BZ352="Yes",-10,0)</f>
        <v/>
      </c>
      <c r="CB352" s="31" t="n"/>
      <c r="CC352" s="31">
        <f>IF(CB352="More than 15%",-10,IF(CB352="Less than 15%",10,0))</f>
        <v/>
      </c>
      <c r="CD352" s="31" t="n"/>
      <c r="CE352" s="31">
        <f>IF(CD352="Yes, more than 10%",-10,IF(CD352="No",10,0))</f>
        <v/>
      </c>
    </row>
    <row r="353">
      <c r="A353" s="31">
        <f>IF(B353=0,"",RANK(B353,$B$2:$B$372,0))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ZENTEC</t>
        </is>
      </c>
      <c r="D353" s="31" t="inlineStr">
        <is>
          <t>Zen Technologies Limited</t>
        </is>
      </c>
      <c r="E353" s="31" t="inlineStr">
        <is>
          <t>aerospace &amp; defence</t>
        </is>
      </c>
      <c r="F353" s="31" t="inlineStr">
        <is>
          <t>miscellaneous</t>
        </is>
      </c>
      <c r="G353" s="31" t="inlineStr">
        <is>
          <t>midcap</t>
        </is>
      </c>
      <c r="H353" s="32" t="n">
        <v>16369.64</v>
      </c>
      <c r="I353" s="32" t="n">
        <v>1880.4</v>
      </c>
      <c r="J353" s="32" t="n">
        <v>3.72</v>
      </c>
      <c r="K353" s="32" t="n">
        <v>598673</v>
      </c>
      <c r="L353" s="31" t="inlineStr"/>
      <c r="M353" s="31" t="inlineStr"/>
      <c r="N353" s="32">
        <f>IF(M353="Underperforming",-5,IF(L353&gt;=95,15,IF(L353&gt;=90,10,IF(L353&gt;=80,5,0))))</f>
        <v/>
      </c>
      <c r="O353" s="32" t="inlineStr"/>
      <c r="P353" s="32" t="inlineStr"/>
      <c r="Q353" s="32" t="inlineStr"/>
      <c r="R353" s="31" t="inlineStr"/>
      <c r="S353" s="31" t="inlineStr"/>
      <c r="T353" s="32" t="inlineStr"/>
      <c r="U353" s="32" t="inlineStr"/>
      <c r="V353" s="32" t="inlineStr"/>
      <c r="W353" s="32" t="inlineStr"/>
      <c r="X353" s="31" t="n"/>
      <c r="Y353" s="31">
        <f>IF(X353="Growing Industry",10,IF(X353="Cyclical in an Upturn",5,0))</f>
        <v/>
      </c>
      <c r="Z353" s="31" t="n"/>
      <c r="AA353" s="31">
        <f>IF(Z353="Monopoly",10,IF(Z353="Oligopoly",5,IF(Z353="Duopoly that cooperate",10,IF(Z353="Duopoly that compete",5,IF(Z353="Too many players with High ROCE",5,0)))))</f>
        <v/>
      </c>
      <c r="AB353" s="31" t="n"/>
      <c r="AC353" s="31">
        <f>IF(AB353="No",5,0)</f>
        <v/>
      </c>
      <c r="AD353" s="31" t="n"/>
      <c r="AE353" s="31">
        <f>IF(AD353="Tailwind",10,0)</f>
        <v/>
      </c>
      <c r="AF353" s="31" t="n"/>
      <c r="AG353" s="31">
        <f>IF(AF353="Structural (10 Years Consistency)",10,IF(AF353="Shallow Cyclical (2 to 3 years growth)",5,0))</f>
        <v/>
      </c>
      <c r="AH353" s="31" t="n"/>
      <c r="AI353" s="31">
        <f>IF(AH353="Yes due to Product Mix change or Operating Leverage",10,IF(AH353="Yes, these are peak margins",-5,IF(AH353="No",5,0)))</f>
        <v/>
      </c>
      <c r="AJ353" s="31" t="n"/>
      <c r="AK353" s="31">
        <f>IF(AJ353="Stable",10,0)</f>
        <v/>
      </c>
      <c r="AL353" s="31" t="n"/>
      <c r="AM353" s="31">
        <f>IF(AL353="Yes",10,0)</f>
        <v/>
      </c>
      <c r="AN353" s="31" t="n"/>
      <c r="AO353" s="31">
        <f>IF(AN353="B2C",10,IF(AN353="B2B",5,0))</f>
        <v/>
      </c>
      <c r="AP353" s="31" t="n"/>
      <c r="AQ353" s="31">
        <f>IF(AP353="Yes",10,0)</f>
        <v/>
      </c>
      <c r="AR353" s="31" t="n"/>
      <c r="AS353" s="31">
        <f>IF(AR353="Fully Annuity",10,IF(AR353="Higher Annuity, Lower One Time",5,IF(AR353="Higher One Time, Lower Annuity",3,0)))</f>
        <v/>
      </c>
      <c r="AT353" s="31" t="n"/>
      <c r="AU353" s="31">
        <f>IF(AT353="Good",10,0)</f>
        <v/>
      </c>
      <c r="AV353" s="31" t="n"/>
      <c r="AW353" s="31">
        <f>IF(AV353="Yes for more than 2 years",10,IF(AV353="Yes only for next 1 to 2 years",5,0))</f>
        <v/>
      </c>
      <c r="AX353" s="31" t="n"/>
      <c r="AY353" s="31">
        <f>IF(AX353="Above 40",20,IF(AX353="20 to 40",10,IF(AX353="0 to 20",-5,0)))</f>
        <v/>
      </c>
      <c r="AZ353" s="31" t="n"/>
      <c r="BA353" s="31">
        <f>IF(AZ353="Between 50 to 75",10,IF(AZ353="Above 75",0,0))</f>
        <v/>
      </c>
      <c r="BB353" s="31" t="n"/>
      <c r="BC353" s="31">
        <f>IF(BB353="Stage 2",20,IF(BB353="Stage 1",0,IF(BB353="Stage 3",5,IF(BB353="Stage 4",-5,0))))</f>
        <v/>
      </c>
      <c r="BD353" s="31" t="n"/>
      <c r="BE353" s="31">
        <f>IF(BD353="Positive Trend",20,IF(BD353="Negative Trend",-10,0))</f>
        <v/>
      </c>
      <c r="BF353" s="31" t="n"/>
      <c r="BG353" s="31">
        <f>IF(BF353="Uptrend",10,IF(BF353="Sideways",5,0))</f>
        <v/>
      </c>
      <c r="BH353" s="31" t="n"/>
      <c r="BI353" s="31">
        <f>IF(BH353="Uptrend",10,IF(BH353="Sideways",5,0))</f>
        <v/>
      </c>
      <c r="BJ353" s="31" t="n"/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n"/>
      <c r="BM353" s="31">
        <f>IF(BL353="Yes",10,0)</f>
        <v/>
      </c>
      <c r="BN353" s="31" t="n"/>
      <c r="BO353" s="31">
        <f>IF(BN353="More than 20%",10,IF(BN353="Between 12 to 20%",5,IF(BN353="Less than 12%",0,0)))</f>
        <v/>
      </c>
      <c r="BP353" s="31" t="n"/>
      <c r="BQ353" s="31">
        <f>IF(BP353="No",10,0)</f>
        <v/>
      </c>
      <c r="BR353" s="31" t="n"/>
      <c r="BS353" s="31">
        <f>IF(BR353="NO",5,0)</f>
        <v/>
      </c>
      <c r="BT353" s="31" t="n"/>
      <c r="BU353" s="31">
        <f>IF(BT353="Above 2",0,IF(BT353="Between 1.5 to 2",5,IF(BT353="Less than 1.5",10,0)))</f>
        <v/>
      </c>
      <c r="BV353" s="31" t="n"/>
      <c r="BW353" s="31">
        <f>IF(BV353="Above 70%",10,IF(BV353="Between 50% to 70%",5,IF(BV353="Less than 50%",0,IF(BV353="Negative",-10,IF(BV353="Less than 50% and Borrowings are increasing",-5,0)))))</f>
        <v/>
      </c>
      <c r="BX353" s="31" t="n"/>
      <c r="BY353" s="31">
        <f>IF(BX353="More than 1.2",-10,IF(BX353="Between 0.7 to 1.2",0,IF(BX353="Less than 0.7",10,0)))</f>
        <v/>
      </c>
      <c r="BZ353" s="31" t="n"/>
      <c r="CA353" s="31">
        <f>IF(BZ353="Yes",-10,0)</f>
        <v/>
      </c>
      <c r="CB353" s="31" t="n"/>
      <c r="CC353" s="31">
        <f>IF(CB353="More than 15%",-10,IF(CB353="Less than 15%",10,0))</f>
        <v/>
      </c>
      <c r="CD353" s="31" t="n"/>
      <c r="CE353" s="31">
        <f>IF(CD353="Yes, more than 10%",-10,IF(CD353="No",10,0))</f>
        <v/>
      </c>
    </row>
    <row r="354">
      <c r="A354" s="31">
        <f>IF(B354=0,"",RANK(B354,$B$2:$B$372,0))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EIFFL</t>
        </is>
      </c>
      <c r="D354" s="31" t="inlineStr">
        <is>
          <t>Euro India Fresh Foods Ltd</t>
        </is>
      </c>
      <c r="E354" s="31" t="inlineStr">
        <is>
          <t>fmcg</t>
        </is>
      </c>
      <c r="F354" s="31" t="inlineStr">
        <is>
          <t>food - processing - indian</t>
        </is>
      </c>
      <c r="G354" s="31" t="inlineStr">
        <is>
          <t>smallcap</t>
        </is>
      </c>
      <c r="H354" s="32" t="n">
        <v>784.3</v>
      </c>
      <c r="I354" s="32" t="n">
        <v>325</v>
      </c>
      <c r="J354" s="32" t="n">
        <v>2.77</v>
      </c>
      <c r="K354" s="32" t="n">
        <v>48658</v>
      </c>
      <c r="L354" s="31" t="inlineStr"/>
      <c r="M354" s="31" t="inlineStr"/>
      <c r="N354" s="32">
        <f>IF(M354="Underperforming",-5,IF(L354&gt;=95,15,IF(L354&gt;=90,10,IF(L354&gt;=80,5,0))))</f>
        <v/>
      </c>
      <c r="O354" s="32" t="inlineStr"/>
      <c r="P354" s="32" t="inlineStr"/>
      <c r="Q354" s="32" t="inlineStr"/>
      <c r="R354" s="31" t="inlineStr"/>
      <c r="S354" s="31" t="inlineStr"/>
      <c r="T354" s="32" t="inlineStr"/>
      <c r="U354" s="32" t="inlineStr"/>
      <c r="V354" s="32" t="inlineStr"/>
      <c r="W354" s="32" t="inlineStr"/>
      <c r="X354" s="31" t="n"/>
      <c r="Y354" s="31">
        <f>IF(X354="Growing Industry",10,IF(X354="Cyclical in an Upturn",5,0))</f>
        <v/>
      </c>
      <c r="Z354" s="31" t="n"/>
      <c r="AA354" s="31">
        <f>IF(Z354="Monopoly",10,IF(Z354="Oligopoly",5,IF(Z354="Duopoly that cooperate",10,IF(Z354="Duopoly that compete",5,IF(Z354="Too many players with High ROCE",5,0)))))</f>
        <v/>
      </c>
      <c r="AB354" s="31" t="n"/>
      <c r="AC354" s="31">
        <f>IF(AB354="No",5,0)</f>
        <v/>
      </c>
      <c r="AD354" s="31" t="n"/>
      <c r="AE354" s="31">
        <f>IF(AD354="Tailwind",10,0)</f>
        <v/>
      </c>
      <c r="AF354" s="31" t="n"/>
      <c r="AG354" s="31">
        <f>IF(AF354="Structural (10 Years Consistency)",10,IF(AF354="Shallow Cyclical (2 to 3 years growth)",5,0))</f>
        <v/>
      </c>
      <c r="AH354" s="31" t="n"/>
      <c r="AI354" s="31">
        <f>IF(AH354="Yes due to Product Mix change or Operating Leverage",10,IF(AH354="Yes, these are peak margins",-5,IF(AH354="No",5,0)))</f>
        <v/>
      </c>
      <c r="AJ354" s="31" t="n"/>
      <c r="AK354" s="31">
        <f>IF(AJ354="Stable",10,0)</f>
        <v/>
      </c>
      <c r="AL354" s="31" t="n"/>
      <c r="AM354" s="31">
        <f>IF(AL354="Yes",10,0)</f>
        <v/>
      </c>
      <c r="AN354" s="31" t="n"/>
      <c r="AO354" s="31">
        <f>IF(AN354="B2C",10,IF(AN354="B2B",5,0))</f>
        <v/>
      </c>
      <c r="AP354" s="31" t="n"/>
      <c r="AQ354" s="31">
        <f>IF(AP354="Yes",10,0)</f>
        <v/>
      </c>
      <c r="AR354" s="31" t="n"/>
      <c r="AS354" s="31">
        <f>IF(AR354="Fully Annuity",10,IF(AR354="Higher Annuity, Lower One Time",5,IF(AR354="Higher One Time, Lower Annuity",3,0)))</f>
        <v/>
      </c>
      <c r="AT354" s="31" t="n"/>
      <c r="AU354" s="31">
        <f>IF(AT354="Good",10,0)</f>
        <v/>
      </c>
      <c r="AV354" s="31" t="n"/>
      <c r="AW354" s="31">
        <f>IF(AV354="Yes for more than 2 years",10,IF(AV354="Yes only for next 1 to 2 years",5,0))</f>
        <v/>
      </c>
      <c r="AX354" s="31" t="n"/>
      <c r="AY354" s="31">
        <f>IF(AX354="Above 40",20,IF(AX354="20 to 40",10,IF(AX354="0 to 20",-5,0)))</f>
        <v/>
      </c>
      <c r="AZ354" s="31" t="n"/>
      <c r="BA354" s="31">
        <f>IF(AZ354="Between 50 to 75",10,IF(AZ354="Above 75",0,0))</f>
        <v/>
      </c>
      <c r="BB354" s="31" t="n"/>
      <c r="BC354" s="31">
        <f>IF(BB354="Stage 2",20,IF(BB354="Stage 1",0,IF(BB354="Stage 3",5,IF(BB354="Stage 4",-5,0))))</f>
        <v/>
      </c>
      <c r="BD354" s="31" t="n"/>
      <c r="BE354" s="31">
        <f>IF(BD354="Positive Trend",20,IF(BD354="Negative Trend",-10,0))</f>
        <v/>
      </c>
      <c r="BF354" s="31" t="n"/>
      <c r="BG354" s="31">
        <f>IF(BF354="Uptrend",10,IF(BF354="Sideways",5,0))</f>
        <v/>
      </c>
      <c r="BH354" s="31" t="n"/>
      <c r="BI354" s="31">
        <f>IF(BH354="Uptrend",10,IF(BH354="Sideways",5,0))</f>
        <v/>
      </c>
      <c r="BJ354" s="31" t="n"/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n"/>
      <c r="BM354" s="31">
        <f>IF(BL354="Yes",10,0)</f>
        <v/>
      </c>
      <c r="BN354" s="31" t="n"/>
      <c r="BO354" s="31">
        <f>IF(BN354="More than 20%",10,IF(BN354="Between 12 to 20%",5,IF(BN354="Less than 12%",0,0)))</f>
        <v/>
      </c>
      <c r="BP354" s="31" t="n"/>
      <c r="BQ354" s="31">
        <f>IF(BP354="No",10,0)</f>
        <v/>
      </c>
      <c r="BR354" s="31" t="n"/>
      <c r="BS354" s="31">
        <f>IF(BR354="NO",5,0)</f>
        <v/>
      </c>
      <c r="BT354" s="31" t="n"/>
      <c r="BU354" s="31">
        <f>IF(BT354="Above 2",0,IF(BT354="Between 1.5 to 2",5,IF(BT354="Less than 1.5",10,0)))</f>
        <v/>
      </c>
      <c r="BV354" s="31" t="n"/>
      <c r="BW354" s="31">
        <f>IF(BV354="Above 70%",10,IF(BV354="Between 50% to 70%",5,IF(BV354="Less than 50%",0,IF(BV354="Negative",-10,IF(BV354="Less than 50% and Borrowings are increasing",-5,0)))))</f>
        <v/>
      </c>
      <c r="BX354" s="31" t="n"/>
      <c r="BY354" s="31">
        <f>IF(BX354="More than 1.2",-10,IF(BX354="Between 0.7 to 1.2",0,IF(BX354="Less than 0.7",10,0)))</f>
        <v/>
      </c>
      <c r="BZ354" s="31" t="n"/>
      <c r="CA354" s="31">
        <f>IF(BZ354="Yes",-10,0)</f>
        <v/>
      </c>
      <c r="CB354" s="31" t="n"/>
      <c r="CC354" s="31">
        <f>IF(CB354="More than 15%",-10,IF(CB354="Less than 15%",10,0))</f>
        <v/>
      </c>
      <c r="CD354" s="31" t="n"/>
      <c r="CE354" s="31">
        <f>IF(CD354="Yes, more than 10%",-10,IF(CD354="No",10,0))</f>
        <v/>
      </c>
    </row>
    <row r="355">
      <c r="A355" s="31">
        <f>IF(B355=0,"",RANK(B355,$B$2:$B$372,0))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KIRLOSENG</t>
        </is>
      </c>
      <c r="D355" s="31" t="inlineStr">
        <is>
          <t>Kirloskar Oil Engines Limited</t>
        </is>
      </c>
      <c r="E355" s="31" t="inlineStr">
        <is>
          <t>industrials</t>
        </is>
      </c>
      <c r="F355" s="31" t="inlineStr">
        <is>
          <t>engines</t>
        </is>
      </c>
      <c r="G355" s="31" t="inlineStr">
        <is>
          <t>largecap</t>
        </is>
      </c>
      <c r="H355" s="32" t="n">
        <v>35246.7</v>
      </c>
      <c r="I355" s="32" t="n">
        <v>2491.9</v>
      </c>
      <c r="J355" s="32" t="n">
        <v>2.77</v>
      </c>
      <c r="K355" s="32" t="n">
        <v>615739</v>
      </c>
      <c r="L355" s="31" t="inlineStr"/>
      <c r="M355" s="31" t="inlineStr"/>
      <c r="N355" s="32">
        <f>IF(M355="Underperforming",-5,IF(L355&gt;=95,15,IF(L355&gt;=90,10,IF(L355&gt;=80,5,0))))</f>
        <v/>
      </c>
      <c r="O355" s="32" t="inlineStr"/>
      <c r="P355" s="32" t="inlineStr"/>
      <c r="Q355" s="32" t="inlineStr"/>
      <c r="R355" s="31" t="inlineStr"/>
      <c r="S355" s="31" t="inlineStr"/>
      <c r="T355" s="32" t="inlineStr"/>
      <c r="U355" s="32" t="inlineStr"/>
      <c r="V355" s="32" t="inlineStr"/>
      <c r="W355" s="32" t="inlineStr"/>
      <c r="X355" s="31" t="n"/>
      <c r="Y355" s="31">
        <f>IF(X355="Growing Industry",10,IF(X355="Cyclical in an Upturn",5,0))</f>
        <v/>
      </c>
      <c r="Z355" s="31" t="n"/>
      <c r="AA355" s="31">
        <f>IF(Z355="Monopoly",10,IF(Z355="Oligopoly",5,IF(Z355="Duopoly that cooperate",10,IF(Z355="Duopoly that compete",5,IF(Z355="Too many players with High ROCE",5,0)))))</f>
        <v/>
      </c>
      <c r="AB355" s="31" t="n"/>
      <c r="AC355" s="31">
        <f>IF(AB355="No",5,0)</f>
        <v/>
      </c>
      <c r="AD355" s="31" t="n"/>
      <c r="AE355" s="31">
        <f>IF(AD355="Tailwind",10,0)</f>
        <v/>
      </c>
      <c r="AF355" s="31" t="n"/>
      <c r="AG355" s="31">
        <f>IF(AF355="Structural (10 Years Consistency)",10,IF(AF355="Shallow Cyclical (2 to 3 years growth)",5,0))</f>
        <v/>
      </c>
      <c r="AH355" s="31" t="n"/>
      <c r="AI355" s="31">
        <f>IF(AH355="Yes due to Product Mix change or Operating Leverage",10,IF(AH355="Yes, these are peak margins",-5,IF(AH355="No",5,0)))</f>
        <v/>
      </c>
      <c r="AJ355" s="31" t="n"/>
      <c r="AK355" s="31">
        <f>IF(AJ355="Stable",10,0)</f>
        <v/>
      </c>
      <c r="AL355" s="31" t="n"/>
      <c r="AM355" s="31">
        <f>IF(AL355="Yes",10,0)</f>
        <v/>
      </c>
      <c r="AN355" s="31" t="n"/>
      <c r="AO355" s="31">
        <f>IF(AN355="B2C",10,IF(AN355="B2B",5,0))</f>
        <v/>
      </c>
      <c r="AP355" s="31" t="n"/>
      <c r="AQ355" s="31">
        <f>IF(AP355="Yes",10,0)</f>
        <v/>
      </c>
      <c r="AR355" s="31" t="n"/>
      <c r="AS355" s="31">
        <f>IF(AR355="Fully Annuity",10,IF(AR355="Higher Annuity, Lower One Time",5,IF(AR355="Higher One Time, Lower Annuity",3,0)))</f>
        <v/>
      </c>
      <c r="AT355" s="31" t="n"/>
      <c r="AU355" s="31">
        <f>IF(AT355="Good",10,0)</f>
        <v/>
      </c>
      <c r="AV355" s="31" t="n"/>
      <c r="AW355" s="31">
        <f>IF(AV355="Yes for more than 2 years",10,IF(AV355="Yes only for next 1 to 2 years",5,0))</f>
        <v/>
      </c>
      <c r="AX355" s="31" t="n"/>
      <c r="AY355" s="31">
        <f>IF(AX355="Above 40",20,IF(AX355="20 to 40",10,IF(AX355="0 to 20",-5,0)))</f>
        <v/>
      </c>
      <c r="AZ355" s="31" t="n"/>
      <c r="BA355" s="31">
        <f>IF(AZ355="Between 50 to 75",10,IF(AZ355="Above 75",0,0))</f>
        <v/>
      </c>
      <c r="BB355" s="31" t="n"/>
      <c r="BC355" s="31">
        <f>IF(BB355="Stage 2",20,IF(BB355="Stage 1",0,IF(BB355="Stage 3",5,IF(BB355="Stage 4",-5,0))))</f>
        <v/>
      </c>
      <c r="BD355" s="31" t="n"/>
      <c r="BE355" s="31">
        <f>IF(BD355="Positive Trend",20,IF(BD355="Negative Trend",-10,0))</f>
        <v/>
      </c>
      <c r="BF355" s="31" t="n"/>
      <c r="BG355" s="31">
        <f>IF(BF355="Uptrend",10,IF(BF355="Sideways",5,0))</f>
        <v/>
      </c>
      <c r="BH355" s="31" t="n"/>
      <c r="BI355" s="31">
        <f>IF(BH355="Uptrend",10,IF(BH355="Sideways",5,0))</f>
        <v/>
      </c>
      <c r="BJ355" s="31" t="n"/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n"/>
      <c r="BM355" s="31">
        <f>IF(BL355="Yes",10,0)</f>
        <v/>
      </c>
      <c r="BN355" s="31" t="n"/>
      <c r="BO355" s="31">
        <f>IF(BN355="More than 20%",10,IF(BN355="Between 12 to 20%",5,IF(BN355="Less than 12%",0,0)))</f>
        <v/>
      </c>
      <c r="BP355" s="31" t="n"/>
      <c r="BQ355" s="31">
        <f>IF(BP355="No",10,0)</f>
        <v/>
      </c>
      <c r="BR355" s="31" t="n"/>
      <c r="BS355" s="31">
        <f>IF(BR355="NO",5,0)</f>
        <v/>
      </c>
      <c r="BT355" s="31" t="n"/>
      <c r="BU355" s="31">
        <f>IF(BT355="Above 2",0,IF(BT355="Between 1.5 to 2",5,IF(BT355="Less than 1.5",10,0)))</f>
        <v/>
      </c>
      <c r="BV355" s="31" t="n"/>
      <c r="BW355" s="31">
        <f>IF(BV355="Above 70%",10,IF(BV355="Between 50% to 70%",5,IF(BV355="Less than 50%",0,IF(BV355="Negative",-10,IF(BV355="Less than 50% and Borrowings are increasing",-5,0)))))</f>
        <v/>
      </c>
      <c r="BX355" s="31" t="n"/>
      <c r="BY355" s="31">
        <f>IF(BX355="More than 1.2",-10,IF(BX355="Between 0.7 to 1.2",0,IF(BX355="Less than 0.7",10,0)))</f>
        <v/>
      </c>
      <c r="BZ355" s="31" t="n"/>
      <c r="CA355" s="31">
        <f>IF(BZ355="Yes",-10,0)</f>
        <v/>
      </c>
      <c r="CB355" s="31" t="n"/>
      <c r="CC355" s="31">
        <f>IF(CB355="More than 15%",-10,IF(CB355="Less than 15%",10,0))</f>
        <v/>
      </c>
      <c r="CD355" s="31" t="n"/>
      <c r="CE355" s="31">
        <f>IF(CD355="Yes, more than 10%",-10,IF(CD355="No",10,0))</f>
        <v/>
      </c>
    </row>
    <row r="356">
      <c r="A356" s="31">
        <f>IF(B356=0,"",RANK(B356,$B$2:$B$372,0))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BHAGYANGR</t>
        </is>
      </c>
      <c r="D356" s="31" t="inlineStr">
        <is>
          <t>Bhagyanagar India</t>
        </is>
      </c>
      <c r="E356" s="31" t="inlineStr">
        <is>
          <t>power &amp; utilities</t>
        </is>
      </c>
      <c r="F356" s="31" t="inlineStr">
        <is>
          <t>power generation and supply</t>
        </is>
      </c>
      <c r="G356" s="31" t="inlineStr">
        <is>
          <t>smallcap</t>
        </is>
      </c>
      <c r="H356" s="32" t="n">
        <v>1196.45</v>
      </c>
      <c r="I356" s="32" t="n">
        <v>383.95</v>
      </c>
      <c r="J356" s="32" t="n">
        <v>2.67</v>
      </c>
      <c r="K356" s="32" t="n">
        <v>79716</v>
      </c>
      <c r="L356" s="31" t="inlineStr"/>
      <c r="M356" s="31" t="inlineStr"/>
      <c r="N356" s="32">
        <f>IF(M356="Underperforming",-5,IF(L356&gt;=95,15,IF(L356&gt;=90,10,IF(L356&gt;=80,5,0))))</f>
        <v/>
      </c>
      <c r="O356" s="32" t="inlineStr"/>
      <c r="P356" s="32" t="inlineStr"/>
      <c r="Q356" s="32" t="inlineStr"/>
      <c r="R356" s="31" t="inlineStr"/>
      <c r="S356" s="31" t="inlineStr"/>
      <c r="T356" s="32" t="inlineStr"/>
      <c r="U356" s="32" t="inlineStr"/>
      <c r="V356" s="32" t="inlineStr"/>
      <c r="W356" s="32" t="inlineStr"/>
      <c r="X356" s="31" t="n"/>
      <c r="Y356" s="31">
        <f>IF(X356="Growing Industry",10,IF(X356="Cyclical in an Upturn",5,0))</f>
        <v/>
      </c>
      <c r="Z356" s="31" t="n"/>
      <c r="AA356" s="31">
        <f>IF(Z356="Monopoly",10,IF(Z356="Oligopoly",5,IF(Z356="Duopoly that cooperate",10,IF(Z356="Duopoly that compete",5,IF(Z356="Too many players with High ROCE",5,0)))))</f>
        <v/>
      </c>
      <c r="AB356" s="31" t="n"/>
      <c r="AC356" s="31">
        <f>IF(AB356="No",5,0)</f>
        <v/>
      </c>
      <c r="AD356" s="31" t="n"/>
      <c r="AE356" s="31">
        <f>IF(AD356="Tailwind",10,0)</f>
        <v/>
      </c>
      <c r="AF356" s="31" t="n"/>
      <c r="AG356" s="31">
        <f>IF(AF356="Structural (10 Years Consistency)",10,IF(AF356="Shallow Cyclical (2 to 3 years growth)",5,0))</f>
        <v/>
      </c>
      <c r="AH356" s="31" t="n"/>
      <c r="AI356" s="31">
        <f>IF(AH356="Yes due to Product Mix change or Operating Leverage",10,IF(AH356="Yes, these are peak margins",-5,IF(AH356="No",5,0)))</f>
        <v/>
      </c>
      <c r="AJ356" s="31" t="n"/>
      <c r="AK356" s="31">
        <f>IF(AJ356="Stable",10,0)</f>
        <v/>
      </c>
      <c r="AL356" s="31" t="n"/>
      <c r="AM356" s="31">
        <f>IF(AL356="Yes",10,0)</f>
        <v/>
      </c>
      <c r="AN356" s="31" t="n"/>
      <c r="AO356" s="31">
        <f>IF(AN356="B2C",10,IF(AN356="B2B",5,0))</f>
        <v/>
      </c>
      <c r="AP356" s="31" t="n"/>
      <c r="AQ356" s="31">
        <f>IF(AP356="Yes",10,0)</f>
        <v/>
      </c>
      <c r="AR356" s="31" t="n"/>
      <c r="AS356" s="31">
        <f>IF(AR356="Fully Annuity",10,IF(AR356="Higher Annuity, Lower One Time",5,IF(AR356="Higher One Time, Lower Annuity",3,0)))</f>
        <v/>
      </c>
      <c r="AT356" s="31" t="n"/>
      <c r="AU356" s="31">
        <f>IF(AT356="Good",10,0)</f>
        <v/>
      </c>
      <c r="AV356" s="31" t="n"/>
      <c r="AW356" s="31">
        <f>IF(AV356="Yes for more than 2 years",10,IF(AV356="Yes only for next 1 to 2 years",5,0))</f>
        <v/>
      </c>
      <c r="AX356" s="31" t="n"/>
      <c r="AY356" s="31">
        <f>IF(AX356="Above 40",20,IF(AX356="20 to 40",10,IF(AX356="0 to 20",-5,0)))</f>
        <v/>
      </c>
      <c r="AZ356" s="31" t="n"/>
      <c r="BA356" s="31">
        <f>IF(AZ356="Between 50 to 75",10,IF(AZ356="Above 75",0,0))</f>
        <v/>
      </c>
      <c r="BB356" s="31" t="n"/>
      <c r="BC356" s="31">
        <f>IF(BB356="Stage 2",20,IF(BB356="Stage 1",0,IF(BB356="Stage 3",5,IF(BB356="Stage 4",-5,0))))</f>
        <v/>
      </c>
      <c r="BD356" s="31" t="n"/>
      <c r="BE356" s="31">
        <f>IF(BD356="Positive Trend",20,IF(BD356="Negative Trend",-10,0))</f>
        <v/>
      </c>
      <c r="BF356" s="31" t="n"/>
      <c r="BG356" s="31">
        <f>IF(BF356="Uptrend",10,IF(BF356="Sideways",5,0))</f>
        <v/>
      </c>
      <c r="BH356" s="31" t="n"/>
      <c r="BI356" s="31">
        <f>IF(BH356="Uptrend",10,IF(BH356="Sideways",5,0))</f>
        <v/>
      </c>
      <c r="BJ356" s="31" t="n"/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n"/>
      <c r="BM356" s="31">
        <f>IF(BL356="Yes",10,0)</f>
        <v/>
      </c>
      <c r="BN356" s="31" t="n"/>
      <c r="BO356" s="31">
        <f>IF(BN356="More than 20%",10,IF(BN356="Between 12 to 20%",5,IF(BN356="Less than 12%",0,0)))</f>
        <v/>
      </c>
      <c r="BP356" s="31" t="n"/>
      <c r="BQ356" s="31">
        <f>IF(BP356="No",10,0)</f>
        <v/>
      </c>
      <c r="BR356" s="31" t="n"/>
      <c r="BS356" s="31">
        <f>IF(BR356="NO",5,0)</f>
        <v/>
      </c>
      <c r="BT356" s="31" t="n"/>
      <c r="BU356" s="31">
        <f>IF(BT356="Above 2",0,IF(BT356="Between 1.5 to 2",5,IF(BT356="Less than 1.5",10,0)))</f>
        <v/>
      </c>
      <c r="BV356" s="31" t="n"/>
      <c r="BW356" s="31">
        <f>IF(BV356="Above 70%",10,IF(BV356="Between 50% to 70%",5,IF(BV356="Less than 50%",0,IF(BV356="Negative",-10,IF(BV356="Less than 50% and Borrowings are increasing",-5,0)))))</f>
        <v/>
      </c>
      <c r="BX356" s="31" t="n"/>
      <c r="BY356" s="31">
        <f>IF(BX356="More than 1.2",-10,IF(BX356="Between 0.7 to 1.2",0,IF(BX356="Less than 0.7",10,0)))</f>
        <v/>
      </c>
      <c r="BZ356" s="31" t="n"/>
      <c r="CA356" s="31">
        <f>IF(BZ356="Yes",-10,0)</f>
        <v/>
      </c>
      <c r="CB356" s="31" t="n"/>
      <c r="CC356" s="31">
        <f>IF(CB356="More than 15%",-10,IF(CB356="Less than 15%",10,0))</f>
        <v/>
      </c>
      <c r="CD356" s="31" t="n"/>
      <c r="CE356" s="31">
        <f>IF(CD356="Yes, more than 10%",-10,IF(CD356="No",10,0))</f>
        <v/>
      </c>
    </row>
    <row r="357">
      <c r="A357" s="31">
        <f>IF(B357=0,"",RANK(B357,$B$2:$B$372,0))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NOVARTIND</t>
        </is>
      </c>
      <c r="D357" s="31" t="inlineStr">
        <is>
          <t>Novartis India Ltd</t>
        </is>
      </c>
      <c r="E357" s="31" t="inlineStr">
        <is>
          <t>healthcare</t>
        </is>
      </c>
      <c r="F357" s="31" t="inlineStr">
        <is>
          <t>pharmaceuticals - multinational</t>
        </is>
      </c>
      <c r="G357" s="31" t="inlineStr">
        <is>
          <t>smallcap</t>
        </is>
      </c>
      <c r="H357" s="32" t="n">
        <v>3620.41</v>
      </c>
      <c r="I357" s="32" t="n">
        <v>1494.6</v>
      </c>
      <c r="J357" s="32" t="n">
        <v>1.93</v>
      </c>
      <c r="K357" s="32" t="n">
        <v>18912</v>
      </c>
      <c r="L357" s="31" t="inlineStr"/>
      <c r="M357" s="31" t="inlineStr"/>
      <c r="N357" s="32">
        <f>IF(M357="Underperforming",-5,IF(L357&gt;=95,15,IF(L357&gt;=90,10,IF(L357&gt;=80,5,0))))</f>
        <v/>
      </c>
      <c r="O357" s="32" t="inlineStr"/>
      <c r="P357" s="32" t="inlineStr"/>
      <c r="Q357" s="32" t="inlineStr"/>
      <c r="R357" s="31" t="inlineStr"/>
      <c r="S357" s="31" t="inlineStr"/>
      <c r="T357" s="32" t="inlineStr"/>
      <c r="U357" s="32" t="inlineStr"/>
      <c r="V357" s="32" t="inlineStr"/>
      <c r="W357" s="32" t="inlineStr"/>
      <c r="X357" s="31" t="n"/>
      <c r="Y357" s="31">
        <f>IF(X357="Growing Industry",10,IF(X357="Cyclical in an Upturn",5,0))</f>
        <v/>
      </c>
      <c r="Z357" s="31" t="n"/>
      <c r="AA357" s="31">
        <f>IF(Z357="Monopoly",10,IF(Z357="Oligopoly",5,IF(Z357="Duopoly that cooperate",10,IF(Z357="Duopoly that compete",5,IF(Z357="Too many players with High ROCE",5,0)))))</f>
        <v/>
      </c>
      <c r="AB357" s="31" t="n"/>
      <c r="AC357" s="31">
        <f>IF(AB357="No",5,0)</f>
        <v/>
      </c>
      <c r="AD357" s="31" t="n"/>
      <c r="AE357" s="31">
        <f>IF(AD357="Tailwind",10,0)</f>
        <v/>
      </c>
      <c r="AF357" s="31" t="n"/>
      <c r="AG357" s="31">
        <f>IF(AF357="Structural (10 Years Consistency)",10,IF(AF357="Shallow Cyclical (2 to 3 years growth)",5,0))</f>
        <v/>
      </c>
      <c r="AH357" s="31" t="n"/>
      <c r="AI357" s="31">
        <f>IF(AH357="Yes due to Product Mix change or Operating Leverage",10,IF(AH357="Yes, these are peak margins",-5,IF(AH357="No",5,0)))</f>
        <v/>
      </c>
      <c r="AJ357" s="31" t="n"/>
      <c r="AK357" s="31">
        <f>IF(AJ357="Stable",10,0)</f>
        <v/>
      </c>
      <c r="AL357" s="31" t="n"/>
      <c r="AM357" s="31">
        <f>IF(AL357="Yes",10,0)</f>
        <v/>
      </c>
      <c r="AN357" s="31" t="n"/>
      <c r="AO357" s="31">
        <f>IF(AN357="B2C",10,IF(AN357="B2B",5,0))</f>
        <v/>
      </c>
      <c r="AP357" s="31" t="n"/>
      <c r="AQ357" s="31">
        <f>IF(AP357="Yes",10,0)</f>
        <v/>
      </c>
      <c r="AR357" s="31" t="n"/>
      <c r="AS357" s="31">
        <f>IF(AR357="Fully Annuity",10,IF(AR357="Higher Annuity, Lower One Time",5,IF(AR357="Higher One Time, Lower Annuity",3,0)))</f>
        <v/>
      </c>
      <c r="AT357" s="31" t="n"/>
      <c r="AU357" s="31">
        <f>IF(AT357="Good",10,0)</f>
        <v/>
      </c>
      <c r="AV357" s="31" t="n"/>
      <c r="AW357" s="31">
        <f>IF(AV357="Yes for more than 2 years",10,IF(AV357="Yes only for next 1 to 2 years",5,0))</f>
        <v/>
      </c>
      <c r="AX357" s="31" t="n"/>
      <c r="AY357" s="31">
        <f>IF(AX357="Above 40",20,IF(AX357="20 to 40",10,IF(AX357="0 to 20",-5,0)))</f>
        <v/>
      </c>
      <c r="AZ357" s="31" t="n"/>
      <c r="BA357" s="31">
        <f>IF(AZ357="Between 50 to 75",10,IF(AZ357="Above 75",0,0))</f>
        <v/>
      </c>
      <c r="BB357" s="31" t="n"/>
      <c r="BC357" s="31">
        <f>IF(BB357="Stage 2",20,IF(BB357="Stage 1",0,IF(BB357="Stage 3",5,IF(BB357="Stage 4",-5,0))))</f>
        <v/>
      </c>
      <c r="BD357" s="31" t="n"/>
      <c r="BE357" s="31">
        <f>IF(BD357="Positive Trend",20,IF(BD357="Negative Trend",-10,0))</f>
        <v/>
      </c>
      <c r="BF357" s="31" t="n"/>
      <c r="BG357" s="31">
        <f>IF(BF357="Uptrend",10,IF(BF357="Sideways",5,0))</f>
        <v/>
      </c>
      <c r="BH357" s="31" t="n"/>
      <c r="BI357" s="31">
        <f>IF(BH357="Uptrend",10,IF(BH357="Sideways",5,0))</f>
        <v/>
      </c>
      <c r="BJ357" s="31" t="n"/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n"/>
      <c r="BM357" s="31">
        <f>IF(BL357="Yes",10,0)</f>
        <v/>
      </c>
      <c r="BN357" s="31" t="n"/>
      <c r="BO357" s="31">
        <f>IF(BN357="More than 20%",10,IF(BN357="Between 12 to 20%",5,IF(BN357="Less than 12%",0,0)))</f>
        <v/>
      </c>
      <c r="BP357" s="31" t="n"/>
      <c r="BQ357" s="31">
        <f>IF(BP357="No",10,0)</f>
        <v/>
      </c>
      <c r="BR357" s="31" t="n"/>
      <c r="BS357" s="31">
        <f>IF(BR357="NO",5,0)</f>
        <v/>
      </c>
      <c r="BT357" s="31" t="n"/>
      <c r="BU357" s="31">
        <f>IF(BT357="Above 2",0,IF(BT357="Between 1.5 to 2",5,IF(BT357="Less than 1.5",10,0)))</f>
        <v/>
      </c>
      <c r="BV357" s="31" t="n"/>
      <c r="BW357" s="31">
        <f>IF(BV357="Above 70%",10,IF(BV357="Between 50% to 70%",5,IF(BV357="Less than 50%",0,IF(BV357="Negative",-10,IF(BV357="Less than 50% and Borrowings are increasing",-5,0)))))</f>
        <v/>
      </c>
      <c r="BX357" s="31" t="n"/>
      <c r="BY357" s="31">
        <f>IF(BX357="More than 1.2",-10,IF(BX357="Between 0.7 to 1.2",0,IF(BX357="Less than 0.7",10,0)))</f>
        <v/>
      </c>
      <c r="BZ357" s="31" t="n"/>
      <c r="CA357" s="31">
        <f>IF(BZ357="Yes",-10,0)</f>
        <v/>
      </c>
      <c r="CB357" s="31" t="n"/>
      <c r="CC357" s="31">
        <f>IF(CB357="More than 15%",-10,IF(CB357="Less than 15%",10,0))</f>
        <v/>
      </c>
      <c r="CD357" s="31" t="n"/>
      <c r="CE357" s="31">
        <f>IF(CD357="Yes, more than 10%",-10,IF(CD357="No",10,0))</f>
        <v/>
      </c>
    </row>
    <row r="358">
      <c r="A358" s="31">
        <f>IF(B358=0,"",RANK(B358,$B$2:$B$372,0))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GHCLTEXTIL</t>
        </is>
      </c>
      <c r="D358" s="31" t="inlineStr">
        <is>
          <t>GHCL Textiles Ltd</t>
        </is>
      </c>
      <c r="E358" s="31" t="inlineStr">
        <is>
          <t>textiles</t>
        </is>
      </c>
      <c r="F358" s="31" t="inlineStr">
        <is>
          <t>textiles - spinning - synthetic / blended</t>
        </is>
      </c>
      <c r="G358" s="31" t="inlineStr">
        <is>
          <t>smallcap</t>
        </is>
      </c>
      <c r="H358" s="32" t="n">
        <v>1029.55</v>
      </c>
      <c r="I358" s="32" t="n">
        <v>109.35</v>
      </c>
      <c r="J358" s="32" t="n">
        <v>1.52</v>
      </c>
      <c r="K358" s="32" t="n">
        <v>460141</v>
      </c>
      <c r="L358" s="31" t="inlineStr"/>
      <c r="M358" s="31" t="inlineStr"/>
      <c r="N358" s="32">
        <f>IF(M358="Underperforming",-5,IF(L358&gt;=95,15,IF(L358&gt;=90,10,IF(L358&gt;=80,5,0))))</f>
        <v/>
      </c>
      <c r="O358" s="32" t="inlineStr"/>
      <c r="P358" s="32" t="inlineStr"/>
      <c r="Q358" s="32" t="inlineStr"/>
      <c r="R358" s="31" t="inlineStr"/>
      <c r="S358" s="31" t="inlineStr"/>
      <c r="T358" s="32" t="inlineStr"/>
      <c r="U358" s="32" t="inlineStr"/>
      <c r="V358" s="32" t="inlineStr"/>
      <c r="W358" s="32" t="inlineStr"/>
      <c r="X358" s="31" t="n"/>
      <c r="Y358" s="31">
        <f>IF(X358="Growing Industry",10,IF(X358="Cyclical in an Upturn",5,0))</f>
        <v/>
      </c>
      <c r="Z358" s="31" t="n"/>
      <c r="AA358" s="31">
        <f>IF(Z358="Monopoly",10,IF(Z358="Oligopoly",5,IF(Z358="Duopoly that cooperate",10,IF(Z358="Duopoly that compete",5,IF(Z358="Too many players with High ROCE",5,0)))))</f>
        <v/>
      </c>
      <c r="AB358" s="31" t="n"/>
      <c r="AC358" s="31">
        <f>IF(AB358="No",5,0)</f>
        <v/>
      </c>
      <c r="AD358" s="31" t="n"/>
      <c r="AE358" s="31">
        <f>IF(AD358="Tailwind",10,0)</f>
        <v/>
      </c>
      <c r="AF358" s="31" t="n"/>
      <c r="AG358" s="31">
        <f>IF(AF358="Structural (10 Years Consistency)",10,IF(AF358="Shallow Cyclical (2 to 3 years growth)",5,0))</f>
        <v/>
      </c>
      <c r="AH358" s="31" t="n"/>
      <c r="AI358" s="31">
        <f>IF(AH358="Yes due to Product Mix change or Operating Leverage",10,IF(AH358="Yes, these are peak margins",-5,IF(AH358="No",5,0)))</f>
        <v/>
      </c>
      <c r="AJ358" s="31" t="n"/>
      <c r="AK358" s="31">
        <f>IF(AJ358="Stable",10,0)</f>
        <v/>
      </c>
      <c r="AL358" s="31" t="n"/>
      <c r="AM358" s="31">
        <f>IF(AL358="Yes",10,0)</f>
        <v/>
      </c>
      <c r="AN358" s="31" t="n"/>
      <c r="AO358" s="31">
        <f>IF(AN358="B2C",10,IF(AN358="B2B",5,0))</f>
        <v/>
      </c>
      <c r="AP358" s="31" t="n"/>
      <c r="AQ358" s="31">
        <f>IF(AP358="Yes",10,0)</f>
        <v/>
      </c>
      <c r="AR358" s="31" t="n"/>
      <c r="AS358" s="31">
        <f>IF(AR358="Fully Annuity",10,IF(AR358="Higher Annuity, Lower One Time",5,IF(AR358="Higher One Time, Lower Annuity",3,0)))</f>
        <v/>
      </c>
      <c r="AT358" s="31" t="n"/>
      <c r="AU358" s="31">
        <f>IF(AT358="Good",10,0)</f>
        <v/>
      </c>
      <c r="AV358" s="31" t="n"/>
      <c r="AW358" s="31">
        <f>IF(AV358="Yes for more than 2 years",10,IF(AV358="Yes only for next 1 to 2 years",5,0))</f>
        <v/>
      </c>
      <c r="AX358" s="31" t="n"/>
      <c r="AY358" s="31">
        <f>IF(AX358="Above 40",20,IF(AX358="20 to 40",10,IF(AX358="0 to 20",-5,0)))</f>
        <v/>
      </c>
      <c r="AZ358" s="31" t="n"/>
      <c r="BA358" s="31">
        <f>IF(AZ358="Between 50 to 75",10,IF(AZ358="Above 75",0,0))</f>
        <v/>
      </c>
      <c r="BB358" s="31" t="n"/>
      <c r="BC358" s="31">
        <f>IF(BB358="Stage 2",20,IF(BB358="Stage 1",0,IF(BB358="Stage 3",5,IF(BB358="Stage 4",-5,0))))</f>
        <v/>
      </c>
      <c r="BD358" s="31" t="n"/>
      <c r="BE358" s="31">
        <f>IF(BD358="Positive Trend",20,IF(BD358="Negative Trend",-10,0))</f>
        <v/>
      </c>
      <c r="BF358" s="31" t="n"/>
      <c r="BG358" s="31">
        <f>IF(BF358="Uptrend",10,IF(BF358="Sideways",5,0))</f>
        <v/>
      </c>
      <c r="BH358" s="31" t="n"/>
      <c r="BI358" s="31">
        <f>IF(BH358="Uptrend",10,IF(BH358="Sideways",5,0))</f>
        <v/>
      </c>
      <c r="BJ358" s="31" t="n"/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n"/>
      <c r="BM358" s="31">
        <f>IF(BL358="Yes",10,0)</f>
        <v/>
      </c>
      <c r="BN358" s="31" t="n"/>
      <c r="BO358" s="31">
        <f>IF(BN358="More than 20%",10,IF(BN358="Between 12 to 20%",5,IF(BN358="Less than 12%",0,0)))</f>
        <v/>
      </c>
      <c r="BP358" s="31" t="n"/>
      <c r="BQ358" s="31">
        <f>IF(BP358="No",10,0)</f>
        <v/>
      </c>
      <c r="BR358" s="31" t="n"/>
      <c r="BS358" s="31">
        <f>IF(BR358="NO",5,0)</f>
        <v/>
      </c>
      <c r="BT358" s="31" t="n"/>
      <c r="BU358" s="31">
        <f>IF(BT358="Above 2",0,IF(BT358="Between 1.5 to 2",5,IF(BT358="Less than 1.5",10,0)))</f>
        <v/>
      </c>
      <c r="BV358" s="31" t="n"/>
      <c r="BW358" s="31">
        <f>IF(BV358="Above 70%",10,IF(BV358="Between 50% to 70%",5,IF(BV358="Less than 50%",0,IF(BV358="Negative",-10,IF(BV358="Less than 50% and Borrowings are increasing",-5,0)))))</f>
        <v/>
      </c>
      <c r="BX358" s="31" t="n"/>
      <c r="BY358" s="31">
        <f>IF(BX358="More than 1.2",-10,IF(BX358="Between 0.7 to 1.2",0,IF(BX358="Less than 0.7",10,0)))</f>
        <v/>
      </c>
      <c r="BZ358" s="31" t="n"/>
      <c r="CA358" s="31">
        <f>IF(BZ358="Yes",-10,0)</f>
        <v/>
      </c>
      <c r="CB358" s="31" t="n"/>
      <c r="CC358" s="31">
        <f>IF(CB358="More than 15%",-10,IF(CB358="Less than 15%",10,0))</f>
        <v/>
      </c>
      <c r="CD358" s="31" t="n"/>
      <c r="CE358" s="31">
        <f>IF(CD358="Yes, more than 10%",-10,IF(CD358="No",10,0))</f>
        <v/>
      </c>
    </row>
    <row r="359">
      <c r="A359" s="31">
        <f>IF(B359=0,"",RANK(B359,$B$2:$B$372,0))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1" t="inlineStr">
        <is>
          <t>HFCL</t>
        </is>
      </c>
      <c r="D359" s="31" t="inlineStr">
        <is>
          <t>HFCL Ltd</t>
        </is>
      </c>
      <c r="E359" s="31" t="inlineStr">
        <is>
          <t>telecom</t>
        </is>
      </c>
      <c r="F359" s="31" t="inlineStr">
        <is>
          <t>cables - telephone</t>
        </is>
      </c>
      <c r="G359" s="31" t="inlineStr">
        <is>
          <t>largecap</t>
        </is>
      </c>
      <c r="H359" s="32" t="n">
        <v>32858.97</v>
      </c>
      <c r="I359" s="32" t="n">
        <v>217.25</v>
      </c>
      <c r="J359" s="32" t="n">
        <v>1.2</v>
      </c>
      <c r="K359" s="32" t="n">
        <v>16018388</v>
      </c>
      <c r="L359" s="31" t="inlineStr"/>
      <c r="M359" s="31" t="inlineStr"/>
      <c r="N359" s="32">
        <f>IF(M359="Underperforming",-5,IF(L359&gt;=95,15,IF(L359&gt;=90,10,IF(L359&gt;=80,5,0))))</f>
        <v/>
      </c>
      <c r="O359" s="32" t="inlineStr"/>
      <c r="P359" s="32" t="inlineStr"/>
      <c r="Q359" s="32" t="inlineStr"/>
      <c r="R359" s="31" t="inlineStr"/>
      <c r="S359" s="31" t="inlineStr"/>
      <c r="T359" s="32" t="inlineStr"/>
      <c r="U359" s="32" t="inlineStr"/>
      <c r="V359" s="32" t="inlineStr"/>
      <c r="W359" s="32" t="inlineStr"/>
      <c r="X359" s="31" t="n"/>
      <c r="Y359" s="31">
        <f>IF(X359="Growing Industry",10,IF(X359="Cyclical in an Upturn",5,0))</f>
        <v/>
      </c>
      <c r="Z359" s="31" t="n"/>
      <c r="AA359" s="31">
        <f>IF(Z359="Monopoly",10,IF(Z359="Oligopoly",5,IF(Z359="Duopoly that cooperate",10,IF(Z359="Duopoly that compete",5,IF(Z359="Too many players with High ROCE",5,0)))))</f>
        <v/>
      </c>
      <c r="AB359" s="31" t="n"/>
      <c r="AC359" s="31">
        <f>IF(AB359="No",5,0)</f>
        <v/>
      </c>
      <c r="AD359" s="31" t="n"/>
      <c r="AE359" s="31">
        <f>IF(AD359="Tailwind",10,0)</f>
        <v/>
      </c>
      <c r="AF359" s="31" t="n"/>
      <c r="AG359" s="31">
        <f>IF(AF359="Structural (10 Years Consistency)",10,IF(AF359="Shallow Cyclical (2 to 3 years growth)",5,0))</f>
        <v/>
      </c>
      <c r="AH359" s="31" t="n"/>
      <c r="AI359" s="31">
        <f>IF(AH359="Yes due to Product Mix change or Operating Leverage",10,IF(AH359="Yes, these are peak margins",-5,IF(AH359="No",5,0)))</f>
        <v/>
      </c>
      <c r="AJ359" s="31" t="n"/>
      <c r="AK359" s="31">
        <f>IF(AJ359="Stable",10,0)</f>
        <v/>
      </c>
      <c r="AL359" s="31" t="n"/>
      <c r="AM359" s="31">
        <f>IF(AL359="Yes",10,0)</f>
        <v/>
      </c>
      <c r="AN359" s="31" t="n"/>
      <c r="AO359" s="31">
        <f>IF(AN359="B2C",10,IF(AN359="B2B",5,0))</f>
        <v/>
      </c>
      <c r="AP359" s="31" t="n"/>
      <c r="AQ359" s="31">
        <f>IF(AP359="Yes",10,0)</f>
        <v/>
      </c>
      <c r="AR359" s="31" t="n"/>
      <c r="AS359" s="31">
        <f>IF(AR359="Fully Annuity",10,IF(AR359="Higher Annuity, Lower One Time",5,IF(AR359="Higher One Time, Lower Annuity",3,0)))</f>
        <v/>
      </c>
      <c r="AT359" s="31" t="n"/>
      <c r="AU359" s="31">
        <f>IF(AT359="Good",10,0)</f>
        <v/>
      </c>
      <c r="AV359" s="31" t="n"/>
      <c r="AW359" s="31">
        <f>IF(AV359="Yes for more than 2 years",10,IF(AV359="Yes only for next 1 to 2 years",5,0))</f>
        <v/>
      </c>
      <c r="AX359" s="31" t="n"/>
      <c r="AY359" s="31">
        <f>IF(AX359="Above 40",20,IF(AX359="20 to 40",10,IF(AX359="0 to 20",-5,0)))</f>
        <v/>
      </c>
      <c r="AZ359" s="31" t="n"/>
      <c r="BA359" s="31">
        <f>IF(AZ359="Between 50 to 75",10,IF(AZ359="Above 75",0,0))</f>
        <v/>
      </c>
      <c r="BB359" s="31" t="n"/>
      <c r="BC359" s="31">
        <f>IF(BB359="Stage 2",20,IF(BB359="Stage 1",0,IF(BB359="Stage 3",5,IF(BB359="Stage 4",-5,0))))</f>
        <v/>
      </c>
      <c r="BD359" s="31" t="n"/>
      <c r="BE359" s="31">
        <f>IF(BD359="Positive Trend",20,IF(BD359="Negative Trend",-10,0))</f>
        <v/>
      </c>
      <c r="BF359" s="31" t="n"/>
      <c r="BG359" s="31">
        <f>IF(BF359="Uptrend",10,IF(BF359="Sideways",5,0))</f>
        <v/>
      </c>
      <c r="BH359" s="31" t="n"/>
      <c r="BI359" s="31">
        <f>IF(BH359="Uptrend",10,IF(BH359="Sideways",5,0))</f>
        <v/>
      </c>
      <c r="BJ359" s="31" t="n"/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n"/>
      <c r="BM359" s="31">
        <f>IF(BL359="Yes",10,0)</f>
        <v/>
      </c>
      <c r="BN359" s="31" t="n"/>
      <c r="BO359" s="31">
        <f>IF(BN359="More than 20%",10,IF(BN359="Between 12 to 20%",5,IF(BN359="Less than 12%",0,0)))</f>
        <v/>
      </c>
      <c r="BP359" s="31" t="n"/>
      <c r="BQ359" s="31">
        <f>IF(BP359="No",10,0)</f>
        <v/>
      </c>
      <c r="BR359" s="31" t="n"/>
      <c r="BS359" s="31">
        <f>IF(BR359="NO",5,0)</f>
        <v/>
      </c>
      <c r="BT359" s="31" t="n"/>
      <c r="BU359" s="31">
        <f>IF(BT359="Above 2",0,IF(BT359="Between 1.5 to 2",5,IF(BT359="Less than 1.5",10,0)))</f>
        <v/>
      </c>
      <c r="BV359" s="31" t="n"/>
      <c r="BW359" s="31">
        <f>IF(BV359="Above 70%",10,IF(BV359="Between 50% to 70%",5,IF(BV359="Less than 50%",0,IF(BV359="Negative",-10,IF(BV359="Less than 50% and Borrowings are increasing",-5,0)))))</f>
        <v/>
      </c>
      <c r="BX359" s="31" t="n"/>
      <c r="BY359" s="31">
        <f>IF(BX359="More than 1.2",-10,IF(BX359="Between 0.7 to 1.2",0,IF(BX359="Less than 0.7",10,0)))</f>
        <v/>
      </c>
      <c r="BZ359" s="31" t="n"/>
      <c r="CA359" s="31">
        <f>IF(BZ359="Yes",-10,0)</f>
        <v/>
      </c>
      <c r="CB359" s="31" t="n"/>
      <c r="CC359" s="31">
        <f>IF(CB359="More than 15%",-10,IF(CB359="Less than 15%",10,0))</f>
        <v/>
      </c>
      <c r="CD359" s="31" t="n"/>
      <c r="CE359" s="31">
        <f>IF(CD359="Yes, more than 10%",-10,IF(CD359="No",10,0))</f>
        <v/>
      </c>
    </row>
    <row r="360">
      <c r="A360" s="31">
        <f>IF(B360=0,"",RANK(B360,$B$2:$B$372,0))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1" t="inlineStr">
        <is>
          <t>NAVNETEDUL</t>
        </is>
      </c>
      <c r="D360" s="31" t="inlineStr">
        <is>
          <t>Navneet Education Limited</t>
        </is>
      </c>
      <c r="E360" s="31" t="inlineStr">
        <is>
          <t>miscellaneous</t>
        </is>
      </c>
      <c r="F360" s="31" t="inlineStr">
        <is>
          <t>printing &amp; stationery</t>
        </is>
      </c>
      <c r="G360" s="31" t="inlineStr">
        <is>
          <t>smallcap</t>
        </is>
      </c>
      <c r="H360" s="32" t="n">
        <v>3289.88</v>
      </c>
      <c r="I360" s="32" t="n">
        <v>150.46</v>
      </c>
      <c r="J360" s="32" t="n">
        <v>1.17</v>
      </c>
      <c r="K360" s="32" t="n">
        <v>155654</v>
      </c>
      <c r="L360" s="31" t="inlineStr"/>
      <c r="M360" s="31" t="inlineStr"/>
      <c r="N360" s="32">
        <f>IF(M360="Underperforming",-5,IF(L360&gt;=95,15,IF(L360&gt;=90,10,IF(L360&gt;=80,5,0))))</f>
        <v/>
      </c>
      <c r="O360" s="32" t="inlineStr"/>
      <c r="P360" s="32" t="inlineStr"/>
      <c r="Q360" s="32" t="inlineStr"/>
      <c r="R360" s="31" t="inlineStr"/>
      <c r="S360" s="31" t="inlineStr"/>
      <c r="T360" s="32" t="inlineStr"/>
      <c r="U360" s="32" t="inlineStr"/>
      <c r="V360" s="32" t="inlineStr"/>
      <c r="W360" s="32" t="inlineStr"/>
      <c r="X360" s="31" t="n"/>
      <c r="Y360" s="31">
        <f>IF(X360="Growing Industry",10,IF(X360="Cyclical in an Upturn",5,0))</f>
        <v/>
      </c>
      <c r="Z360" s="31" t="n"/>
      <c r="AA360" s="31">
        <f>IF(Z360="Monopoly",10,IF(Z360="Oligopoly",5,IF(Z360="Duopoly that cooperate",10,IF(Z360="Duopoly that compete",5,IF(Z360="Too many players with High ROCE",5,0)))))</f>
        <v/>
      </c>
      <c r="AB360" s="31" t="n"/>
      <c r="AC360" s="31">
        <f>IF(AB360="No",5,0)</f>
        <v/>
      </c>
      <c r="AD360" s="31" t="n"/>
      <c r="AE360" s="31">
        <f>IF(AD360="Tailwind",10,0)</f>
        <v/>
      </c>
      <c r="AF360" s="31" t="n"/>
      <c r="AG360" s="31">
        <f>IF(AF360="Structural (10 Years Consistency)",10,IF(AF360="Shallow Cyclical (2 to 3 years growth)",5,0))</f>
        <v/>
      </c>
      <c r="AH360" s="31" t="n"/>
      <c r="AI360" s="31">
        <f>IF(AH360="Yes due to Product Mix change or Operating Leverage",10,IF(AH360="Yes, these are peak margins",-5,IF(AH360="No",5,0)))</f>
        <v/>
      </c>
      <c r="AJ360" s="31" t="n"/>
      <c r="AK360" s="31">
        <f>IF(AJ360="Stable",10,0)</f>
        <v/>
      </c>
      <c r="AL360" s="31" t="n"/>
      <c r="AM360" s="31">
        <f>IF(AL360="Yes",10,0)</f>
        <v/>
      </c>
      <c r="AN360" s="31" t="n"/>
      <c r="AO360" s="31">
        <f>IF(AN360="B2C",10,IF(AN360="B2B",5,0))</f>
        <v/>
      </c>
      <c r="AP360" s="31" t="n"/>
      <c r="AQ360" s="31">
        <f>IF(AP360="Yes",10,0)</f>
        <v/>
      </c>
      <c r="AR360" s="31" t="n"/>
      <c r="AS360" s="31">
        <f>IF(AR360="Fully Annuity",10,IF(AR360="Higher Annuity, Lower One Time",5,IF(AR360="Higher One Time, Lower Annuity",3,0)))</f>
        <v/>
      </c>
      <c r="AT360" s="31" t="n"/>
      <c r="AU360" s="31">
        <f>IF(AT360="Good",10,0)</f>
        <v/>
      </c>
      <c r="AV360" s="31" t="n"/>
      <c r="AW360" s="31">
        <f>IF(AV360="Yes for more than 2 years",10,IF(AV360="Yes only for next 1 to 2 years",5,0))</f>
        <v/>
      </c>
      <c r="AX360" s="31" t="n"/>
      <c r="AY360" s="31">
        <f>IF(AX360="Above 40",20,IF(AX360="20 to 40",10,IF(AX360="0 to 20",-5,0)))</f>
        <v/>
      </c>
      <c r="AZ360" s="31" t="n"/>
      <c r="BA360" s="31">
        <f>IF(AZ360="Between 50 to 75",10,IF(AZ360="Above 75",0,0))</f>
        <v/>
      </c>
      <c r="BB360" s="31" t="n"/>
      <c r="BC360" s="31">
        <f>IF(BB360="Stage 2",20,IF(BB360="Stage 1",0,IF(BB360="Stage 3",5,IF(BB360="Stage 4",-5,0))))</f>
        <v/>
      </c>
      <c r="BD360" s="31" t="n"/>
      <c r="BE360" s="31">
        <f>IF(BD360="Positive Trend",20,IF(BD360="Negative Trend",-10,0))</f>
        <v/>
      </c>
      <c r="BF360" s="31" t="n"/>
      <c r="BG360" s="31">
        <f>IF(BF360="Uptrend",10,IF(BF360="Sideways",5,0))</f>
        <v/>
      </c>
      <c r="BH360" s="31" t="n"/>
      <c r="BI360" s="31">
        <f>IF(BH360="Uptrend",10,IF(BH360="Sideways",5,0))</f>
        <v/>
      </c>
      <c r="BJ360" s="31" t="n"/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n"/>
      <c r="BM360" s="31">
        <f>IF(BL360="Yes",10,0)</f>
        <v/>
      </c>
      <c r="BN360" s="31" t="n"/>
      <c r="BO360" s="31">
        <f>IF(BN360="More than 20%",10,IF(BN360="Between 12 to 20%",5,IF(BN360="Less than 12%",0,0)))</f>
        <v/>
      </c>
      <c r="BP360" s="31" t="n"/>
      <c r="BQ360" s="31">
        <f>IF(BP360="No",10,0)</f>
        <v/>
      </c>
      <c r="BR360" s="31" t="n"/>
      <c r="BS360" s="31">
        <f>IF(BR360="NO",5,0)</f>
        <v/>
      </c>
      <c r="BT360" s="31" t="n"/>
      <c r="BU360" s="31">
        <f>IF(BT360="Above 2",0,IF(BT360="Between 1.5 to 2",5,IF(BT360="Less than 1.5",10,0)))</f>
        <v/>
      </c>
      <c r="BV360" s="31" t="n"/>
      <c r="BW360" s="31">
        <f>IF(BV360="Above 70%",10,IF(BV360="Between 50% to 70%",5,IF(BV360="Less than 50%",0,IF(BV360="Negative",-10,IF(BV360="Less than 50% and Borrowings are increasing",-5,0)))))</f>
        <v/>
      </c>
      <c r="BX360" s="31" t="n"/>
      <c r="BY360" s="31">
        <f>IF(BX360="More than 1.2",-10,IF(BX360="Between 0.7 to 1.2",0,IF(BX360="Less than 0.7",10,0)))</f>
        <v/>
      </c>
      <c r="BZ360" s="31" t="n"/>
      <c r="CA360" s="31">
        <f>IF(BZ360="Yes",-10,0)</f>
        <v/>
      </c>
      <c r="CB360" s="31" t="n"/>
      <c r="CC360" s="31">
        <f>IF(CB360="More than 15%",-10,IF(CB360="Less than 15%",10,0))</f>
        <v/>
      </c>
      <c r="CD360" s="31" t="n"/>
      <c r="CE360" s="31">
        <f>IF(CD360="Yes, more than 10%",-10,IF(CD360="No",10,0))</f>
        <v/>
      </c>
    </row>
    <row r="361">
      <c r="A361" s="31">
        <f>IF(B361=0,"",RANK(B361,$B$2:$B$372,0))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SYRMA</t>
        </is>
      </c>
      <c r="D361" s="31" t="inlineStr">
        <is>
          <t>Syrma SGS Technology Ltd</t>
        </is>
      </c>
      <c r="E361" s="31" t="inlineStr">
        <is>
          <t>consumer discretionary</t>
        </is>
      </c>
      <c r="F361" s="31" t="inlineStr">
        <is>
          <t>electronics - components</t>
        </is>
      </c>
      <c r="G361" s="31" t="inlineStr">
        <is>
          <t>largecap</t>
        </is>
      </c>
      <c r="H361" s="32" t="n">
        <v>27786.87</v>
      </c>
      <c r="I361" s="32" t="n">
        <v>1451.9</v>
      </c>
      <c r="J361" s="32" t="n">
        <v>0.76</v>
      </c>
      <c r="K361" s="32" t="n">
        <v>1261915</v>
      </c>
      <c r="L361" s="31" t="inlineStr"/>
      <c r="M361" s="31" t="inlineStr"/>
      <c r="N361" s="32">
        <f>IF(M361="Underperforming",-5,IF(L361&gt;=95,15,IF(L361&gt;=90,10,IF(L361&gt;=80,5,0))))</f>
        <v/>
      </c>
      <c r="O361" s="32" t="inlineStr"/>
      <c r="P361" s="32" t="inlineStr"/>
      <c r="Q361" s="32" t="inlineStr"/>
      <c r="R361" s="31" t="inlineStr"/>
      <c r="S361" s="31" t="inlineStr"/>
      <c r="T361" s="32" t="inlineStr"/>
      <c r="U361" s="32" t="inlineStr"/>
      <c r="V361" s="32" t="inlineStr"/>
      <c r="W361" s="32" t="inlineStr"/>
      <c r="X361" s="31" t="n"/>
      <c r="Y361" s="31">
        <f>IF(X361="Growing Industry",10,IF(X361="Cyclical in an Upturn",5,0))</f>
        <v/>
      </c>
      <c r="Z361" s="31" t="n"/>
      <c r="AA361" s="31">
        <f>IF(Z361="Monopoly",10,IF(Z361="Oligopoly",5,IF(Z361="Duopoly that cooperate",10,IF(Z361="Duopoly that compete",5,IF(Z361="Too many players with High ROCE",5,0)))))</f>
        <v/>
      </c>
      <c r="AB361" s="31" t="n"/>
      <c r="AC361" s="31">
        <f>IF(AB361="No",5,0)</f>
        <v/>
      </c>
      <c r="AD361" s="31" t="n"/>
      <c r="AE361" s="31">
        <f>IF(AD361="Tailwind",10,0)</f>
        <v/>
      </c>
      <c r="AF361" s="31" t="n"/>
      <c r="AG361" s="31">
        <f>IF(AF361="Structural (10 Years Consistency)",10,IF(AF361="Shallow Cyclical (2 to 3 years growth)",5,0))</f>
        <v/>
      </c>
      <c r="AH361" s="31" t="n"/>
      <c r="AI361" s="31">
        <f>IF(AH361="Yes due to Product Mix change or Operating Leverage",10,IF(AH361="Yes, these are peak margins",-5,IF(AH361="No",5,0)))</f>
        <v/>
      </c>
      <c r="AJ361" s="31" t="n"/>
      <c r="AK361" s="31">
        <f>IF(AJ361="Stable",10,0)</f>
        <v/>
      </c>
      <c r="AL361" s="31" t="n"/>
      <c r="AM361" s="31">
        <f>IF(AL361="Yes",10,0)</f>
        <v/>
      </c>
      <c r="AN361" s="31" t="n"/>
      <c r="AO361" s="31">
        <f>IF(AN361="B2C",10,IF(AN361="B2B",5,0))</f>
        <v/>
      </c>
      <c r="AP361" s="31" t="n"/>
      <c r="AQ361" s="31">
        <f>IF(AP361="Yes",10,0)</f>
        <v/>
      </c>
      <c r="AR361" s="31" t="n"/>
      <c r="AS361" s="31">
        <f>IF(AR361="Fully Annuity",10,IF(AR361="Higher Annuity, Lower One Time",5,IF(AR361="Higher One Time, Lower Annuity",3,0)))</f>
        <v/>
      </c>
      <c r="AT361" s="31" t="n"/>
      <c r="AU361" s="31">
        <f>IF(AT361="Good",10,0)</f>
        <v/>
      </c>
      <c r="AV361" s="31" t="n"/>
      <c r="AW361" s="31">
        <f>IF(AV361="Yes for more than 2 years",10,IF(AV361="Yes only for next 1 to 2 years",5,0))</f>
        <v/>
      </c>
      <c r="AX361" s="31" t="n"/>
      <c r="AY361" s="31">
        <f>IF(AX361="Above 40",20,IF(AX361="20 to 40",10,IF(AX361="0 to 20",-5,0)))</f>
        <v/>
      </c>
      <c r="AZ361" s="31" t="n"/>
      <c r="BA361" s="31">
        <f>IF(AZ361="Between 50 to 75",10,IF(AZ361="Above 75",0,0))</f>
        <v/>
      </c>
      <c r="BB361" s="31" t="n"/>
      <c r="BC361" s="31">
        <f>IF(BB361="Stage 2",20,IF(BB361="Stage 1",0,IF(BB361="Stage 3",5,IF(BB361="Stage 4",-5,0))))</f>
        <v/>
      </c>
      <c r="BD361" s="31" t="n"/>
      <c r="BE361" s="31">
        <f>IF(BD361="Positive Trend",20,IF(BD361="Negative Trend",-10,0))</f>
        <v/>
      </c>
      <c r="BF361" s="31" t="n"/>
      <c r="BG361" s="31">
        <f>IF(BF361="Uptrend",10,IF(BF361="Sideways",5,0))</f>
        <v/>
      </c>
      <c r="BH361" s="31" t="n"/>
      <c r="BI361" s="31">
        <f>IF(BH361="Uptrend",10,IF(BH361="Sideways",5,0))</f>
        <v/>
      </c>
      <c r="BJ361" s="31" t="n"/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n"/>
      <c r="BM361" s="31">
        <f>IF(BL361="Yes",10,0)</f>
        <v/>
      </c>
      <c r="BN361" s="31" t="n"/>
      <c r="BO361" s="31">
        <f>IF(BN361="More than 20%",10,IF(BN361="Between 12 to 20%",5,IF(BN361="Less than 12%",0,0)))</f>
        <v/>
      </c>
      <c r="BP361" s="31" t="n"/>
      <c r="BQ361" s="31">
        <f>IF(BP361="No",10,0)</f>
        <v/>
      </c>
      <c r="BR361" s="31" t="n"/>
      <c r="BS361" s="31">
        <f>IF(BR361="NO",5,0)</f>
        <v/>
      </c>
      <c r="BT361" s="31" t="n"/>
      <c r="BU361" s="31">
        <f>IF(BT361="Above 2",0,IF(BT361="Between 1.5 to 2",5,IF(BT361="Less than 1.5",10,0)))</f>
        <v/>
      </c>
      <c r="BV361" s="31" t="n"/>
      <c r="BW361" s="31">
        <f>IF(BV361="Above 70%",10,IF(BV361="Between 50% to 70%",5,IF(BV361="Less than 50%",0,IF(BV361="Negative",-10,IF(BV361="Less than 50% and Borrowings are increasing",-5,0)))))</f>
        <v/>
      </c>
      <c r="BX361" s="31" t="n"/>
      <c r="BY361" s="31">
        <f>IF(BX361="More than 1.2",-10,IF(BX361="Between 0.7 to 1.2",0,IF(BX361="Less than 0.7",10,0)))</f>
        <v/>
      </c>
      <c r="BZ361" s="31" t="n"/>
      <c r="CA361" s="31">
        <f>IF(BZ361="Yes",-10,0)</f>
        <v/>
      </c>
      <c r="CB361" s="31" t="n"/>
      <c r="CC361" s="31">
        <f>IF(CB361="More than 15%",-10,IF(CB361="Less than 15%",10,0))</f>
        <v/>
      </c>
      <c r="CD361" s="31" t="n"/>
      <c r="CE361" s="31">
        <f>IF(CD361="Yes, more than 10%",-10,IF(CD361="No",10,0))</f>
        <v/>
      </c>
    </row>
    <row r="362">
      <c r="A362" s="31">
        <f>IF(B362=0,"",RANK(B362,$B$2:$B$372,0))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IPCALAB</t>
        </is>
      </c>
      <c r="D362" s="31" t="inlineStr">
        <is>
          <t>Ipca Laboratories Limited</t>
        </is>
      </c>
      <c r="E362" s="31" t="inlineStr">
        <is>
          <t>healthcare</t>
        </is>
      </c>
      <c r="F362" s="31" t="inlineStr">
        <is>
          <t>pharmaceuticals - indian - bulk drugs &amp; formln</t>
        </is>
      </c>
      <c r="G362" s="31" t="inlineStr">
        <is>
          <t>largecap</t>
        </is>
      </c>
      <c r="H362" s="32" t="n">
        <v>44915.79</v>
      </c>
      <c r="I362" s="32" t="n">
        <v>1780</v>
      </c>
      <c r="J362" s="32" t="n">
        <v>0.54</v>
      </c>
      <c r="K362" s="32" t="n">
        <v>146862</v>
      </c>
      <c r="L362" s="31" t="inlineStr"/>
      <c r="M362" s="31" t="inlineStr"/>
      <c r="N362" s="32">
        <f>IF(M362="Underperforming",-5,IF(L362&gt;=95,15,IF(L362&gt;=90,10,IF(L362&gt;=80,5,0))))</f>
        <v/>
      </c>
      <c r="O362" s="32" t="inlineStr"/>
      <c r="P362" s="32" t="inlineStr"/>
      <c r="Q362" s="32" t="inlineStr"/>
      <c r="R362" s="31" t="inlineStr"/>
      <c r="S362" s="31" t="inlineStr"/>
      <c r="T362" s="32" t="inlineStr"/>
      <c r="U362" s="32" t="inlineStr"/>
      <c r="V362" s="32" t="inlineStr"/>
      <c r="W362" s="32" t="inlineStr"/>
      <c r="X362" s="31" t="n"/>
      <c r="Y362" s="31">
        <f>IF(X362="Growing Industry",10,IF(X362="Cyclical in an Upturn",5,0))</f>
        <v/>
      </c>
      <c r="Z362" s="31" t="n"/>
      <c r="AA362" s="31">
        <f>IF(Z362="Monopoly",10,IF(Z362="Oligopoly",5,IF(Z362="Duopoly that cooperate",10,IF(Z362="Duopoly that compete",5,IF(Z362="Too many players with High ROCE",5,0)))))</f>
        <v/>
      </c>
      <c r="AB362" s="31" t="n"/>
      <c r="AC362" s="31">
        <f>IF(AB362="No",5,0)</f>
        <v/>
      </c>
      <c r="AD362" s="31" t="n"/>
      <c r="AE362" s="31">
        <f>IF(AD362="Tailwind",10,0)</f>
        <v/>
      </c>
      <c r="AF362" s="31" t="n"/>
      <c r="AG362" s="31">
        <f>IF(AF362="Structural (10 Years Consistency)",10,IF(AF362="Shallow Cyclical (2 to 3 years growth)",5,0))</f>
        <v/>
      </c>
      <c r="AH362" s="31" t="n"/>
      <c r="AI362" s="31">
        <f>IF(AH362="Yes due to Product Mix change or Operating Leverage",10,IF(AH362="Yes, these are peak margins",-5,IF(AH362="No",5,0)))</f>
        <v/>
      </c>
      <c r="AJ362" s="31" t="n"/>
      <c r="AK362" s="31">
        <f>IF(AJ362="Stable",10,0)</f>
        <v/>
      </c>
      <c r="AL362" s="31" t="n"/>
      <c r="AM362" s="31">
        <f>IF(AL362="Yes",10,0)</f>
        <v/>
      </c>
      <c r="AN362" s="31" t="n"/>
      <c r="AO362" s="31">
        <f>IF(AN362="B2C",10,IF(AN362="B2B",5,0))</f>
        <v/>
      </c>
      <c r="AP362" s="31" t="n"/>
      <c r="AQ362" s="31">
        <f>IF(AP362="Yes",10,0)</f>
        <v/>
      </c>
      <c r="AR362" s="31" t="n"/>
      <c r="AS362" s="31">
        <f>IF(AR362="Fully Annuity",10,IF(AR362="Higher Annuity, Lower One Time",5,IF(AR362="Higher One Time, Lower Annuity",3,0)))</f>
        <v/>
      </c>
      <c r="AT362" s="31" t="n"/>
      <c r="AU362" s="31">
        <f>IF(AT362="Good",10,0)</f>
        <v/>
      </c>
      <c r="AV362" s="31" t="n"/>
      <c r="AW362" s="31">
        <f>IF(AV362="Yes for more than 2 years",10,IF(AV362="Yes only for next 1 to 2 years",5,0))</f>
        <v/>
      </c>
      <c r="AX362" s="31" t="n"/>
      <c r="AY362" s="31">
        <f>IF(AX362="Above 40",20,IF(AX362="20 to 40",10,IF(AX362="0 to 20",-5,0)))</f>
        <v/>
      </c>
      <c r="AZ362" s="31" t="n"/>
      <c r="BA362" s="31">
        <f>IF(AZ362="Between 50 to 75",10,IF(AZ362="Above 75",0,0))</f>
        <v/>
      </c>
      <c r="BB362" s="31" t="n"/>
      <c r="BC362" s="31">
        <f>IF(BB362="Stage 2",20,IF(BB362="Stage 1",0,IF(BB362="Stage 3",5,IF(BB362="Stage 4",-5,0))))</f>
        <v/>
      </c>
      <c r="BD362" s="31" t="n"/>
      <c r="BE362" s="31">
        <f>IF(BD362="Positive Trend",20,IF(BD362="Negative Trend",-10,0))</f>
        <v/>
      </c>
      <c r="BF362" s="31" t="n"/>
      <c r="BG362" s="31">
        <f>IF(BF362="Uptrend",10,IF(BF362="Sideways",5,0))</f>
        <v/>
      </c>
      <c r="BH362" s="31" t="n"/>
      <c r="BI362" s="31">
        <f>IF(BH362="Uptrend",10,IF(BH362="Sideways",5,0))</f>
        <v/>
      </c>
      <c r="BJ362" s="31" t="n"/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n"/>
      <c r="BM362" s="31">
        <f>IF(BL362="Yes",10,0)</f>
        <v/>
      </c>
      <c r="BN362" s="31" t="n"/>
      <c r="BO362" s="31">
        <f>IF(BN362="More than 20%",10,IF(BN362="Between 12 to 20%",5,IF(BN362="Less than 12%",0,0)))</f>
        <v/>
      </c>
      <c r="BP362" s="31" t="n"/>
      <c r="BQ362" s="31">
        <f>IF(BP362="No",10,0)</f>
        <v/>
      </c>
      <c r="BR362" s="31" t="n"/>
      <c r="BS362" s="31">
        <f>IF(BR362="NO",5,0)</f>
        <v/>
      </c>
      <c r="BT362" s="31" t="n"/>
      <c r="BU362" s="31">
        <f>IF(BT362="Above 2",0,IF(BT362="Between 1.5 to 2",5,IF(BT362="Less than 1.5",10,0)))</f>
        <v/>
      </c>
      <c r="BV362" s="31" t="n"/>
      <c r="BW362" s="31">
        <f>IF(BV362="Above 70%",10,IF(BV362="Between 50% to 70%",5,IF(BV362="Less than 50%",0,IF(BV362="Negative",-10,IF(BV362="Less than 50% and Borrowings are increasing",-5,0)))))</f>
        <v/>
      </c>
      <c r="BX362" s="31" t="n"/>
      <c r="BY362" s="31">
        <f>IF(BX362="More than 1.2",-10,IF(BX362="Between 0.7 to 1.2",0,IF(BX362="Less than 0.7",10,0)))</f>
        <v/>
      </c>
      <c r="BZ362" s="31" t="n"/>
      <c r="CA362" s="31">
        <f>IF(BZ362="Yes",-10,0)</f>
        <v/>
      </c>
      <c r="CB362" s="31" t="n"/>
      <c r="CC362" s="31">
        <f>IF(CB362="More than 15%",-10,IF(CB362="Less than 15%",10,0))</f>
        <v/>
      </c>
      <c r="CD362" s="31" t="n"/>
      <c r="CE362" s="31">
        <f>IF(CD362="Yes, more than 10%",-10,IF(CD362="No",10,0))</f>
        <v/>
      </c>
    </row>
    <row r="363">
      <c r="A363" s="31">
        <f>IF(B363=0,"",RANK(B363,$B$2:$B$372,0))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1" t="inlineStr">
        <is>
          <t>TBOTEK</t>
        </is>
      </c>
      <c r="D363" s="31" t="inlineStr">
        <is>
          <t>TBO Tek Ltd</t>
        </is>
      </c>
      <c r="E363" s="31" t="inlineStr">
        <is>
          <t>i.t</t>
        </is>
      </c>
      <c r="F363" s="31" t="inlineStr">
        <is>
          <t>travel agencies</t>
        </is>
      </c>
      <c r="G363" s="31" t="inlineStr">
        <is>
          <t>midcap</t>
        </is>
      </c>
      <c r="H363" s="32" t="n">
        <v>16254.51</v>
      </c>
      <c r="I363" s="32" t="n">
        <v>1504.9</v>
      </c>
      <c r="J363" s="32" t="n">
        <v>0.53</v>
      </c>
      <c r="K363" s="32" t="n">
        <v>442591</v>
      </c>
      <c r="L363" s="31" t="inlineStr"/>
      <c r="M363" s="31" t="inlineStr"/>
      <c r="N363" s="32">
        <f>IF(M363="Underperforming",-5,IF(L363&gt;=95,15,IF(L363&gt;=90,10,IF(L363&gt;=80,5,0))))</f>
        <v/>
      </c>
      <c r="O363" s="32" t="inlineStr"/>
      <c r="P363" s="32" t="inlineStr"/>
      <c r="Q363" s="32" t="inlineStr"/>
      <c r="R363" s="31" t="inlineStr"/>
      <c r="S363" s="31" t="inlineStr"/>
      <c r="T363" s="32" t="inlineStr"/>
      <c r="U363" s="32" t="inlineStr"/>
      <c r="V363" s="32" t="inlineStr"/>
      <c r="W363" s="32" t="inlineStr"/>
      <c r="X363" s="31" t="n"/>
      <c r="Y363" s="31">
        <f>IF(X363="Growing Industry",10,IF(X363="Cyclical in an Upturn",5,0))</f>
        <v/>
      </c>
      <c r="Z363" s="31" t="n"/>
      <c r="AA363" s="31">
        <f>IF(Z363="Monopoly",10,IF(Z363="Oligopoly",5,IF(Z363="Duopoly that cooperate",10,IF(Z363="Duopoly that compete",5,IF(Z363="Too many players with High ROCE",5,0)))))</f>
        <v/>
      </c>
      <c r="AB363" s="31" t="n"/>
      <c r="AC363" s="31">
        <f>IF(AB363="No",5,0)</f>
        <v/>
      </c>
      <c r="AD363" s="31" t="n"/>
      <c r="AE363" s="31">
        <f>IF(AD363="Tailwind",10,0)</f>
        <v/>
      </c>
      <c r="AF363" s="31" t="n"/>
      <c r="AG363" s="31">
        <f>IF(AF363="Structural (10 Years Consistency)",10,IF(AF363="Shallow Cyclical (2 to 3 years growth)",5,0))</f>
        <v/>
      </c>
      <c r="AH363" s="31" t="n"/>
      <c r="AI363" s="31">
        <f>IF(AH363="Yes due to Product Mix change or Operating Leverage",10,IF(AH363="Yes, these are peak margins",-5,IF(AH363="No",5,0)))</f>
        <v/>
      </c>
      <c r="AJ363" s="31" t="n"/>
      <c r="AK363" s="31">
        <f>IF(AJ363="Stable",10,0)</f>
        <v/>
      </c>
      <c r="AL363" s="31" t="n"/>
      <c r="AM363" s="31">
        <f>IF(AL363="Yes",10,0)</f>
        <v/>
      </c>
      <c r="AN363" s="31" t="n"/>
      <c r="AO363" s="31">
        <f>IF(AN363="B2C",10,IF(AN363="B2B",5,0))</f>
        <v/>
      </c>
      <c r="AP363" s="31" t="n"/>
      <c r="AQ363" s="31">
        <f>IF(AP363="Yes",10,0)</f>
        <v/>
      </c>
      <c r="AR363" s="31" t="n"/>
      <c r="AS363" s="31">
        <f>IF(AR363="Fully Annuity",10,IF(AR363="Higher Annuity, Lower One Time",5,IF(AR363="Higher One Time, Lower Annuity",3,0)))</f>
        <v/>
      </c>
      <c r="AT363" s="31" t="n"/>
      <c r="AU363" s="31">
        <f>IF(AT363="Good",10,0)</f>
        <v/>
      </c>
      <c r="AV363" s="31" t="n"/>
      <c r="AW363" s="31">
        <f>IF(AV363="Yes for more than 2 years",10,IF(AV363="Yes only for next 1 to 2 years",5,0))</f>
        <v/>
      </c>
      <c r="AX363" s="31" t="n"/>
      <c r="AY363" s="31">
        <f>IF(AX363="Above 40",20,IF(AX363="20 to 40",10,IF(AX363="0 to 20",-5,0)))</f>
        <v/>
      </c>
      <c r="AZ363" s="31" t="n"/>
      <c r="BA363" s="31">
        <f>IF(AZ363="Between 50 to 75",10,IF(AZ363="Above 75",0,0))</f>
        <v/>
      </c>
      <c r="BB363" s="31" t="n"/>
      <c r="BC363" s="31">
        <f>IF(BB363="Stage 2",20,IF(BB363="Stage 1",0,IF(BB363="Stage 3",5,IF(BB363="Stage 4",-5,0))))</f>
        <v/>
      </c>
      <c r="BD363" s="31" t="n"/>
      <c r="BE363" s="31">
        <f>IF(BD363="Positive Trend",20,IF(BD363="Negative Trend",-10,0))</f>
        <v/>
      </c>
      <c r="BF363" s="31" t="n"/>
      <c r="BG363" s="31">
        <f>IF(BF363="Uptrend",10,IF(BF363="Sideways",5,0))</f>
        <v/>
      </c>
      <c r="BH363" s="31" t="n"/>
      <c r="BI363" s="31">
        <f>IF(BH363="Uptrend",10,IF(BH363="Sideways",5,0))</f>
        <v/>
      </c>
      <c r="BJ363" s="31" t="n"/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n"/>
      <c r="BM363" s="31">
        <f>IF(BL363="Yes",10,0)</f>
        <v/>
      </c>
      <c r="BN363" s="31" t="n"/>
      <c r="BO363" s="31">
        <f>IF(BN363="More than 20%",10,IF(BN363="Between 12 to 20%",5,IF(BN363="Less than 12%",0,0)))</f>
        <v/>
      </c>
      <c r="BP363" s="31" t="n"/>
      <c r="BQ363" s="31">
        <f>IF(BP363="No",10,0)</f>
        <v/>
      </c>
      <c r="BR363" s="31" t="n"/>
      <c r="BS363" s="31">
        <f>IF(BR363="NO",5,0)</f>
        <v/>
      </c>
      <c r="BT363" s="31" t="n"/>
      <c r="BU363" s="31">
        <f>IF(BT363="Above 2",0,IF(BT363="Between 1.5 to 2",5,IF(BT363="Less than 1.5",10,0)))</f>
        <v/>
      </c>
      <c r="BV363" s="31" t="n"/>
      <c r="BW363" s="31">
        <f>IF(BV363="Above 70%",10,IF(BV363="Between 50% to 70%",5,IF(BV363="Less than 50%",0,IF(BV363="Negative",-10,IF(BV363="Less than 50% and Borrowings are increasing",-5,0)))))</f>
        <v/>
      </c>
      <c r="BX363" s="31" t="n"/>
      <c r="BY363" s="31">
        <f>IF(BX363="More than 1.2",-10,IF(BX363="Between 0.7 to 1.2",0,IF(BX363="Less than 0.7",10,0)))</f>
        <v/>
      </c>
      <c r="BZ363" s="31" t="n"/>
      <c r="CA363" s="31">
        <f>IF(BZ363="Yes",-10,0)</f>
        <v/>
      </c>
      <c r="CB363" s="31" t="n"/>
      <c r="CC363" s="31">
        <f>IF(CB363="More than 15%",-10,IF(CB363="Less than 15%",10,0))</f>
        <v/>
      </c>
      <c r="CD363" s="31" t="n"/>
      <c r="CE363" s="31">
        <f>IF(CD363="Yes, more than 10%",-10,IF(CD363="No",10,0))</f>
        <v/>
      </c>
    </row>
    <row r="364">
      <c r="A364" s="31">
        <f>IF(B364=0,"",RANK(B364,$B$2:$B$372,0))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1" t="inlineStr">
        <is>
          <t>ORBTEXP</t>
        </is>
      </c>
      <c r="D364" s="31" t="inlineStr">
        <is>
          <t>Orbit Exports Limited</t>
        </is>
      </c>
      <c r="E364" s="31" t="inlineStr">
        <is>
          <t>textiles</t>
        </is>
      </c>
      <c r="F364" s="31" t="inlineStr">
        <is>
          <t>textiles - processing</t>
        </is>
      </c>
      <c r="G364" s="31" t="inlineStr">
        <is>
          <t>smallcap</t>
        </is>
      </c>
      <c r="H364" s="32" t="n">
        <v>614.48</v>
      </c>
      <c r="I364" s="32" t="n">
        <v>232</v>
      </c>
      <c r="J364" s="32" t="n">
        <v>0.09</v>
      </c>
      <c r="K364" s="32" t="n">
        <v>9344</v>
      </c>
      <c r="L364" s="31" t="inlineStr"/>
      <c r="M364" s="31" t="inlineStr"/>
      <c r="N364" s="32">
        <f>IF(M364="Underperforming",-5,IF(L364&gt;=95,15,IF(L364&gt;=90,10,IF(L364&gt;=80,5,0))))</f>
        <v/>
      </c>
      <c r="O364" s="32" t="inlineStr"/>
      <c r="P364" s="32" t="inlineStr"/>
      <c r="Q364" s="32" t="inlineStr"/>
      <c r="R364" s="31" t="inlineStr"/>
      <c r="S364" s="31" t="inlineStr"/>
      <c r="T364" s="32" t="inlineStr"/>
      <c r="U364" s="32" t="inlineStr"/>
      <c r="V364" s="32" t="inlineStr"/>
      <c r="W364" s="32" t="inlineStr"/>
      <c r="X364" s="31" t="n"/>
      <c r="Y364" s="31">
        <f>IF(X364="Growing Industry",10,IF(X364="Cyclical in an Upturn",5,0))</f>
        <v/>
      </c>
      <c r="Z364" s="31" t="n"/>
      <c r="AA364" s="31">
        <f>IF(Z364="Monopoly",10,IF(Z364="Oligopoly",5,IF(Z364="Duopoly that cooperate",10,IF(Z364="Duopoly that compete",5,IF(Z364="Too many players with High ROCE",5,0)))))</f>
        <v/>
      </c>
      <c r="AB364" s="31" t="n"/>
      <c r="AC364" s="31">
        <f>IF(AB364="No",5,0)</f>
        <v/>
      </c>
      <c r="AD364" s="31" t="n"/>
      <c r="AE364" s="31">
        <f>IF(AD364="Tailwind",10,0)</f>
        <v/>
      </c>
      <c r="AF364" s="31" t="n"/>
      <c r="AG364" s="31">
        <f>IF(AF364="Structural (10 Years Consistency)",10,IF(AF364="Shallow Cyclical (2 to 3 years growth)",5,0))</f>
        <v/>
      </c>
      <c r="AH364" s="31" t="n"/>
      <c r="AI364" s="31">
        <f>IF(AH364="Yes due to Product Mix change or Operating Leverage",10,IF(AH364="Yes, these are peak margins",-5,IF(AH364="No",5,0)))</f>
        <v/>
      </c>
      <c r="AJ364" s="31" t="n"/>
      <c r="AK364" s="31">
        <f>IF(AJ364="Stable",10,0)</f>
        <v/>
      </c>
      <c r="AL364" s="31" t="n"/>
      <c r="AM364" s="31">
        <f>IF(AL364="Yes",10,0)</f>
        <v/>
      </c>
      <c r="AN364" s="31" t="n"/>
      <c r="AO364" s="31">
        <f>IF(AN364="B2C",10,IF(AN364="B2B",5,0))</f>
        <v/>
      </c>
      <c r="AP364" s="31" t="n"/>
      <c r="AQ364" s="31">
        <f>IF(AP364="Yes",10,0)</f>
        <v/>
      </c>
      <c r="AR364" s="31" t="n"/>
      <c r="AS364" s="31">
        <f>IF(AR364="Fully Annuity",10,IF(AR364="Higher Annuity, Lower One Time",5,IF(AR364="Higher One Time, Lower Annuity",3,0)))</f>
        <v/>
      </c>
      <c r="AT364" s="31" t="n"/>
      <c r="AU364" s="31">
        <f>IF(AT364="Good",10,0)</f>
        <v/>
      </c>
      <c r="AV364" s="31" t="n"/>
      <c r="AW364" s="31">
        <f>IF(AV364="Yes for more than 2 years",10,IF(AV364="Yes only for next 1 to 2 years",5,0))</f>
        <v/>
      </c>
      <c r="AX364" s="31" t="n"/>
      <c r="AY364" s="31">
        <f>IF(AX364="Above 40",20,IF(AX364="20 to 40",10,IF(AX364="0 to 20",-5,0)))</f>
        <v/>
      </c>
      <c r="AZ364" s="31" t="n"/>
      <c r="BA364" s="31">
        <f>IF(AZ364="Between 50 to 75",10,IF(AZ364="Above 75",0,0))</f>
        <v/>
      </c>
      <c r="BB364" s="31" t="n"/>
      <c r="BC364" s="31">
        <f>IF(BB364="Stage 2",20,IF(BB364="Stage 1",0,IF(BB364="Stage 3",5,IF(BB364="Stage 4",-5,0))))</f>
        <v/>
      </c>
      <c r="BD364" s="31" t="n"/>
      <c r="BE364" s="31">
        <f>IF(BD364="Positive Trend",20,IF(BD364="Negative Trend",-10,0))</f>
        <v/>
      </c>
      <c r="BF364" s="31" t="n"/>
      <c r="BG364" s="31">
        <f>IF(BF364="Uptrend",10,IF(BF364="Sideways",5,0))</f>
        <v/>
      </c>
      <c r="BH364" s="31" t="n"/>
      <c r="BI364" s="31">
        <f>IF(BH364="Uptrend",10,IF(BH364="Sideways",5,0))</f>
        <v/>
      </c>
      <c r="BJ364" s="31" t="n"/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n"/>
      <c r="BM364" s="31">
        <f>IF(BL364="Yes",10,0)</f>
        <v/>
      </c>
      <c r="BN364" s="31" t="n"/>
      <c r="BO364" s="31">
        <f>IF(BN364="More than 20%",10,IF(BN364="Between 12 to 20%",5,IF(BN364="Less than 12%",0,0)))</f>
        <v/>
      </c>
      <c r="BP364" s="31" t="n"/>
      <c r="BQ364" s="31">
        <f>IF(BP364="No",10,0)</f>
        <v/>
      </c>
      <c r="BR364" s="31" t="n"/>
      <c r="BS364" s="31">
        <f>IF(BR364="NO",5,0)</f>
        <v/>
      </c>
      <c r="BT364" s="31" t="n"/>
      <c r="BU364" s="31">
        <f>IF(BT364="Above 2",0,IF(BT364="Between 1.5 to 2",5,IF(BT364="Less than 1.5",10,0)))</f>
        <v/>
      </c>
      <c r="BV364" s="31" t="n"/>
      <c r="BW364" s="31">
        <f>IF(BV364="Above 70%",10,IF(BV364="Between 50% to 70%",5,IF(BV364="Less than 50%",0,IF(BV364="Negative",-10,IF(BV364="Less than 50% and Borrowings are increasing",-5,0)))))</f>
        <v/>
      </c>
      <c r="BX364" s="31" t="n"/>
      <c r="BY364" s="31">
        <f>IF(BX364="More than 1.2",-10,IF(BX364="Between 0.7 to 1.2",0,IF(BX364="Less than 0.7",10,0)))</f>
        <v/>
      </c>
      <c r="BZ364" s="31" t="n"/>
      <c r="CA364" s="31">
        <f>IF(BZ364="Yes",-10,0)</f>
        <v/>
      </c>
      <c r="CB364" s="31" t="n"/>
      <c r="CC364" s="31">
        <f>IF(CB364="More than 15%",-10,IF(CB364="Less than 15%",10,0))</f>
        <v/>
      </c>
      <c r="CD364" s="31" t="n"/>
      <c r="CE364" s="31">
        <f>IF(CD364="Yes, more than 10%",-10,IF(CD364="No",10,0))</f>
        <v/>
      </c>
    </row>
    <row r="365">
      <c r="A365" s="31">
        <f>IF(B365=0,"",RANK(B365,$B$2:$B$372,0))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1" t="inlineStr">
        <is>
          <t>JNKINDIA</t>
        </is>
      </c>
      <c r="D365" s="31" t="inlineStr">
        <is>
          <t>JNK India Ltd</t>
        </is>
      </c>
      <c r="E365" s="31" t="inlineStr">
        <is>
          <t>realty</t>
        </is>
      </c>
      <c r="F365" s="31" t="inlineStr">
        <is>
          <t>engineering - turnkey services</t>
        </is>
      </c>
      <c r="G365" s="31" t="inlineStr">
        <is>
          <t>smallcap</t>
        </is>
      </c>
      <c r="H365" s="32" t="n">
        <v>2850.57</v>
      </c>
      <c r="I365" s="32" t="n">
        <v>509.35</v>
      </c>
      <c r="J365" s="32" t="n">
        <v>-0.02</v>
      </c>
      <c r="K365" s="32" t="n">
        <v>585428</v>
      </c>
      <c r="L365" s="31" t="inlineStr"/>
      <c r="M365" s="31" t="inlineStr"/>
      <c r="N365" s="32">
        <f>IF(M365="Underperforming",-5,IF(L365&gt;=95,15,IF(L365&gt;=90,10,IF(L365&gt;=80,5,0))))</f>
        <v/>
      </c>
      <c r="O365" s="32" t="inlineStr"/>
      <c r="P365" s="32" t="inlineStr"/>
      <c r="Q365" s="32" t="inlineStr"/>
      <c r="R365" s="31" t="inlineStr"/>
      <c r="S365" s="31" t="inlineStr"/>
      <c r="T365" s="32" t="inlineStr"/>
      <c r="U365" s="32" t="inlineStr"/>
      <c r="V365" s="32" t="inlineStr"/>
      <c r="W365" s="32" t="inlineStr"/>
      <c r="X365" s="31" t="n"/>
      <c r="Y365" s="31">
        <f>IF(X365="Growing Industry",10,IF(X365="Cyclical in an Upturn",5,0))</f>
        <v/>
      </c>
      <c r="Z365" s="31" t="n"/>
      <c r="AA365" s="31">
        <f>IF(Z365="Monopoly",10,IF(Z365="Oligopoly",5,IF(Z365="Duopoly that cooperate",10,IF(Z365="Duopoly that compete",5,IF(Z365="Too many players with High ROCE",5,0)))))</f>
        <v/>
      </c>
      <c r="AB365" s="31" t="n"/>
      <c r="AC365" s="31">
        <f>IF(AB365="No",5,0)</f>
        <v/>
      </c>
      <c r="AD365" s="31" t="n"/>
      <c r="AE365" s="31">
        <f>IF(AD365="Tailwind",10,0)</f>
        <v/>
      </c>
      <c r="AF365" s="31" t="n"/>
      <c r="AG365" s="31">
        <f>IF(AF365="Structural (10 Years Consistency)",10,IF(AF365="Shallow Cyclical (2 to 3 years growth)",5,0))</f>
        <v/>
      </c>
      <c r="AH365" s="31" t="n"/>
      <c r="AI365" s="31">
        <f>IF(AH365="Yes due to Product Mix change or Operating Leverage",10,IF(AH365="Yes, these are peak margins",-5,IF(AH365="No",5,0)))</f>
        <v/>
      </c>
      <c r="AJ365" s="31" t="n"/>
      <c r="AK365" s="31">
        <f>IF(AJ365="Stable",10,0)</f>
        <v/>
      </c>
      <c r="AL365" s="31" t="n"/>
      <c r="AM365" s="31">
        <f>IF(AL365="Yes",10,0)</f>
        <v/>
      </c>
      <c r="AN365" s="31" t="n"/>
      <c r="AO365" s="31">
        <f>IF(AN365="B2C",10,IF(AN365="B2B",5,0))</f>
        <v/>
      </c>
      <c r="AP365" s="31" t="n"/>
      <c r="AQ365" s="31">
        <f>IF(AP365="Yes",10,0)</f>
        <v/>
      </c>
      <c r="AR365" s="31" t="n"/>
      <c r="AS365" s="31">
        <f>IF(AR365="Fully Annuity",10,IF(AR365="Higher Annuity, Lower One Time",5,IF(AR365="Higher One Time, Lower Annuity",3,0)))</f>
        <v/>
      </c>
      <c r="AT365" s="31" t="n"/>
      <c r="AU365" s="31">
        <f>IF(AT365="Good",10,0)</f>
        <v/>
      </c>
      <c r="AV365" s="31" t="n"/>
      <c r="AW365" s="31">
        <f>IF(AV365="Yes for more than 2 years",10,IF(AV365="Yes only for next 1 to 2 years",5,0))</f>
        <v/>
      </c>
      <c r="AX365" s="31" t="n"/>
      <c r="AY365" s="31">
        <f>IF(AX365="Above 40",20,IF(AX365="20 to 40",10,IF(AX365="0 to 20",-5,0)))</f>
        <v/>
      </c>
      <c r="AZ365" s="31" t="n"/>
      <c r="BA365" s="31">
        <f>IF(AZ365="Between 50 to 75",10,IF(AZ365="Above 75",0,0))</f>
        <v/>
      </c>
      <c r="BB365" s="31" t="n"/>
      <c r="BC365" s="31">
        <f>IF(BB365="Stage 2",20,IF(BB365="Stage 1",0,IF(BB365="Stage 3",5,IF(BB365="Stage 4",-5,0))))</f>
        <v/>
      </c>
      <c r="BD365" s="31" t="n"/>
      <c r="BE365" s="31">
        <f>IF(BD365="Positive Trend",20,IF(BD365="Negative Trend",-10,0))</f>
        <v/>
      </c>
      <c r="BF365" s="31" t="n"/>
      <c r="BG365" s="31">
        <f>IF(BF365="Uptrend",10,IF(BF365="Sideways",5,0))</f>
        <v/>
      </c>
      <c r="BH365" s="31" t="n"/>
      <c r="BI365" s="31">
        <f>IF(BH365="Uptrend",10,IF(BH365="Sideways",5,0))</f>
        <v/>
      </c>
      <c r="BJ365" s="31" t="n"/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n"/>
      <c r="BM365" s="31">
        <f>IF(BL365="Yes",10,0)</f>
        <v/>
      </c>
      <c r="BN365" s="31" t="n"/>
      <c r="BO365" s="31">
        <f>IF(BN365="More than 20%",10,IF(BN365="Between 12 to 20%",5,IF(BN365="Less than 12%",0,0)))</f>
        <v/>
      </c>
      <c r="BP365" s="31" t="n"/>
      <c r="BQ365" s="31">
        <f>IF(BP365="No",10,0)</f>
        <v/>
      </c>
      <c r="BR365" s="31" t="n"/>
      <c r="BS365" s="31">
        <f>IF(BR365="NO",5,0)</f>
        <v/>
      </c>
      <c r="BT365" s="31" t="n"/>
      <c r="BU365" s="31">
        <f>IF(BT365="Above 2",0,IF(BT365="Between 1.5 to 2",5,IF(BT365="Less than 1.5",10,0)))</f>
        <v/>
      </c>
      <c r="BV365" s="31" t="n"/>
      <c r="BW365" s="31">
        <f>IF(BV365="Above 70%",10,IF(BV365="Between 50% to 70%",5,IF(BV365="Less than 50%",0,IF(BV365="Negative",-10,IF(BV365="Less than 50% and Borrowings are increasing",-5,0)))))</f>
        <v/>
      </c>
      <c r="BX365" s="31" t="n"/>
      <c r="BY365" s="31">
        <f>IF(BX365="More than 1.2",-10,IF(BX365="Between 0.7 to 1.2",0,IF(BX365="Less than 0.7",10,0)))</f>
        <v/>
      </c>
      <c r="BZ365" s="31" t="n"/>
      <c r="CA365" s="31">
        <f>IF(BZ365="Yes",-10,0)</f>
        <v/>
      </c>
      <c r="CB365" s="31" t="n"/>
      <c r="CC365" s="31">
        <f>IF(CB365="More than 15%",-10,IF(CB365="Less than 15%",10,0))</f>
        <v/>
      </c>
      <c r="CD365" s="31" t="n"/>
      <c r="CE365" s="31">
        <f>IF(CD365="Yes, more than 10%",-10,IF(CD365="No",10,0))</f>
        <v/>
      </c>
    </row>
    <row r="366">
      <c r="A366" s="31">
        <f>IF(B366=0,"",RANK(B366,$B$2:$B$372,0))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1" t="inlineStr">
        <is>
          <t>BALRAMCHIN</t>
        </is>
      </c>
      <c r="D366" s="31" t="inlineStr">
        <is>
          <t>Balrampur Chini Mills Limited</t>
        </is>
      </c>
      <c r="E366" s="31" t="inlineStr">
        <is>
          <t>fmcg</t>
        </is>
      </c>
      <c r="F366" s="31" t="inlineStr">
        <is>
          <t>sugar</t>
        </is>
      </c>
      <c r="G366" s="31" t="inlineStr">
        <is>
          <t>midcap</t>
        </is>
      </c>
      <c r="H366" s="32" t="n">
        <v>11988.36</v>
      </c>
      <c r="I366" s="32" t="n">
        <v>566.9</v>
      </c>
      <c r="J366" s="32" t="n">
        <v>-0.1</v>
      </c>
      <c r="K366" s="32" t="n">
        <v>220276</v>
      </c>
      <c r="L366" s="31" t="inlineStr"/>
      <c r="M366" s="31" t="inlineStr"/>
      <c r="N366" s="32">
        <f>IF(M366="Underperforming",-5,IF(L366&gt;=95,15,IF(L366&gt;=90,10,IF(L366&gt;=80,5,0))))</f>
        <v/>
      </c>
      <c r="O366" s="32" t="inlineStr"/>
      <c r="P366" s="32" t="inlineStr"/>
      <c r="Q366" s="32" t="inlineStr"/>
      <c r="R366" s="31" t="inlineStr"/>
      <c r="S366" s="31" t="inlineStr"/>
      <c r="T366" s="32" t="inlineStr"/>
      <c r="U366" s="32" t="inlineStr"/>
      <c r="V366" s="32" t="inlineStr"/>
      <c r="W366" s="32" t="inlineStr"/>
      <c r="X366" s="31" t="n"/>
      <c r="Y366" s="31">
        <f>IF(X366="Growing Industry",10,IF(X366="Cyclical in an Upturn",5,0))</f>
        <v/>
      </c>
      <c r="Z366" s="31" t="n"/>
      <c r="AA366" s="31">
        <f>IF(Z366="Monopoly",10,IF(Z366="Oligopoly",5,IF(Z366="Duopoly that cooperate",10,IF(Z366="Duopoly that compete",5,IF(Z366="Too many players with High ROCE",5,0)))))</f>
        <v/>
      </c>
      <c r="AB366" s="31" t="n"/>
      <c r="AC366" s="31">
        <f>IF(AB366="No",5,0)</f>
        <v/>
      </c>
      <c r="AD366" s="31" t="n"/>
      <c r="AE366" s="31">
        <f>IF(AD366="Tailwind",10,0)</f>
        <v/>
      </c>
      <c r="AF366" s="31" t="n"/>
      <c r="AG366" s="31">
        <f>IF(AF366="Structural (10 Years Consistency)",10,IF(AF366="Shallow Cyclical (2 to 3 years growth)",5,0))</f>
        <v/>
      </c>
      <c r="AH366" s="31" t="n"/>
      <c r="AI366" s="31">
        <f>IF(AH366="Yes due to Product Mix change or Operating Leverage",10,IF(AH366="Yes, these are peak margins",-5,IF(AH366="No",5,0)))</f>
        <v/>
      </c>
      <c r="AJ366" s="31" t="n"/>
      <c r="AK366" s="31">
        <f>IF(AJ366="Stable",10,0)</f>
        <v/>
      </c>
      <c r="AL366" s="31" t="n"/>
      <c r="AM366" s="31">
        <f>IF(AL366="Yes",10,0)</f>
        <v/>
      </c>
      <c r="AN366" s="31" t="n"/>
      <c r="AO366" s="31">
        <f>IF(AN366="B2C",10,IF(AN366="B2B",5,0))</f>
        <v/>
      </c>
      <c r="AP366" s="31" t="n"/>
      <c r="AQ366" s="31">
        <f>IF(AP366="Yes",10,0)</f>
        <v/>
      </c>
      <c r="AR366" s="31" t="n"/>
      <c r="AS366" s="31">
        <f>IF(AR366="Fully Annuity",10,IF(AR366="Higher Annuity, Lower One Time",5,IF(AR366="Higher One Time, Lower Annuity",3,0)))</f>
        <v/>
      </c>
      <c r="AT366" s="31" t="n"/>
      <c r="AU366" s="31">
        <f>IF(AT366="Good",10,0)</f>
        <v/>
      </c>
      <c r="AV366" s="31" t="n"/>
      <c r="AW366" s="31">
        <f>IF(AV366="Yes for more than 2 years",10,IF(AV366="Yes only for next 1 to 2 years",5,0))</f>
        <v/>
      </c>
      <c r="AX366" s="31" t="n"/>
      <c r="AY366" s="31">
        <f>IF(AX366="Above 40",20,IF(AX366="20 to 40",10,IF(AX366="0 to 20",-5,0)))</f>
        <v/>
      </c>
      <c r="AZ366" s="31" t="n"/>
      <c r="BA366" s="31">
        <f>IF(AZ366="Between 50 to 75",10,IF(AZ366="Above 75",0,0))</f>
        <v/>
      </c>
      <c r="BB366" s="31" t="n"/>
      <c r="BC366" s="31">
        <f>IF(BB366="Stage 2",20,IF(BB366="Stage 1",0,IF(BB366="Stage 3",5,IF(BB366="Stage 4",-5,0))))</f>
        <v/>
      </c>
      <c r="BD366" s="31" t="n"/>
      <c r="BE366" s="31">
        <f>IF(BD366="Positive Trend",20,IF(BD366="Negative Trend",-10,0))</f>
        <v/>
      </c>
      <c r="BF366" s="31" t="n"/>
      <c r="BG366" s="31">
        <f>IF(BF366="Uptrend",10,IF(BF366="Sideways",5,0))</f>
        <v/>
      </c>
      <c r="BH366" s="31" t="n"/>
      <c r="BI366" s="31">
        <f>IF(BH366="Uptrend",10,IF(BH366="Sideways",5,0))</f>
        <v/>
      </c>
      <c r="BJ366" s="31" t="n"/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n"/>
      <c r="BM366" s="31">
        <f>IF(BL366="Yes",10,0)</f>
        <v/>
      </c>
      <c r="BN366" s="31" t="n"/>
      <c r="BO366" s="31">
        <f>IF(BN366="More than 20%",10,IF(BN366="Between 12 to 20%",5,IF(BN366="Less than 12%",0,0)))</f>
        <v/>
      </c>
      <c r="BP366" s="31" t="n"/>
      <c r="BQ366" s="31">
        <f>IF(BP366="No",10,0)</f>
        <v/>
      </c>
      <c r="BR366" s="31" t="n"/>
      <c r="BS366" s="31">
        <f>IF(BR366="NO",5,0)</f>
        <v/>
      </c>
      <c r="BT366" s="31" t="n"/>
      <c r="BU366" s="31">
        <f>IF(BT366="Above 2",0,IF(BT366="Between 1.5 to 2",5,IF(BT366="Less than 1.5",10,0)))</f>
        <v/>
      </c>
      <c r="BV366" s="31" t="n"/>
      <c r="BW366" s="31">
        <f>IF(BV366="Above 70%",10,IF(BV366="Between 50% to 70%",5,IF(BV366="Less than 50%",0,IF(BV366="Negative",-10,IF(BV366="Less than 50% and Borrowings are increasing",-5,0)))))</f>
        <v/>
      </c>
      <c r="BX366" s="31" t="n"/>
      <c r="BY366" s="31">
        <f>IF(BX366="More than 1.2",-10,IF(BX366="Between 0.7 to 1.2",0,IF(BX366="Less than 0.7",10,0)))</f>
        <v/>
      </c>
      <c r="BZ366" s="31" t="n"/>
      <c r="CA366" s="31">
        <f>IF(BZ366="Yes",-10,0)</f>
        <v/>
      </c>
      <c r="CB366" s="31" t="n"/>
      <c r="CC366" s="31">
        <f>IF(CB366="More than 15%",-10,IF(CB366="Less than 15%",10,0))</f>
        <v/>
      </c>
      <c r="CD366" s="31" t="n"/>
      <c r="CE366" s="31">
        <f>IF(CD366="Yes, more than 10%",-10,IF(CD366="No",10,0))</f>
        <v/>
      </c>
    </row>
    <row r="367">
      <c r="A367" s="31">
        <f>IF(B367=0,"",RANK(B367,$B$2:$B$372,0))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1" t="inlineStr">
        <is>
          <t>OAL</t>
        </is>
      </c>
      <c r="D367" s="31" t="inlineStr">
        <is>
          <t>Oriental Aromatics Ltd</t>
        </is>
      </c>
      <c r="E367" s="31" t="inlineStr">
        <is>
          <t>chemicals</t>
        </is>
      </c>
      <c r="F367" s="31" t="inlineStr">
        <is>
          <t>chemicals</t>
        </is>
      </c>
      <c r="G367" s="31" t="inlineStr">
        <is>
          <t>smallcap</t>
        </is>
      </c>
      <c r="H367" s="32" t="n">
        <v>1170.3</v>
      </c>
      <c r="I367" s="32" t="n">
        <v>347.3</v>
      </c>
      <c r="J367" s="32" t="n">
        <v>-0.13</v>
      </c>
      <c r="K367" s="32" t="n">
        <v>27021</v>
      </c>
      <c r="L367" s="31" t="inlineStr"/>
      <c r="M367" s="31" t="inlineStr"/>
      <c r="N367" s="32">
        <f>IF(M367="Underperforming",-5,IF(L367&gt;=95,15,IF(L367&gt;=90,10,IF(L367&gt;=80,5,0))))</f>
        <v/>
      </c>
      <c r="O367" s="32" t="inlineStr"/>
      <c r="P367" s="32" t="inlineStr"/>
      <c r="Q367" s="32" t="inlineStr"/>
      <c r="R367" s="31" t="inlineStr"/>
      <c r="S367" s="31" t="inlineStr"/>
      <c r="T367" s="32" t="inlineStr"/>
      <c r="U367" s="32" t="inlineStr"/>
      <c r="V367" s="32" t="inlineStr"/>
      <c r="W367" s="32" t="inlineStr"/>
      <c r="X367" s="31" t="n"/>
      <c r="Y367" s="31">
        <f>IF(X367="Growing Industry",10,IF(X367="Cyclical in an Upturn",5,0))</f>
        <v/>
      </c>
      <c r="Z367" s="31" t="n"/>
      <c r="AA367" s="31">
        <f>IF(Z367="Monopoly",10,IF(Z367="Oligopoly",5,IF(Z367="Duopoly that cooperate",10,IF(Z367="Duopoly that compete",5,IF(Z367="Too many players with High ROCE",5,0)))))</f>
        <v/>
      </c>
      <c r="AB367" s="31" t="n"/>
      <c r="AC367" s="31">
        <f>IF(AB367="No",5,0)</f>
        <v/>
      </c>
      <c r="AD367" s="31" t="n"/>
      <c r="AE367" s="31">
        <f>IF(AD367="Tailwind",10,0)</f>
        <v/>
      </c>
      <c r="AF367" s="31" t="n"/>
      <c r="AG367" s="31">
        <f>IF(AF367="Structural (10 Years Consistency)",10,IF(AF367="Shallow Cyclical (2 to 3 years growth)",5,0))</f>
        <v/>
      </c>
      <c r="AH367" s="31" t="n"/>
      <c r="AI367" s="31">
        <f>IF(AH367="Yes due to Product Mix change or Operating Leverage",10,IF(AH367="Yes, these are peak margins",-5,IF(AH367="No",5,0)))</f>
        <v/>
      </c>
      <c r="AJ367" s="31" t="n"/>
      <c r="AK367" s="31">
        <f>IF(AJ367="Stable",10,0)</f>
        <v/>
      </c>
      <c r="AL367" s="31" t="n"/>
      <c r="AM367" s="31">
        <f>IF(AL367="Yes",10,0)</f>
        <v/>
      </c>
      <c r="AN367" s="31" t="n"/>
      <c r="AO367" s="31">
        <f>IF(AN367="B2C",10,IF(AN367="B2B",5,0))</f>
        <v/>
      </c>
      <c r="AP367" s="31" t="n"/>
      <c r="AQ367" s="31">
        <f>IF(AP367="Yes",10,0)</f>
        <v/>
      </c>
      <c r="AR367" s="31" t="n"/>
      <c r="AS367" s="31">
        <f>IF(AR367="Fully Annuity",10,IF(AR367="Higher Annuity, Lower One Time",5,IF(AR367="Higher One Time, Lower Annuity",3,0)))</f>
        <v/>
      </c>
      <c r="AT367" s="31" t="n"/>
      <c r="AU367" s="31">
        <f>IF(AT367="Good",10,0)</f>
        <v/>
      </c>
      <c r="AV367" s="31" t="n"/>
      <c r="AW367" s="31">
        <f>IF(AV367="Yes for more than 2 years",10,IF(AV367="Yes only for next 1 to 2 years",5,0))</f>
        <v/>
      </c>
      <c r="AX367" s="31" t="n"/>
      <c r="AY367" s="31">
        <f>IF(AX367="Above 40",20,IF(AX367="20 to 40",10,IF(AX367="0 to 20",-5,0)))</f>
        <v/>
      </c>
      <c r="AZ367" s="31" t="n"/>
      <c r="BA367" s="31">
        <f>IF(AZ367="Between 50 to 75",10,IF(AZ367="Above 75",0,0))</f>
        <v/>
      </c>
      <c r="BB367" s="31" t="n"/>
      <c r="BC367" s="31">
        <f>IF(BB367="Stage 2",20,IF(BB367="Stage 1",0,IF(BB367="Stage 3",5,IF(BB367="Stage 4",-5,0))))</f>
        <v/>
      </c>
      <c r="BD367" s="31" t="n"/>
      <c r="BE367" s="31">
        <f>IF(BD367="Positive Trend",20,IF(BD367="Negative Trend",-10,0))</f>
        <v/>
      </c>
      <c r="BF367" s="31" t="n"/>
      <c r="BG367" s="31">
        <f>IF(BF367="Uptrend",10,IF(BF367="Sideways",5,0))</f>
        <v/>
      </c>
      <c r="BH367" s="31" t="n"/>
      <c r="BI367" s="31">
        <f>IF(BH367="Uptrend",10,IF(BH367="Sideways",5,0))</f>
        <v/>
      </c>
      <c r="BJ367" s="31" t="n"/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n"/>
      <c r="BM367" s="31">
        <f>IF(BL367="Yes",10,0)</f>
        <v/>
      </c>
      <c r="BN367" s="31" t="n"/>
      <c r="BO367" s="31">
        <f>IF(BN367="More than 20%",10,IF(BN367="Between 12 to 20%",5,IF(BN367="Less than 12%",0,0)))</f>
        <v/>
      </c>
      <c r="BP367" s="31" t="n"/>
      <c r="BQ367" s="31">
        <f>IF(BP367="No",10,0)</f>
        <v/>
      </c>
      <c r="BR367" s="31" t="n"/>
      <c r="BS367" s="31">
        <f>IF(BR367="NO",5,0)</f>
        <v/>
      </c>
      <c r="BT367" s="31" t="n"/>
      <c r="BU367" s="31">
        <f>IF(BT367="Above 2",0,IF(BT367="Between 1.5 to 2",5,IF(BT367="Less than 1.5",10,0)))</f>
        <v/>
      </c>
      <c r="BV367" s="31" t="n"/>
      <c r="BW367" s="31">
        <f>IF(BV367="Above 70%",10,IF(BV367="Between 50% to 70%",5,IF(BV367="Less than 50%",0,IF(BV367="Negative",-10,IF(BV367="Less than 50% and Borrowings are increasing",-5,0)))))</f>
        <v/>
      </c>
      <c r="BX367" s="31" t="n"/>
      <c r="BY367" s="31">
        <f>IF(BX367="More than 1.2",-10,IF(BX367="Between 0.7 to 1.2",0,IF(BX367="Less than 0.7",10,0)))</f>
        <v/>
      </c>
      <c r="BZ367" s="31" t="n"/>
      <c r="CA367" s="31">
        <f>IF(BZ367="Yes",-10,0)</f>
        <v/>
      </c>
      <c r="CB367" s="31" t="n"/>
      <c r="CC367" s="31">
        <f>IF(CB367="More than 15%",-10,IF(CB367="Less than 15%",10,0))</f>
        <v/>
      </c>
      <c r="CD367" s="31" t="n"/>
      <c r="CE367" s="31">
        <f>IF(CD367="Yes, more than 10%",-10,IF(CD367="No",10,0))</f>
        <v/>
      </c>
    </row>
    <row r="368">
      <c r="A368" s="31">
        <f>IF(B368=0,"",RANK(B368,$B$2:$B$372,0))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1" t="inlineStr">
        <is>
          <t>NESTLEIND</t>
        </is>
      </c>
      <c r="D368" s="31" t="inlineStr">
        <is>
          <t>Nestle India Limited</t>
        </is>
      </c>
      <c r="E368" s="31" t="inlineStr">
        <is>
          <t>fmcg</t>
        </is>
      </c>
      <c r="F368" s="31" t="inlineStr">
        <is>
          <t>food - processing - mnc</t>
        </is>
      </c>
      <c r="G368" s="31" t="inlineStr">
        <is>
          <t>largecap</t>
        </is>
      </c>
      <c r="H368" s="32" t="n">
        <v>282150.95</v>
      </c>
      <c r="I368" s="32" t="n">
        <v>1455.2</v>
      </c>
      <c r="J368" s="32" t="n">
        <v>-0.55</v>
      </c>
      <c r="K368" s="32" t="n">
        <v>1563905</v>
      </c>
      <c r="L368" s="31" t="inlineStr"/>
      <c r="M368" s="31" t="inlineStr"/>
      <c r="N368" s="32">
        <f>IF(M368="Underperforming",-5,IF(L368&gt;=95,15,IF(L368&gt;=90,10,IF(L368&gt;=80,5,0))))</f>
        <v/>
      </c>
      <c r="O368" s="32" t="inlineStr"/>
      <c r="P368" s="32" t="inlineStr"/>
      <c r="Q368" s="32" t="inlineStr"/>
      <c r="R368" s="31" t="inlineStr"/>
      <c r="S368" s="31" t="inlineStr"/>
      <c r="T368" s="32" t="inlineStr"/>
      <c r="U368" s="32" t="inlineStr"/>
      <c r="V368" s="32" t="inlineStr"/>
      <c r="W368" s="32" t="inlineStr"/>
      <c r="X368" s="31" t="n"/>
      <c r="Y368" s="31">
        <f>IF(X368="Growing Industry",10,IF(X368="Cyclical in an Upturn",5,0))</f>
        <v/>
      </c>
      <c r="Z368" s="31" t="n"/>
      <c r="AA368" s="31">
        <f>IF(Z368="Monopoly",10,IF(Z368="Oligopoly",5,IF(Z368="Duopoly that cooperate",10,IF(Z368="Duopoly that compete",5,IF(Z368="Too many players with High ROCE",5,0)))))</f>
        <v/>
      </c>
      <c r="AB368" s="31" t="n"/>
      <c r="AC368" s="31">
        <f>IF(AB368="No",5,0)</f>
        <v/>
      </c>
      <c r="AD368" s="31" t="n"/>
      <c r="AE368" s="31">
        <f>IF(AD368="Tailwind",10,0)</f>
        <v/>
      </c>
      <c r="AF368" s="31" t="n"/>
      <c r="AG368" s="31">
        <f>IF(AF368="Structural (10 Years Consistency)",10,IF(AF368="Shallow Cyclical (2 to 3 years growth)",5,0))</f>
        <v/>
      </c>
      <c r="AH368" s="31" t="n"/>
      <c r="AI368" s="31">
        <f>IF(AH368="Yes due to Product Mix change or Operating Leverage",10,IF(AH368="Yes, these are peak margins",-5,IF(AH368="No",5,0)))</f>
        <v/>
      </c>
      <c r="AJ368" s="31" t="n"/>
      <c r="AK368" s="31">
        <f>IF(AJ368="Stable",10,0)</f>
        <v/>
      </c>
      <c r="AL368" s="31" t="n"/>
      <c r="AM368" s="31">
        <f>IF(AL368="Yes",10,0)</f>
        <v/>
      </c>
      <c r="AN368" s="31" t="n"/>
      <c r="AO368" s="31">
        <f>IF(AN368="B2C",10,IF(AN368="B2B",5,0))</f>
        <v/>
      </c>
      <c r="AP368" s="31" t="n"/>
      <c r="AQ368" s="31">
        <f>IF(AP368="Yes",10,0)</f>
        <v/>
      </c>
      <c r="AR368" s="31" t="n"/>
      <c r="AS368" s="31">
        <f>IF(AR368="Fully Annuity",10,IF(AR368="Higher Annuity, Lower One Time",5,IF(AR368="Higher One Time, Lower Annuity",3,0)))</f>
        <v/>
      </c>
      <c r="AT368" s="31" t="n"/>
      <c r="AU368" s="31">
        <f>IF(AT368="Good",10,0)</f>
        <v/>
      </c>
      <c r="AV368" s="31" t="n"/>
      <c r="AW368" s="31">
        <f>IF(AV368="Yes for more than 2 years",10,IF(AV368="Yes only for next 1 to 2 years",5,0))</f>
        <v/>
      </c>
      <c r="AX368" s="31" t="n"/>
      <c r="AY368" s="31">
        <f>IF(AX368="Above 40",20,IF(AX368="20 to 40",10,IF(AX368="0 to 20",-5,0)))</f>
        <v/>
      </c>
      <c r="AZ368" s="31" t="n"/>
      <c r="BA368" s="31">
        <f>IF(AZ368="Between 50 to 75",10,IF(AZ368="Above 75",0,0))</f>
        <v/>
      </c>
      <c r="BB368" s="31" t="n"/>
      <c r="BC368" s="31">
        <f>IF(BB368="Stage 2",20,IF(BB368="Stage 1",0,IF(BB368="Stage 3",5,IF(BB368="Stage 4",-5,0))))</f>
        <v/>
      </c>
      <c r="BD368" s="31" t="n"/>
      <c r="BE368" s="31">
        <f>IF(BD368="Positive Trend",20,IF(BD368="Negative Trend",-10,0))</f>
        <v/>
      </c>
      <c r="BF368" s="31" t="n"/>
      <c r="BG368" s="31">
        <f>IF(BF368="Uptrend",10,IF(BF368="Sideways",5,0))</f>
        <v/>
      </c>
      <c r="BH368" s="31" t="n"/>
      <c r="BI368" s="31">
        <f>IF(BH368="Uptrend",10,IF(BH368="Sideways",5,0))</f>
        <v/>
      </c>
      <c r="BJ368" s="31" t="n"/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n"/>
      <c r="BM368" s="31">
        <f>IF(BL368="Yes",10,0)</f>
        <v/>
      </c>
      <c r="BN368" s="31" t="n"/>
      <c r="BO368" s="31">
        <f>IF(BN368="More than 20%",10,IF(BN368="Between 12 to 20%",5,IF(BN368="Less than 12%",0,0)))</f>
        <v/>
      </c>
      <c r="BP368" s="31" t="n"/>
      <c r="BQ368" s="31">
        <f>IF(BP368="No",10,0)</f>
        <v/>
      </c>
      <c r="BR368" s="31" t="n"/>
      <c r="BS368" s="31">
        <f>IF(BR368="NO",5,0)</f>
        <v/>
      </c>
      <c r="BT368" s="31" t="n"/>
      <c r="BU368" s="31">
        <f>IF(BT368="Above 2",0,IF(BT368="Between 1.5 to 2",5,IF(BT368="Less than 1.5",10,0)))</f>
        <v/>
      </c>
      <c r="BV368" s="31" t="n"/>
      <c r="BW368" s="31">
        <f>IF(BV368="Above 70%",10,IF(BV368="Between 50% to 70%",5,IF(BV368="Less than 50%",0,IF(BV368="Negative",-10,IF(BV368="Less than 50% and Borrowings are increasing",-5,0)))))</f>
        <v/>
      </c>
      <c r="BX368" s="31" t="n"/>
      <c r="BY368" s="31">
        <f>IF(BX368="More than 1.2",-10,IF(BX368="Between 0.7 to 1.2",0,IF(BX368="Less than 0.7",10,0)))</f>
        <v/>
      </c>
      <c r="BZ368" s="31" t="n"/>
      <c r="CA368" s="31">
        <f>IF(BZ368="Yes",-10,0)</f>
        <v/>
      </c>
      <c r="CB368" s="31" t="n"/>
      <c r="CC368" s="31">
        <f>IF(CB368="More than 15%",-10,IF(CB368="Less than 15%",10,0))</f>
        <v/>
      </c>
      <c r="CD368" s="31" t="n"/>
      <c r="CE368" s="31">
        <f>IF(CD368="Yes, more than 10%",-10,IF(CD368="No",10,0))</f>
        <v/>
      </c>
    </row>
    <row r="369">
      <c r="A369" s="31">
        <f>IF(B369=0,"",RANK(B369,$B$2:$B$372,0))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1" t="inlineStr">
        <is>
          <t>BHARTIARTL</t>
        </is>
      </c>
      <c r="D369" s="31" t="inlineStr">
        <is>
          <t>Bharti Airtel Limited</t>
        </is>
      </c>
      <c r="E369" s="31" t="inlineStr">
        <is>
          <t>telecom-service</t>
        </is>
      </c>
      <c r="F369" s="31" t="inlineStr">
        <is>
          <t>telecommunications - service provider</t>
        </is>
      </c>
      <c r="G369" s="31" t="inlineStr">
        <is>
          <t>largecap</t>
        </is>
      </c>
      <c r="H369" s="32" t="n">
        <v>1205229.31</v>
      </c>
      <c r="I369" s="32" t="n">
        <v>1920.4</v>
      </c>
      <c r="J369" s="32" t="n">
        <v>-0.55</v>
      </c>
      <c r="K369" s="32" t="n">
        <v>6423841</v>
      </c>
      <c r="L369" s="31" t="inlineStr"/>
      <c r="M369" s="31" t="inlineStr"/>
      <c r="N369" s="32">
        <f>IF(M369="Underperforming",-5,IF(L369&gt;=95,15,IF(L369&gt;=90,10,IF(L369&gt;=80,5,0))))</f>
        <v/>
      </c>
      <c r="O369" s="32" t="inlineStr"/>
      <c r="P369" s="32" t="inlineStr"/>
      <c r="Q369" s="32" t="inlineStr"/>
      <c r="R369" s="31" t="inlineStr"/>
      <c r="S369" s="31" t="inlineStr"/>
      <c r="T369" s="32" t="inlineStr"/>
      <c r="U369" s="32" t="inlineStr"/>
      <c r="V369" s="32" t="inlineStr"/>
      <c r="W369" s="32" t="inlineStr"/>
      <c r="X369" s="31" t="n"/>
      <c r="Y369" s="31">
        <f>IF(X369="Growing Industry",10,IF(X369="Cyclical in an Upturn",5,0))</f>
        <v/>
      </c>
      <c r="Z369" s="31" t="n"/>
      <c r="AA369" s="31">
        <f>IF(Z369="Monopoly",10,IF(Z369="Oligopoly",5,IF(Z369="Duopoly that cooperate",10,IF(Z369="Duopoly that compete",5,IF(Z369="Too many players with High ROCE",5,0)))))</f>
        <v/>
      </c>
      <c r="AB369" s="31" t="n"/>
      <c r="AC369" s="31">
        <f>IF(AB369="No",5,0)</f>
        <v/>
      </c>
      <c r="AD369" s="31" t="n"/>
      <c r="AE369" s="31">
        <f>IF(AD369="Tailwind",10,0)</f>
        <v/>
      </c>
      <c r="AF369" s="31" t="n"/>
      <c r="AG369" s="31">
        <f>IF(AF369="Structural (10 Years Consistency)",10,IF(AF369="Shallow Cyclical (2 to 3 years growth)",5,0))</f>
        <v/>
      </c>
      <c r="AH369" s="31" t="n"/>
      <c r="AI369" s="31">
        <f>IF(AH369="Yes due to Product Mix change or Operating Leverage",10,IF(AH369="Yes, these are peak margins",-5,IF(AH369="No",5,0)))</f>
        <v/>
      </c>
      <c r="AJ369" s="31" t="n"/>
      <c r="AK369" s="31">
        <f>IF(AJ369="Stable",10,0)</f>
        <v/>
      </c>
      <c r="AL369" s="31" t="n"/>
      <c r="AM369" s="31">
        <f>IF(AL369="Yes",10,0)</f>
        <v/>
      </c>
      <c r="AN369" s="31" t="n"/>
      <c r="AO369" s="31">
        <f>IF(AN369="B2C",10,IF(AN369="B2B",5,0))</f>
        <v/>
      </c>
      <c r="AP369" s="31" t="n"/>
      <c r="AQ369" s="31">
        <f>IF(AP369="Yes",10,0)</f>
        <v/>
      </c>
      <c r="AR369" s="31" t="n"/>
      <c r="AS369" s="31">
        <f>IF(AR369="Fully Annuity",10,IF(AR369="Higher Annuity, Lower One Time",5,IF(AR369="Higher One Time, Lower Annuity",3,0)))</f>
        <v/>
      </c>
      <c r="AT369" s="31" t="n"/>
      <c r="AU369" s="31">
        <f>IF(AT369="Good",10,0)</f>
        <v/>
      </c>
      <c r="AV369" s="31" t="n"/>
      <c r="AW369" s="31">
        <f>IF(AV369="Yes for more than 2 years",10,IF(AV369="Yes only for next 1 to 2 years",5,0))</f>
        <v/>
      </c>
      <c r="AX369" s="31" t="n"/>
      <c r="AY369" s="31">
        <f>IF(AX369="Above 40",20,IF(AX369="20 to 40",10,IF(AX369="0 to 20",-5,0)))</f>
        <v/>
      </c>
      <c r="AZ369" s="31" t="n"/>
      <c r="BA369" s="31">
        <f>IF(AZ369="Between 50 to 75",10,IF(AZ369="Above 75",0,0))</f>
        <v/>
      </c>
      <c r="BB369" s="31" t="n"/>
      <c r="BC369" s="31">
        <f>IF(BB369="Stage 2",20,IF(BB369="Stage 1",0,IF(BB369="Stage 3",5,IF(BB369="Stage 4",-5,0))))</f>
        <v/>
      </c>
      <c r="BD369" s="31" t="n"/>
      <c r="BE369" s="31">
        <f>IF(BD369="Positive Trend",20,IF(BD369="Negative Trend",-10,0))</f>
        <v/>
      </c>
      <c r="BF369" s="31" t="n"/>
      <c r="BG369" s="31">
        <f>IF(BF369="Uptrend",10,IF(BF369="Sideways",5,0))</f>
        <v/>
      </c>
      <c r="BH369" s="31" t="n"/>
      <c r="BI369" s="31">
        <f>IF(BH369="Uptrend",10,IF(BH369="Sideways",5,0))</f>
        <v/>
      </c>
      <c r="BJ369" s="31" t="n"/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n"/>
      <c r="BM369" s="31">
        <f>IF(BL369="Yes",10,0)</f>
        <v/>
      </c>
      <c r="BN369" s="31" t="n"/>
      <c r="BO369" s="31">
        <f>IF(BN369="More than 20%",10,IF(BN369="Between 12 to 20%",5,IF(BN369="Less than 12%",0,0)))</f>
        <v/>
      </c>
      <c r="BP369" s="31" t="n"/>
      <c r="BQ369" s="31">
        <f>IF(BP369="No",10,0)</f>
        <v/>
      </c>
      <c r="BR369" s="31" t="n"/>
      <c r="BS369" s="31">
        <f>IF(BR369="NO",5,0)</f>
        <v/>
      </c>
      <c r="BT369" s="31" t="n"/>
      <c r="BU369" s="31">
        <f>IF(BT369="Above 2",0,IF(BT369="Between 1.5 to 2",5,IF(BT369="Less than 1.5",10,0)))</f>
        <v/>
      </c>
      <c r="BV369" s="31" t="n"/>
      <c r="BW369" s="31">
        <f>IF(BV369="Above 70%",10,IF(BV369="Between 50% to 70%",5,IF(BV369="Less than 50%",0,IF(BV369="Negative",-10,IF(BV369="Less than 50% and Borrowings are increasing",-5,0)))))</f>
        <v/>
      </c>
      <c r="BX369" s="31" t="n"/>
      <c r="BY369" s="31">
        <f>IF(BX369="More than 1.2",-10,IF(BX369="Between 0.7 to 1.2",0,IF(BX369="Less than 0.7",10,0)))</f>
        <v/>
      </c>
      <c r="BZ369" s="31" t="n"/>
      <c r="CA369" s="31">
        <f>IF(BZ369="Yes",-10,0)</f>
        <v/>
      </c>
      <c r="CB369" s="31" t="n"/>
      <c r="CC369" s="31">
        <f>IF(CB369="More than 15%",-10,IF(CB369="Less than 15%",10,0))</f>
        <v/>
      </c>
      <c r="CD369" s="31" t="n"/>
      <c r="CE369" s="31">
        <f>IF(CD369="Yes, more than 10%",-10,IF(CD369="No",10,0))</f>
        <v/>
      </c>
    </row>
    <row r="370">
      <c r="A370" s="31">
        <f>IF(B370=0,"",RANK(B370,$B$2:$B$372,0))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1" t="inlineStr">
        <is>
          <t>AUROPHARMA</t>
        </is>
      </c>
      <c r="D370" s="31" t="inlineStr">
        <is>
          <t>Aurobindo Pharma Limited</t>
        </is>
      </c>
      <c r="E370" s="31" t="inlineStr">
        <is>
          <t>healthcare</t>
        </is>
      </c>
      <c r="F370" s="31" t="inlineStr">
        <is>
          <t>pharmaceuticals - indian - bulk drugs &amp; formln</t>
        </is>
      </c>
      <c r="G370" s="31" t="inlineStr">
        <is>
          <t>largecap</t>
        </is>
      </c>
      <c r="H370" s="32" t="n">
        <v>92196.45</v>
      </c>
      <c r="I370" s="32" t="n">
        <v>1568.8</v>
      </c>
      <c r="J370" s="32" t="n">
        <v>-1.17</v>
      </c>
      <c r="K370" s="32" t="n">
        <v>1154518</v>
      </c>
      <c r="L370" s="31" t="inlineStr"/>
      <c r="M370" s="31" t="inlineStr"/>
      <c r="N370" s="32">
        <f>IF(M370="Underperforming",-5,IF(L370&gt;=95,15,IF(L370&gt;=90,10,IF(L370&gt;=80,5,0))))</f>
        <v/>
      </c>
      <c r="O370" s="32" t="inlineStr"/>
      <c r="P370" s="32" t="inlineStr"/>
      <c r="Q370" s="32" t="inlineStr"/>
      <c r="R370" s="31" t="inlineStr"/>
      <c r="S370" s="31" t="inlineStr"/>
      <c r="T370" s="32" t="inlineStr"/>
      <c r="U370" s="32" t="inlineStr"/>
      <c r="V370" s="32" t="inlineStr"/>
      <c r="W370" s="32" t="inlineStr"/>
      <c r="X370" s="31" t="n"/>
      <c r="Y370" s="31">
        <f>IF(X370="Growing Industry",10,IF(X370="Cyclical in an Upturn",5,0))</f>
        <v/>
      </c>
      <c r="Z370" s="31" t="n"/>
      <c r="AA370" s="31">
        <f>IF(Z370="Monopoly",10,IF(Z370="Oligopoly",5,IF(Z370="Duopoly that cooperate",10,IF(Z370="Duopoly that compete",5,IF(Z370="Too many players with High ROCE",5,0)))))</f>
        <v/>
      </c>
      <c r="AB370" s="31" t="n"/>
      <c r="AC370" s="31">
        <f>IF(AB370="No",5,0)</f>
        <v/>
      </c>
      <c r="AD370" s="31" t="n"/>
      <c r="AE370" s="31">
        <f>IF(AD370="Tailwind",10,0)</f>
        <v/>
      </c>
      <c r="AF370" s="31" t="n"/>
      <c r="AG370" s="31">
        <f>IF(AF370="Structural (10 Years Consistency)",10,IF(AF370="Shallow Cyclical (2 to 3 years growth)",5,0))</f>
        <v/>
      </c>
      <c r="AH370" s="31" t="n"/>
      <c r="AI370" s="31">
        <f>IF(AH370="Yes due to Product Mix change or Operating Leverage",10,IF(AH370="Yes, these are peak margins",-5,IF(AH370="No",5,0)))</f>
        <v/>
      </c>
      <c r="AJ370" s="31" t="n"/>
      <c r="AK370" s="31">
        <f>IF(AJ370="Stable",10,0)</f>
        <v/>
      </c>
      <c r="AL370" s="31" t="n"/>
      <c r="AM370" s="31">
        <f>IF(AL370="Yes",10,0)</f>
        <v/>
      </c>
      <c r="AN370" s="31" t="n"/>
      <c r="AO370" s="31">
        <f>IF(AN370="B2C",10,IF(AN370="B2B",5,0))</f>
        <v/>
      </c>
      <c r="AP370" s="31" t="n"/>
      <c r="AQ370" s="31">
        <f>IF(AP370="Yes",10,0)</f>
        <v/>
      </c>
      <c r="AR370" s="31" t="n"/>
      <c r="AS370" s="31">
        <f>IF(AR370="Fully Annuity",10,IF(AR370="Higher Annuity, Lower One Time",5,IF(AR370="Higher One Time, Lower Annuity",3,0)))</f>
        <v/>
      </c>
      <c r="AT370" s="31" t="n"/>
      <c r="AU370" s="31">
        <f>IF(AT370="Good",10,0)</f>
        <v/>
      </c>
      <c r="AV370" s="31" t="n"/>
      <c r="AW370" s="31">
        <f>IF(AV370="Yes for more than 2 years",10,IF(AV370="Yes only for next 1 to 2 years",5,0))</f>
        <v/>
      </c>
      <c r="AX370" s="31" t="n"/>
      <c r="AY370" s="31">
        <f>IF(AX370="Above 40",20,IF(AX370="20 to 40",10,IF(AX370="0 to 20",-5,0)))</f>
        <v/>
      </c>
      <c r="AZ370" s="31" t="n"/>
      <c r="BA370" s="31">
        <f>IF(AZ370="Between 50 to 75",10,IF(AZ370="Above 75",0,0))</f>
        <v/>
      </c>
      <c r="BB370" s="31" t="n"/>
      <c r="BC370" s="31">
        <f>IF(BB370="Stage 2",20,IF(BB370="Stage 1",0,IF(BB370="Stage 3",5,IF(BB370="Stage 4",-5,0))))</f>
        <v/>
      </c>
      <c r="BD370" s="31" t="n"/>
      <c r="BE370" s="31">
        <f>IF(BD370="Positive Trend",20,IF(BD370="Negative Trend",-10,0))</f>
        <v/>
      </c>
      <c r="BF370" s="31" t="n"/>
      <c r="BG370" s="31">
        <f>IF(BF370="Uptrend",10,IF(BF370="Sideways",5,0))</f>
        <v/>
      </c>
      <c r="BH370" s="31" t="n"/>
      <c r="BI370" s="31">
        <f>IF(BH370="Uptrend",10,IF(BH370="Sideways",5,0))</f>
        <v/>
      </c>
      <c r="BJ370" s="31" t="n"/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n"/>
      <c r="BM370" s="31">
        <f>IF(BL370="Yes",10,0)</f>
        <v/>
      </c>
      <c r="BN370" s="31" t="n"/>
      <c r="BO370" s="31">
        <f>IF(BN370="More than 20%",10,IF(BN370="Between 12 to 20%",5,IF(BN370="Less than 12%",0,0)))</f>
        <v/>
      </c>
      <c r="BP370" s="31" t="n"/>
      <c r="BQ370" s="31">
        <f>IF(BP370="No",10,0)</f>
        <v/>
      </c>
      <c r="BR370" s="31" t="n"/>
      <c r="BS370" s="31">
        <f>IF(BR370="NO",5,0)</f>
        <v/>
      </c>
      <c r="BT370" s="31" t="n"/>
      <c r="BU370" s="31">
        <f>IF(BT370="Above 2",0,IF(BT370="Between 1.5 to 2",5,IF(BT370="Less than 1.5",10,0)))</f>
        <v/>
      </c>
      <c r="BV370" s="31" t="n"/>
      <c r="BW370" s="31">
        <f>IF(BV370="Above 70%",10,IF(BV370="Between 50% to 70%",5,IF(BV370="Less than 50%",0,IF(BV370="Negative",-10,IF(BV370="Less than 50% and Borrowings are increasing",-5,0)))))</f>
        <v/>
      </c>
      <c r="BX370" s="31" t="n"/>
      <c r="BY370" s="31">
        <f>IF(BX370="More than 1.2",-10,IF(BX370="Between 0.7 to 1.2",0,IF(BX370="Less than 0.7",10,0)))</f>
        <v/>
      </c>
      <c r="BZ370" s="31" t="n"/>
      <c r="CA370" s="31">
        <f>IF(BZ370="Yes",-10,0)</f>
        <v/>
      </c>
      <c r="CB370" s="31" t="n"/>
      <c r="CC370" s="31">
        <f>IF(CB370="More than 15%",-10,IF(CB370="Less than 15%",10,0))</f>
        <v/>
      </c>
      <c r="CD370" s="31" t="n"/>
      <c r="CE370" s="31">
        <f>IF(CD370="Yes, more than 10%",-10,IF(CD370="No",10,0))</f>
        <v/>
      </c>
    </row>
    <row r="371">
      <c r="A371" s="31">
        <f>IF(B371=0,"",RANK(B371,$B$2:$B$372,0))</f>
        <v/>
      </c>
      <c r="B371" s="32">
        <f>SUM(N371,Y371,AA371,AC371,AE371,AG371,AI371,AK371,AM371,AO371,AQ371,AS371,AU371,AW371,AY371,BA371,BC371,BE371,BG371,BI371,BK371,BM371,BO371,BQ371,BS371,BU371,BW371,BY371,CA371,CC371,CE371)</f>
        <v/>
      </c>
      <c r="C371" s="31" t="inlineStr">
        <is>
          <t>CAPLIPOINT</t>
        </is>
      </c>
      <c r="D371" s="31" t="inlineStr">
        <is>
          <t>Caplin Point Laboratories Limited</t>
        </is>
      </c>
      <c r="E371" s="31" t="inlineStr">
        <is>
          <t>healthcare</t>
        </is>
      </c>
      <c r="F371" s="31" t="inlineStr">
        <is>
          <t>pharmaceuticals - indian - formulations</t>
        </is>
      </c>
      <c r="G371" s="31" t="inlineStr">
        <is>
          <t>midcap</t>
        </is>
      </c>
      <c r="H371" s="32" t="n">
        <v>19925.71</v>
      </c>
      <c r="I371" s="32" t="n">
        <v>2583.6</v>
      </c>
      <c r="J371" s="32" t="n">
        <v>-1.44</v>
      </c>
      <c r="K371" s="32" t="n">
        <v>132431</v>
      </c>
      <c r="L371" s="31" t="inlineStr"/>
      <c r="M371" s="31" t="inlineStr"/>
      <c r="N371" s="32">
        <f>IF(M371="Underperforming",-5,IF(L371&gt;=95,15,IF(L371&gt;=90,10,IF(L371&gt;=80,5,0))))</f>
        <v/>
      </c>
      <c r="O371" s="32" t="inlineStr"/>
      <c r="P371" s="32" t="inlineStr"/>
      <c r="Q371" s="32" t="inlineStr"/>
      <c r="R371" s="31" t="inlineStr"/>
      <c r="S371" s="31" t="inlineStr"/>
      <c r="T371" s="32" t="inlineStr"/>
      <c r="U371" s="32" t="inlineStr"/>
      <c r="V371" s="32" t="inlineStr"/>
      <c r="W371" s="32" t="inlineStr"/>
      <c r="X371" s="31" t="n"/>
      <c r="Y371" s="31">
        <f>IF(X371="Growing Industry",10,IF(X371="Cyclical in an Upturn",5,0))</f>
        <v/>
      </c>
      <c r="Z371" s="31" t="n"/>
      <c r="AA371" s="31">
        <f>IF(Z371="Monopoly",10,IF(Z371="Oligopoly",5,IF(Z371="Duopoly that cooperate",10,IF(Z371="Duopoly that compete",5,IF(Z371="Too many players with High ROCE",5,0)))))</f>
        <v/>
      </c>
      <c r="AB371" s="31" t="n"/>
      <c r="AC371" s="31">
        <f>IF(AB371="No",5,0)</f>
        <v/>
      </c>
      <c r="AD371" s="31" t="n"/>
      <c r="AE371" s="31">
        <f>IF(AD371="Tailwind",10,0)</f>
        <v/>
      </c>
      <c r="AF371" s="31" t="n"/>
      <c r="AG371" s="31">
        <f>IF(AF371="Structural (10 Years Consistency)",10,IF(AF371="Shallow Cyclical (2 to 3 years growth)",5,0))</f>
        <v/>
      </c>
      <c r="AH371" s="31" t="n"/>
      <c r="AI371" s="31">
        <f>IF(AH371="Yes due to Product Mix change or Operating Leverage",10,IF(AH371="Yes, these are peak margins",-5,IF(AH371="No",5,0)))</f>
        <v/>
      </c>
      <c r="AJ371" s="31" t="n"/>
      <c r="AK371" s="31">
        <f>IF(AJ371="Stable",10,0)</f>
        <v/>
      </c>
      <c r="AL371" s="31" t="n"/>
      <c r="AM371" s="31">
        <f>IF(AL371="Yes",10,0)</f>
        <v/>
      </c>
      <c r="AN371" s="31" t="n"/>
      <c r="AO371" s="31">
        <f>IF(AN371="B2C",10,IF(AN371="B2B",5,0))</f>
        <v/>
      </c>
      <c r="AP371" s="31" t="n"/>
      <c r="AQ371" s="31">
        <f>IF(AP371="Yes",10,0)</f>
        <v/>
      </c>
      <c r="AR371" s="31" t="n"/>
      <c r="AS371" s="31">
        <f>IF(AR371="Fully Annuity",10,IF(AR371="Higher Annuity, Lower One Time",5,IF(AR371="Higher One Time, Lower Annuity",3,0)))</f>
        <v/>
      </c>
      <c r="AT371" s="31" t="n"/>
      <c r="AU371" s="31">
        <f>IF(AT371="Good",10,0)</f>
        <v/>
      </c>
      <c r="AV371" s="31" t="n"/>
      <c r="AW371" s="31">
        <f>IF(AV371="Yes for more than 2 years",10,IF(AV371="Yes only for next 1 to 2 years",5,0))</f>
        <v/>
      </c>
      <c r="AX371" s="31" t="n"/>
      <c r="AY371" s="31">
        <f>IF(AX371="Above 40",20,IF(AX371="20 to 40",10,IF(AX371="0 to 20",-5,0)))</f>
        <v/>
      </c>
      <c r="AZ371" s="31" t="n"/>
      <c r="BA371" s="31">
        <f>IF(AZ371="Between 50 to 75",10,IF(AZ371="Above 75",0,0))</f>
        <v/>
      </c>
      <c r="BB371" s="31" t="n"/>
      <c r="BC371" s="31">
        <f>IF(BB371="Stage 2",20,IF(BB371="Stage 1",0,IF(BB371="Stage 3",5,IF(BB371="Stage 4",-5,0))))</f>
        <v/>
      </c>
      <c r="BD371" s="31" t="n"/>
      <c r="BE371" s="31">
        <f>IF(BD371="Positive Trend",20,IF(BD371="Negative Trend",-10,0))</f>
        <v/>
      </c>
      <c r="BF371" s="31" t="n"/>
      <c r="BG371" s="31">
        <f>IF(BF371="Uptrend",10,IF(BF371="Sideways",5,0))</f>
        <v/>
      </c>
      <c r="BH371" s="31" t="n"/>
      <c r="BI371" s="31">
        <f>IF(BH371="Uptrend",10,IF(BH371="Sideways",5,0))</f>
        <v/>
      </c>
      <c r="BJ371" s="31" t="n"/>
      <c r="BK371" s="31">
        <f>IF(BJ371="Overhead supply in last 2 years in last 2 years",-5,IF(BJ371="Close to 52 week high or retracement",5,IF(BJ371="Blue sky scenario",10,IF(BJ371="Long term Downtrend",-10,0))))</f>
        <v/>
      </c>
      <c r="BL371" s="31" t="n"/>
      <c r="BM371" s="31">
        <f>IF(BL371="Yes",10,0)</f>
        <v/>
      </c>
      <c r="BN371" s="31" t="n"/>
      <c r="BO371" s="31">
        <f>IF(BN371="More than 20%",10,IF(BN371="Between 12 to 20%",5,IF(BN371="Less than 12%",0,0)))</f>
        <v/>
      </c>
      <c r="BP371" s="31" t="n"/>
      <c r="BQ371" s="31">
        <f>IF(BP371="No",10,0)</f>
        <v/>
      </c>
      <c r="BR371" s="31" t="n"/>
      <c r="BS371" s="31">
        <f>IF(BR371="NO",5,0)</f>
        <v/>
      </c>
      <c r="BT371" s="31" t="n"/>
      <c r="BU371" s="31">
        <f>IF(BT371="Above 2",0,IF(BT371="Between 1.5 to 2",5,IF(BT371="Less than 1.5",10,0)))</f>
        <v/>
      </c>
      <c r="BV371" s="31" t="n"/>
      <c r="BW371" s="31">
        <f>IF(BV371="Above 70%",10,IF(BV371="Between 50% to 70%",5,IF(BV371="Less than 50%",0,IF(BV371="Negative",-10,IF(BV371="Less than 50% and Borrowings are increasing",-5,0)))))</f>
        <v/>
      </c>
      <c r="BX371" s="31" t="n"/>
      <c r="BY371" s="31">
        <f>IF(BX371="More than 1.2",-10,IF(BX371="Between 0.7 to 1.2",0,IF(BX371="Less than 0.7",10,0)))</f>
        <v/>
      </c>
      <c r="BZ371" s="31" t="n"/>
      <c r="CA371" s="31">
        <f>IF(BZ371="Yes",-10,0)</f>
        <v/>
      </c>
      <c r="CB371" s="31" t="n"/>
      <c r="CC371" s="31">
        <f>IF(CB371="More than 15%",-10,IF(CB371="Less than 15%",10,0))</f>
        <v/>
      </c>
      <c r="CD371" s="31" t="n"/>
      <c r="CE371" s="31">
        <f>IF(CD371="Yes, more than 10%",-10,IF(CD371="No",10,0))</f>
        <v/>
      </c>
    </row>
    <row r="372">
      <c r="A372" s="31">
        <f>IF(B372=0,"",RANK(B372,$B$2:$B$372,0))</f>
        <v/>
      </c>
      <c r="B372" s="32">
        <f>SUM(N372,Y372,AA372,AC372,AE372,AG372,AI372,AK372,AM372,AO372,AQ372,AS372,AU372,AW372,AY372,BA372,BC372,BE372,BG372,BI372,BK372,BM372,BO372,BQ372,BS372,BU372,BW372,BY372,CA372,CC372,CE372)</f>
        <v/>
      </c>
      <c r="C372" s="31" t="inlineStr">
        <is>
          <t>MANAKSTEEL</t>
        </is>
      </c>
      <c r="D372" s="31" t="inlineStr">
        <is>
          <t>Manaksia Steels Limited</t>
        </is>
      </c>
      <c r="E372" s="31" t="inlineStr">
        <is>
          <t>metals &amp; mining</t>
        </is>
      </c>
      <c r="F372" s="31" t="inlineStr">
        <is>
          <t>steel - medium / small</t>
        </is>
      </c>
      <c r="G372" s="31" t="inlineStr">
        <is>
          <t>smallcap</t>
        </is>
      </c>
      <c r="H372" s="32" t="n">
        <v>512.02</v>
      </c>
      <c r="I372" s="32" t="n">
        <v>76.59999999999999</v>
      </c>
      <c r="J372" s="32" t="n">
        <v>-1.96</v>
      </c>
      <c r="K372" s="32" t="n">
        <v>18243</v>
      </c>
      <c r="L372" s="31" t="inlineStr"/>
      <c r="M372" s="31" t="inlineStr"/>
      <c r="N372" s="32">
        <f>IF(M372="Underperforming",-5,IF(L372&gt;=95,15,IF(L372&gt;=90,10,IF(L372&gt;=80,5,0))))</f>
        <v/>
      </c>
      <c r="O372" s="32" t="inlineStr"/>
      <c r="P372" s="32" t="inlineStr"/>
      <c r="Q372" s="32" t="inlineStr"/>
      <c r="R372" s="31" t="inlineStr"/>
      <c r="S372" s="31" t="inlineStr"/>
      <c r="T372" s="32" t="inlineStr"/>
      <c r="U372" s="32" t="inlineStr"/>
      <c r="V372" s="32" t="inlineStr"/>
      <c r="W372" s="32" t="inlineStr"/>
      <c r="X372" s="31" t="n"/>
      <c r="Y372" s="31">
        <f>IF(X372="Growing Industry",10,IF(X372="Cyclical in an Upturn",5,0))</f>
        <v/>
      </c>
      <c r="Z372" s="31" t="n"/>
      <c r="AA372" s="31">
        <f>IF(Z372="Monopoly",10,IF(Z372="Oligopoly",5,IF(Z372="Duopoly that cooperate",10,IF(Z372="Duopoly that compete",5,IF(Z372="Too many players with High ROCE",5,0)))))</f>
        <v/>
      </c>
      <c r="AB372" s="31" t="n"/>
      <c r="AC372" s="31">
        <f>IF(AB372="No",5,0)</f>
        <v/>
      </c>
      <c r="AD372" s="31" t="n"/>
      <c r="AE372" s="31">
        <f>IF(AD372="Tailwind",10,0)</f>
        <v/>
      </c>
      <c r="AF372" s="31" t="n"/>
      <c r="AG372" s="31">
        <f>IF(AF372="Structural (10 Years Consistency)",10,IF(AF372="Shallow Cyclical (2 to 3 years growth)",5,0))</f>
        <v/>
      </c>
      <c r="AH372" s="31" t="n"/>
      <c r="AI372" s="31">
        <f>IF(AH372="Yes due to Product Mix change or Operating Leverage",10,IF(AH372="Yes, these are peak margins",-5,IF(AH372="No",5,0)))</f>
        <v/>
      </c>
      <c r="AJ372" s="31" t="n"/>
      <c r="AK372" s="31">
        <f>IF(AJ372="Stable",10,0)</f>
        <v/>
      </c>
      <c r="AL372" s="31" t="n"/>
      <c r="AM372" s="31">
        <f>IF(AL372="Yes",10,0)</f>
        <v/>
      </c>
      <c r="AN372" s="31" t="n"/>
      <c r="AO372" s="31">
        <f>IF(AN372="B2C",10,IF(AN372="B2B",5,0))</f>
        <v/>
      </c>
      <c r="AP372" s="31" t="n"/>
      <c r="AQ372" s="31">
        <f>IF(AP372="Yes",10,0)</f>
        <v/>
      </c>
      <c r="AR372" s="31" t="n"/>
      <c r="AS372" s="31">
        <f>IF(AR372="Fully Annuity",10,IF(AR372="Higher Annuity, Lower One Time",5,IF(AR372="Higher One Time, Lower Annuity",3,0)))</f>
        <v/>
      </c>
      <c r="AT372" s="31" t="n"/>
      <c r="AU372" s="31">
        <f>IF(AT372="Good",10,0)</f>
        <v/>
      </c>
      <c r="AV372" s="31" t="n"/>
      <c r="AW372" s="31">
        <f>IF(AV372="Yes for more than 2 years",10,IF(AV372="Yes only for next 1 to 2 years",5,0))</f>
        <v/>
      </c>
      <c r="AX372" s="31" t="n"/>
      <c r="AY372" s="31">
        <f>IF(AX372="Above 40",20,IF(AX372="20 to 40",10,IF(AX372="0 to 20",-5,0)))</f>
        <v/>
      </c>
      <c r="AZ372" s="31" t="n"/>
      <c r="BA372" s="31">
        <f>IF(AZ372="Between 50 to 75",10,IF(AZ372="Above 75",0,0))</f>
        <v/>
      </c>
      <c r="BB372" s="31" t="n"/>
      <c r="BC372" s="31">
        <f>IF(BB372="Stage 2",20,IF(BB372="Stage 1",0,IF(BB372="Stage 3",5,IF(BB372="Stage 4",-5,0))))</f>
        <v/>
      </c>
      <c r="BD372" s="31" t="n"/>
      <c r="BE372" s="31">
        <f>IF(BD372="Positive Trend",20,IF(BD372="Negative Trend",-10,0))</f>
        <v/>
      </c>
      <c r="BF372" s="31" t="n"/>
      <c r="BG372" s="31">
        <f>IF(BF372="Uptrend",10,IF(BF372="Sideways",5,0))</f>
        <v/>
      </c>
      <c r="BH372" s="31" t="n"/>
      <c r="BI372" s="31">
        <f>IF(BH372="Uptrend",10,IF(BH372="Sideways",5,0))</f>
        <v/>
      </c>
      <c r="BJ372" s="31" t="n"/>
      <c r="BK372" s="31">
        <f>IF(BJ372="Overhead supply in last 2 years in last 2 years",-5,IF(BJ372="Close to 52 week high or retracement",5,IF(BJ372="Blue sky scenario",10,IF(BJ372="Long term Downtrend",-10,0))))</f>
        <v/>
      </c>
      <c r="BL372" s="31" t="n"/>
      <c r="BM372" s="31">
        <f>IF(BL372="Yes",10,0)</f>
        <v/>
      </c>
      <c r="BN372" s="31" t="n"/>
      <c r="BO372" s="31">
        <f>IF(BN372="More than 20%",10,IF(BN372="Between 12 to 20%",5,IF(BN372="Less than 12%",0,0)))</f>
        <v/>
      </c>
      <c r="BP372" s="31" t="n"/>
      <c r="BQ372" s="31">
        <f>IF(BP372="No",10,0)</f>
        <v/>
      </c>
      <c r="BR372" s="31" t="n"/>
      <c r="BS372" s="31">
        <f>IF(BR372="NO",5,0)</f>
        <v/>
      </c>
      <c r="BT372" s="31" t="n"/>
      <c r="BU372" s="31">
        <f>IF(BT372="Above 2",0,IF(BT372="Between 1.5 to 2",5,IF(BT372="Less than 1.5",10,0)))</f>
        <v/>
      </c>
      <c r="BV372" s="31" t="n"/>
      <c r="BW372" s="31">
        <f>IF(BV372="Above 70%",10,IF(BV372="Between 50% to 70%",5,IF(BV372="Less than 50%",0,IF(BV372="Negative",-10,IF(BV372="Less than 50% and Borrowings are increasing",-5,0)))))</f>
        <v/>
      </c>
      <c r="BX372" s="31" t="n"/>
      <c r="BY372" s="31">
        <f>IF(BX372="More than 1.2",-10,IF(BX372="Between 0.7 to 1.2",0,IF(BX372="Less than 0.7",10,0)))</f>
        <v/>
      </c>
      <c r="BZ372" s="31" t="n"/>
      <c r="CA372" s="31">
        <f>IF(BZ372="Yes",-10,0)</f>
        <v/>
      </c>
      <c r="CB372" s="31" t="n"/>
      <c r="CC372" s="31">
        <f>IF(CB372="More than 15%",-10,IF(CB372="Less than 15%",10,0))</f>
        <v/>
      </c>
      <c r="CD372" s="31" t="n"/>
      <c r="CE372" s="31">
        <f>IF(CD372="Yes, more than 10%",-10,IF(CD372="No",10,0))</f>
        <v/>
      </c>
    </row>
  </sheetData>
  <autoFilter ref="A1:CE372"/>
  <conditionalFormatting sqref="B2:B37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7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7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72">
    <cfRule type="cellIs" priority="36" operator="equal" dxfId="3" stopIfTrue="1">
      <formula>"Underperforming"</formula>
    </cfRule>
  </conditionalFormatting>
  <conditionalFormatting sqref="N2:N372">
    <cfRule type="cellIs" priority="37" operator="equal" dxfId="3" stopIfTrue="1">
      <formula>-5</formula>
    </cfRule>
  </conditionalFormatting>
  <conditionalFormatting sqref="Q2:Q372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72" showDropDown="0" showInputMessage="0" showErrorMessage="0" allowBlank="1" type="list">
      <formula1>"Growing Industry,Stagnant Industry,Cyclical in an Upturn"</formula1>
    </dataValidation>
    <dataValidation sqref="Z2:Z37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72" showDropDown="0" showInputMessage="0" showErrorMessage="0" allowBlank="1" type="list">
      <formula1>"Yes,No"</formula1>
    </dataValidation>
    <dataValidation sqref="AD2:AD372" showDropDown="0" showInputMessage="0" showErrorMessage="0" allowBlank="1" type="list">
      <formula1>"Tailwind,Headwind"</formula1>
    </dataValidation>
    <dataValidation sqref="AF2:AF372" showDropDown="0" showInputMessage="0" showErrorMessage="0" allowBlank="1" type="list">
      <formula1>"Structural (10 Years Consistency),Shallow Cyclical (2 to 3 Years Growth),Cyclical"</formula1>
    </dataValidation>
    <dataValidation sqref="AH2:AH372" showDropDown="0" showInputMessage="0" showErrorMessage="0" allowBlank="1" type="list">
      <formula1>"Yes due to Product Mix change or Operating Leverage,Yes, these are peak margins,No"</formula1>
    </dataValidation>
    <dataValidation sqref="AJ2:AJ372" showDropDown="0" showInputMessage="0" showErrorMessage="0" allowBlank="1" type="list">
      <formula1>"Stable,Volatile"</formula1>
    </dataValidation>
    <dataValidation sqref="AL2:AL372" showDropDown="0" showInputMessage="0" showErrorMessage="0" allowBlank="1" type="list">
      <formula1>"Yes,No"</formula1>
    </dataValidation>
    <dataValidation sqref="AN2:AN372" showDropDown="0" showInputMessage="0" showErrorMessage="0" allowBlank="1" type="list">
      <formula1>"B2C,B2B,B2G"</formula1>
    </dataValidation>
    <dataValidation sqref="AP2:AP372" showDropDown="0" showInputMessage="0" showErrorMessage="0" allowBlank="1" type="list">
      <formula1>"Yes,No"</formula1>
    </dataValidation>
    <dataValidation sqref="AR2:AR372" showDropDown="0" showInputMessage="0" showErrorMessage="0" allowBlank="1" type="list">
      <formula1>"Fully Annuity,Higher Annuity, Lower One time,Higher One Time, Lower Annuity,Fully One Time"</formula1>
    </dataValidation>
    <dataValidation sqref="AT2:AT372" showDropDown="0" showInputMessage="0" showErrorMessage="0" allowBlank="1" type="list">
      <formula1>"Good,Allocated capital in Non-core Areas"</formula1>
    </dataValidation>
    <dataValidation sqref="AV2:AV372" showDropDown="0" showInputMessage="0" showErrorMessage="0" allowBlank="1" type="list">
      <formula1>"Yes for more than 2 years,Yes only for next 1 to 2 years,No"</formula1>
    </dataValidation>
    <dataValidation sqref="AX2:AX372" showDropDown="0" showInputMessage="0" showErrorMessage="0" allowBlank="1" type="list">
      <formula1>"Above 40,20 to 40,0 to 20"</formula1>
    </dataValidation>
    <dataValidation sqref="AZ2:AZ372" showDropDown="0" showInputMessage="0" showErrorMessage="0" allowBlank="1" type="list">
      <formula1>"Between 50 to 75,Above 75,Below 45"</formula1>
    </dataValidation>
    <dataValidation sqref="BB2:BB372" showDropDown="0" showInputMessage="0" showErrorMessage="0" allowBlank="1" type="list">
      <formula1>"Stage 1,Stage 2,Stage 3,Stage 4"</formula1>
    </dataValidation>
    <dataValidation sqref="BD2:BD372" showDropDown="0" showInputMessage="0" showErrorMessage="0" allowBlank="1" type="list">
      <formula1>"Positive Trend,Negative Trend"</formula1>
    </dataValidation>
    <dataValidation sqref="BF2:BF372" showDropDown="0" showInputMessage="0" showErrorMessage="0" allowBlank="1" type="list">
      <formula1>"Uptrend,Sideways,Downtrend"</formula1>
    </dataValidation>
    <dataValidation sqref="BH2:BH372" showDropDown="0" showInputMessage="0" showErrorMessage="0" allowBlank="1" type="list">
      <formula1>"Uptrend,Sideways,Downtrend"</formula1>
    </dataValidation>
    <dataValidation sqref="BJ2:BJ37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72" showDropDown="0" showInputMessage="0" showErrorMessage="0" allowBlank="1" type="list">
      <formula1>"Yes,No"</formula1>
    </dataValidation>
    <dataValidation sqref="BN2:BN372" showDropDown="0" showInputMessage="0" showErrorMessage="0" allowBlank="1" type="list">
      <formula1>"More than 20%,Between 12 to 20%,Less than 12%"</formula1>
    </dataValidation>
    <dataValidation sqref="BP2:BP372" showDropDown="0" showInputMessage="0" showErrorMessage="0" allowBlank="1" type="list">
      <formula1>"Yes,No"</formula1>
    </dataValidation>
    <dataValidation sqref="BR2:BR372" showDropDown="0" showInputMessage="0" showErrorMessage="0" allowBlank="1" type="list">
      <formula1>"Yes,No"</formula1>
    </dataValidation>
    <dataValidation sqref="BT2:BT372" showDropDown="0" showInputMessage="0" showErrorMessage="0" allowBlank="1" type="list">
      <formula1>"Above 2,Between 1.5 to 2,Less than 1.5"</formula1>
    </dataValidation>
    <dataValidation sqref="BV2:BV372" showDropDown="0" showInputMessage="0" showErrorMessage="0" allowBlank="1" type="list">
      <formula1>"Above 70%,Between 50% to 70%,Less than 50%,Less than 50% and Borrowings are increasing,Negative"</formula1>
    </dataValidation>
    <dataValidation sqref="BX2:BX372" showDropDown="0" showInputMessage="0" showErrorMessage="0" allowBlank="1" type="list">
      <formula1>"More than 1.2,Between 0.7 to 1.2,Less than 0.7"</formula1>
    </dataValidation>
    <dataValidation sqref="BZ2:BZ372" showDropDown="0" showInputMessage="0" showErrorMessage="0" allowBlank="1" type="list">
      <formula1>"Yes,No"</formula1>
    </dataValidation>
    <dataValidation sqref="CB2:CB372" showDropDown="0" showInputMessage="0" showErrorMessage="0" allowBlank="1" type="list">
      <formula1>"More than 15%,Less than 15%"</formula1>
    </dataValidation>
    <dataValidation sqref="CD2:CD37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7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IF(B2=0,"",RANK(B2,$B$2:$B$76,0))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SATIN</t>
        </is>
      </c>
      <c r="D2" s="31" t="inlineStr">
        <is>
          <t>Satin Creditcare Network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2818.34</v>
      </c>
      <c r="I2" s="32" t="n">
        <v>256.68</v>
      </c>
      <c r="J2" s="32" t="n">
        <v>0.61</v>
      </c>
      <c r="K2" s="32" t="n">
        <v>315486</v>
      </c>
      <c r="L2" s="31" t="n">
        <v>84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73.90000000000001</v>
      </c>
      <c r="P2" s="32" t="n">
        <v>60.81</v>
      </c>
      <c r="Q2" s="32" t="n">
        <v>199.46</v>
      </c>
      <c r="R2" s="31" t="inlineStr">
        <is>
          <t>Near 52W High Breakout</t>
        </is>
      </c>
      <c r="S2" s="31" t="inlineStr">
        <is>
          <t>Nifty Bank</t>
        </is>
      </c>
      <c r="T2" s="32" t="n">
        <v>2.28</v>
      </c>
      <c r="U2" s="32" t="n">
        <v>58.81</v>
      </c>
      <c r="V2" s="32" t="n">
        <v>55.27</v>
      </c>
      <c r="W2" s="32" t="n">
        <v>24.23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IF(B3=0,"",RANK(B3,$B$2:$B$76,0))</f>
        <v/>
      </c>
      <c r="B3" s="32">
        <f>SUM(N3,Y3,AA3,AC3,AE3,AG3,AI3,AK3,AM3,AO3,AQ3,AS3,AU3,AW3,AY3,BA3,BC3,BE3,BG3,BI3,BK3,BM3,BO3,BQ3,BS3,BU3,BW3,BY3,CA3)</f>
        <v/>
      </c>
      <c r="C3" s="31" t="inlineStr">
        <is>
          <t>KTKBANK</t>
        </is>
      </c>
      <c r="D3" s="31" t="inlineStr">
        <is>
          <t>The Karnataka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10134.16</v>
      </c>
      <c r="I3" s="32" t="n">
        <v>276.35</v>
      </c>
      <c r="J3" s="32" t="n">
        <v>3.12</v>
      </c>
      <c r="K3" s="32" t="n">
        <v>3418811</v>
      </c>
      <c r="L3" s="31" t="n">
        <v>55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66.23999999999999</v>
      </c>
      <c r="P3" s="32" t="n">
        <v>51.28</v>
      </c>
      <c r="Q3" s="32" t="n">
        <v>223.11</v>
      </c>
      <c r="R3" s="31" t="inlineStr">
        <is>
          <t>Near 52W High Breakout</t>
        </is>
      </c>
      <c r="S3" s="31" t="inlineStr">
        <is>
          <t>Nifty Bank</t>
        </is>
      </c>
      <c r="T3" s="32" t="n">
        <v>2.28</v>
      </c>
      <c r="U3" s="32" t="n">
        <v>49.25</v>
      </c>
      <c r="V3" s="32" t="n">
        <v>45.93</v>
      </c>
      <c r="W3" s="32" t="n">
        <v>11.75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IF(B4=0,"",RANK(B4,$B$2:$B$76,0))</f>
        <v/>
      </c>
      <c r="B4" s="32">
        <f>SUM(N4,Y4,AA4,AC4,AE4,AG4,AI4,AK4,AM4,AO4,AQ4,AS4,AU4,AW4,AY4,BA4,BC4,BE4,BG4,BI4,BK4,BM4,BO4,BQ4,BS4,BU4,BW4,BY4,CA4)</f>
        <v/>
      </c>
      <c r="C4" s="31" t="inlineStr">
        <is>
          <t>NORTHARC</t>
        </is>
      </c>
      <c r="D4" s="31" t="inlineStr">
        <is>
          <t>Northern ARC Capital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4973.99</v>
      </c>
      <c r="I4" s="32" t="n">
        <v>325.3</v>
      </c>
      <c r="J4" s="32" t="n">
        <v>5.67</v>
      </c>
      <c r="K4" s="32" t="n">
        <v>2149704</v>
      </c>
      <c r="L4" s="31" t="n">
        <v>63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69.83</v>
      </c>
      <c r="P4" s="32" t="n">
        <v>28.56</v>
      </c>
      <c r="Q4" s="32" t="n">
        <v>253.13</v>
      </c>
      <c r="R4" s="31" t="inlineStr">
        <is>
          <t>Near 52W High Breakout</t>
        </is>
      </c>
      <c r="S4" s="31" t="inlineStr">
        <is>
          <t>Nifty Bank</t>
        </is>
      </c>
      <c r="T4" s="32" t="n">
        <v>2.28</v>
      </c>
      <c r="U4" s="32" t="n">
        <v>31.5</v>
      </c>
      <c r="V4" s="32" t="n">
        <v>28.58</v>
      </c>
      <c r="W4" s="32" t="n">
        <v>14.01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IF(B5=0,"",RANK(B5,$B$2:$B$76,0))</f>
        <v/>
      </c>
      <c r="B5" s="32">
        <f>SUM(N5,Y5,AA5,AC5,AE5,AG5,AI5,AK5,AM5,AO5,AQ5,AS5,AU5,AW5,AY5,BA5,BC5,BE5,BG5,BI5,BK5,BM5,BO5,BQ5,BS5,BU5,BW5,BY5,CA5)</f>
        <v/>
      </c>
      <c r="C5" s="31" t="inlineStr">
        <is>
          <t>BANDHANBNK</t>
        </is>
      </c>
      <c r="D5" s="31" t="inlineStr">
        <is>
          <t>Bandhan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largecap</t>
        </is>
      </c>
      <c r="H5" s="32" t="n">
        <v>32196.89</v>
      </c>
      <c r="I5" s="32" t="n">
        <v>210</v>
      </c>
      <c r="J5" s="32" t="n">
        <v>5.07</v>
      </c>
      <c r="K5" s="32" t="n">
        <v>20211773</v>
      </c>
      <c r="L5" s="31" t="n">
        <v>50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64.31</v>
      </c>
      <c r="P5" s="32" t="n">
        <v>29.5</v>
      </c>
      <c r="Q5" s="32" t="n">
        <v>168.44</v>
      </c>
      <c r="R5" s="31" t="inlineStr">
        <is>
          <t>Near 52W High Breakout</t>
        </is>
      </c>
      <c r="S5" s="31" t="inlineStr">
        <is>
          <t>Nifty Bank</t>
        </is>
      </c>
      <c r="T5" s="32" t="n">
        <v>2.28</v>
      </c>
      <c r="U5" s="32" t="n">
        <v>20.69</v>
      </c>
      <c r="V5" s="32" t="n">
        <v>18</v>
      </c>
      <c r="W5" s="32" t="n">
        <v>9.789999999999999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IF(B6=0,"",RANK(B6,$B$2:$B$76,0))</f>
        <v/>
      </c>
      <c r="B6" s="32">
        <f>SUM(N6,Y6,AA6,AC6,AE6,AG6,AI6,AK6,AM6,AO6,AQ6,AS6,AU6,AW6,AY6,BA6,BC6,BE6,BG6,BI6,BK6,BM6,BO6,BQ6,BS6,BU6,BW6,BY6,CA6)</f>
        <v/>
      </c>
      <c r="C6" s="31" t="inlineStr">
        <is>
          <t>RBLBANK</t>
        </is>
      </c>
      <c r="D6" s="31" t="inlineStr">
        <is>
          <t>Rbl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56181.69</v>
      </c>
      <c r="I6" s="32" t="n">
        <v>380.65</v>
      </c>
      <c r="J6" s="32" t="n">
        <v>4.92</v>
      </c>
      <c r="K6" s="32" t="n">
        <v>9130348</v>
      </c>
      <c r="L6" s="31" t="n">
        <v>54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67.94</v>
      </c>
      <c r="P6" s="32" t="n">
        <v>37.76</v>
      </c>
      <c r="Q6" s="32" t="n">
        <v>320.35</v>
      </c>
      <c r="R6" s="31" t="inlineStr">
        <is>
          <t>Near 52W High Breakout</t>
        </is>
      </c>
      <c r="S6" s="31" t="inlineStr">
        <is>
          <t>Nifty Bank</t>
        </is>
      </c>
      <c r="T6" s="32" t="n">
        <v>2.28</v>
      </c>
      <c r="U6" s="32" t="n">
        <v>44.62</v>
      </c>
      <c r="V6" s="32" t="n">
        <v>41.41</v>
      </c>
      <c r="W6" s="32" t="n">
        <v>11.46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IF(B7=0,"",RANK(B7,$B$2:$B$76,0))</f>
        <v/>
      </c>
      <c r="B7" s="32">
        <f>SUM(N7,Y7,AA7,AC7,AE7,AG7,AI7,AK7,AM7,AO7,AQ7,AS7,AU7,AW7,AY7,BA7,BC7,BE7,BG7,BI7,BK7,BM7,BO7,BQ7,BS7,BU7,BW7,BY7,CA7)</f>
        <v/>
      </c>
      <c r="C7" s="31" t="inlineStr">
        <is>
          <t>TMB</t>
        </is>
      </c>
      <c r="D7" s="31" t="inlineStr">
        <is>
          <t>Tamilnad Mercantile Bank Ltd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midcap</t>
        </is>
      </c>
      <c r="H7" s="32" t="n">
        <v>12180.39</v>
      </c>
      <c r="I7" s="32" t="n">
        <v>807</v>
      </c>
      <c r="J7" s="32" t="n">
        <v>4.91</v>
      </c>
      <c r="K7" s="32" t="n">
        <v>342497</v>
      </c>
      <c r="L7" s="31" t="n">
        <v>76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67.83</v>
      </c>
      <c r="P7" s="32" t="n">
        <v>34.55</v>
      </c>
      <c r="Q7" s="32" t="n">
        <v>640.41</v>
      </c>
      <c r="R7" s="31" t="inlineStr">
        <is>
          <t>Near 52W High Breakout</t>
        </is>
      </c>
      <c r="S7" s="31" t="inlineStr">
        <is>
          <t>Nifty Bank</t>
        </is>
      </c>
      <c r="T7" s="32" t="n">
        <v>2.28</v>
      </c>
      <c r="U7" s="32" t="n">
        <v>87.81999999999999</v>
      </c>
      <c r="V7" s="32" t="n">
        <v>83.64</v>
      </c>
      <c r="W7" s="32" t="n">
        <v>19.09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IF(B8=0,"",RANK(B8,$B$2:$B$76,0))</f>
        <v/>
      </c>
      <c r="B8" s="32">
        <f>SUM(N8,Y8,AA8,AC8,AE8,AG8,AI8,AK8,AM8,AO8,AQ8,AS8,AU8,AW8,AY8,BA8,BC8,BE8,BG8,BI8,BK8,BM8,BO8,BQ8,BS8,BU8,BW8,BY8,CA8)</f>
        <v/>
      </c>
      <c r="C8" s="31" t="inlineStr">
        <is>
          <t>UJJIVANSFB</t>
        </is>
      </c>
      <c r="D8" s="31" t="inlineStr">
        <is>
          <t>Ujjivan Small Finance Bank Ltd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midcap</t>
        </is>
      </c>
      <c r="H8" s="32" t="n">
        <v>12157.51</v>
      </c>
      <c r="I8" s="32" t="n">
        <v>65.27</v>
      </c>
      <c r="J8" s="32" t="n">
        <v>4.3</v>
      </c>
      <c r="K8" s="32" t="n">
        <v>39573134</v>
      </c>
      <c r="L8" s="31" t="n">
        <v>43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63.09</v>
      </c>
      <c r="P8" s="32" t="n">
        <v>23.38</v>
      </c>
      <c r="Q8" s="32" t="n">
        <v>50.84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2.28</v>
      </c>
      <c r="U8" s="32" t="n">
        <v>37.29</v>
      </c>
      <c r="V8" s="32" t="n">
        <v>34.24</v>
      </c>
      <c r="W8" s="32" t="n">
        <v>8.470000000000001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IF(B9=0,"",RANK(B9,$B$2:$B$76,0))</f>
        <v/>
      </c>
      <c r="B9" s="32">
        <f>SUM(N9,Y9,AA9,AC9,AE9,AG9,AI9,AK9,AM9,AO9,AQ9,AS9,AU9,AW9,AY9,BA9,BC9,BE9,BG9,BI9,BK9,BM9,BO9,BQ9,BS9,BU9,BW9,BY9,CA9)</f>
        <v/>
      </c>
      <c r="C9" s="31" t="inlineStr">
        <is>
          <t>RANEHOLDIN</t>
        </is>
      </c>
      <c r="D9" s="31" t="inlineStr">
        <is>
          <t>Rane Holdings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2534.45</v>
      </c>
      <c r="I9" s="32" t="n">
        <v>1793.4</v>
      </c>
      <c r="J9" s="32" t="n">
        <v>1.03</v>
      </c>
      <c r="K9" s="32" t="n">
        <v>32398</v>
      </c>
      <c r="L9" s="31" t="n">
        <v>83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72.65000000000001</v>
      </c>
      <c r="P9" s="32" t="n">
        <v>31.68</v>
      </c>
      <c r="Q9" s="32" t="n">
        <v>1360.58</v>
      </c>
      <c r="R9" s="31" t="inlineStr">
        <is>
          <t>Near 52W High Breakout</t>
        </is>
      </c>
      <c r="S9" s="31" t="inlineStr">
        <is>
          <t>Nifty Bank</t>
        </is>
      </c>
      <c r="T9" s="32" t="n">
        <v>2.28</v>
      </c>
      <c r="U9" s="32" t="n">
        <v>17.31</v>
      </c>
      <c r="V9" s="32" t="n">
        <v>14.71</v>
      </c>
      <c r="W9" s="32" t="n">
        <v>23.34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IF(B10=0,"",RANK(B10,$B$2:$B$76,0))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FEDERALBNK</t>
        </is>
      </c>
      <c r="D10" s="31" t="inlineStr">
        <is>
          <t>The Federal Bank 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largecap</t>
        </is>
      </c>
      <c r="H10" s="32" t="n">
        <v>80766.85000000001</v>
      </c>
      <c r="I10" s="32" t="n">
        <v>329.85</v>
      </c>
      <c r="J10" s="32" t="n">
        <v>0.64</v>
      </c>
      <c r="K10" s="32" t="n">
        <v>5400203</v>
      </c>
      <c r="L10" s="31" t="n">
        <v>59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71.78</v>
      </c>
      <c r="P10" s="32" t="n">
        <v>25.96</v>
      </c>
      <c r="Q10" s="32" t="n">
        <v>286.38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2.28</v>
      </c>
      <c r="U10" s="32" t="n">
        <v>60.02</v>
      </c>
      <c r="V10" s="32" t="n">
        <v>56.46</v>
      </c>
      <c r="W10" s="32" t="n">
        <v>12.81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IF(B11=0,"",RANK(B11,$B$2:$B$76,0))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SURYODAY</t>
        </is>
      </c>
      <c r="D11" s="31" t="inlineStr">
        <is>
          <t>Suryoday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smallcap</t>
        </is>
      </c>
      <c r="H11" s="32" t="n">
        <v>1882.71</v>
      </c>
      <c r="I11" s="32" t="n">
        <v>184.31</v>
      </c>
      <c r="J11" s="32" t="n">
        <v>4.05</v>
      </c>
      <c r="K11" s="32" t="n">
        <v>921226</v>
      </c>
      <c r="L11" s="31" t="n">
        <v>67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67.25</v>
      </c>
      <c r="P11" s="32" t="n">
        <v>35.57</v>
      </c>
      <c r="Q11" s="32" t="n">
        <v>142.96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2.28</v>
      </c>
      <c r="U11" s="32" t="n">
        <v>35.82</v>
      </c>
      <c r="V11" s="32" t="n">
        <v>32.8</v>
      </c>
      <c r="W11" s="32" t="n">
        <v>15.02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IF(B12=0,"",RANK(B12,$B$2:$B$76,0))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DHANBANK</t>
        </is>
      </c>
      <c r="D12" s="31" t="inlineStr">
        <is>
          <t>Dhanlaxmi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smallcap</t>
        </is>
      </c>
      <c r="H12" s="32" t="n">
        <v>1337.63</v>
      </c>
      <c r="I12" s="32" t="n">
        <v>34.75</v>
      </c>
      <c r="J12" s="32" t="n">
        <v>2.54</v>
      </c>
      <c r="K12" s="32" t="n">
        <v>1807921</v>
      </c>
      <c r="L12" s="31" t="n">
        <v>52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66.98999999999999</v>
      </c>
      <c r="P12" s="32" t="n">
        <v>33.2</v>
      </c>
      <c r="Q12" s="32" t="n">
        <v>26.12</v>
      </c>
      <c r="R12" s="31" t="inlineStr">
        <is>
          <t>Volume Spike &amp; Near 52W High Breakout</t>
        </is>
      </c>
      <c r="S12" s="31" t="inlineStr">
        <is>
          <t>Nifty Bank</t>
        </is>
      </c>
      <c r="T12" s="32" t="n">
        <v>2.28</v>
      </c>
      <c r="U12" s="32" t="n">
        <v>18.12</v>
      </c>
      <c r="V12" s="32" t="n">
        <v>15.49</v>
      </c>
      <c r="W12" s="32" t="n">
        <v>10.71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IF(B13=0,"",RANK(B13,$B$2:$B$76,0))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FUSION</t>
        </is>
      </c>
      <c r="D13" s="31" t="inlineStr">
        <is>
          <t>Fusion Micro Finance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3716.87</v>
      </c>
      <c r="I13" s="32" t="n">
        <v>234.04</v>
      </c>
      <c r="J13" s="32" t="n">
        <v>2.06</v>
      </c>
      <c r="K13" s="32" t="n">
        <v>1991587</v>
      </c>
      <c r="L13" s="31" t="n">
        <v>71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67.52</v>
      </c>
      <c r="P13" s="32" t="n">
        <v>23.48</v>
      </c>
      <c r="Q13" s="32" t="n">
        <v>171.9</v>
      </c>
      <c r="R13" s="31" t="inlineStr">
        <is>
          <t>Volume Spike &amp; Near 52W High Breakout</t>
        </is>
      </c>
      <c r="S13" s="31" t="inlineStr">
        <is>
          <t>Nifty Bank</t>
        </is>
      </c>
      <c r="T13" s="32" t="n">
        <v>2.28</v>
      </c>
      <c r="U13" s="32" t="n">
        <v>23.96</v>
      </c>
      <c r="V13" s="32" t="n">
        <v>21.2</v>
      </c>
      <c r="W13" s="32" t="n">
        <v>16.03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IF(B14=0,"",RANK(B14,$B$2:$B$76,0))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PAISALO</t>
        </is>
      </c>
      <c r="D14" s="31" t="inlineStr">
        <is>
          <t>Paisalo Digital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midcap</t>
        </is>
      </c>
      <c r="H14" s="32" t="n">
        <v>6584.94</v>
      </c>
      <c r="I14" s="32" t="n">
        <v>73.23999999999999</v>
      </c>
      <c r="J14" s="32" t="n">
        <v>1.16</v>
      </c>
      <c r="K14" s="32" t="n">
        <v>16383012</v>
      </c>
      <c r="L14" s="31" t="n">
        <v>94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84.59</v>
      </c>
      <c r="P14" s="32" t="n">
        <v>48.63</v>
      </c>
      <c r="Q14" s="32" t="n">
        <v>58.46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2.28</v>
      </c>
      <c r="U14" s="32" t="n">
        <v>139.02</v>
      </c>
      <c r="V14" s="32" t="n">
        <v>133.71</v>
      </c>
      <c r="W14" s="32" t="n">
        <v>40.53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Above 40</t>
        </is>
      </c>
      <c r="BM14" s="31">
        <f>IF(BL14="Above 40",20,IF(BL14="20 to 40",10,IF(BL14="0 to 20",-5,0)))</f>
        <v/>
      </c>
      <c r="BN14" s="31" t="inlineStr">
        <is>
          <t>Above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IF(B15=0,"",RANK(B15,$B$2:$B$76,0))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HEALTHX</t>
        </is>
      </c>
      <c r="D15" s="31" t="inlineStr">
        <is>
          <t>Health X Platform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1048.63</v>
      </c>
      <c r="I15" s="32" t="n">
        <v>322</v>
      </c>
      <c r="J15" s="32" t="n">
        <v>-2.32</v>
      </c>
      <c r="K15" s="32" t="n">
        <v>11487</v>
      </c>
      <c r="L15" s="31" t="n">
        <v>42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58.58</v>
      </c>
      <c r="P15" s="32" t="n">
        <v>22.84</v>
      </c>
      <c r="Q15" s="32" t="n">
        <v>246.85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2.28</v>
      </c>
      <c r="U15" s="32" t="n">
        <v>19.34</v>
      </c>
      <c r="V15" s="32" t="n">
        <v>16.69</v>
      </c>
      <c r="W15" s="32" t="n">
        <v>8.41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IF(B16=0,"",RANK(B16,$B$2:$B$76,0))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J&amp;KBANK</t>
        </is>
      </c>
      <c r="D16" s="31" t="inlineStr">
        <is>
          <t>The Jammu &amp; Kashmir Bank Limited</t>
        </is>
      </c>
      <c r="E16" s="31" t="inlineStr">
        <is>
          <t>bank</t>
        </is>
      </c>
      <c r="F16" s="31" t="inlineStr">
        <is>
          <t>banks - private sector</t>
        </is>
      </c>
      <c r="G16" s="31" t="inlineStr">
        <is>
          <t>midcap</t>
        </is>
      </c>
      <c r="H16" s="32" t="n">
        <v>18545.01</v>
      </c>
      <c r="I16" s="32" t="n">
        <v>192.65</v>
      </c>
      <c r="J16" s="32" t="n">
        <v>14.39</v>
      </c>
      <c r="K16" s="32" t="n">
        <v>22820672</v>
      </c>
      <c r="L16" s="31" t="n">
        <v>86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80.45</v>
      </c>
      <c r="P16" s="32" t="n">
        <v>56.17</v>
      </c>
      <c r="Q16" s="32" t="n">
        <v>154.31</v>
      </c>
      <c r="R16" s="31" t="inlineStr">
        <is>
          <t>Volume Spike &amp; Near 52W High Breakout</t>
        </is>
      </c>
      <c r="S16" s="31" t="inlineStr">
        <is>
          <t>Nifty Bank</t>
        </is>
      </c>
      <c r="T16" s="32" t="n">
        <v>2.28</v>
      </c>
      <c r="U16" s="32" t="n">
        <v>80.81999999999999</v>
      </c>
      <c r="V16" s="32" t="n">
        <v>76.8</v>
      </c>
      <c r="W16" s="32" t="n">
        <v>25.93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Above 40</t>
        </is>
      </c>
      <c r="BM16" s="31">
        <f>IF(BL16="Above 40",20,IF(BL16="20 to 40",10,IF(BL16="0 to 20",-5,0)))</f>
        <v/>
      </c>
      <c r="BN16" s="31" t="inlineStr">
        <is>
          <t>Above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IF(B17=0,"",RANK(B17,$B$2:$B$76,0))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FEDFINA</t>
        </is>
      </c>
      <c r="D17" s="31" t="inlineStr">
        <is>
          <t>Fedbank Financial Services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midcap</t>
        </is>
      </c>
      <c r="H17" s="32" t="n">
        <v>5781.11</v>
      </c>
      <c r="I17" s="32" t="n">
        <v>159.34</v>
      </c>
      <c r="J17" s="32" t="n">
        <v>3.14</v>
      </c>
      <c r="K17" s="32" t="n">
        <v>2290450</v>
      </c>
      <c r="L17" s="31" t="n">
        <v>50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59.98</v>
      </c>
      <c r="P17" s="32" t="n">
        <v>27.88</v>
      </c>
      <c r="Q17" s="32" t="n">
        <v>124.31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2.28</v>
      </c>
      <c r="U17" s="32" t="n">
        <v>38.69</v>
      </c>
      <c r="V17" s="32" t="n">
        <v>35.6</v>
      </c>
      <c r="W17" s="32" t="n">
        <v>10.03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IF(B18=0,"",RANK(B18,$B$2:$B$76,0))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ABCAPITAL</t>
        </is>
      </c>
      <c r="D18" s="31" t="inlineStr">
        <is>
          <t>Aditya Birla Capital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108643.69</v>
      </c>
      <c r="I18" s="32" t="n">
        <v>408.3</v>
      </c>
      <c r="J18" s="32" t="n">
        <v>2.76</v>
      </c>
      <c r="K18" s="32" t="n">
        <v>3040426</v>
      </c>
      <c r="L18" s="31" t="n">
        <v>60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72.7</v>
      </c>
      <c r="P18" s="32" t="n">
        <v>20.8</v>
      </c>
      <c r="Q18" s="32" t="n">
        <v>338.75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2.28</v>
      </c>
      <c r="U18" s="32" t="n">
        <v>51.53</v>
      </c>
      <c r="V18" s="32" t="n">
        <v>48.16</v>
      </c>
      <c r="W18" s="32" t="n">
        <v>12.99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IF(B19=0,"",RANK(B19,$B$2:$B$76,0))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AUBANK</t>
        </is>
      </c>
      <c r="D19" s="31" t="inlineStr">
        <is>
          <t>AU Small Finance Bank Ltd</t>
        </is>
      </c>
      <c r="E19" s="31" t="inlineStr">
        <is>
          <t>bank</t>
        </is>
      </c>
      <c r="F19" s="31" t="inlineStr">
        <is>
          <t>banks - private sector</t>
        </is>
      </c>
      <c r="G19" s="31" t="inlineStr">
        <is>
          <t>largecap</t>
        </is>
      </c>
      <c r="H19" s="32" t="n">
        <v>78373.5</v>
      </c>
      <c r="I19" s="32" t="n">
        <v>1072.1</v>
      </c>
      <c r="J19" s="32" t="n">
        <v>2.36</v>
      </c>
      <c r="K19" s="32" t="n">
        <v>1470963</v>
      </c>
      <c r="L19" s="31" t="n">
        <v>41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62.65</v>
      </c>
      <c r="P19" s="32" t="n">
        <v>27.29</v>
      </c>
      <c r="Q19" s="32" t="n">
        <v>892.85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2.28</v>
      </c>
      <c r="U19" s="32" t="n">
        <v>30.58</v>
      </c>
      <c r="V19" s="32" t="n">
        <v>27.68</v>
      </c>
      <c r="W19" s="32" t="n">
        <v>8.109999999999999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IF(B20=0,"",RANK(B20,$B$2:$B$76,0))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AADHARHFC</t>
        </is>
      </c>
      <c r="D20" s="31" t="inlineStr">
        <is>
          <t>Aadhar Housing Finance Ltd</t>
        </is>
      </c>
      <c r="E20" s="31" t="inlineStr">
        <is>
          <t>financials</t>
        </is>
      </c>
      <c r="F20" s="31" t="inlineStr">
        <is>
          <t>finance - housing</t>
        </is>
      </c>
      <c r="G20" s="31" t="inlineStr">
        <is>
          <t>largecap</t>
        </is>
      </c>
      <c r="H20" s="32" t="n">
        <v>23162.01</v>
      </c>
      <c r="I20" s="32" t="n">
        <v>539</v>
      </c>
      <c r="J20" s="32" t="n">
        <v>1.39</v>
      </c>
      <c r="K20" s="32" t="n">
        <v>743299</v>
      </c>
      <c r="L20" s="31" t="n">
        <v>30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61.1</v>
      </c>
      <c r="P20" s="32" t="n">
        <v>26.26</v>
      </c>
      <c r="Q20" s="32" t="n">
        <v>449.47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2.28</v>
      </c>
      <c r="U20" s="32" t="n">
        <v>18.34</v>
      </c>
      <c r="V20" s="32" t="n">
        <v>15.71</v>
      </c>
      <c r="W20" s="32" t="n">
        <v>6.08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between 2.5x to 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IF(B21=0,"",RANK(B21,$B$2:$B$76,0))</f>
        <v/>
      </c>
      <c r="B21" s="32">
        <f>SUM(N21,Y21,AA21,AC21,AE21,AG21,AI21,AK21,AM21,AO21,AQ21,AS21,AU21,AW21,AY21,BA21,BC21,BE21,BG21,BI21,BK21,BM21,BO21,BQ21,BS21,BU21,BW21,BY21,CA21)</f>
        <v/>
      </c>
      <c r="C21" s="33" t="inlineStr">
        <is>
          <t>MANBA</t>
        </is>
      </c>
      <c r="D21" s="33" t="inlineStr">
        <is>
          <t>Manba Finance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686.77</v>
      </c>
      <c r="I21" s="32" t="n">
        <v>138</v>
      </c>
      <c r="J21" s="32" t="n">
        <v>0.95</v>
      </c>
      <c r="K21" s="32" t="n">
        <v>89728</v>
      </c>
      <c r="L21" s="31" t="n">
        <v>31</v>
      </c>
      <c r="M21" s="31" t="inlineStr">
        <is>
          <t>Underperforming</t>
        </is>
      </c>
      <c r="N21" s="32">
        <f>IF(M21="Underperforming",-5,IF(L21&gt;=95,15,IF(L21&gt;=90,10,IF(L21&gt;=80,5,0))))</f>
        <v/>
      </c>
      <c r="O21" s="32" t="n">
        <v>63.11</v>
      </c>
      <c r="P21" s="32" t="n">
        <v>24.99</v>
      </c>
      <c r="Q21" s="32" t="n">
        <v>110.2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2.28</v>
      </c>
      <c r="U21" s="32" t="n">
        <v>-0.7</v>
      </c>
      <c r="V21" s="32" t="n">
        <v>-2.91</v>
      </c>
      <c r="W21" s="32" t="n">
        <v>6.25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IF(B22=0,"",RANK(B22,$B$2:$B$76,0))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MUFIN</t>
        </is>
      </c>
      <c r="D22" s="31" t="inlineStr">
        <is>
          <t>Mufin Green Finance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2575.71</v>
      </c>
      <c r="I22" s="32" t="n">
        <v>130.29</v>
      </c>
      <c r="J22" s="32" t="n">
        <v>0.24</v>
      </c>
      <c r="K22" s="32" t="n">
        <v>609701</v>
      </c>
      <c r="L22" s="31" t="n">
        <v>59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62.77</v>
      </c>
      <c r="P22" s="32" t="n">
        <v>25.25</v>
      </c>
      <c r="Q22" s="32" t="n">
        <v>109.05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2.28</v>
      </c>
      <c r="U22" s="32" t="n">
        <v>41.22</v>
      </c>
      <c r="V22" s="32" t="n">
        <v>38.08</v>
      </c>
      <c r="W22" s="32" t="n">
        <v>12.96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IF(B23=0,"",RANK(B23,$B$2:$B$76,0))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LTF</t>
        </is>
      </c>
      <c r="D23" s="31" t="inlineStr">
        <is>
          <t>L&amp;T Finance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80451.8</v>
      </c>
      <c r="I23" s="32" t="n">
        <v>321.25</v>
      </c>
      <c r="J23" s="32" t="n">
        <v>0.05</v>
      </c>
      <c r="K23" s="32" t="n">
        <v>9600349</v>
      </c>
      <c r="L23" s="31" t="n">
        <v>62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61.74</v>
      </c>
      <c r="P23" s="32" t="n">
        <v>20.56</v>
      </c>
      <c r="Q23" s="32" t="n">
        <v>259.51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2.28</v>
      </c>
      <c r="U23" s="32" t="n">
        <v>58.64</v>
      </c>
      <c r="V23" s="32" t="n">
        <v>55.11</v>
      </c>
      <c r="W23" s="32" t="n">
        <v>13.65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IF(B24=0,"",RANK(B24,$B$2:$B$76,0))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MANCREDIT</t>
        </is>
      </c>
      <c r="D24" s="31" t="inlineStr">
        <is>
          <t>Mangal Credit &amp; Fincorp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502.37</v>
      </c>
      <c r="I24" s="32" t="n">
        <v>237.4</v>
      </c>
      <c r="J24" s="32" t="n">
        <v>-0.22</v>
      </c>
      <c r="K24" s="32" t="n">
        <v>191503</v>
      </c>
      <c r="L24" s="31" t="n">
        <v>56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73.09999999999999</v>
      </c>
      <c r="P24" s="32" t="n">
        <v>32.53</v>
      </c>
      <c r="Q24" s="32" t="n">
        <v>186.4</v>
      </c>
      <c r="R24" s="31" t="inlineStr">
        <is>
          <t>Volume Spike &amp; Near 52W High Breakout</t>
        </is>
      </c>
      <c r="S24" s="31" t="inlineStr">
        <is>
          <t>Nifty Bank</t>
        </is>
      </c>
      <c r="T24" s="32" t="n">
        <v>2.28</v>
      </c>
      <c r="U24" s="32" t="n">
        <v>18.49</v>
      </c>
      <c r="V24" s="32" t="n">
        <v>15.86</v>
      </c>
      <c r="W24" s="32" t="n">
        <v>11.85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IF(B25=0,"",RANK(B25,$B$2:$B$76,0))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CREDITACC</t>
        </is>
      </c>
      <c r="D25" s="31" t="inlineStr">
        <is>
          <t>CreditAccess Grameen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24767.91</v>
      </c>
      <c r="I25" s="32" t="n">
        <v>1528</v>
      </c>
      <c r="J25" s="32" t="n">
        <v>-1.17</v>
      </c>
      <c r="K25" s="32" t="n">
        <v>326249</v>
      </c>
      <c r="L25" s="31" t="n">
        <v>44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63.35</v>
      </c>
      <c r="P25" s="32" t="n">
        <v>39.67</v>
      </c>
      <c r="Q25" s="32" t="n">
        <v>1221.88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2.28</v>
      </c>
      <c r="U25" s="32" t="n">
        <v>17.06</v>
      </c>
      <c r="V25" s="32" t="n">
        <v>14.46</v>
      </c>
      <c r="W25" s="32" t="n">
        <v>8.81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IF(B26=0,"",RANK(B26,$B$2:$B$76,0))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MUTHOOTMF</t>
        </is>
      </c>
      <c r="D26" s="31" t="inlineStr">
        <is>
          <t>Muthoot Microfin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3585.11</v>
      </c>
      <c r="I26" s="32" t="n">
        <v>235.26</v>
      </c>
      <c r="J26" s="32" t="n">
        <v>11.88</v>
      </c>
      <c r="K26" s="32" t="n">
        <v>19681749</v>
      </c>
      <c r="L26" s="31" t="n">
        <v>71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72.78</v>
      </c>
      <c r="P26" s="32" t="n">
        <v>33.66</v>
      </c>
      <c r="Q26" s="32" t="n">
        <v>177.49</v>
      </c>
      <c r="R26" s="31" t="inlineStr">
        <is>
          <t>Volume Spike &amp; Near 52W High Breakout</t>
        </is>
      </c>
      <c r="S26" s="31" t="inlineStr">
        <is>
          <t>Nifty Bank</t>
        </is>
      </c>
      <c r="T26" s="32" t="n">
        <v>2.28</v>
      </c>
      <c r="U26" s="32" t="n">
        <v>40.71</v>
      </c>
      <c r="V26" s="32" t="n">
        <v>37.58</v>
      </c>
      <c r="W26" s="32" t="n">
        <v>15.97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IF(B27=0,"",RANK(B27,$B$2:$B$76,0))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MANAPPURAM</t>
        </is>
      </c>
      <c r="D27" s="31" t="inlineStr">
        <is>
          <t>Manappuram Finance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largecap</t>
        </is>
      </c>
      <c r="H27" s="32" t="n">
        <v>31228.23</v>
      </c>
      <c r="I27" s="32" t="n">
        <v>341.3</v>
      </c>
      <c r="J27" s="32" t="n">
        <v>2.66</v>
      </c>
      <c r="K27" s="32" t="n">
        <v>1912160</v>
      </c>
      <c r="L27" s="31" t="n">
        <v>55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65.59</v>
      </c>
      <c r="P27" s="32" t="n">
        <v>14.87</v>
      </c>
      <c r="Q27" s="32" t="n">
        <v>274.58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2.28</v>
      </c>
      <c r="U27" s="32" t="n">
        <v>30.74</v>
      </c>
      <c r="V27" s="32" t="n">
        <v>27.83</v>
      </c>
      <c r="W27" s="32" t="n">
        <v>11.67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IF(B28=0,"",RANK(B28,$B$2:$B$76,0))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PNBHOUSING</t>
        </is>
      </c>
      <c r="D28" s="31" t="inlineStr">
        <is>
          <t>Pnb Housing Finance Limited</t>
        </is>
      </c>
      <c r="E28" s="31" t="inlineStr">
        <is>
          <t>financials</t>
        </is>
      </c>
      <c r="F28" s="31" t="inlineStr">
        <is>
          <t>finance - housing</t>
        </is>
      </c>
      <c r="G28" s="31" t="inlineStr">
        <is>
          <t>largecap</t>
        </is>
      </c>
      <c r="H28" s="32" t="n">
        <v>28239.13</v>
      </c>
      <c r="I28" s="32" t="n">
        <v>1110.6</v>
      </c>
      <c r="J28" s="32" t="n">
        <v>2.45</v>
      </c>
      <c r="K28" s="32" t="n">
        <v>981785</v>
      </c>
      <c r="L28" s="31" t="n">
        <v>39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66.86</v>
      </c>
      <c r="P28" s="32" t="n">
        <v>27.9</v>
      </c>
      <c r="Q28" s="32" t="n">
        <v>909.9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2.28</v>
      </c>
      <c r="U28" s="32" t="n">
        <v>3.66</v>
      </c>
      <c r="V28" s="32" t="n">
        <v>1.36</v>
      </c>
      <c r="W28" s="32" t="n">
        <v>7.88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Blue sky scenario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IF(B29=0,"",RANK(B29,$B$2:$B$76,0))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DCBBANK</t>
        </is>
      </c>
      <c r="D29" s="31" t="inlineStr">
        <is>
          <t>Dcb Bank Limited</t>
        </is>
      </c>
      <c r="E29" s="31" t="inlineStr">
        <is>
          <t>bank</t>
        </is>
      </c>
      <c r="F29" s="31" t="inlineStr">
        <is>
          <t>banks - private sector</t>
        </is>
      </c>
      <c r="G29" s="31" t="inlineStr">
        <is>
          <t>midcap</t>
        </is>
      </c>
      <c r="H29" s="32" t="n">
        <v>5987.7</v>
      </c>
      <c r="I29" s="32" t="n">
        <v>188.67</v>
      </c>
      <c r="J29" s="32" t="n">
        <v>1.43</v>
      </c>
      <c r="K29" s="32" t="n">
        <v>830642</v>
      </c>
      <c r="L29" s="31" t="n">
        <v>36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59.92</v>
      </c>
      <c r="P29" s="32" t="n">
        <v>24.41</v>
      </c>
      <c r="Q29" s="32" t="n">
        <v>154.1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2.28</v>
      </c>
      <c r="U29" s="32" t="n">
        <v>33.35</v>
      </c>
      <c r="V29" s="32" t="n">
        <v>30.38</v>
      </c>
      <c r="W29" s="32" t="n">
        <v>7.21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Blue sky scenario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IF(B30=0,"",RANK(B30,$B$2:$B$76,0))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CONSOFINVT</t>
        </is>
      </c>
      <c r="D30" s="31" t="inlineStr">
        <is>
          <t>Consolidated Finvest &amp; Holdings Limited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845.14</v>
      </c>
      <c r="I30" s="32" t="n">
        <v>263.33</v>
      </c>
      <c r="J30" s="32" t="n">
        <v>0.72</v>
      </c>
      <c r="K30" s="32" t="n">
        <v>23670</v>
      </c>
      <c r="L30" s="31" t="n">
        <v>52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70.53</v>
      </c>
      <c r="P30" s="32" t="n">
        <v>22.53</v>
      </c>
      <c r="Q30" s="32" t="n">
        <v>203.87</v>
      </c>
      <c r="R30" s="31" t="inlineStr">
        <is>
          <t>Volume Spike &amp; Near 52W High Breakout</t>
        </is>
      </c>
      <c r="S30" s="31" t="inlineStr">
        <is>
          <t>Nifty Bank</t>
        </is>
      </c>
      <c r="T30" s="32" t="n">
        <v>2.28</v>
      </c>
      <c r="U30" s="32" t="n">
        <v>27.45</v>
      </c>
      <c r="V30" s="32" t="n">
        <v>24.61</v>
      </c>
      <c r="W30" s="32" t="n">
        <v>10.59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Blue sky scenario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IF(B31=0,"",RANK(B31,$B$2:$B$76,0))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CANFINHOME</t>
        </is>
      </c>
      <c r="D31" s="31" t="inlineStr">
        <is>
          <t>Can Fin Homes Limited</t>
        </is>
      </c>
      <c r="E31" s="31" t="inlineStr">
        <is>
          <t>financials</t>
        </is>
      </c>
      <c r="F31" s="31" t="inlineStr">
        <is>
          <t>finance - housing</t>
        </is>
      </c>
      <c r="G31" s="31" t="inlineStr">
        <is>
          <t>midcap</t>
        </is>
      </c>
      <c r="H31" s="32" t="n">
        <v>12198.25</v>
      </c>
      <c r="I31" s="32" t="n">
        <v>917</v>
      </c>
      <c r="J31" s="32" t="n">
        <v>0.1</v>
      </c>
      <c r="K31" s="32" t="n">
        <v>241688</v>
      </c>
      <c r="L31" s="31" t="n">
        <v>28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61.75</v>
      </c>
      <c r="P31" s="32" t="n">
        <v>16.82</v>
      </c>
      <c r="Q31" s="32" t="n">
        <v>750.83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2.28</v>
      </c>
      <c r="U31" s="32" t="n">
        <v>17.97</v>
      </c>
      <c r="V31" s="32" t="n">
        <v>15.35</v>
      </c>
      <c r="W31" s="32" t="n">
        <v>5.67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Blue sky scenario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IF(B32=0,"",RANK(B32,$B$2:$B$76,0))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CUB</t>
        </is>
      </c>
      <c r="D32" s="31" t="inlineStr">
        <is>
          <t>City Union Bank Limited</t>
        </is>
      </c>
      <c r="E32" s="31" t="inlineStr">
        <is>
          <t>bank</t>
        </is>
      </c>
      <c r="F32" s="31" t="inlineStr">
        <is>
          <t>banks - private sector</t>
        </is>
      </c>
      <c r="G32" s="31" t="inlineStr">
        <is>
          <t>midcap</t>
        </is>
      </c>
      <c r="H32" s="32" t="n">
        <v>17022.47</v>
      </c>
      <c r="I32" s="32" t="n">
        <v>229.33</v>
      </c>
      <c r="J32" s="32" t="n">
        <v>0.1</v>
      </c>
      <c r="K32" s="32" t="n">
        <v>2655713</v>
      </c>
      <c r="L32" s="31" t="n">
        <v>58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65.73</v>
      </c>
      <c r="P32" s="32" t="n">
        <v>16.8</v>
      </c>
      <c r="Q32" s="32" t="n">
        <v>181.07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2.28</v>
      </c>
      <c r="U32" s="32" t="n">
        <v>46.89</v>
      </c>
      <c r="V32" s="32" t="n">
        <v>43.62</v>
      </c>
      <c r="W32" s="32" t="n">
        <v>12.67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more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IF(B33=0,"",RANK(B33,$B$2:$B$76,0))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STARHEALTH</t>
        </is>
      </c>
      <c r="D33" s="31" t="inlineStr">
        <is>
          <t>Star Health &amp; Allied Insurance Company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largecap</t>
        </is>
      </c>
      <c r="H33" s="32" t="n">
        <v>35495.44</v>
      </c>
      <c r="I33" s="32" t="n">
        <v>603.25</v>
      </c>
      <c r="J33" s="32" t="n">
        <v>0</v>
      </c>
      <c r="K33" s="32" t="n">
        <v>427962</v>
      </c>
      <c r="L33" s="31" t="n">
        <v>62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74.12</v>
      </c>
      <c r="P33" s="32" t="n">
        <v>39.85</v>
      </c>
      <c r="Q33" s="32" t="n">
        <v>502.4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2.28</v>
      </c>
      <c r="U33" s="32" t="n">
        <v>42.01</v>
      </c>
      <c r="V33" s="32" t="n">
        <v>38.85</v>
      </c>
      <c r="W33" s="32" t="n">
        <v>13.61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between 2.5x to 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IF(B34=0,"",RANK(B34,$B$2:$B$76,0))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NAM-INDIA</t>
        </is>
      </c>
      <c r="D34" s="31" t="inlineStr">
        <is>
          <t>Nippon Life India Asset Management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77735.28999999999</v>
      </c>
      <c r="I34" s="32" t="n">
        <v>1212.7</v>
      </c>
      <c r="J34" s="32" t="n">
        <v>-0.45</v>
      </c>
      <c r="K34" s="32" t="n">
        <v>438759</v>
      </c>
      <c r="L34" s="31" t="n">
        <v>68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70.44</v>
      </c>
      <c r="P34" s="32" t="n">
        <v>40.54</v>
      </c>
      <c r="Q34" s="32" t="n">
        <v>975.9299999999999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2.28</v>
      </c>
      <c r="U34" s="32" t="n">
        <v>53.89</v>
      </c>
      <c r="V34" s="32" t="n">
        <v>50.47</v>
      </c>
      <c r="W34" s="32" t="n">
        <v>15.11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Above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Blue sky scenario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IF(B35=0,"",RANK(B35,$B$2:$B$76,0))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CAPITALSFB</t>
        </is>
      </c>
      <c r="D35" s="31" t="inlineStr">
        <is>
          <t>Capital Small Finance Bank Ltd</t>
        </is>
      </c>
      <c r="E35" s="31" t="inlineStr">
        <is>
          <t>bank</t>
        </is>
      </c>
      <c r="F35" s="31" t="inlineStr">
        <is>
          <t>banks - private sector</t>
        </is>
      </c>
      <c r="G35" s="31" t="inlineStr">
        <is>
          <t>smallcap</t>
        </is>
      </c>
      <c r="H35" s="32" t="n">
        <v>1320.31</v>
      </c>
      <c r="I35" s="32" t="n">
        <v>294.3</v>
      </c>
      <c r="J35" s="32" t="n">
        <v>1.34</v>
      </c>
      <c r="K35" s="32" t="n">
        <v>31780</v>
      </c>
      <c r="L35" s="31" t="n">
        <v>23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60.82</v>
      </c>
      <c r="P35" s="32" t="n">
        <v>24.47</v>
      </c>
      <c r="Q35" s="32" t="n">
        <v>237.6</v>
      </c>
      <c r="R35" s="31" t="inlineStr">
        <is>
          <t>Volume Spike &amp; Near 52W High Breakout</t>
        </is>
      </c>
      <c r="S35" s="31" t="inlineStr">
        <is>
          <t>Nifty Bank</t>
        </is>
      </c>
      <c r="T35" s="32" t="n">
        <v>2.28</v>
      </c>
      <c r="U35" s="32" t="n">
        <v>8.31</v>
      </c>
      <c r="V35" s="32" t="n">
        <v>5.9</v>
      </c>
      <c r="W35" s="32" t="n">
        <v>4.86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20 to 40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IF(B36=0,"",RANK(B36,$B$2:$B$76,0))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SPANDANA</t>
        </is>
      </c>
      <c r="D36" s="31" t="inlineStr">
        <is>
          <t>Spandana Sphoorty Financial Ltd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smallcap</t>
        </is>
      </c>
      <c r="H36" s="32" t="n">
        <v>2689.77</v>
      </c>
      <c r="I36" s="32" t="n">
        <v>305.85</v>
      </c>
      <c r="J36" s="32" t="n">
        <v>0.79</v>
      </c>
      <c r="K36" s="32" t="n">
        <v>211902</v>
      </c>
      <c r="L36" s="31" t="n">
        <v>55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62.9</v>
      </c>
      <c r="P36" s="32" t="n">
        <v>16.22</v>
      </c>
      <c r="Q36" s="32" t="n">
        <v>223.59</v>
      </c>
      <c r="R36" s="31" t="inlineStr">
        <is>
          <t>Near 52W High Breakout</t>
        </is>
      </c>
      <c r="S36" s="31" t="inlineStr">
        <is>
          <t>Nifty Bank</t>
        </is>
      </c>
      <c r="T36" s="32" t="n">
        <v>2.28</v>
      </c>
      <c r="U36" s="32" t="n">
        <v>9.1</v>
      </c>
      <c r="V36" s="32" t="n">
        <v>6.67</v>
      </c>
      <c r="W36" s="32" t="n">
        <v>11.67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more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IF(B37=0,"",RANK(B37,$B$2:$B$76,0))</f>
        <v/>
      </c>
      <c r="B37" s="32">
        <f>SUM(N37,Y37,AA37,AC37,AE37,AG37,AI37,AK37,AM37,AO37,AQ37,AS37,AU37,AW37,AY37,BA37,BC37,BE37,BG37,BI37,BK37,BM37,BO37,BQ37,BS37,BU37,BW37,BY37,CA37)</f>
        <v/>
      </c>
      <c r="C37" s="33" t="inlineStr">
        <is>
          <t>NIVABUPA</t>
        </is>
      </c>
      <c r="D37" s="33" t="inlineStr">
        <is>
          <t>Niva Bupa Health Insurance Company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midcap</t>
        </is>
      </c>
      <c r="H37" s="32" t="n">
        <v>15840.09</v>
      </c>
      <c r="I37" s="32" t="n">
        <v>86.05</v>
      </c>
      <c r="J37" s="32" t="n">
        <v>0.36</v>
      </c>
      <c r="K37" s="32" t="n">
        <v>1664154</v>
      </c>
      <c r="L37" s="31" t="n">
        <v>16</v>
      </c>
      <c r="M37" s="31" t="inlineStr">
        <is>
          <t>Underperforming</t>
        </is>
      </c>
      <c r="N37" s="32">
        <f>IF(M37="Underperforming",-5,IF(L37&gt;=95,15,IF(L37&gt;=90,10,IF(L37&gt;=80,5,0))))</f>
        <v/>
      </c>
      <c r="O37" s="32" t="n">
        <v>61.47</v>
      </c>
      <c r="P37" s="32" t="n">
        <v>29.01</v>
      </c>
      <c r="Q37" s="32" t="n">
        <v>72.25</v>
      </c>
      <c r="R37" s="31" t="inlineStr">
        <is>
          <t>Near 52W High Breakout</t>
        </is>
      </c>
      <c r="S37" s="31" t="inlineStr">
        <is>
          <t>Nifty Bank</t>
        </is>
      </c>
      <c r="T37" s="32" t="n">
        <v>2.28</v>
      </c>
      <c r="U37" s="32" t="n">
        <v>-2.46</v>
      </c>
      <c r="V37" s="32" t="n">
        <v>-4.63</v>
      </c>
      <c r="W37" s="32" t="n">
        <v>3.43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more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20 to 40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IF(B38=0,"",RANK(B38,$B$2:$B$76,0))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SHAREINDIA</t>
        </is>
      </c>
      <c r="D38" s="31" t="inlineStr">
        <is>
          <t>Share India Securities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smallcap</t>
        </is>
      </c>
      <c r="H38" s="32" t="n">
        <v>3917.63</v>
      </c>
      <c r="I38" s="32" t="n">
        <v>179.34</v>
      </c>
      <c r="J38" s="32" t="n">
        <v>0.17</v>
      </c>
      <c r="K38" s="32" t="n">
        <v>5405243</v>
      </c>
      <c r="L38" s="31" t="n">
        <v>37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66.67</v>
      </c>
      <c r="P38" s="32" t="n">
        <v>10.75</v>
      </c>
      <c r="Q38" s="32" t="n">
        <v>132.41</v>
      </c>
      <c r="R38" s="31" t="inlineStr">
        <is>
          <t>Volume Spike / Accumulation</t>
        </is>
      </c>
      <c r="S38" s="31" t="inlineStr">
        <is>
          <t>Nifty Bank</t>
        </is>
      </c>
      <c r="T38" s="32" t="n">
        <v>2.28</v>
      </c>
      <c r="U38" s="32" t="n">
        <v>5.36</v>
      </c>
      <c r="V38" s="32" t="n">
        <v>3.01</v>
      </c>
      <c r="W38" s="32" t="n">
        <v>7.23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more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IF(B39=0,"",RANK(B39,$B$2:$B$76,0))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NIACL</t>
        </is>
      </c>
      <c r="D39" s="33" t="inlineStr">
        <is>
          <t>New India Assurance Company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largecap</t>
        </is>
      </c>
      <c r="H39" s="32" t="n">
        <v>30260.58</v>
      </c>
      <c r="I39" s="32" t="n">
        <v>183.92</v>
      </c>
      <c r="J39" s="32" t="n">
        <v>0.16</v>
      </c>
      <c r="K39" s="32" t="n">
        <v>767460</v>
      </c>
      <c r="L39" s="31" t="n">
        <v>24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59.67</v>
      </c>
      <c r="P39" s="32" t="n">
        <v>21.98</v>
      </c>
      <c r="Q39" s="32" t="n">
        <v>151.02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2.28</v>
      </c>
      <c r="U39" s="32" t="n">
        <v>1.96</v>
      </c>
      <c r="V39" s="32" t="n">
        <v>-0.31</v>
      </c>
      <c r="W39" s="32" t="n">
        <v>5.19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less than 2.5x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20 to 40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IF(B40=0,"",RANK(B40,$B$2:$B$76,0))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INDUSINDBK</t>
        </is>
      </c>
      <c r="D40" s="31" t="inlineStr">
        <is>
          <t>Indusind Bank Limited</t>
        </is>
      </c>
      <c r="E40" s="31" t="inlineStr">
        <is>
          <t>bank</t>
        </is>
      </c>
      <c r="F40" s="31" t="inlineStr">
        <is>
          <t>banks - private sector</t>
        </is>
      </c>
      <c r="G40" s="31" t="inlineStr">
        <is>
          <t>largecap</t>
        </is>
      </c>
      <c r="H40" s="32" t="n">
        <v>79090.95</v>
      </c>
      <c r="I40" s="32" t="n">
        <v>1015.8</v>
      </c>
      <c r="J40" s="32" t="n">
        <v>0.06</v>
      </c>
      <c r="K40" s="32" t="n">
        <v>1084133</v>
      </c>
      <c r="L40" s="31" t="n">
        <v>44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64.91</v>
      </c>
      <c r="P40" s="32" t="n">
        <v>17.32</v>
      </c>
      <c r="Q40" s="32" t="n">
        <v>852.35</v>
      </c>
      <c r="R40" s="31" t="inlineStr">
        <is>
          <t>Volume Spike &amp; Near 52W High Breakout</t>
        </is>
      </c>
      <c r="S40" s="31" t="inlineStr">
        <is>
          <t>Nifty Bank</t>
        </is>
      </c>
      <c r="T40" s="32" t="n">
        <v>2.28</v>
      </c>
      <c r="U40" s="32" t="n">
        <v>18.47</v>
      </c>
      <c r="V40" s="32" t="n">
        <v>15.83</v>
      </c>
      <c r="W40" s="32" t="n">
        <v>8.710000000000001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less than 2.5x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IF(B41=0,"",RANK(B41,$B$2:$B$76,0))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CGCL</t>
        </is>
      </c>
      <c r="D41" s="31" t="inlineStr">
        <is>
          <t>Capri Global Capital Limited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largecap</t>
        </is>
      </c>
      <c r="H41" s="32" t="n">
        <v>24307.86</v>
      </c>
      <c r="I41" s="32" t="n">
        <v>252.22</v>
      </c>
      <c r="J41" s="32" t="n">
        <v>-0.17</v>
      </c>
      <c r="K41" s="32" t="n">
        <v>10208879</v>
      </c>
      <c r="L41" s="31" t="n">
        <v>70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77.67</v>
      </c>
      <c r="P41" s="32" t="n">
        <v>27.23</v>
      </c>
      <c r="Q41" s="32" t="n">
        <v>207.18</v>
      </c>
      <c r="R41" s="31" t="inlineStr">
        <is>
          <t>Volume Spike &amp; Near 52W High Breakout</t>
        </is>
      </c>
      <c r="S41" s="31" t="inlineStr">
        <is>
          <t>Nifty Bank</t>
        </is>
      </c>
      <c r="T41" s="32" t="n">
        <v>2.28</v>
      </c>
      <c r="U41" s="32" t="n">
        <v>43.3</v>
      </c>
      <c r="V41" s="32" t="n">
        <v>40.11</v>
      </c>
      <c r="W41" s="32" t="n">
        <v>15.87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between 2.5x to 5x and Growth more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20 to 40</t>
        </is>
      </c>
      <c r="BM41" s="31">
        <f>IF(BL41="Above 40",20,IF(BL41="20 to 40",10,IF(BL41="0 to 20",-5,0)))</f>
        <v/>
      </c>
      <c r="BN41" s="31" t="inlineStr">
        <is>
          <t>Above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Blue sky scenario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IF(B42=0,"",RANK(B42,$B$2:$B$76,0))</f>
        <v/>
      </c>
      <c r="B42" s="32">
        <f>SUM(N42,Y42,AA42,AC42,AE42,AG42,AI42,AK42,AM42,AO42,AQ42,AS42,AU42,AW42,AY42,BA42,BC42,BE42,BG42,BI42,BK42,BM42,BO42,BQ42,BS42,BU42,BW42,BY42,CA42)</f>
        <v/>
      </c>
      <c r="C42" s="33" t="inlineStr">
        <is>
          <t>BFINVEST</t>
        </is>
      </c>
      <c r="D42" s="33" t="inlineStr">
        <is>
          <t>Bf Investment Limited</t>
        </is>
      </c>
      <c r="E42" s="31" t="inlineStr">
        <is>
          <t>financials</t>
        </is>
      </c>
      <c r="F42" s="31" t="inlineStr">
        <is>
          <t>finance &amp; investments</t>
        </is>
      </c>
      <c r="G42" s="31" t="inlineStr">
        <is>
          <t>smallcap</t>
        </is>
      </c>
      <c r="H42" s="32" t="n">
        <v>1675.46</v>
      </c>
      <c r="I42" s="32" t="n">
        <v>487.25</v>
      </c>
      <c r="J42" s="32" t="n">
        <v>9.539999999999999</v>
      </c>
      <c r="K42" s="32" t="n">
        <v>2574049</v>
      </c>
      <c r="L42" s="31" t="n">
        <v>32</v>
      </c>
      <c r="M42" s="31" t="inlineStr">
        <is>
          <t>Underperforming</t>
        </is>
      </c>
      <c r="N42" s="32">
        <f>IF(M42="Underperforming",-5,IF(L42&gt;=95,15,IF(L42&gt;=90,10,IF(L42&gt;=80,5,0))))</f>
        <v/>
      </c>
      <c r="O42" s="32" t="n">
        <v>66.79000000000001</v>
      </c>
      <c r="P42" s="32" t="n">
        <v>18.06</v>
      </c>
      <c r="Q42" s="32" t="n">
        <v>383.38</v>
      </c>
      <c r="R42" s="31" t="inlineStr">
        <is>
          <t>Volume Spike &amp; Near 52W High Breakout</t>
        </is>
      </c>
      <c r="S42" s="31" t="inlineStr">
        <is>
          <t>Nifty Bank</t>
        </is>
      </c>
      <c r="T42" s="32" t="n">
        <v>2.28</v>
      </c>
      <c r="U42" s="32" t="n">
        <v>0.98</v>
      </c>
      <c r="V42" s="32" t="n">
        <v>-1.27</v>
      </c>
      <c r="W42" s="32" t="n">
        <v>6.45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more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IF(B43=0,"",RANK(B43,$B$2:$B$76,0))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OFSS</t>
        </is>
      </c>
      <c r="D43" s="31" t="inlineStr">
        <is>
          <t>Oracle Financial Services Software Limited</t>
        </is>
      </c>
      <c r="E43" s="31" t="inlineStr">
        <is>
          <t>i.t</t>
        </is>
      </c>
      <c r="F43" s="31" t="inlineStr">
        <is>
          <t>computers - software - large</t>
        </is>
      </c>
      <c r="G43" s="31" t="inlineStr">
        <is>
          <t>largecap</t>
        </is>
      </c>
      <c r="H43" s="32" t="n">
        <v>96904.92</v>
      </c>
      <c r="I43" s="32" t="n">
        <v>11651</v>
      </c>
      <c r="J43" s="32" t="n">
        <v>4.64</v>
      </c>
      <c r="K43" s="32" t="n">
        <v>462353</v>
      </c>
      <c r="L43" s="31" t="n">
        <v>83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76.17</v>
      </c>
      <c r="P43" s="32" t="n">
        <v>31.58</v>
      </c>
      <c r="Q43" s="32" t="n">
        <v>9443.040000000001</v>
      </c>
      <c r="R43" s="31" t="inlineStr">
        <is>
          <t>Near 52W High Breakout</t>
        </is>
      </c>
      <c r="S43" s="31" t="inlineStr">
        <is>
          <t>Nifty IT</t>
        </is>
      </c>
      <c r="T43" s="32" t="n">
        <v>-25.69</v>
      </c>
      <c r="U43" s="32" t="n">
        <v>40.93</v>
      </c>
      <c r="V43" s="32" t="n">
        <v>89.65000000000001</v>
      </c>
      <c r="W43" s="32" t="n">
        <v>23.27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above 5x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20 to 40</t>
        </is>
      </c>
      <c r="BM43" s="31">
        <f>IF(BL43="Above 40",20,IF(BL43="20 to 40",10,IF(BL43="0 to 20",-5,0)))</f>
        <v/>
      </c>
      <c r="BN43" s="31" t="inlineStr">
        <is>
          <t>Above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Blue sky scenario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IF(B44=0,"",RANK(B44,$B$2:$B$76,0))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NUVAMA</t>
        </is>
      </c>
      <c r="D44" s="31" t="inlineStr">
        <is>
          <t>Nuvama Wealth Management Ltd</t>
        </is>
      </c>
      <c r="E44" s="31" t="inlineStr">
        <is>
          <t>financials</t>
        </is>
      </c>
      <c r="F44" s="31" t="inlineStr">
        <is>
          <t>finance &amp; investments</t>
        </is>
      </c>
      <c r="G44" s="31" t="inlineStr">
        <is>
          <t>largecap</t>
        </is>
      </c>
      <c r="H44" s="32" t="n">
        <v>35217.75</v>
      </c>
      <c r="I44" s="32" t="n">
        <v>1977.6</v>
      </c>
      <c r="J44" s="32" t="n">
        <v>2.22</v>
      </c>
      <c r="K44" s="32" t="n">
        <v>512294</v>
      </c>
      <c r="L44" s="31" t="n">
        <v>76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73.84999999999999</v>
      </c>
      <c r="P44" s="32" t="n">
        <v>30.8</v>
      </c>
      <c r="Q44" s="32" t="n">
        <v>1590.91</v>
      </c>
      <c r="R44" s="31" t="inlineStr">
        <is>
          <t>Near 52W High Breakout</t>
        </is>
      </c>
      <c r="S44" s="31" t="inlineStr">
        <is>
          <t>Nifty Bank</t>
        </is>
      </c>
      <c r="T44" s="32" t="n">
        <v>2.28</v>
      </c>
      <c r="U44" s="32" t="n">
        <v>37.7</v>
      </c>
      <c r="V44" s="32" t="n">
        <v>34.64</v>
      </c>
      <c r="W44" s="32" t="n">
        <v>19.12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above 5x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20 to 40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Blue sky scenario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IF(B45=0,"",RANK(B45,$B$2:$B$76,0))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EQUITASBNK</t>
        </is>
      </c>
      <c r="D45" s="31" t="inlineStr">
        <is>
          <t>Equitas Small Finance Bank Ltd</t>
        </is>
      </c>
      <c r="E45" s="31" t="inlineStr">
        <is>
          <t>bank</t>
        </is>
      </c>
      <c r="F45" s="31" t="inlineStr">
        <is>
          <t>banks - private sector</t>
        </is>
      </c>
      <c r="G45" s="31" t="inlineStr">
        <is>
          <t>midcap</t>
        </is>
      </c>
      <c r="H45" s="32" t="n">
        <v>8919.530000000001</v>
      </c>
      <c r="I45" s="32" t="n">
        <v>82.23999999999999</v>
      </c>
      <c r="J45" s="32" t="n">
        <v>5.21</v>
      </c>
      <c r="K45" s="32" t="n">
        <v>9279418</v>
      </c>
      <c r="L45" s="31" t="n">
        <v>60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68.56999999999999</v>
      </c>
      <c r="P45" s="32" t="n">
        <v>26.04</v>
      </c>
      <c r="Q45" s="32" t="n">
        <v>66.15000000000001</v>
      </c>
      <c r="R45" s="31" t="inlineStr">
        <is>
          <t>Near 52W High Breakout</t>
        </is>
      </c>
      <c r="S45" s="31" t="inlineStr">
        <is>
          <t>Nifty Bank</t>
        </is>
      </c>
      <c r="T45" s="32" t="n">
        <v>2.28</v>
      </c>
      <c r="U45" s="32" t="n">
        <v>28.98</v>
      </c>
      <c r="V45" s="32" t="n">
        <v>26.11</v>
      </c>
      <c r="W45" s="32" t="n">
        <v>13.15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Cyclical in an Uptick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inlineStr">
        <is>
          <t>Yes</t>
        </is>
      </c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No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No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more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20 to 40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2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IF(B46=0,"",RANK(B46,$B$2:$B$76,0))</f>
        <v/>
      </c>
      <c r="B46" s="32">
        <f>SUM(N46,Y46,AA46,AC46,AE46,AG46,AI46,AK46,AM46,AO46,AQ46,AS46,AU46,AW46,AY46,BA46,BC46,BE46,BG46,BI46,BK46,BM46,BO46,BQ46,BS46,BU46,BW46,BY46,CA46)</f>
        <v/>
      </c>
      <c r="C46" s="31" t="inlineStr">
        <is>
          <t>KARURVYSYA</t>
        </is>
      </c>
      <c r="D46" s="31" t="inlineStr">
        <is>
          <t>Karur Vysya Bank Limited</t>
        </is>
      </c>
      <c r="E46" s="31" t="inlineStr">
        <is>
          <t>bank</t>
        </is>
      </c>
      <c r="F46" s="31" t="inlineStr">
        <is>
          <t>banks - private sector</t>
        </is>
      </c>
      <c r="G46" s="31" t="inlineStr">
        <is>
          <t>largecap</t>
        </is>
      </c>
      <c r="H46" s="32" t="n">
        <v>28578.9</v>
      </c>
      <c r="I46" s="32" t="n">
        <v>305.65</v>
      </c>
      <c r="J46" s="32" t="n">
        <v>3.38</v>
      </c>
      <c r="K46" s="32" t="n">
        <v>2191223</v>
      </c>
      <c r="L46" s="31" t="n">
        <v>42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59.46</v>
      </c>
      <c r="P46" s="32" t="n">
        <v>11.98</v>
      </c>
      <c r="Q46" s="32" t="n">
        <v>248.22</v>
      </c>
      <c r="R46" s="31" t="inlineStr">
        <is>
          <t>Earnings / Momentum Support</t>
        </is>
      </c>
      <c r="S46" s="31" t="inlineStr">
        <is>
          <t>Nifty Bank</t>
        </is>
      </c>
      <c r="T46" s="32" t="n">
        <v>2.28</v>
      </c>
      <c r="U46" s="32" t="n">
        <v>37.64</v>
      </c>
      <c r="V46" s="32" t="n">
        <v>34.58</v>
      </c>
      <c r="W46" s="32" t="n">
        <v>8.449999999999999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more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2</t>
        </is>
      </c>
      <c r="BQ46" s="31">
        <f>IF(BP46="Stage 2",20,IF(BP46="Stage 1",0,IF(BP46="Stage 3",5,IF(BP46="Stage 4",-5,0))))</f>
        <v/>
      </c>
      <c r="BR46" s="31" t="inlineStr">
        <is>
          <t>Positive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IF(B47=0,"",RANK(B47,$B$2:$B$76,0))</f>
        <v/>
      </c>
      <c r="B47" s="32">
        <f>SUM(N47,Y47,AA47,AC47,AE47,AG47,AI47,AK47,AM47,AO47,AQ47,AS47,AU47,AW47,AY47,BA47,BC47,BE47,BG47,BI47,BK47,BM47,BO47,BQ47,BS47,BU47,BW47,BY47,CA47)</f>
        <v/>
      </c>
      <c r="C47" s="31" t="inlineStr">
        <is>
          <t>MASFIN</t>
        </is>
      </c>
      <c r="D47" s="31" t="inlineStr">
        <is>
          <t>MAS Financial Services Ltd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midcap</t>
        </is>
      </c>
      <c r="H47" s="32" t="n">
        <v>5684.93</v>
      </c>
      <c r="I47" s="32" t="n">
        <v>323</v>
      </c>
      <c r="J47" s="32" t="n">
        <v>3.1</v>
      </c>
      <c r="K47" s="32" t="n">
        <v>94230</v>
      </c>
      <c r="L47" s="31" t="n">
        <v>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53.73</v>
      </c>
      <c r="P47" s="32" t="n">
        <v>17.94</v>
      </c>
      <c r="Q47" s="32" t="n">
        <v>284.58</v>
      </c>
      <c r="R47" s="31" t="inlineStr">
        <is>
          <t>Earnings / Momentum Support</t>
        </is>
      </c>
      <c r="S47" s="31" t="inlineStr">
        <is>
          <t>Nifty Bank</t>
        </is>
      </c>
      <c r="T47" s="32" t="n">
        <v>2.28</v>
      </c>
      <c r="U47" s="32" t="n">
        <v>4.63</v>
      </c>
      <c r="V47" s="32" t="n">
        <v>2.3</v>
      </c>
      <c r="W47" s="32" t="n">
        <v>1.84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No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less than 2.5x and Growth more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2</t>
        </is>
      </c>
      <c r="BQ47" s="31">
        <f>IF(BP47="Stage 2",20,IF(BP47="Stage 1",0,IF(BP47="Stage 3",5,IF(BP47="Stage 4",-5,0))))</f>
        <v/>
      </c>
      <c r="BR47" s="31" t="inlineStr">
        <is>
          <t>Positive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IF(B48=0,"",RANK(B48,$B$2:$B$76,0))</f>
        <v/>
      </c>
      <c r="B48" s="32">
        <f>SUM(N48,Y48,AA48,AC48,AE48,AG48,AI48,AK48,AM48,AO48,AQ48,AS48,AU48,AW48,AY48,BA48,BC48,BE48,BG48,BI48,BK48,BM48,BO48,BQ48,BS48,BU48,BW48,BY48,CA48)</f>
        <v/>
      </c>
      <c r="C48" s="33" t="inlineStr">
        <is>
          <t>HOMEFIRST</t>
        </is>
      </c>
      <c r="D48" s="33" t="inlineStr">
        <is>
          <t>Home First Finance Company India Ltd</t>
        </is>
      </c>
      <c r="E48" s="31" t="inlineStr">
        <is>
          <t>financials</t>
        </is>
      </c>
      <c r="F48" s="31" t="inlineStr">
        <is>
          <t>finance - housing</t>
        </is>
      </c>
      <c r="G48" s="31" t="inlineStr">
        <is>
          <t>midcap</t>
        </is>
      </c>
      <c r="H48" s="32" t="n">
        <v>12543.36</v>
      </c>
      <c r="I48" s="32" t="n">
        <v>1222.7</v>
      </c>
      <c r="J48" s="32" t="n">
        <v>1.7</v>
      </c>
      <c r="K48" s="32" t="n">
        <v>144207</v>
      </c>
      <c r="L48" s="31" t="n">
        <v>6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60.38</v>
      </c>
      <c r="P48" s="32" t="n">
        <v>24.6</v>
      </c>
      <c r="Q48" s="32" t="n">
        <v>964.17</v>
      </c>
      <c r="R48" s="31" t="inlineStr">
        <is>
          <t>Earnings / Momentum Support</t>
        </is>
      </c>
      <c r="S48" s="31" t="inlineStr">
        <is>
          <t>Nifty Bank</t>
        </is>
      </c>
      <c r="T48" s="32" t="n">
        <v>2.28</v>
      </c>
      <c r="U48" s="32" t="n">
        <v>-11.36</v>
      </c>
      <c r="V48" s="32" t="n">
        <v>-13.34</v>
      </c>
      <c r="W48" s="32" t="n">
        <v>0.79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No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between 2.5x to 5x and Growth more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20 to 40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2</t>
        </is>
      </c>
      <c r="BQ48" s="31">
        <f>IF(BP48="Stage 2",20,IF(BP48="Stage 1",0,IF(BP48="Stage 3",5,IF(BP48="Stage 4",-5,0))))</f>
        <v/>
      </c>
      <c r="BR48" s="31" t="inlineStr">
        <is>
          <t>Positive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IF(B49=0,"",RANK(B49,$B$2:$B$76,0))</f>
        <v/>
      </c>
      <c r="B49" s="32">
        <f>SUM(N49,Y49,AA49,AC49,AE49,AG49,AI49,AK49,AM49,AO49,AQ49,AS49,AU49,AW49,AY49,BA49,BC49,BE49,BG49,BI49,BK49,BM49,BO49,BQ49,BS49,BU49,BW49,BY49,CA49)</f>
        <v/>
      </c>
      <c r="C49" s="31" t="inlineStr">
        <is>
          <t>PRUDENT</t>
        </is>
      </c>
      <c r="D49" s="31" t="inlineStr">
        <is>
          <t>Prudent Corporate Advisory Services Ltd</t>
        </is>
      </c>
      <c r="E49" s="31" t="inlineStr">
        <is>
          <t>financials</t>
        </is>
      </c>
      <c r="F49" s="31" t="inlineStr">
        <is>
          <t>finance &amp; investments</t>
        </is>
      </c>
      <c r="G49" s="31" t="inlineStr">
        <is>
          <t>midcap</t>
        </is>
      </c>
      <c r="H49" s="32" t="n">
        <v>12256.38</v>
      </c>
      <c r="I49" s="32" t="n">
        <v>2978.3</v>
      </c>
      <c r="J49" s="32" t="n">
        <v>0.62</v>
      </c>
      <c r="K49" s="32" t="n">
        <v>34135</v>
      </c>
      <c r="L49" s="31" t="n">
        <v>31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62.5</v>
      </c>
      <c r="P49" s="32" t="n">
        <v>27.08</v>
      </c>
      <c r="Q49" s="32" t="n">
        <v>2415.46</v>
      </c>
      <c r="R49" s="31" t="inlineStr">
        <is>
          <t>Near 52W High Breakout</t>
        </is>
      </c>
      <c r="S49" s="31" t="inlineStr">
        <is>
          <t>Nifty Bank</t>
        </is>
      </c>
      <c r="T49" s="32" t="n">
        <v>2.28</v>
      </c>
      <c r="U49" s="32" t="n">
        <v>13.08</v>
      </c>
      <c r="V49" s="32" t="n">
        <v>10.56</v>
      </c>
      <c r="W49" s="32" t="n">
        <v>6.38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above 5x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20 to 40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2</t>
        </is>
      </c>
      <c r="BQ49" s="31">
        <f>IF(BP49="Stage 2",20,IF(BP49="Stage 1",0,IF(BP49="Stage 3",5,IF(BP49="Stage 4",-5,0))))</f>
        <v/>
      </c>
      <c r="BR49" s="31" t="inlineStr">
        <is>
          <t>Positive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IF(B50=0,"",RANK(B50,$B$2:$B$76,0))</f>
        <v/>
      </c>
      <c r="B50" s="32">
        <f>SUM(N50,Y50,AA50,AC50,AE50,AG50,AI50,AK50,AM50,AO50,AQ50,AS50,AU50,AW50,AY50,BA50,BC50,BE50,BG50,BI50,BK50,BM50,BO50,BQ50,BS50,BU50,BW50,BY50,CA50)</f>
        <v/>
      </c>
      <c r="C50" s="31" t="inlineStr">
        <is>
          <t>KICL</t>
        </is>
      </c>
      <c r="D50" s="31" t="inlineStr">
        <is>
          <t>Kalyani Investment Company Limited</t>
        </is>
      </c>
      <c r="E50" s="31" t="inlineStr">
        <is>
          <t>financials</t>
        </is>
      </c>
      <c r="F50" s="31" t="inlineStr">
        <is>
          <t>finance &amp; investments</t>
        </is>
      </c>
      <c r="G50" s="31" t="inlineStr">
        <is>
          <t>smallcap</t>
        </is>
      </c>
      <c r="H50" s="32" t="n">
        <v>2403.1</v>
      </c>
      <c r="I50" s="32" t="n">
        <v>5524</v>
      </c>
      <c r="J50" s="32" t="n">
        <v>0.35</v>
      </c>
      <c r="K50" s="32" t="n">
        <v>2618</v>
      </c>
      <c r="L50" s="31" t="n">
        <v>29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65.31</v>
      </c>
      <c r="P50" s="32" t="n">
        <v>22.38</v>
      </c>
      <c r="Q50" s="32" t="n">
        <v>4533.81</v>
      </c>
      <c r="R50" s="31" t="inlineStr">
        <is>
          <t>Earnings / Momentum Support</t>
        </is>
      </c>
      <c r="S50" s="31" t="inlineStr">
        <is>
          <t>Nifty Bank</t>
        </is>
      </c>
      <c r="T50" s="32" t="n">
        <v>2.28</v>
      </c>
      <c r="U50" s="32" t="n">
        <v>8.19</v>
      </c>
      <c r="V50" s="32" t="n">
        <v>5.78</v>
      </c>
      <c r="W50" s="32" t="n">
        <v>5.78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No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less than 2.5x and Growth less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20 to 40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2</t>
        </is>
      </c>
      <c r="BQ50" s="31">
        <f>IF(BP50="Stage 2",20,IF(BP50="Stage 1",0,IF(BP50="Stage 3",5,IF(BP50="Stage 4",-5,0))))</f>
        <v/>
      </c>
      <c r="BR50" s="31" t="inlineStr">
        <is>
          <t>Positive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IF(B51=0,"",RANK(B51,$B$2:$B$76,0))</f>
        <v/>
      </c>
      <c r="B51" s="32">
        <f>SUM(N51,Y51,AA51,AC51,AE51,AG51,AI51,AK51,AM51,AO51,AQ51,AS51,AU51,AW51,AY51,BA51,BC51,BE51,BG51,BI51,BK51,BM51,BO51,BQ51,BS51,BU51,BW51,BY51,CA51)</f>
        <v/>
      </c>
      <c r="C51" s="33" t="inlineStr">
        <is>
          <t>GEECEE</t>
        </is>
      </c>
      <c r="D51" s="33" t="inlineStr">
        <is>
          <t>Geecee Ventures Limited</t>
        </is>
      </c>
      <c r="E51" s="31" t="inlineStr">
        <is>
          <t>financials</t>
        </is>
      </c>
      <c r="F51" s="31" t="inlineStr">
        <is>
          <t>finance &amp; investments</t>
        </is>
      </c>
      <c r="G51" s="31" t="inlineStr">
        <is>
          <t>smallcap</t>
        </is>
      </c>
      <c r="H51" s="32" t="n">
        <v>695</v>
      </c>
      <c r="I51" s="32" t="n">
        <v>348.95</v>
      </c>
      <c r="J51" s="32" t="n">
        <v>4.99</v>
      </c>
      <c r="K51" s="32" t="n">
        <v>5052</v>
      </c>
      <c r="L51" s="31" t="n">
        <v>8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58.29</v>
      </c>
      <c r="P51" s="32" t="n">
        <v>19.94</v>
      </c>
      <c r="Q51" s="32" t="n">
        <v>268.26</v>
      </c>
      <c r="R51" s="31" t="inlineStr">
        <is>
          <t>Earnings / Momentum Support</t>
        </is>
      </c>
      <c r="S51" s="31" t="inlineStr">
        <is>
          <t>Nifty Bank</t>
        </is>
      </c>
      <c r="T51" s="32" t="n">
        <v>2.28</v>
      </c>
      <c r="U51" s="32" t="n">
        <v>-6.14</v>
      </c>
      <c r="V51" s="32" t="n">
        <v>-8.23</v>
      </c>
      <c r="W51" s="32" t="n">
        <v>1.35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No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less than 2.5x and Growth more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0 to 20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2</t>
        </is>
      </c>
      <c r="BQ51" s="31">
        <f>IF(BP51="Stage 2",20,IF(BP51="Stage 1",0,IF(BP51="Stage 3",5,IF(BP51="Stage 4",-5,0))))</f>
        <v/>
      </c>
      <c r="BR51" s="31" t="inlineStr">
        <is>
          <t>Positive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IF(B52=0,"",RANK(B52,$B$2:$B$76,0))</f>
        <v/>
      </c>
      <c r="B52" s="32">
        <f>SUM(N52,Y52,AA52,AC52,AE52,AG52,AI52,AK52,AM52,AO52,AQ52,AS52,AU52,AW52,AY52,BA52,BC52,BE52,BG52,BI52,BK52,BM52,BO52,BQ52,BS52,BU52,BW52,BY52,CA52)</f>
        <v/>
      </c>
      <c r="C52" s="33" t="inlineStr">
        <is>
          <t>MONARCH</t>
        </is>
      </c>
      <c r="D52" s="33" t="inlineStr">
        <is>
          <t>Monarch Networth Capital Ltd</t>
        </is>
      </c>
      <c r="E52" s="31" t="inlineStr">
        <is>
          <t>financials</t>
        </is>
      </c>
      <c r="F52" s="31" t="inlineStr">
        <is>
          <t>finance &amp; investments</t>
        </is>
      </c>
      <c r="G52" s="31" t="inlineStr">
        <is>
          <t>smallcap</t>
        </is>
      </c>
      <c r="H52" s="32" t="n">
        <v>2783.9</v>
      </c>
      <c r="I52" s="32" t="n">
        <v>360.7</v>
      </c>
      <c r="J52" s="32" t="n">
        <v>2.71</v>
      </c>
      <c r="K52" s="32" t="n">
        <v>159221</v>
      </c>
      <c r="L52" s="31" t="n">
        <v>23</v>
      </c>
      <c r="M52" s="31" t="inlineStr">
        <is>
          <t>Underperforming</t>
        </is>
      </c>
      <c r="N52" s="32">
        <f>IF(M52="Underperforming",-5,IF(L52&gt;=95,15,IF(L52&gt;=90,10,IF(L52&gt;=80,5,0))))</f>
        <v/>
      </c>
      <c r="O52" s="32" t="n">
        <v>66.15000000000001</v>
      </c>
      <c r="P52" s="32" t="n">
        <v>18.23</v>
      </c>
      <c r="Q52" s="32" t="n">
        <v>289.41</v>
      </c>
      <c r="R52" s="31" t="inlineStr">
        <is>
          <t>Near 52W High Breakout</t>
        </is>
      </c>
      <c r="S52" s="31" t="inlineStr">
        <is>
          <t>Nifty Bank</t>
        </is>
      </c>
      <c r="T52" s="32" t="n">
        <v>2.28</v>
      </c>
      <c r="U52" s="32" t="n">
        <v>-0.63</v>
      </c>
      <c r="V52" s="32" t="n">
        <v>-2.84</v>
      </c>
      <c r="W52" s="32" t="n">
        <v>4.94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between 2.5x to 5x and Growth more than 20%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0 to 20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2</t>
        </is>
      </c>
      <c r="BQ52" s="31">
        <f>IF(BP52="Stage 2",20,IF(BP52="Stage 1",0,IF(BP52="Stage 3",5,IF(BP52="Stage 4",-5,0))))</f>
        <v/>
      </c>
      <c r="BR52" s="31" t="inlineStr">
        <is>
          <t>Positive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IF(B53=0,"",RANK(B53,$B$2:$B$76,0))</f>
        <v/>
      </c>
      <c r="B53" s="32">
        <f>SUM(N53,Y53,AA53,AC53,AE53,AG53,AI53,AK53,AM53,AO53,AQ53,AS53,AU53,AW53,AY53,BA53,BC53,BE53,BG53,BI53,BK53,BM53,BO53,BQ53,BS53,BU53,BW53,BY53,CA53)</f>
        <v/>
      </c>
      <c r="C53" s="33" t="inlineStr">
        <is>
          <t>LICI</t>
        </is>
      </c>
      <c r="D53" s="33" t="inlineStr">
        <is>
          <t>Life Insurance Corporation of India Ltd</t>
        </is>
      </c>
      <c r="E53" s="31" t="inlineStr">
        <is>
          <t>financials</t>
        </is>
      </c>
      <c r="F53" s="31" t="inlineStr">
        <is>
          <t>finance &amp; investments</t>
        </is>
      </c>
      <c r="G53" s="31" t="inlineStr">
        <is>
          <t>largecap</t>
        </is>
      </c>
      <c r="H53" s="32" t="n">
        <v>554639.05</v>
      </c>
      <c r="I53" s="32" t="n">
        <v>443.05</v>
      </c>
      <c r="J53" s="32" t="n">
        <v>1.05</v>
      </c>
      <c r="K53" s="32" t="n">
        <v>3239046</v>
      </c>
      <c r="L53" s="31" t="n">
        <v>12</v>
      </c>
      <c r="M53" s="31" t="inlineStr">
        <is>
          <t>Underperforming</t>
        </is>
      </c>
      <c r="N53" s="32">
        <f>IF(M53="Underperforming",-5,IF(L53&gt;=95,15,IF(L53&gt;=90,10,IF(L53&gt;=80,5,0))))</f>
        <v/>
      </c>
      <c r="O53" s="32" t="n">
        <v>61.55</v>
      </c>
      <c r="P53" s="32" t="n">
        <v>12.54</v>
      </c>
      <c r="Q53" s="32" t="n">
        <v>374.83</v>
      </c>
      <c r="R53" s="31" t="inlineStr">
        <is>
          <t>Near 52W High Breakout</t>
        </is>
      </c>
      <c r="S53" s="31" t="inlineStr">
        <is>
          <t>Nifty Bank</t>
        </is>
      </c>
      <c r="T53" s="32" t="n">
        <v>2.28</v>
      </c>
      <c r="U53" s="32" t="n">
        <v>-0.38</v>
      </c>
      <c r="V53" s="32" t="n">
        <v>-2.6</v>
      </c>
      <c r="W53" s="32" t="n">
        <v>2.89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between 2.5x to 5x and Growth more than 20%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0 to 20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2</t>
        </is>
      </c>
      <c r="BQ53" s="31">
        <f>IF(BP53="Stage 2",20,IF(BP53="Stage 1",0,IF(BP53="Stage 3",5,IF(BP53="Stage 4",-5,0))))</f>
        <v/>
      </c>
      <c r="BR53" s="31" t="inlineStr">
        <is>
          <t>Positive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Close to 52 week high or retracement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IF(B54=0,"",RANK(B54,$B$2:$B$76,0))</f>
        <v/>
      </c>
      <c r="B54" s="32">
        <f>SUM(N54,Y54,AA54,AC54,AE54,AG54,AI54,AK54,AM54,AO54,AQ54,AS54,AU54,AW54,AY54,BA54,BC54,BE54,BG54,BI54,BK54,BM54,BO54,BQ54,BS54,BU54,BW54,BY54,CA54)</f>
        <v/>
      </c>
      <c r="C54" s="33" t="inlineStr">
        <is>
          <t>KIRLOSIND</t>
        </is>
      </c>
      <c r="D54" s="33" t="inlineStr">
        <is>
          <t>Kirloskar Industries Limited</t>
        </is>
      </c>
      <c r="E54" s="31" t="inlineStr">
        <is>
          <t>financials</t>
        </is>
      </c>
      <c r="F54" s="31" t="inlineStr">
        <is>
          <t>finance &amp; investments</t>
        </is>
      </c>
      <c r="G54" s="31" t="inlineStr">
        <is>
          <t>smallcap</t>
        </is>
      </c>
      <c r="H54" s="32" t="n">
        <v>4362.44</v>
      </c>
      <c r="I54" s="32" t="n">
        <v>4142.2</v>
      </c>
      <c r="J54" s="32" t="n">
        <v>-0.21</v>
      </c>
      <c r="K54" s="32" t="n">
        <v>10731</v>
      </c>
      <c r="L54" s="31" t="n">
        <v>50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69.34</v>
      </c>
      <c r="P54" s="32" t="n">
        <v>21.25</v>
      </c>
      <c r="Q54" s="32" t="n">
        <v>3099.99</v>
      </c>
      <c r="R54" s="31" t="inlineStr">
        <is>
          <t>Earnings / Momentum Support</t>
        </is>
      </c>
      <c r="S54" s="31" t="inlineStr">
        <is>
          <t>Nifty Bank</t>
        </is>
      </c>
      <c r="T54" s="32" t="n">
        <v>2.28</v>
      </c>
      <c r="U54" s="32" t="n">
        <v>0.42</v>
      </c>
      <c r="V54" s="32" t="n">
        <v>-1.82</v>
      </c>
      <c r="W54" s="32" t="n">
        <v>10.1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No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less than 2.5x and Growth less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20 to 40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2</t>
        </is>
      </c>
      <c r="BQ54" s="31">
        <f>IF(BP54="Stage 2",20,IF(BP54="Stage 1",0,IF(BP54="Stage 3",5,IF(BP54="Stage 4",-5,0))))</f>
        <v/>
      </c>
      <c r="BR54" s="31" t="inlineStr">
        <is>
          <t>Positive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IF(B55=0,"",RANK(B55,$B$2:$B$76,0))</f>
        <v/>
      </c>
      <c r="B55" s="32">
        <f>SUM(N55,Y55,AA55,AC55,AE55,AG55,AI55,AK55,AM55,AO55,AQ55,AS55,AU55,AW55,AY55,BA55,BC55,BE55,BG55,BI55,BK55,BM55,BO55,BQ55,BS55,BU55,BW55,BY55,CA55)</f>
        <v/>
      </c>
      <c r="C55" s="31" t="inlineStr">
        <is>
          <t>POONAWALLA</t>
        </is>
      </c>
      <c r="D55" s="31" t="inlineStr">
        <is>
          <t>Poonawalla Fincorp Ltd</t>
        </is>
      </c>
      <c r="E55" s="31" t="inlineStr">
        <is>
          <t>financials</t>
        </is>
      </c>
      <c r="F55" s="31" t="inlineStr">
        <is>
          <t>finance &amp; investments</t>
        </is>
      </c>
      <c r="G55" s="31" t="inlineStr">
        <is>
          <t>largecap</t>
        </is>
      </c>
      <c r="H55" s="32" t="n">
        <v>40830.33</v>
      </c>
      <c r="I55" s="32" t="n">
        <v>477</v>
      </c>
      <c r="J55" s="32" t="n">
        <v>2.84</v>
      </c>
      <c r="K55" s="32" t="n">
        <v>1564947</v>
      </c>
      <c r="L55" s="31" t="n">
        <v>28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60.51</v>
      </c>
      <c r="P55" s="32" t="n">
        <v>9.390000000000001</v>
      </c>
      <c r="Q55" s="32" t="n">
        <v>374.35</v>
      </c>
      <c r="R55" s="31" t="inlineStr">
        <is>
          <t>Earnings / Momentum Support</t>
        </is>
      </c>
      <c r="S55" s="31" t="inlineStr">
        <is>
          <t>Nifty Bank</t>
        </is>
      </c>
      <c r="T55" s="32" t="n">
        <v>2.28</v>
      </c>
      <c r="U55" s="32" t="n">
        <v>4.88</v>
      </c>
      <c r="V55" s="32" t="n">
        <v>2.55</v>
      </c>
      <c r="W55" s="32" t="n">
        <v>5.73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No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between 2.5x to 5x and Growth more than 20%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0 to 20</t>
        </is>
      </c>
      <c r="BM55" s="31">
        <f>IF(BL55="Above 40",20,IF(BL55="20 to 40",10,IF(BL55="0 to 20",-5,0)))</f>
        <v/>
      </c>
      <c r="BN55" s="31" t="inlineStr">
        <is>
          <t>Between 50 to 75</t>
        </is>
      </c>
      <c r="BO55" s="31">
        <f>IF(BN55="Between 50 to 75",10,IF(BN55="Above 75",0,0))</f>
        <v/>
      </c>
      <c r="BP55" s="31" t="inlineStr">
        <is>
          <t>Stage 2</t>
        </is>
      </c>
      <c r="BQ55" s="31">
        <f>IF(BP55="Stage 2",20,IF(BP55="Stage 1",0,IF(BP55="Stage 3",5,IF(BP55="Stage 4",-5,0))))</f>
        <v/>
      </c>
      <c r="BR55" s="31" t="inlineStr">
        <is>
          <t>Positive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Close to 52 week high or retracement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  <row r="56">
      <c r="A56" s="31">
        <f>IF(B56=0,"",RANK(B56,$B$2:$B$76,0))</f>
        <v/>
      </c>
      <c r="B56" s="32">
        <f>SUM(N56,Y56,AA56,AC56,AE56,AG56,AI56,AK56,AM56,AO56,AQ56,AS56,AU56,AW56,AY56,BA56,BC56,BE56,BG56,BI56,BK56,BM56,BO56,BQ56,BS56,BU56,BW56,BY56,CA56)</f>
        <v/>
      </c>
      <c r="C56" s="31" t="inlineStr">
        <is>
          <t>IIFL</t>
        </is>
      </c>
      <c r="D56" s="31" t="inlineStr">
        <is>
          <t>IIFL Finance Ltd</t>
        </is>
      </c>
      <c r="E56" s="31" t="inlineStr">
        <is>
          <t>financials</t>
        </is>
      </c>
      <c r="F56" s="31" t="inlineStr">
        <is>
          <t>finance &amp; investments</t>
        </is>
      </c>
      <c r="G56" s="31" t="inlineStr">
        <is>
          <t>largecap</t>
        </is>
      </c>
      <c r="H56" s="32" t="n">
        <v>23165.52</v>
      </c>
      <c r="I56" s="32" t="n">
        <v>552.7</v>
      </c>
      <c r="J56" s="32" t="n">
        <v>1.47</v>
      </c>
      <c r="K56" s="32" t="n">
        <v>1836486</v>
      </c>
      <c r="L56" s="31" t="n">
        <v>40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60.64</v>
      </c>
      <c r="P56" s="32" t="n">
        <v>18.09</v>
      </c>
      <c r="Q56" s="32" t="n">
        <v>423.66</v>
      </c>
      <c r="R56" s="31" t="inlineStr">
        <is>
          <t>Earnings / Momentum Support</t>
        </is>
      </c>
      <c r="S56" s="31" t="inlineStr">
        <is>
          <t>Nifty Bank</t>
        </is>
      </c>
      <c r="T56" s="32" t="n">
        <v>2.28</v>
      </c>
      <c r="U56" s="32" t="n">
        <v>7.13</v>
      </c>
      <c r="V56" s="32" t="n">
        <v>4.74</v>
      </c>
      <c r="W56" s="32" t="n">
        <v>8.029999999999999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Fragmented with High ROE</t>
        </is>
      </c>
      <c r="AA56" s="31">
        <f>IF(Z56="Fragmented with Low ROE",-5,IF(Z56="Fragmented with High ROE",10,IF(Z56= "highly cyclical",5,0)))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Consistency)",15,IF(AF56="Shallow Cyclical (2 to 3 years growth)",10,IF(AF56 = "Cyclical in an Uptick",5,IF(AF56 = "Cyclical in an Downtick",-10,0))))</f>
        <v/>
      </c>
      <c r="AH56" s="31" t="inlineStr">
        <is>
          <t>Yes</t>
        </is>
      </c>
      <c r="AI56" s="31">
        <f>IF(AH56="Yes",10,0)</f>
        <v/>
      </c>
      <c r="AJ56" s="31" t="inlineStr">
        <is>
          <t>Yes</t>
        </is>
      </c>
      <c r="AK56" s="31">
        <f>IF(AJ56="Yes",10,0)</f>
        <v/>
      </c>
      <c r="AL56" s="31" t="n"/>
      <c r="AM56" s="31">
        <f>IF(AL56="No",10,0)</f>
        <v/>
      </c>
      <c r="AN56" s="31" t="inlineStr">
        <is>
          <t>Yes</t>
        </is>
      </c>
      <c r="AO56" s="31">
        <f>IF(AN56="Yes",10,0)</f>
        <v/>
      </c>
      <c r="AP56" s="31" t="inlineStr">
        <is>
          <t>No</t>
        </is>
      </c>
      <c r="AQ56" s="31">
        <f>IF(AP56="Yes",10,0)</f>
        <v/>
      </c>
      <c r="AR56" s="31" t="inlineStr">
        <is>
          <t>Yes</t>
        </is>
      </c>
      <c r="AS56" s="31">
        <f>IF(AR56="Yes",5,0)</f>
        <v/>
      </c>
      <c r="AT56" s="31" t="inlineStr">
        <is>
          <t>No</t>
        </is>
      </c>
      <c r="AU56" s="31">
        <f>IF(AT56="No",10,IF(AT56="Yes",-10,0))</f>
        <v/>
      </c>
      <c r="AV56" s="31" t="inlineStr">
        <is>
          <t>No</t>
        </is>
      </c>
      <c r="AW56" s="31">
        <f>IF(AV56="No",10,0)</f>
        <v/>
      </c>
      <c r="AX56" s="31" t="inlineStr">
        <is>
          <t>No</t>
        </is>
      </c>
      <c r="AY56" s="31">
        <f>IF(AX56="No",10,IF(AX56= "Yes CEO Resignation",-5,0))</f>
        <v/>
      </c>
      <c r="AZ56" s="31" t="inlineStr">
        <is>
          <t>No</t>
        </is>
      </c>
      <c r="BA56" s="31">
        <f>IF(AZ56="No",10,IF(AZ56="Yes",-5,0))</f>
        <v/>
      </c>
      <c r="BB56" s="31" t="inlineStr">
        <is>
          <t>No</t>
        </is>
      </c>
      <c r="BC56" s="31">
        <f>IF(BB56="No",5,IF(BB56="Yes",-5,0))</f>
        <v/>
      </c>
      <c r="BD56" s="31" t="inlineStr">
        <is>
          <t>Yes</t>
        </is>
      </c>
      <c r="BE56" s="31">
        <f>IF(BD56="Yes",10,0)</f>
        <v/>
      </c>
      <c r="BF56" s="31" t="inlineStr">
        <is>
          <t>Yes</t>
        </is>
      </c>
      <c r="BG56" s="31">
        <f>IF(BF56="Yes",10,0)</f>
        <v/>
      </c>
      <c r="BH56" s="31" t="inlineStr">
        <is>
          <t>Yes</t>
        </is>
      </c>
      <c r="BI56" s="31">
        <f>IF(BH56="Yes",10,0)</f>
        <v/>
      </c>
      <c r="BJ56" s="31" t="inlineStr">
        <is>
          <t>P/BV less than 2.5x and Growth more than 20%</t>
        </is>
      </c>
      <c r="BK56" s="31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1" t="inlineStr">
        <is>
          <t>0 to 20</t>
        </is>
      </c>
      <c r="BM56" s="31">
        <f>IF(BL56="Above 40",20,IF(BL56="20 to 40",10,IF(BL56="0 to 20",-5,0)))</f>
        <v/>
      </c>
      <c r="BN56" s="31" t="inlineStr">
        <is>
          <t>Between 50 to 75</t>
        </is>
      </c>
      <c r="BO56" s="31">
        <f>IF(BN56="Between 50 to 75",10,IF(BN56="Above 75",0,0))</f>
        <v/>
      </c>
      <c r="BP56" s="31" t="inlineStr">
        <is>
          <t>Stage 2</t>
        </is>
      </c>
      <c r="BQ56" s="31">
        <f>IF(BP56="Stage 2",20,IF(BP56="Stage 1",0,IF(BP56="Stage 3",5,IF(BP56="Stage 4",-5,0))))</f>
        <v/>
      </c>
      <c r="BR56" s="31" t="inlineStr">
        <is>
          <t>Positive Trend</t>
        </is>
      </c>
      <c r="BS56" s="31">
        <f>IF(BR56="Positive Trend",20,IF(BR56="Negative Trend",-10,0))</f>
        <v/>
      </c>
      <c r="BT56" s="31" t="inlineStr">
        <is>
          <t>Uptrend</t>
        </is>
      </c>
      <c r="BU56" s="31">
        <f>IF(BT56="Uptrend",10,IF(BT56="Sideways",5,0))</f>
        <v/>
      </c>
      <c r="BV56" s="31" t="inlineStr">
        <is>
          <t>Uptrend</t>
        </is>
      </c>
      <c r="BW56" s="31">
        <f>IF(BV56="Uptrend",10,IF(BV56="Sideways",5,0))</f>
        <v/>
      </c>
      <c r="BX56" s="31" t="inlineStr">
        <is>
          <t>Close to 52 week high or retracement</t>
        </is>
      </c>
      <c r="BY56" s="31">
        <f>IF(BX56="Overhead supply in last 2 years in last 2 years",-5,IF(BX56="Close to 52 week high or retracement",5,IF(BX56="Blue sky scenario",10,IF(BX56="Long term Downtrend",-10,0))))</f>
        <v/>
      </c>
      <c r="BZ56" s="31" t="inlineStr">
        <is>
          <t>Yes</t>
        </is>
      </c>
      <c r="CA56" s="31">
        <f>IF(BZ56="Yes",10,0)</f>
        <v/>
      </c>
    </row>
    <row r="57">
      <c r="A57" s="31">
        <f>IF(B57=0,"",RANK(B57,$B$2:$B$76,0))</f>
        <v/>
      </c>
      <c r="B57" s="32">
        <f>SUM(N57,Y57,AA57,AC57,AE57,AG57,AI57,AK57,AM57,AO57,AQ57,AS57,AU57,AW57,AY57,BA57,BC57,BE57,BG57,BI57,BK57,BM57,BO57,BQ57,BS57,BU57,BW57,BY57,CA57)</f>
        <v/>
      </c>
      <c r="C57" s="31" t="inlineStr">
        <is>
          <t>M&amp;MFIN</t>
        </is>
      </c>
      <c r="D57" s="31" t="inlineStr">
        <is>
          <t>Mahindra &amp; Mahindra Financial Services Limited</t>
        </is>
      </c>
      <c r="E57" s="31" t="inlineStr">
        <is>
          <t>financials</t>
        </is>
      </c>
      <c r="F57" s="31" t="inlineStr">
        <is>
          <t>finance &amp; investments</t>
        </is>
      </c>
      <c r="G57" s="31" t="inlineStr">
        <is>
          <t>largecap</t>
        </is>
      </c>
      <c r="H57" s="32" t="n">
        <v>46807.28</v>
      </c>
      <c r="I57" s="32" t="n">
        <v>340.85</v>
      </c>
      <c r="J57" s="32" t="n">
        <v>1.22</v>
      </c>
      <c r="K57" s="32" t="n">
        <v>4269618</v>
      </c>
      <c r="L57" s="31" t="n">
        <v>45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56.23</v>
      </c>
      <c r="P57" s="32" t="n">
        <v>17.74</v>
      </c>
      <c r="Q57" s="32" t="n">
        <v>260.65</v>
      </c>
      <c r="R57" s="31" t="inlineStr">
        <is>
          <t>Earnings / Momentum Support</t>
        </is>
      </c>
      <c r="S57" s="31" t="inlineStr">
        <is>
          <t>Nifty Bank</t>
        </is>
      </c>
      <c r="T57" s="32" t="n">
        <v>2.28</v>
      </c>
      <c r="U57" s="32" t="n">
        <v>31.42</v>
      </c>
      <c r="V57" s="32" t="n">
        <v>28.5</v>
      </c>
      <c r="W57" s="32" t="n">
        <v>8.93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Fragmented with High ROE</t>
        </is>
      </c>
      <c r="AA57" s="31">
        <f>IF(Z57="Fragmented with Low ROE",-5,IF(Z57="Fragmented with High ROE",10,IF(Z57= "highly cyclical",5,0)))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Consistency)",15,IF(AF57="Shallow Cyclical (2 to 3 years growth)",10,IF(AF57 = "Cyclical in an Uptick",5,IF(AF57 = "Cyclical in an Downtick",-10,0))))</f>
        <v/>
      </c>
      <c r="AH57" s="31" t="inlineStr">
        <is>
          <t>Yes</t>
        </is>
      </c>
      <c r="AI57" s="31">
        <f>IF(AH57="Yes",10,0)</f>
        <v/>
      </c>
      <c r="AJ57" s="31" t="inlineStr">
        <is>
          <t>Yes</t>
        </is>
      </c>
      <c r="AK57" s="31">
        <f>IF(AJ57="Yes",10,0)</f>
        <v/>
      </c>
      <c r="AL57" s="31" t="n"/>
      <c r="AM57" s="31">
        <f>IF(AL57="No",10,0)</f>
        <v/>
      </c>
      <c r="AN57" s="31" t="inlineStr">
        <is>
          <t>Yes</t>
        </is>
      </c>
      <c r="AO57" s="31">
        <f>IF(AN57="Yes",10,0)</f>
        <v/>
      </c>
      <c r="AP57" s="31" t="inlineStr">
        <is>
          <t>No</t>
        </is>
      </c>
      <c r="AQ57" s="31">
        <f>IF(AP57="Yes",10,0)</f>
        <v/>
      </c>
      <c r="AR57" s="31" t="inlineStr">
        <is>
          <t>Yes</t>
        </is>
      </c>
      <c r="AS57" s="31">
        <f>IF(AR57="Yes",5,0)</f>
        <v/>
      </c>
      <c r="AT57" s="31" t="inlineStr">
        <is>
          <t>No</t>
        </is>
      </c>
      <c r="AU57" s="31">
        <f>IF(AT57="No",10,IF(AT57="Yes",-10,0))</f>
        <v/>
      </c>
      <c r="AV57" s="31" t="inlineStr">
        <is>
          <t>No</t>
        </is>
      </c>
      <c r="AW57" s="31">
        <f>IF(AV57="No",10,0)</f>
        <v/>
      </c>
      <c r="AX57" s="31" t="inlineStr">
        <is>
          <t>No</t>
        </is>
      </c>
      <c r="AY57" s="31">
        <f>IF(AX57="No",10,IF(AX57= "Yes CEO Resignation",-5,0))</f>
        <v/>
      </c>
      <c r="AZ57" s="31" t="inlineStr">
        <is>
          <t>No</t>
        </is>
      </c>
      <c r="BA57" s="31">
        <f>IF(AZ57="No",10,IF(AZ57="Yes",-5,0))</f>
        <v/>
      </c>
      <c r="BB57" s="31" t="inlineStr">
        <is>
          <t>No</t>
        </is>
      </c>
      <c r="BC57" s="31">
        <f>IF(BB57="No",5,IF(BB57="Yes",-5,0))</f>
        <v/>
      </c>
      <c r="BD57" s="31" t="inlineStr">
        <is>
          <t>Yes</t>
        </is>
      </c>
      <c r="BE57" s="31">
        <f>IF(BD57="Yes",10,0)</f>
        <v/>
      </c>
      <c r="BF57" s="31" t="inlineStr">
        <is>
          <t>Yes</t>
        </is>
      </c>
      <c r="BG57" s="31">
        <f>IF(BF57="Yes",10,0)</f>
        <v/>
      </c>
      <c r="BH57" s="31" t="inlineStr">
        <is>
          <t>Yes</t>
        </is>
      </c>
      <c r="BI57" s="31">
        <f>IF(BH57="Yes",10,0)</f>
        <v/>
      </c>
      <c r="BJ57" s="31" t="inlineStr">
        <is>
          <t>P/BV less than 2.5x and Growth more than 20%</t>
        </is>
      </c>
      <c r="BK57" s="31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1" t="inlineStr">
        <is>
          <t>0 to 20</t>
        </is>
      </c>
      <c r="BM57" s="31">
        <f>IF(BL57="Above 40",20,IF(BL57="20 to 40",10,IF(BL57="0 to 20",-5,0)))</f>
        <v/>
      </c>
      <c r="BN57" s="31" t="inlineStr">
        <is>
          <t>Between 50 to 75</t>
        </is>
      </c>
      <c r="BO57" s="31">
        <f>IF(BN57="Between 50 to 75",10,IF(BN57="Above 75",0,0))</f>
        <v/>
      </c>
      <c r="BP57" s="31" t="inlineStr">
        <is>
          <t>Stage 2</t>
        </is>
      </c>
      <c r="BQ57" s="31">
        <f>IF(BP57="Stage 2",20,IF(BP57="Stage 1",0,IF(BP57="Stage 3",5,IF(BP57="Stage 4",-5,0))))</f>
        <v/>
      </c>
      <c r="BR57" s="31" t="inlineStr">
        <is>
          <t>Positive Trend</t>
        </is>
      </c>
      <c r="BS57" s="31">
        <f>IF(BR57="Positive Trend",20,IF(BR57="Negative Trend",-10,0))</f>
        <v/>
      </c>
      <c r="BT57" s="31" t="inlineStr">
        <is>
          <t>Uptrend</t>
        </is>
      </c>
      <c r="BU57" s="31">
        <f>IF(BT57="Uptrend",10,IF(BT57="Sideways",5,0))</f>
        <v/>
      </c>
      <c r="BV57" s="31" t="inlineStr">
        <is>
          <t>Uptrend</t>
        </is>
      </c>
      <c r="BW57" s="31">
        <f>IF(BV57="Uptrend",10,IF(BV57="Sideways",5,0))</f>
        <v/>
      </c>
      <c r="BX57" s="31" t="inlineStr">
        <is>
          <t>Close to 52 week high or retracement</t>
        </is>
      </c>
      <c r="BY57" s="31">
        <f>IF(BX57="Overhead supply in last 2 years in last 2 years",-5,IF(BX57="Close to 52 week high or retracement",5,IF(BX57="Blue sky scenario",10,IF(BX57="Long term Downtrend",-10,0))))</f>
        <v/>
      </c>
      <c r="BZ57" s="31" t="inlineStr">
        <is>
          <t>Yes</t>
        </is>
      </c>
      <c r="CA57" s="31">
        <f>IF(BZ57="Yes",10,0)</f>
        <v/>
      </c>
    </row>
    <row r="58">
      <c r="A58" s="31">
        <f>IF(B58=0,"",RANK(B58,$B$2:$B$76,0))</f>
        <v/>
      </c>
      <c r="B58" s="32">
        <f>SUM(N58,Y58,AA58,AC58,AE58,AG58,AI58,AK58,AM58,AO58,AQ58,AS58,AU58,AW58,AY58,BA58,BC58,BE58,BG58,BI58,BK58,BM58,BO58,BQ58,BS58,BU58,BW58,BY58,CA58)</f>
        <v/>
      </c>
      <c r="C58" s="31" t="inlineStr">
        <is>
          <t>CHOLAFIN</t>
        </is>
      </c>
      <c r="D58" s="31" t="inlineStr">
        <is>
          <t>Cholamandalam Investment And Finance Company Limited</t>
        </is>
      </c>
      <c r="E58" s="31" t="inlineStr">
        <is>
          <t>financials</t>
        </is>
      </c>
      <c r="F58" s="31" t="inlineStr">
        <is>
          <t>finance &amp; investments</t>
        </is>
      </c>
      <c r="G58" s="31" t="inlineStr">
        <is>
          <t>largecap</t>
        </is>
      </c>
      <c r="H58" s="32" t="n">
        <v>152676.54</v>
      </c>
      <c r="I58" s="32" t="n">
        <v>1807.8</v>
      </c>
      <c r="J58" s="32" t="n">
        <v>0.89</v>
      </c>
      <c r="K58" s="32" t="n">
        <v>741857</v>
      </c>
      <c r="L58" s="31" t="n">
        <v>32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61.9</v>
      </c>
      <c r="P58" s="32" t="n">
        <v>10.75</v>
      </c>
      <c r="Q58" s="32" t="n">
        <v>1465.44</v>
      </c>
      <c r="R58" s="31" t="inlineStr">
        <is>
          <t>Near 52W High Breakout</t>
        </is>
      </c>
      <c r="S58" s="31" t="inlineStr">
        <is>
          <t>Nifty Bank</t>
        </is>
      </c>
      <c r="T58" s="32" t="n">
        <v>2.28</v>
      </c>
      <c r="U58" s="32" t="n">
        <v>18.11</v>
      </c>
      <c r="V58" s="32" t="n">
        <v>15.48</v>
      </c>
      <c r="W58" s="32" t="n">
        <v>6.51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Fragmented with High ROE</t>
        </is>
      </c>
      <c r="AA58" s="31">
        <f>IF(Z58="Fragmented with Low ROE",-5,IF(Z58="Fragmented with High ROE",10,IF(Z58= "highly cyclical",5,0)))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Consistency)",15,IF(AF58="Shallow Cyclical (2 to 3 years growth)",10,IF(AF58 = "Cyclical in an Uptick",5,IF(AF58 = "Cyclical in an Downtick",-10,0))))</f>
        <v/>
      </c>
      <c r="AH58" s="31" t="inlineStr">
        <is>
          <t>Yes</t>
        </is>
      </c>
      <c r="AI58" s="31">
        <f>IF(AH58="Yes",10,0)</f>
        <v/>
      </c>
      <c r="AJ58" s="31" t="inlineStr">
        <is>
          <t>Yes</t>
        </is>
      </c>
      <c r="AK58" s="31">
        <f>IF(AJ58="Yes",10,0)</f>
        <v/>
      </c>
      <c r="AL58" s="31" t="n"/>
      <c r="AM58" s="31">
        <f>IF(AL58="No",10,0)</f>
        <v/>
      </c>
      <c r="AN58" s="31" t="inlineStr">
        <is>
          <t>Yes</t>
        </is>
      </c>
      <c r="AO58" s="31">
        <f>IF(AN58="Yes",10,0)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Yes</t>
        </is>
      </c>
      <c r="AS58" s="31">
        <f>IF(AR58="Yes",5,0)</f>
        <v/>
      </c>
      <c r="AT58" s="31" t="inlineStr">
        <is>
          <t>No</t>
        </is>
      </c>
      <c r="AU58" s="31">
        <f>IF(AT58="No",10,IF(AT58="Yes",-10,0))</f>
        <v/>
      </c>
      <c r="AV58" s="31" t="inlineStr">
        <is>
          <t>No</t>
        </is>
      </c>
      <c r="AW58" s="31">
        <f>IF(AV58="No",10,0)</f>
        <v/>
      </c>
      <c r="AX58" s="31" t="inlineStr">
        <is>
          <t>No</t>
        </is>
      </c>
      <c r="AY58" s="31">
        <f>IF(AX58="No",10,IF(AX58= "Yes CEO Resignation",-5,0))</f>
        <v/>
      </c>
      <c r="AZ58" s="31" t="inlineStr">
        <is>
          <t>No</t>
        </is>
      </c>
      <c r="BA58" s="31">
        <f>IF(AZ58="No",10,IF(AZ58="Yes",-5,0))</f>
        <v/>
      </c>
      <c r="BB58" s="31" t="inlineStr">
        <is>
          <t>No</t>
        </is>
      </c>
      <c r="BC58" s="31">
        <f>IF(BB58="No",5,IF(BB58="Yes",-5,0))</f>
        <v/>
      </c>
      <c r="BD58" s="31" t="inlineStr">
        <is>
          <t>Yes</t>
        </is>
      </c>
      <c r="BE58" s="31">
        <f>IF(BD58="Yes",10,0)</f>
        <v/>
      </c>
      <c r="BF58" s="31" t="inlineStr">
        <is>
          <t>Yes</t>
        </is>
      </c>
      <c r="BG58" s="31">
        <f>IF(BF58="Yes",10,0)</f>
        <v/>
      </c>
      <c r="BH58" s="31" t="inlineStr">
        <is>
          <t>Yes</t>
        </is>
      </c>
      <c r="BI58" s="31">
        <f>IF(BH58="Yes",10,0)</f>
        <v/>
      </c>
      <c r="BJ58" s="31" t="inlineStr">
        <is>
          <t>P/BV above 5x</t>
        </is>
      </c>
      <c r="BK58" s="31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1" t="inlineStr">
        <is>
          <t>0 to 20</t>
        </is>
      </c>
      <c r="BM58" s="31">
        <f>IF(BL58="Above 40",20,IF(BL58="20 to 40",10,IF(BL58="0 to 20",-5,0)))</f>
        <v/>
      </c>
      <c r="BN58" s="31" t="inlineStr">
        <is>
          <t>Between 50 to 75</t>
        </is>
      </c>
      <c r="BO58" s="31">
        <f>IF(BN58="Between 50 to 75",10,IF(BN58="Above 75",0,0))</f>
        <v/>
      </c>
      <c r="BP58" s="31" t="inlineStr">
        <is>
          <t>Stage 2</t>
        </is>
      </c>
      <c r="BQ58" s="31">
        <f>IF(BP58="Stage 2",20,IF(BP58="Stage 1",0,IF(BP58="Stage 3",5,IF(BP58="Stage 4",-5,0))))</f>
        <v/>
      </c>
      <c r="BR58" s="31" t="inlineStr">
        <is>
          <t>Positive Trend</t>
        </is>
      </c>
      <c r="BS58" s="31">
        <f>IF(BR58="Positive Trend",20,IF(BR58="Negative Trend",-10,0))</f>
        <v/>
      </c>
      <c r="BT58" s="31" t="inlineStr">
        <is>
          <t>Uptrend</t>
        </is>
      </c>
      <c r="BU58" s="31">
        <f>IF(BT58="Uptrend",10,IF(BT58="Sideways",5,0))</f>
        <v/>
      </c>
      <c r="BV58" s="31" t="inlineStr">
        <is>
          <t>Uptrend</t>
        </is>
      </c>
      <c r="BW58" s="31">
        <f>IF(BV58="Uptrend",10,IF(BV58="Sideways",5,0))</f>
        <v/>
      </c>
      <c r="BX58" s="31" t="inlineStr">
        <is>
          <t>Blue sky scenario</t>
        </is>
      </c>
      <c r="BY58" s="31">
        <f>IF(BX58="Overhead supply in last 2 years in last 2 years",-5,IF(BX58="Close to 52 week high or retracement",5,IF(BX58="Blue sky scenario",10,IF(BX58="Long term Downtrend",-10,0))))</f>
        <v/>
      </c>
      <c r="BZ58" s="31" t="inlineStr">
        <is>
          <t>Yes</t>
        </is>
      </c>
      <c r="CA58" s="31">
        <f>IF(BZ58="Yes",10,0)</f>
        <v/>
      </c>
    </row>
    <row r="59">
      <c r="A59" s="31">
        <f>IF(B59=0,"",RANK(B59,$B$2:$B$76,0))</f>
        <v/>
      </c>
      <c r="B59" s="32">
        <f>SUM(N59,Y59,AA59,AC59,AE59,AG59,AI59,AK59,AM59,AO59,AQ59,AS59,AU59,AW59,AY59,BA59,BC59,BE59,BG59,BI59,BK59,BM59,BO59,BQ59,BS59,BU59,BW59,BY59,CA59)</f>
        <v/>
      </c>
      <c r="C59" s="31" t="inlineStr">
        <is>
          <t>HDFCAMC</t>
        </is>
      </c>
      <c r="D59" s="31" t="inlineStr">
        <is>
          <t>HDFC Asset Management Company Ltd</t>
        </is>
      </c>
      <c r="E59" s="31" t="inlineStr">
        <is>
          <t>financials</t>
        </is>
      </c>
      <c r="F59" s="31" t="inlineStr">
        <is>
          <t>finance &amp; investments</t>
        </is>
      </c>
      <c r="G59" s="31" t="inlineStr">
        <is>
          <t>largecap</t>
        </is>
      </c>
      <c r="H59" s="32" t="n">
        <v>117257.41</v>
      </c>
      <c r="I59" s="32" t="n">
        <v>2761.2</v>
      </c>
      <c r="J59" s="32" t="n">
        <v>0.88</v>
      </c>
      <c r="K59" s="32" t="n">
        <v>846286</v>
      </c>
      <c r="L59" s="31" t="n">
        <v>16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56.01</v>
      </c>
      <c r="P59" s="32" t="n">
        <v>10.93</v>
      </c>
      <c r="Q59" s="32" t="n">
        <v>2261.19</v>
      </c>
      <c r="R59" s="31" t="inlineStr">
        <is>
          <t>Near 52W High Breakout</t>
        </is>
      </c>
      <c r="S59" s="31" t="inlineStr">
        <is>
          <t>Nifty Bank</t>
        </is>
      </c>
      <c r="T59" s="32" t="n">
        <v>2.28</v>
      </c>
      <c r="U59" s="32" t="n">
        <v>10.3</v>
      </c>
      <c r="V59" s="32" t="n">
        <v>7.85</v>
      </c>
      <c r="W59" s="32" t="n">
        <v>3.71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Fragmented with High ROE</t>
        </is>
      </c>
      <c r="AA59" s="31">
        <f>IF(Z59="Fragmented with Low ROE",-5,IF(Z59="Fragmented with High ROE",10,IF(Z59= "highly cyclical",5,0)))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Consistency)",15,IF(AF59="Shallow Cyclical (2 to 3 years growth)",10,IF(AF59 = "Cyclical in an Uptick",5,IF(AF59 = "Cyclical in an Downtick",-10,0))))</f>
        <v/>
      </c>
      <c r="AH59" s="31" t="inlineStr">
        <is>
          <t>Yes</t>
        </is>
      </c>
      <c r="AI59" s="31">
        <f>IF(AH59="Yes",10,0)</f>
        <v/>
      </c>
      <c r="AJ59" s="31" t="inlineStr">
        <is>
          <t>Yes</t>
        </is>
      </c>
      <c r="AK59" s="31">
        <f>IF(AJ59="Yes",10,0)</f>
        <v/>
      </c>
      <c r="AL59" s="31" t="n"/>
      <c r="AM59" s="31">
        <f>IF(AL59="No",10,0)</f>
        <v/>
      </c>
      <c r="AN59" s="31" t="inlineStr">
        <is>
          <t>Yes</t>
        </is>
      </c>
      <c r="AO59" s="31">
        <f>IF(AN59="Yes",10,0)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Yes</t>
        </is>
      </c>
      <c r="AS59" s="31">
        <f>IF(AR59="Yes",5,0)</f>
        <v/>
      </c>
      <c r="AT59" s="31" t="inlineStr">
        <is>
          <t>No</t>
        </is>
      </c>
      <c r="AU59" s="31">
        <f>IF(AT59="No",10,IF(AT59="Yes",-10,0))</f>
        <v/>
      </c>
      <c r="AV59" s="31" t="inlineStr">
        <is>
          <t>No</t>
        </is>
      </c>
      <c r="AW59" s="31">
        <f>IF(AV59="No",10,0)</f>
        <v/>
      </c>
      <c r="AX59" s="31" t="inlineStr">
        <is>
          <t>No</t>
        </is>
      </c>
      <c r="AY59" s="31">
        <f>IF(AX59="No",10,IF(AX59= "Yes CEO Resignation",-5,0))</f>
        <v/>
      </c>
      <c r="AZ59" s="31" t="inlineStr">
        <is>
          <t>No</t>
        </is>
      </c>
      <c r="BA59" s="31">
        <f>IF(AZ59="No",10,IF(AZ59="Yes",-5,0))</f>
        <v/>
      </c>
      <c r="BB59" s="31" t="inlineStr">
        <is>
          <t>No</t>
        </is>
      </c>
      <c r="BC59" s="31">
        <f>IF(BB59="No",5,IF(BB59="Yes",-5,0))</f>
        <v/>
      </c>
      <c r="BD59" s="31" t="inlineStr">
        <is>
          <t>Yes</t>
        </is>
      </c>
      <c r="BE59" s="31">
        <f>IF(BD59="Yes",10,0)</f>
        <v/>
      </c>
      <c r="BF59" s="31" t="inlineStr">
        <is>
          <t>Yes</t>
        </is>
      </c>
      <c r="BG59" s="31">
        <f>IF(BF59="Yes",10,0)</f>
        <v/>
      </c>
      <c r="BH59" s="31" t="inlineStr">
        <is>
          <t>Yes</t>
        </is>
      </c>
      <c r="BI59" s="31">
        <f>IF(BH59="Yes",10,0)</f>
        <v/>
      </c>
      <c r="BJ59" s="31" t="inlineStr">
        <is>
          <t>P/BV above 5x</t>
        </is>
      </c>
      <c r="BK59" s="31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1" t="inlineStr">
        <is>
          <t>0 to 20</t>
        </is>
      </c>
      <c r="BM59" s="31">
        <f>IF(BL59="Above 40",20,IF(BL59="20 to 40",10,IF(BL59="0 to 20",-5,0)))</f>
        <v/>
      </c>
      <c r="BN59" s="31" t="inlineStr">
        <is>
          <t>Between 50 to 75</t>
        </is>
      </c>
      <c r="BO59" s="31">
        <f>IF(BN59="Between 50 to 75",10,IF(BN59="Above 75",0,0))</f>
        <v/>
      </c>
      <c r="BP59" s="31" t="inlineStr">
        <is>
          <t>Stage 2</t>
        </is>
      </c>
      <c r="BQ59" s="31">
        <f>IF(BP59="Stage 2",20,IF(BP59="Stage 1",0,IF(BP59="Stage 3",5,IF(BP59="Stage 4",-5,0))))</f>
        <v/>
      </c>
      <c r="BR59" s="31" t="inlineStr">
        <is>
          <t>Positive Trend</t>
        </is>
      </c>
      <c r="BS59" s="31">
        <f>IF(BR59="Positive Trend",20,IF(BR59="Negative Trend",-10,0))</f>
        <v/>
      </c>
      <c r="BT59" s="31" t="inlineStr">
        <is>
          <t>Uptrend</t>
        </is>
      </c>
      <c r="BU59" s="31">
        <f>IF(BT59="Uptrend",10,IF(BT59="Sideways",5,0))</f>
        <v/>
      </c>
      <c r="BV59" s="31" t="inlineStr">
        <is>
          <t>Uptrend</t>
        </is>
      </c>
      <c r="BW59" s="31">
        <f>IF(BV59="Uptrend",10,IF(BV59="Sideways",5,0))</f>
        <v/>
      </c>
      <c r="BX59" s="31" t="inlineStr">
        <is>
          <t>Blue sky scenario</t>
        </is>
      </c>
      <c r="BY59" s="31">
        <f>IF(BX59="Overhead supply in last 2 years in last 2 years",-5,IF(BX59="Close to 52 week high or retracement",5,IF(BX59="Blue sky scenario",10,IF(BX59="Long term Downtrend",-10,0))))</f>
        <v/>
      </c>
      <c r="BZ59" s="31" t="inlineStr">
        <is>
          <t>Yes</t>
        </is>
      </c>
      <c r="CA59" s="31">
        <f>IF(BZ59="Yes",10,0)</f>
        <v/>
      </c>
    </row>
    <row r="60">
      <c r="A60" s="31">
        <f>IF(B60=0,"",RANK(B60,$B$2:$B$76,0))</f>
        <v/>
      </c>
      <c r="B60" s="32">
        <f>SUM(N60,Y60,AA60,AC60,AE60,AG60,AI60,AK60,AM60,AO60,AQ60,AS60,AU60,AW60,AY60,BA60,BC60,BE60,BG60,BI60,BK60,BM60,BO60,BQ60,BS60,BU60,BW60,BY60,CA60)</f>
        <v/>
      </c>
      <c r="C60" s="33" t="inlineStr">
        <is>
          <t>GEOJITFSL</t>
        </is>
      </c>
      <c r="D60" s="33" t="inlineStr">
        <is>
          <t>Geojit Financial Services Ltd</t>
        </is>
      </c>
      <c r="E60" s="31" t="inlineStr">
        <is>
          <t>financials</t>
        </is>
      </c>
      <c r="F60" s="31" t="inlineStr">
        <is>
          <t>finance &amp; investments</t>
        </is>
      </c>
      <c r="G60" s="31" t="inlineStr">
        <is>
          <t>smallcap</t>
        </is>
      </c>
      <c r="H60" s="32" t="n">
        <v>2209.53</v>
      </c>
      <c r="I60" s="32" t="n">
        <v>79.2</v>
      </c>
      <c r="J60" s="32" t="n">
        <v>0.05</v>
      </c>
      <c r="K60" s="32" t="n">
        <v>323675</v>
      </c>
      <c r="L60" s="31" t="n">
        <v>28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64.17</v>
      </c>
      <c r="P60" s="32" t="n">
        <v>12.85</v>
      </c>
      <c r="Q60" s="32" t="n">
        <v>62.49</v>
      </c>
      <c r="R60" s="31" t="inlineStr">
        <is>
          <t>Near 52W High Breakout</t>
        </is>
      </c>
      <c r="S60" s="31" t="inlineStr">
        <is>
          <t>Nifty Bank</t>
        </is>
      </c>
      <c r="T60" s="32" t="n">
        <v>2.28</v>
      </c>
      <c r="U60" s="32" t="n">
        <v>-1.17</v>
      </c>
      <c r="V60" s="32" t="n">
        <v>-3.37</v>
      </c>
      <c r="W60" s="32" t="n">
        <v>5.77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Fragmented with High ROE</t>
        </is>
      </c>
      <c r="AA60" s="31">
        <f>IF(Z60="Fragmented with Low ROE",-5,IF(Z60="Fragmented with High ROE",10,IF(Z60= "highly cyclical",5,0)))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Consistency)",15,IF(AF60="Shallow Cyclical (2 to 3 years growth)",10,IF(AF60 = "Cyclical in an Uptick",5,IF(AF60 = "Cyclical in an Downtick",-10,0))))</f>
        <v/>
      </c>
      <c r="AH60" s="31" t="inlineStr">
        <is>
          <t>Yes</t>
        </is>
      </c>
      <c r="AI60" s="31">
        <f>IF(AH60="Yes",10,0)</f>
        <v/>
      </c>
      <c r="AJ60" s="31" t="inlineStr">
        <is>
          <t>Yes</t>
        </is>
      </c>
      <c r="AK60" s="31">
        <f>IF(AJ60="Yes",10,0)</f>
        <v/>
      </c>
      <c r="AL60" s="31" t="n"/>
      <c r="AM60" s="31">
        <f>IF(AL60="No",10,0)</f>
        <v/>
      </c>
      <c r="AN60" s="31" t="inlineStr">
        <is>
          <t>Yes</t>
        </is>
      </c>
      <c r="AO60" s="31">
        <f>IF(AN60="Yes",10,0)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Yes</t>
        </is>
      </c>
      <c r="AS60" s="31">
        <f>IF(AR60="Yes",5,0)</f>
        <v/>
      </c>
      <c r="AT60" s="31" t="inlineStr">
        <is>
          <t>No</t>
        </is>
      </c>
      <c r="AU60" s="31">
        <f>IF(AT60="No",10,IF(AT60="Yes",-10,0))</f>
        <v/>
      </c>
      <c r="AV60" s="31" t="inlineStr">
        <is>
          <t>No</t>
        </is>
      </c>
      <c r="AW60" s="31">
        <f>IF(AV60="No",10,0)</f>
        <v/>
      </c>
      <c r="AX60" s="31" t="inlineStr">
        <is>
          <t>No</t>
        </is>
      </c>
      <c r="AY60" s="31">
        <f>IF(AX60="No",10,IF(AX60= "Yes CEO Resignation",-5,0))</f>
        <v/>
      </c>
      <c r="AZ60" s="31" t="inlineStr">
        <is>
          <t>No</t>
        </is>
      </c>
      <c r="BA60" s="31">
        <f>IF(AZ60="No",10,IF(AZ60="Yes",-5,0))</f>
        <v/>
      </c>
      <c r="BB60" s="31" t="inlineStr">
        <is>
          <t>No</t>
        </is>
      </c>
      <c r="BC60" s="31">
        <f>IF(BB60="No",5,IF(BB60="Yes",-5,0))</f>
        <v/>
      </c>
      <c r="BD60" s="31" t="inlineStr">
        <is>
          <t>Yes</t>
        </is>
      </c>
      <c r="BE60" s="31">
        <f>IF(BD60="Yes",10,0)</f>
        <v/>
      </c>
      <c r="BF60" s="31" t="inlineStr">
        <is>
          <t>Yes</t>
        </is>
      </c>
      <c r="BG60" s="31">
        <f>IF(BF60="Yes",10,0)</f>
        <v/>
      </c>
      <c r="BH60" s="31" t="inlineStr">
        <is>
          <t>Yes</t>
        </is>
      </c>
      <c r="BI60" s="31">
        <f>IF(BH60="Yes",10,0)</f>
        <v/>
      </c>
      <c r="BJ60" s="31" t="inlineStr">
        <is>
          <t>P/BV less than 2.5x and Growth less than 20%</t>
        </is>
      </c>
      <c r="BK60" s="31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1" t="inlineStr">
        <is>
          <t>0 to 20</t>
        </is>
      </c>
      <c r="BM60" s="31">
        <f>IF(BL60="Above 40",20,IF(BL60="20 to 40",10,IF(BL60="0 to 20",-5,0)))</f>
        <v/>
      </c>
      <c r="BN60" s="31" t="inlineStr">
        <is>
          <t>Between 50 to 75</t>
        </is>
      </c>
      <c r="BO60" s="31">
        <f>IF(BN60="Between 50 to 75",10,IF(BN60="Above 75",0,0))</f>
        <v/>
      </c>
      <c r="BP60" s="31" t="inlineStr">
        <is>
          <t>Stage 2</t>
        </is>
      </c>
      <c r="BQ60" s="31">
        <f>IF(BP60="Stage 2",20,IF(BP60="Stage 1",0,IF(BP60="Stage 3",5,IF(BP60="Stage 4",-5,0))))</f>
        <v/>
      </c>
      <c r="BR60" s="31" t="inlineStr">
        <is>
          <t>Positive Trend</t>
        </is>
      </c>
      <c r="BS60" s="31">
        <f>IF(BR60="Positive Trend",20,IF(BR60="Negative Trend",-10,0))</f>
        <v/>
      </c>
      <c r="BT60" s="31" t="inlineStr">
        <is>
          <t>Uptrend</t>
        </is>
      </c>
      <c r="BU60" s="31">
        <f>IF(BT60="Uptrend",10,IF(BT60="Sideways",5,0))</f>
        <v/>
      </c>
      <c r="BV60" s="31" t="inlineStr">
        <is>
          <t>Uptrend</t>
        </is>
      </c>
      <c r="BW60" s="31">
        <f>IF(BV60="Uptrend",10,IF(BV60="Sideways",5,0))</f>
        <v/>
      </c>
      <c r="BX60" s="31" t="inlineStr">
        <is>
          <t>Close to 52 week high or retracement</t>
        </is>
      </c>
      <c r="BY60" s="31">
        <f>IF(BX60="Overhead supply in last 2 years in last 2 years",-5,IF(BX60="Close to 52 week high or retracement",5,IF(BX60="Blue sky scenario",10,IF(BX60="Long term Downtrend",-10,0))))</f>
        <v/>
      </c>
      <c r="BZ60" s="31" t="inlineStr">
        <is>
          <t>Yes</t>
        </is>
      </c>
      <c r="CA60" s="31">
        <f>IF(BZ60="Yes",10,0)</f>
        <v/>
      </c>
    </row>
    <row r="61">
      <c r="A61" s="31">
        <f>IF(B61=0,"",RANK(B61,$B$2:$B$76,0))</f>
        <v/>
      </c>
      <c r="B61" s="32">
        <f>SUM(N61,Y61,AA61,AC61,AE61,AG61,AI61,AK61,AM61,AO61,AQ61,AS61,AU61,AW61,AY61,BA61,BC61,BE61,BG61,BI61,BK61,BM61,BO61,BQ61,BS61,BU61,BW61,BY61,CA61)</f>
        <v/>
      </c>
      <c r="C61" s="31" t="inlineStr">
        <is>
          <t>ARMANFIN</t>
        </is>
      </c>
      <c r="D61" s="31" t="inlineStr">
        <is>
          <t>Arman Financial Services Limited</t>
        </is>
      </c>
      <c r="E61" s="31" t="inlineStr">
        <is>
          <t>financials</t>
        </is>
      </c>
      <c r="F61" s="31" t="inlineStr">
        <is>
          <t>finance &amp; investments</t>
        </is>
      </c>
      <c r="G61" s="31" t="inlineStr">
        <is>
          <t>smallcap</t>
        </is>
      </c>
      <c r="H61" s="32" t="n">
        <v>1813.48</v>
      </c>
      <c r="I61" s="32" t="n">
        <v>1820.1</v>
      </c>
      <c r="J61" s="32" t="n">
        <v>5.51</v>
      </c>
      <c r="K61" s="32" t="n">
        <v>122718</v>
      </c>
      <c r="L61" s="31" t="n">
        <v>16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60.11</v>
      </c>
      <c r="P61" s="32" t="n">
        <v>13.69</v>
      </c>
      <c r="Q61" s="32" t="n">
        <v>1350.71</v>
      </c>
      <c r="R61" s="31" t="inlineStr">
        <is>
          <t>Near 52W High Breakout</t>
        </is>
      </c>
      <c r="S61" s="31" t="inlineStr">
        <is>
          <t>Nifty Bank</t>
        </is>
      </c>
      <c r="T61" s="32" t="n">
        <v>2.28</v>
      </c>
      <c r="U61" s="32" t="n">
        <v>6.57</v>
      </c>
      <c r="V61" s="32" t="n">
        <v>4.2</v>
      </c>
      <c r="W61" s="32" t="n">
        <v>3.63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Fragmented with High ROE</t>
        </is>
      </c>
      <c r="AA61" s="31">
        <f>IF(Z61="Fragmented with Low ROE",-5,IF(Z61="Fragmented with High ROE",10,IF(Z61= "highly cyclical",5,0)))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Cyclical in an Uptick</t>
        </is>
      </c>
      <c r="AG61" s="31">
        <f>IF(AF61="Structural (10 Years Consistency)",15,IF(AF61="Shallow Cyclical (2 to 3 years growth)",10,IF(AF61 = "Cyclical in an Uptick",5,IF(AF61 = "Cyclical in an Downtick",-10,0))))</f>
        <v/>
      </c>
      <c r="AH61" s="31" t="inlineStr">
        <is>
          <t>Yes</t>
        </is>
      </c>
      <c r="AI61" s="31">
        <f>IF(AH61="Yes",10,0)</f>
        <v/>
      </c>
      <c r="AJ61" s="31" t="inlineStr">
        <is>
          <t>Not Applicable</t>
        </is>
      </c>
      <c r="AK61" s="31">
        <f>IF(AJ61="Yes",10,0)</f>
        <v/>
      </c>
      <c r="AL61" s="31" t="inlineStr">
        <is>
          <t>Yes</t>
        </is>
      </c>
      <c r="AM61" s="31">
        <f>IF(AL61="No",10,0)</f>
        <v/>
      </c>
      <c r="AN61" s="31" t="inlineStr">
        <is>
          <t>Yes</t>
        </is>
      </c>
      <c r="AO61" s="31">
        <f>IF(AN61="Yes",10,0)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Yes</t>
        </is>
      </c>
      <c r="AS61" s="31">
        <f>IF(AR61="Yes",5,0)</f>
        <v/>
      </c>
      <c r="AT61" s="31" t="inlineStr">
        <is>
          <t>Not Applicable</t>
        </is>
      </c>
      <c r="AU61" s="31">
        <f>IF(AT61="No",10,IF(AT61="Yes",-10,0))</f>
        <v/>
      </c>
      <c r="AV61" s="31" t="inlineStr">
        <is>
          <t>No</t>
        </is>
      </c>
      <c r="AW61" s="31">
        <f>IF(AV61="No",10,0)</f>
        <v/>
      </c>
      <c r="AX61" s="31" t="inlineStr">
        <is>
          <t>No</t>
        </is>
      </c>
      <c r="AY61" s="31">
        <f>IF(AX61="No",10,IF(AX61= "Yes CEO Resignation",-5,0))</f>
        <v/>
      </c>
      <c r="AZ61" s="31" t="inlineStr">
        <is>
          <t>No</t>
        </is>
      </c>
      <c r="BA61" s="31">
        <f>IF(AZ61="No",10,IF(AZ61="Yes",-5,0))</f>
        <v/>
      </c>
      <c r="BB61" s="31" t="inlineStr">
        <is>
          <t>No</t>
        </is>
      </c>
      <c r="BC61" s="31">
        <f>IF(BB61="No",5,IF(BB61="Yes",-5,0))</f>
        <v/>
      </c>
      <c r="BD61" s="31" t="inlineStr">
        <is>
          <t>Yes</t>
        </is>
      </c>
      <c r="BE61" s="31">
        <f>IF(BD61="Yes",10,0)</f>
        <v/>
      </c>
      <c r="BF61" s="31" t="inlineStr">
        <is>
          <t>Yes</t>
        </is>
      </c>
      <c r="BG61" s="31">
        <f>IF(BF61="Yes",10,0)</f>
        <v/>
      </c>
      <c r="BH61" s="31" t="inlineStr">
        <is>
          <t>Yes</t>
        </is>
      </c>
      <c r="BI61" s="31">
        <f>IF(BH61="Yes",10,0)</f>
        <v/>
      </c>
      <c r="BJ61" s="31" t="inlineStr">
        <is>
          <t>P/BV between 2.5x to 5x and Growth more than 20%</t>
        </is>
      </c>
      <c r="BK61" s="31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1" t="inlineStr">
        <is>
          <t>20 to 40</t>
        </is>
      </c>
      <c r="BM61" s="31">
        <f>IF(BL61="Above 40",20,IF(BL61="20 to 40",10,IF(BL61="0 to 20",-5,0)))</f>
        <v/>
      </c>
      <c r="BN61" s="31" t="inlineStr">
        <is>
          <t>Between 50 to 75</t>
        </is>
      </c>
      <c r="BO61" s="31">
        <f>IF(BN61="Between 50 to 75",10,IF(BN61="Above 75",0,0))</f>
        <v/>
      </c>
      <c r="BP61" s="31" t="inlineStr">
        <is>
          <t>Stage 2</t>
        </is>
      </c>
      <c r="BQ61" s="31">
        <f>IF(BP61="Stage 2",20,IF(BP61="Stage 1",0,IF(BP61="Stage 3",5,IF(BP61="Stage 4",-5,0))))</f>
        <v/>
      </c>
      <c r="BR61" s="31" t="inlineStr">
        <is>
          <t>Positive Trend</t>
        </is>
      </c>
      <c r="BS61" s="31">
        <f>IF(BR61="Positive Trend",20,IF(BR61="Negative Trend",-10,0))</f>
        <v/>
      </c>
      <c r="BT61" s="31" t="inlineStr">
        <is>
          <t>Sideways</t>
        </is>
      </c>
      <c r="BU61" s="31">
        <f>IF(BT61="Uptrend",10,IF(BT61="Sideways",5,0))</f>
        <v/>
      </c>
      <c r="BV61" s="31" t="inlineStr">
        <is>
          <t>Uptrend</t>
        </is>
      </c>
      <c r="BW61" s="31">
        <f>IF(BV61="Uptrend",10,IF(BV61="Sideways",5,0))</f>
        <v/>
      </c>
      <c r="BX61" s="31" t="inlineStr">
        <is>
          <t>Close to 52 week high or retracement</t>
        </is>
      </c>
      <c r="BY61" s="31">
        <f>IF(BX61="Overhead supply in last 2 years in last 2 years",-5,IF(BX61="Close to 52 week high or retracement",5,IF(BX61="Blue sky scenario",10,IF(BX61="Long term Downtrend",-10,0))))</f>
        <v/>
      </c>
      <c r="BZ61" s="31" t="inlineStr">
        <is>
          <t>Yes</t>
        </is>
      </c>
      <c r="CA61" s="31">
        <f>IF(BZ61="Yes",10,0)</f>
        <v/>
      </c>
    </row>
    <row r="62">
      <c r="A62" s="31">
        <f>IF(B62=0,"",RANK(B62,$B$2:$B$76,0))</f>
        <v/>
      </c>
      <c r="B62" s="32">
        <f>SUM(N62,Y62,AA62,AC62,AE62,AG62,AI62,AK62,AM62,AO62,AQ62,AS62,AU62,AW62,AY62,BA62,BC62,BE62,BG62,BI62,BK62,BM62,BO62,BQ62,BS62,BU62,BW62,BY62,CA62)</f>
        <v/>
      </c>
      <c r="C62" s="33" t="inlineStr">
        <is>
          <t>RELIGARE</t>
        </is>
      </c>
      <c r="D62" s="33" t="inlineStr">
        <is>
          <t>Religare Enterprises Limited</t>
        </is>
      </c>
      <c r="E62" s="31" t="inlineStr">
        <is>
          <t>financials</t>
        </is>
      </c>
      <c r="F62" s="31" t="inlineStr">
        <is>
          <t>finance &amp; investments</t>
        </is>
      </c>
      <c r="G62" s="31" t="inlineStr">
        <is>
          <t>midcap</t>
        </is>
      </c>
      <c r="H62" s="32" t="n">
        <v>9264.5</v>
      </c>
      <c r="I62" s="32" t="n">
        <v>270.45</v>
      </c>
      <c r="J62" s="32" t="n">
        <v>-0.39</v>
      </c>
      <c r="K62" s="32" t="n">
        <v>553544</v>
      </c>
      <c r="L62" s="31" t="n">
        <v>21</v>
      </c>
      <c r="M62" s="31" t="inlineStr">
        <is>
          <t>Underperforming</t>
        </is>
      </c>
      <c r="N62" s="32">
        <f>IF(M62="Underperforming",-5,IF(L62&gt;=95,15,IF(L62&gt;=90,10,IF(L62&gt;=80,5,0))))</f>
        <v/>
      </c>
      <c r="O62" s="32" t="n">
        <v>63.89</v>
      </c>
      <c r="P62" s="32" t="n">
        <v>14.82</v>
      </c>
      <c r="Q62" s="32" t="n">
        <v>219.81</v>
      </c>
      <c r="R62" s="31" t="inlineStr">
        <is>
          <t>Near 52W High Breakout</t>
        </is>
      </c>
      <c r="S62" s="31" t="inlineStr">
        <is>
          <t>Nifty Bank</t>
        </is>
      </c>
      <c r="T62" s="32" t="n">
        <v>2.28</v>
      </c>
      <c r="U62" s="32" t="n">
        <v>-0.14</v>
      </c>
      <c r="V62" s="32" t="n">
        <v>-2.37</v>
      </c>
      <c r="W62" s="32" t="n">
        <v>4.43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Fragmented with High ROE</t>
        </is>
      </c>
      <c r="AA62" s="31">
        <f>IF(Z62="Fragmented with Low ROE",-5,IF(Z62="Fragmented with High ROE",10,IF(Z62= "highly cyclical",5,0)))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Consistency)",15,IF(AF62="Shallow Cyclical (2 to 3 years growth)",10,IF(AF62 = "Cyclical in an Uptick",5,IF(AF62 = "Cyclical in an Downtick",-10,0))))</f>
        <v/>
      </c>
      <c r="AH62" s="31" t="inlineStr">
        <is>
          <t>Yes</t>
        </is>
      </c>
      <c r="AI62" s="31">
        <f>IF(AH62="Yes",10,0)</f>
        <v/>
      </c>
      <c r="AJ62" s="31" t="inlineStr">
        <is>
          <t>Yes</t>
        </is>
      </c>
      <c r="AK62" s="31">
        <f>IF(AJ62="Yes",10,0)</f>
        <v/>
      </c>
      <c r="AL62" s="31" t="n"/>
      <c r="AM62" s="31">
        <f>IF(AL62="No",10,0)</f>
        <v/>
      </c>
      <c r="AN62" s="31" t="inlineStr">
        <is>
          <t>Yes</t>
        </is>
      </c>
      <c r="AO62" s="31">
        <f>IF(AN62="Yes",10,0)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Yes</t>
        </is>
      </c>
      <c r="AS62" s="31">
        <f>IF(AR62="Yes",5,0)</f>
        <v/>
      </c>
      <c r="AT62" s="31" t="inlineStr">
        <is>
          <t>No</t>
        </is>
      </c>
      <c r="AU62" s="31">
        <f>IF(AT62="No",10,IF(AT62="Yes",-10,0))</f>
        <v/>
      </c>
      <c r="AV62" s="31" t="inlineStr">
        <is>
          <t>No</t>
        </is>
      </c>
      <c r="AW62" s="31">
        <f>IF(AV62="No",10,0)</f>
        <v/>
      </c>
      <c r="AX62" s="31" t="inlineStr">
        <is>
          <t>No</t>
        </is>
      </c>
      <c r="AY62" s="31">
        <f>IF(AX62="No",10,IF(AX62= "Yes CEO Resignation",-5,0))</f>
        <v/>
      </c>
      <c r="AZ62" s="31" t="inlineStr">
        <is>
          <t>No</t>
        </is>
      </c>
      <c r="BA62" s="31">
        <f>IF(AZ62="No",10,IF(AZ62="Yes",-5,0))</f>
        <v/>
      </c>
      <c r="BB62" s="31" t="inlineStr">
        <is>
          <t>No</t>
        </is>
      </c>
      <c r="BC62" s="31">
        <f>IF(BB62="No",5,IF(BB62="Yes",-5,0))</f>
        <v/>
      </c>
      <c r="BD62" s="31" t="inlineStr">
        <is>
          <t>Yes</t>
        </is>
      </c>
      <c r="BE62" s="31">
        <f>IF(BD62="Yes",10,0)</f>
        <v/>
      </c>
      <c r="BF62" s="31" t="inlineStr">
        <is>
          <t>Yes</t>
        </is>
      </c>
      <c r="BG62" s="31">
        <f>IF(BF62="Yes",10,0)</f>
        <v/>
      </c>
      <c r="BH62" s="31" t="inlineStr">
        <is>
          <t>Yes</t>
        </is>
      </c>
      <c r="BI62" s="31">
        <f>IF(BH62="Yes",10,0)</f>
        <v/>
      </c>
      <c r="BJ62" s="31" t="inlineStr">
        <is>
          <t>P/BV between 2.5x to 5x and Growth less than 20%</t>
        </is>
      </c>
      <c r="BK62" s="31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1" t="inlineStr">
        <is>
          <t>0 to 20</t>
        </is>
      </c>
      <c r="BM62" s="31">
        <f>IF(BL62="Above 40",20,IF(BL62="20 to 40",10,IF(BL62="0 to 20",-5,0)))</f>
        <v/>
      </c>
      <c r="BN62" s="31" t="inlineStr">
        <is>
          <t>Between 50 to 75</t>
        </is>
      </c>
      <c r="BO62" s="31">
        <f>IF(BN62="Between 50 to 75",10,IF(BN62="Above 75",0,0))</f>
        <v/>
      </c>
      <c r="BP62" s="31" t="inlineStr">
        <is>
          <t>Stage 2</t>
        </is>
      </c>
      <c r="BQ62" s="31">
        <f>IF(BP62="Stage 2",20,IF(BP62="Stage 1",0,IF(BP62="Stage 3",5,IF(BP62="Stage 4",-5,0))))</f>
        <v/>
      </c>
      <c r="BR62" s="31" t="inlineStr">
        <is>
          <t>Positive Trend</t>
        </is>
      </c>
      <c r="BS62" s="31">
        <f>IF(BR62="Positive Trend",20,IF(BR62="Negative Trend",-10,0))</f>
        <v/>
      </c>
      <c r="BT62" s="31" t="inlineStr">
        <is>
          <t>Uptrend</t>
        </is>
      </c>
      <c r="BU62" s="31">
        <f>IF(BT62="Uptrend",10,IF(BT62="Sideways",5,0))</f>
        <v/>
      </c>
      <c r="BV62" s="31" t="inlineStr">
        <is>
          <t>Uptrend</t>
        </is>
      </c>
      <c r="BW62" s="31">
        <f>IF(BV62="Uptrend",10,IF(BV62="Sideways",5,0))</f>
        <v/>
      </c>
      <c r="BX62" s="31" t="inlineStr">
        <is>
          <t>Close to 52 week high or retracement</t>
        </is>
      </c>
      <c r="BY62" s="31">
        <f>IF(BX62="Overhead supply in last 2 years in last 2 years",-5,IF(BX62="Close to 52 week high or retracement",5,IF(BX62="Blue sky scenario",10,IF(BX62="Long term Downtrend",-10,0))))</f>
        <v/>
      </c>
      <c r="BZ62" s="31" t="inlineStr">
        <is>
          <t>Yes</t>
        </is>
      </c>
      <c r="CA62" s="31">
        <f>IF(BZ62="Yes",10,0)</f>
        <v/>
      </c>
    </row>
    <row r="63">
      <c r="A63" s="31">
        <f>IF(B63=0,"",RANK(B63,$B$2:$B$76,0))</f>
        <v/>
      </c>
      <c r="B63" s="32">
        <f>SUM(N63,Y63,AA63,AC63,AE63,AG63,AI63,AK63,AM63,AO63,AQ63,AS63,AU63,AW63,AY63,BA63,BC63,BE63,BG63,BI63,BK63,BM63,BO63,BQ63,BS63,BU63,BW63,BY63,CA63)</f>
        <v/>
      </c>
      <c r="C63" s="31" t="inlineStr">
        <is>
          <t>INDIANB</t>
        </is>
      </c>
      <c r="D63" s="31" t="inlineStr">
        <is>
          <t>Indian Bank Ltd</t>
        </is>
      </c>
      <c r="E63" s="31" t="inlineStr">
        <is>
          <t>bank</t>
        </is>
      </c>
      <c r="F63" s="31" t="inlineStr">
        <is>
          <t>banks - public sector</t>
        </is>
      </c>
      <c r="G63" s="31" t="inlineStr">
        <is>
          <t>largecap</t>
        </is>
      </c>
      <c r="H63" s="32" t="n">
        <v>106834.45</v>
      </c>
      <c r="I63" s="32" t="n">
        <v>870.7</v>
      </c>
      <c r="J63" s="32" t="n">
        <v>9.779999999999999</v>
      </c>
      <c r="K63" s="32" t="n">
        <v>17690322</v>
      </c>
      <c r="L63" s="31" t="n">
        <v>30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54.3</v>
      </c>
      <c r="P63" s="32" t="n">
        <v>11.91</v>
      </c>
      <c r="Q63" s="32" t="n">
        <v>766.52</v>
      </c>
      <c r="R63" s="31" t="inlineStr">
        <is>
          <t>Volume Spike / Accumulation</t>
        </is>
      </c>
      <c r="S63" s="31" t="inlineStr">
        <is>
          <t>Nifty Bank</t>
        </is>
      </c>
      <c r="T63" s="32" t="n">
        <v>2.28</v>
      </c>
      <c r="U63" s="32" t="n">
        <v>40.82</v>
      </c>
      <c r="V63" s="32" t="n">
        <v>37.68</v>
      </c>
      <c r="W63" s="32" t="n">
        <v>6.04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Fragmented with High ROE</t>
        </is>
      </c>
      <c r="AA63" s="31">
        <f>IF(Z63="Fragmented with Low ROE",-5,IF(Z63="Fragmented with High ROE",10,IF(Z63= "highly cyclical",5,0)))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Consistency)",15,IF(AF63="Shallow Cyclical (2 to 3 years growth)",10,IF(AF63 = "Cyclical in an Uptick",5,IF(AF63 = "Cyclical in an Downtick",-10,0))))</f>
        <v/>
      </c>
      <c r="AH63" s="31" t="inlineStr">
        <is>
          <t>Yes</t>
        </is>
      </c>
      <c r="AI63" s="31">
        <f>IF(AH63="Yes",10,0)</f>
        <v/>
      </c>
      <c r="AJ63" s="31" t="inlineStr">
        <is>
          <t>Yes</t>
        </is>
      </c>
      <c r="AK63" s="31">
        <f>IF(AJ63="Yes",10,0)</f>
        <v/>
      </c>
      <c r="AL63" s="31" t="n"/>
      <c r="AM63" s="31">
        <f>IF(AL63="No",10,0)</f>
        <v/>
      </c>
      <c r="AN63" s="31" t="inlineStr">
        <is>
          <t>Yes</t>
        </is>
      </c>
      <c r="AO63" s="31">
        <f>IF(AN63="Yes",10,0)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Yes</t>
        </is>
      </c>
      <c r="AS63" s="31">
        <f>IF(AR63="Yes",5,0)</f>
        <v/>
      </c>
      <c r="AT63" s="31" t="inlineStr">
        <is>
          <t>No</t>
        </is>
      </c>
      <c r="AU63" s="31">
        <f>IF(AT63="No",10,IF(AT63="Yes",-10,0))</f>
        <v/>
      </c>
      <c r="AV63" s="31" t="inlineStr">
        <is>
          <t>No</t>
        </is>
      </c>
      <c r="AW63" s="31">
        <f>IF(AV63="No",10,0)</f>
        <v/>
      </c>
      <c r="AX63" s="31" t="inlineStr">
        <is>
          <t>No</t>
        </is>
      </c>
      <c r="AY63" s="31">
        <f>IF(AX63="No",10,IF(AX63= "Yes CEO Resignation",-5,0))</f>
        <v/>
      </c>
      <c r="AZ63" s="31" t="inlineStr">
        <is>
          <t>No</t>
        </is>
      </c>
      <c r="BA63" s="31">
        <f>IF(AZ63="No",10,IF(AZ63="Yes",-5,0))</f>
        <v/>
      </c>
      <c r="BB63" s="31" t="inlineStr">
        <is>
          <t>No</t>
        </is>
      </c>
      <c r="BC63" s="31">
        <f>IF(BB63="No",5,IF(BB63="Yes",-5,0))</f>
        <v/>
      </c>
      <c r="BD63" s="31" t="inlineStr">
        <is>
          <t>Yes</t>
        </is>
      </c>
      <c r="BE63" s="31">
        <f>IF(BD63="Yes",10,0)</f>
        <v/>
      </c>
      <c r="BF63" s="31" t="inlineStr">
        <is>
          <t>Yes</t>
        </is>
      </c>
      <c r="BG63" s="31">
        <f>IF(BF63="Yes",10,0)</f>
        <v/>
      </c>
      <c r="BH63" s="31" t="inlineStr">
        <is>
          <t>Yes</t>
        </is>
      </c>
      <c r="BI63" s="31">
        <f>IF(BH63="Yes",10,0)</f>
        <v/>
      </c>
      <c r="BJ63" s="31" t="inlineStr">
        <is>
          <t>P/BV less than 2.5x and Growth less than 20%</t>
        </is>
      </c>
      <c r="BK63" s="31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1" t="inlineStr">
        <is>
          <t>0 to 20</t>
        </is>
      </c>
      <c r="BM63" s="31">
        <f>IF(BL63="Above 40",20,IF(BL63="20 to 40",10,IF(BL63="0 to 20",-5,0)))</f>
        <v/>
      </c>
      <c r="BN63" s="31" t="inlineStr">
        <is>
          <t>Between 50 to 75</t>
        </is>
      </c>
      <c r="BO63" s="31">
        <f>IF(BN63="Between 50 to 75",10,IF(BN63="Above 75",0,0))</f>
        <v/>
      </c>
      <c r="BP63" s="31" t="inlineStr">
        <is>
          <t>Stage 1</t>
        </is>
      </c>
      <c r="BQ63" s="31">
        <f>IF(BP63="Stage 2",20,IF(BP63="Stage 1",0,IF(BP63="Stage 3",5,IF(BP63="Stage 4",-5,0))))</f>
        <v/>
      </c>
      <c r="BR63" s="31" t="inlineStr">
        <is>
          <t>Positive Trend</t>
        </is>
      </c>
      <c r="BS63" s="31">
        <f>IF(BR63="Positive Trend",20,IF(BR63="Negative Trend",-10,0))</f>
        <v/>
      </c>
      <c r="BT63" s="31" t="inlineStr">
        <is>
          <t>Uptrend</t>
        </is>
      </c>
      <c r="BU63" s="31">
        <f>IF(BT63="Uptrend",10,IF(BT63="Sideways",5,0))</f>
        <v/>
      </c>
      <c r="BV63" s="31" t="inlineStr">
        <is>
          <t>Uptrend</t>
        </is>
      </c>
      <c r="BW63" s="31">
        <f>IF(BV63="Uptrend",10,IF(BV63="Sideways",5,0))</f>
        <v/>
      </c>
      <c r="BX63" s="31" t="inlineStr">
        <is>
          <t>Close to 52 week high or retracement</t>
        </is>
      </c>
      <c r="BY63" s="31">
        <f>IF(BX63="Overhead supply in last 2 years in last 2 years",-5,IF(BX63="Close to 52 week high or retracement",5,IF(BX63="Blue sky scenario",10,IF(BX63="Long term Downtrend",-10,0))))</f>
        <v/>
      </c>
      <c r="BZ63" s="31" t="inlineStr">
        <is>
          <t>Yes</t>
        </is>
      </c>
      <c r="CA63" s="31">
        <f>IF(BZ63="Yes",10,0)</f>
        <v/>
      </c>
    </row>
    <row r="64">
      <c r="A64" s="31">
        <f>IF(B64=0,"",RANK(B64,$B$2:$B$76,0))</f>
        <v/>
      </c>
      <c r="B64" s="32">
        <f>SUM(N64,Y64,AA64,AC64,AE64,AG64,AI64,AK64,AM64,AO64,AQ64,AS64,AU64,AW64,AY64,BA64,BC64,BE64,BG64,BI64,BK64,BM64,BO64,BQ64,BS64,BU64,BW64,BY64,CA64)</f>
        <v/>
      </c>
      <c r="C64" s="31" t="inlineStr">
        <is>
          <t>IDFCFIRSTB</t>
        </is>
      </c>
      <c r="D64" s="31" t="inlineStr">
        <is>
          <t>IDFC First Bank Ltd</t>
        </is>
      </c>
      <c r="E64" s="31" t="inlineStr">
        <is>
          <t>bank</t>
        </is>
      </c>
      <c r="F64" s="31" t="inlineStr">
        <is>
          <t>banks - private sector</t>
        </is>
      </c>
      <c r="G64" s="31" t="inlineStr">
        <is>
          <t>largecap</t>
        </is>
      </c>
      <c r="H64" s="32" t="n">
        <v>68349.10000000001</v>
      </c>
      <c r="I64" s="32" t="n">
        <v>80.83</v>
      </c>
      <c r="J64" s="32" t="n">
        <v>1.72</v>
      </c>
      <c r="K64" s="32" t="n">
        <v>14703289</v>
      </c>
      <c r="L64" s="31" t="n">
        <v>36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61.87</v>
      </c>
      <c r="P64" s="32" t="n">
        <v>19.24</v>
      </c>
      <c r="Q64" s="32" t="n">
        <v>67.92</v>
      </c>
      <c r="R64" s="31" t="inlineStr">
        <is>
          <t>Earnings / Momentum Support</t>
        </is>
      </c>
      <c r="S64" s="31" t="inlineStr">
        <is>
          <t>Nifty Bank</t>
        </is>
      </c>
      <c r="T64" s="32" t="n">
        <v>2.28</v>
      </c>
      <c r="U64" s="32" t="n">
        <v>7.44</v>
      </c>
      <c r="V64" s="32" t="n">
        <v>5.05</v>
      </c>
      <c r="W64" s="32" t="n">
        <v>7.13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Fragmented with High ROE</t>
        </is>
      </c>
      <c r="AA64" s="31">
        <f>IF(Z64="Fragmented with Low ROE",-5,IF(Z64="Fragmented with High ROE",10,IF(Z64= "highly cyclical",5,0)))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Consistency)",15,IF(AF64="Shallow Cyclical (2 to 3 years growth)",10,IF(AF64 = "Cyclical in an Uptick",5,IF(AF64 = "Cyclical in an Downtick",-10,0))))</f>
        <v/>
      </c>
      <c r="AH64" s="31" t="inlineStr">
        <is>
          <t>Yes</t>
        </is>
      </c>
      <c r="AI64" s="31">
        <f>IF(AH64="Yes",10,0)</f>
        <v/>
      </c>
      <c r="AJ64" s="31" t="inlineStr">
        <is>
          <t>Yes</t>
        </is>
      </c>
      <c r="AK64" s="31">
        <f>IF(AJ64="Yes",10,0)</f>
        <v/>
      </c>
      <c r="AL64" s="31" t="n"/>
      <c r="AM64" s="31">
        <f>IF(AL64="No",10,0)</f>
        <v/>
      </c>
      <c r="AN64" s="31" t="inlineStr">
        <is>
          <t>Yes</t>
        </is>
      </c>
      <c r="AO64" s="31">
        <f>IF(AN64="Yes",10,0)</f>
        <v/>
      </c>
      <c r="AP64" s="31" t="inlineStr">
        <is>
          <t>No</t>
        </is>
      </c>
      <c r="AQ64" s="31">
        <f>IF(AP64="Yes",10,0)</f>
        <v/>
      </c>
      <c r="AR64" s="31" t="inlineStr">
        <is>
          <t>Yes</t>
        </is>
      </c>
      <c r="AS64" s="31">
        <f>IF(AR64="Yes",5,0)</f>
        <v/>
      </c>
      <c r="AT64" s="31" t="inlineStr">
        <is>
          <t>No</t>
        </is>
      </c>
      <c r="AU64" s="31">
        <f>IF(AT64="No",10,IF(AT64="Yes",-10,0))</f>
        <v/>
      </c>
      <c r="AV64" s="31" t="inlineStr">
        <is>
          <t>No</t>
        </is>
      </c>
      <c r="AW64" s="31">
        <f>IF(AV64="No",10,0)</f>
        <v/>
      </c>
      <c r="AX64" s="31" t="inlineStr">
        <is>
          <t>No</t>
        </is>
      </c>
      <c r="AY64" s="31">
        <f>IF(AX64="No",10,IF(AX64= "Yes CEO Resignation",-5,0))</f>
        <v/>
      </c>
      <c r="AZ64" s="31" t="inlineStr">
        <is>
          <t>No</t>
        </is>
      </c>
      <c r="BA64" s="31">
        <f>IF(AZ64="No",10,IF(AZ64="Yes",-5,0))</f>
        <v/>
      </c>
      <c r="BB64" s="31" t="inlineStr">
        <is>
          <t>No</t>
        </is>
      </c>
      <c r="BC64" s="31">
        <f>IF(BB64="No",5,IF(BB64="Yes",-5,0))</f>
        <v/>
      </c>
      <c r="BD64" s="31" t="inlineStr">
        <is>
          <t>Yes</t>
        </is>
      </c>
      <c r="BE64" s="31">
        <f>IF(BD64="Yes",10,0)</f>
        <v/>
      </c>
      <c r="BF64" s="31" t="inlineStr">
        <is>
          <t>Yes</t>
        </is>
      </c>
      <c r="BG64" s="31">
        <f>IF(BF64="Yes",10,0)</f>
        <v/>
      </c>
      <c r="BH64" s="31" t="inlineStr">
        <is>
          <t>Yes</t>
        </is>
      </c>
      <c r="BI64" s="31">
        <f>IF(BH64="Yes",10,0)</f>
        <v/>
      </c>
      <c r="BJ64" s="31" t="inlineStr">
        <is>
          <t>P/BV less than 2.5x and Growth less than 20%</t>
        </is>
      </c>
      <c r="BK64" s="31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1" t="inlineStr">
        <is>
          <t>0 to 20</t>
        </is>
      </c>
      <c r="BM64" s="31">
        <f>IF(BL64="Above 40",20,IF(BL64="20 to 40",10,IF(BL64="0 to 20",-5,0)))</f>
        <v/>
      </c>
      <c r="BN64" s="31" t="inlineStr">
        <is>
          <t>Between 50 to 75</t>
        </is>
      </c>
      <c r="BO64" s="31">
        <f>IF(BN64="Between 50 to 75",10,IF(BN64="Above 75",0,0))</f>
        <v/>
      </c>
      <c r="BP64" s="31" t="inlineStr">
        <is>
          <t>Stage 2</t>
        </is>
      </c>
      <c r="BQ64" s="31">
        <f>IF(BP64="Stage 2",20,IF(BP64="Stage 1",0,IF(BP64="Stage 3",5,IF(BP64="Stage 4",-5,0))))</f>
        <v/>
      </c>
      <c r="BR64" s="31" t="inlineStr">
        <is>
          <t>Positive Trend</t>
        </is>
      </c>
      <c r="BS64" s="31">
        <f>IF(BR64="Positive Trend",20,IF(BR64="Negative Trend",-10,0))</f>
        <v/>
      </c>
      <c r="BT64" s="31" t="inlineStr">
        <is>
          <t>Uptrend</t>
        </is>
      </c>
      <c r="BU64" s="31">
        <f>IF(BT64="Uptrend",10,IF(BT64="Sideways",5,0))</f>
        <v/>
      </c>
      <c r="BV64" s="31" t="inlineStr">
        <is>
          <t>Uptrend</t>
        </is>
      </c>
      <c r="BW64" s="31">
        <f>IF(BV64="Uptrend",10,IF(BV64="Sideways",5,0))</f>
        <v/>
      </c>
      <c r="BX64" s="31" t="inlineStr">
        <is>
          <t>Close to 52 week high or retracement</t>
        </is>
      </c>
      <c r="BY64" s="31">
        <f>IF(BX64="Overhead supply in last 2 years in last 2 years",-5,IF(BX64="Close to 52 week high or retracement",5,IF(BX64="Blue sky scenario",10,IF(BX64="Long term Downtrend",-10,0))))</f>
        <v/>
      </c>
      <c r="BZ64" s="31" t="inlineStr">
        <is>
          <t>Yes</t>
        </is>
      </c>
      <c r="CA64" s="31">
        <f>IF(BZ64="Yes",10,0)</f>
        <v/>
      </c>
    </row>
    <row r="65">
      <c r="A65" s="31">
        <f>IF(B65=0,"",RANK(B65,$B$2:$B$76,0))</f>
        <v/>
      </c>
      <c r="B65" s="32">
        <f>SUM(N65,Y65,AA65,AC65,AE65,AG65,AI65,AK65,AM65,AO65,AQ65,AS65,AU65,AW65,AY65,BA65,BC65,BE65,BG65,BI65,BK65,BM65,BO65,BQ65,BS65,BU65,BW65,BY65,CA65)</f>
        <v/>
      </c>
      <c r="C65" s="31" t="inlineStr">
        <is>
          <t>BAJFINANCE</t>
        </is>
      </c>
      <c r="D65" s="31" t="inlineStr">
        <is>
          <t>Bajaj Finance Limited</t>
        </is>
      </c>
      <c r="E65" s="31" t="inlineStr">
        <is>
          <t>financials</t>
        </is>
      </c>
      <c r="F65" s="31" t="inlineStr">
        <is>
          <t>finance &amp; investments</t>
        </is>
      </c>
      <c r="G65" s="31" t="inlineStr">
        <is>
          <t>largecap</t>
        </is>
      </c>
      <c r="H65" s="32" t="n">
        <v>624612.73</v>
      </c>
      <c r="I65" s="32" t="n">
        <v>1020.5</v>
      </c>
      <c r="J65" s="32" t="n">
        <v>1.66</v>
      </c>
      <c r="K65" s="32" t="n">
        <v>7039305</v>
      </c>
      <c r="L65" s="31" t="n">
        <v>20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60.6</v>
      </c>
      <c r="P65" s="32" t="n">
        <v>9.859999999999999</v>
      </c>
      <c r="Q65" s="32" t="n">
        <v>855.3099999999999</v>
      </c>
      <c r="R65" s="31" t="inlineStr">
        <is>
          <t>Earnings / Momentum Support</t>
        </is>
      </c>
      <c r="S65" s="31" t="inlineStr">
        <is>
          <t>Nifty Bank</t>
        </is>
      </c>
      <c r="T65" s="32" t="n">
        <v>2.28</v>
      </c>
      <c r="U65" s="32" t="n">
        <v>9.99</v>
      </c>
      <c r="V65" s="32" t="n">
        <v>7.55</v>
      </c>
      <c r="W65" s="32" t="n">
        <v>4.37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Fragmented with High ROE</t>
        </is>
      </c>
      <c r="AA65" s="31">
        <f>IF(Z65="Fragmented with Low ROE",-5,IF(Z65="Fragmented with High ROE",10,IF(Z65= "highly cyclical",5,0)))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Consistency)",15,IF(AF65="Shallow Cyclical (2 to 3 years growth)",10,IF(AF65 = "Cyclical in an Uptick",5,IF(AF65 = "Cyclical in an Downtick",-10,0))))</f>
        <v/>
      </c>
      <c r="AH65" s="31" t="inlineStr">
        <is>
          <t>Yes</t>
        </is>
      </c>
      <c r="AI65" s="31">
        <f>IF(AH65="Yes",10,0)</f>
        <v/>
      </c>
      <c r="AJ65" s="31" t="inlineStr">
        <is>
          <t>Yes</t>
        </is>
      </c>
      <c r="AK65" s="31">
        <f>IF(AJ65="Yes",10,0)</f>
        <v/>
      </c>
      <c r="AL65" s="31" t="n"/>
      <c r="AM65" s="31">
        <f>IF(AL65="No",10,0)</f>
        <v/>
      </c>
      <c r="AN65" s="31" t="inlineStr">
        <is>
          <t>Yes</t>
        </is>
      </c>
      <c r="AO65" s="31">
        <f>IF(AN65="Yes",10,0)</f>
        <v/>
      </c>
      <c r="AP65" s="31" t="inlineStr">
        <is>
          <t>No</t>
        </is>
      </c>
      <c r="AQ65" s="31">
        <f>IF(AP65="Yes",10,0)</f>
        <v/>
      </c>
      <c r="AR65" s="31" t="inlineStr">
        <is>
          <t>Yes</t>
        </is>
      </c>
      <c r="AS65" s="31">
        <f>IF(AR65="Yes",5,0)</f>
        <v/>
      </c>
      <c r="AT65" s="31" t="inlineStr">
        <is>
          <t>No</t>
        </is>
      </c>
      <c r="AU65" s="31">
        <f>IF(AT65="No",10,IF(AT65="Yes",-10,0))</f>
        <v/>
      </c>
      <c r="AV65" s="31" t="inlineStr">
        <is>
          <t>No</t>
        </is>
      </c>
      <c r="AW65" s="31">
        <f>IF(AV65="No",10,0)</f>
        <v/>
      </c>
      <c r="AX65" s="31" t="inlineStr">
        <is>
          <t>No</t>
        </is>
      </c>
      <c r="AY65" s="31">
        <f>IF(AX65="No",10,IF(AX65= "Yes CEO Resignation",-5,0))</f>
        <v/>
      </c>
      <c r="AZ65" s="31" t="inlineStr">
        <is>
          <t>No</t>
        </is>
      </c>
      <c r="BA65" s="31">
        <f>IF(AZ65="No",10,IF(AZ65="Yes",-5,0))</f>
        <v/>
      </c>
      <c r="BB65" s="31" t="inlineStr">
        <is>
          <t>No</t>
        </is>
      </c>
      <c r="BC65" s="31">
        <f>IF(BB65="No",5,IF(BB65="Yes",-5,0))</f>
        <v/>
      </c>
      <c r="BD65" s="31" t="inlineStr">
        <is>
          <t>Yes</t>
        </is>
      </c>
      <c r="BE65" s="31">
        <f>IF(BD65="Yes",10,0)</f>
        <v/>
      </c>
      <c r="BF65" s="31" t="inlineStr">
        <is>
          <t>Yes</t>
        </is>
      </c>
      <c r="BG65" s="31">
        <f>IF(BF65="Yes",10,0)</f>
        <v/>
      </c>
      <c r="BH65" s="31" t="inlineStr">
        <is>
          <t>Yes</t>
        </is>
      </c>
      <c r="BI65" s="31">
        <f>IF(BH65="Yes",10,0)</f>
        <v/>
      </c>
      <c r="BJ65" s="31" t="inlineStr">
        <is>
          <t>P/BV above 5x</t>
        </is>
      </c>
      <c r="BK65" s="31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1" t="inlineStr">
        <is>
          <t>0 to 20</t>
        </is>
      </c>
      <c r="BM65" s="31">
        <f>IF(BL65="Above 40",20,IF(BL65="20 to 40",10,IF(BL65="0 to 20",-5,0)))</f>
        <v/>
      </c>
      <c r="BN65" s="31" t="inlineStr">
        <is>
          <t>Between 50 to 75</t>
        </is>
      </c>
      <c r="BO65" s="31">
        <f>IF(BN65="Between 50 to 75",10,IF(BN65="Above 75",0,0))</f>
        <v/>
      </c>
      <c r="BP65" s="31" t="inlineStr">
        <is>
          <t>Stage 2</t>
        </is>
      </c>
      <c r="BQ65" s="31">
        <f>IF(BP65="Stage 2",20,IF(BP65="Stage 1",0,IF(BP65="Stage 3",5,IF(BP65="Stage 4",-5,0))))</f>
        <v/>
      </c>
      <c r="BR65" s="31" t="inlineStr">
        <is>
          <t>Positive Trend</t>
        </is>
      </c>
      <c r="BS65" s="31">
        <f>IF(BR65="Positive Trend",20,IF(BR65="Negative Trend",-10,0))</f>
        <v/>
      </c>
      <c r="BT65" s="31" t="inlineStr">
        <is>
          <t>Uptrend</t>
        </is>
      </c>
      <c r="BU65" s="31">
        <f>IF(BT65="Uptrend",10,IF(BT65="Sideways",5,0))</f>
        <v/>
      </c>
      <c r="BV65" s="31" t="inlineStr">
        <is>
          <t>Uptrend</t>
        </is>
      </c>
      <c r="BW65" s="31">
        <f>IF(BV65="Uptrend",10,IF(BV65="Sideways",5,0))</f>
        <v/>
      </c>
      <c r="BX65" s="31" t="inlineStr">
        <is>
          <t>Close to 52 week high or retracement</t>
        </is>
      </c>
      <c r="BY65" s="31">
        <f>IF(BX65="Overhead supply in last 2 years in last 2 years",-5,IF(BX65="Close to 52 week high or retracement",5,IF(BX65="Blue sky scenario",10,IF(BX65="Long term Downtrend",-10,0))))</f>
        <v/>
      </c>
      <c r="BZ65" s="31" t="inlineStr">
        <is>
          <t>Yes</t>
        </is>
      </c>
      <c r="CA65" s="31">
        <f>IF(BZ65="Yes",10,0)</f>
        <v/>
      </c>
    </row>
    <row r="66">
      <c r="A66" s="31">
        <f>IF(B66=0,"",RANK(B66,$B$2:$B$76,0))</f>
        <v/>
      </c>
      <c r="B66" s="32">
        <f>SUM(N66,Y66,AA66,AC66,AE66,AG66,AI66,AK66,AM66,AO66,AQ66,AS66,AU66,AW66,AY66,BA66,BC66,BE66,BG66,BI66,BK66,BM66,BO66,BQ66,BS66,BU66,BW66,BY66,CA66)</f>
        <v/>
      </c>
      <c r="C66" s="33" t="inlineStr">
        <is>
          <t>ICICIBANK</t>
        </is>
      </c>
      <c r="D66" s="33" t="inlineStr">
        <is>
          <t>Icici Bank Limited</t>
        </is>
      </c>
      <c r="E66" s="31" t="inlineStr">
        <is>
          <t>bank</t>
        </is>
      </c>
      <c r="F66" s="31" t="inlineStr">
        <is>
          <t>banks - private sector</t>
        </is>
      </c>
      <c r="G66" s="31" t="inlineStr">
        <is>
          <t>largecap</t>
        </is>
      </c>
      <c r="H66" s="32" t="n">
        <v>988596.74</v>
      </c>
      <c r="I66" s="32" t="n">
        <v>1401.2</v>
      </c>
      <c r="J66" s="32" t="n">
        <v>1.48</v>
      </c>
      <c r="K66" s="32" t="n">
        <v>6409645</v>
      </c>
      <c r="L66" s="31" t="n">
        <v>7</v>
      </c>
      <c r="M66" s="31" t="inlineStr">
        <is>
          <t>Underperforming</t>
        </is>
      </c>
      <c r="N66" s="32">
        <f>IF(M66="Underperforming",-5,IF(L66&gt;=95,15,IF(L66&gt;=90,10,IF(L66&gt;=80,5,0))))</f>
        <v/>
      </c>
      <c r="O66" s="32" t="n">
        <v>59.79</v>
      </c>
      <c r="P66" s="32" t="n">
        <v>11.7</v>
      </c>
      <c r="Q66" s="32" t="n">
        <v>1235.58</v>
      </c>
      <c r="R66" s="31" t="inlineStr">
        <is>
          <t>Near 52W High Breakout</t>
        </is>
      </c>
      <c r="S66" s="31" t="inlineStr">
        <is>
          <t>Nifty Bank</t>
        </is>
      </c>
      <c r="T66" s="32" t="n">
        <v>2.28</v>
      </c>
      <c r="U66" s="32" t="n">
        <v>-0.7</v>
      </c>
      <c r="V66" s="32" t="n">
        <v>-2.9</v>
      </c>
      <c r="W66" s="32" t="n">
        <v>1.14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Fragmented with High ROE</t>
        </is>
      </c>
      <c r="AA66" s="31">
        <f>IF(Z66="Fragmented with Low ROE",-5,IF(Z66="Fragmented with High ROE",10,IF(Z66= "highly cyclical",5,0)))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Consistency)",15,IF(AF66="Shallow Cyclical (2 to 3 years growth)",10,IF(AF66 = "Cyclical in an Uptick",5,IF(AF66 = "Cyclical in an Downtick",-10,0))))</f>
        <v/>
      </c>
      <c r="AH66" s="31" t="inlineStr">
        <is>
          <t>Yes</t>
        </is>
      </c>
      <c r="AI66" s="31">
        <f>IF(AH66="Yes",10,0)</f>
        <v/>
      </c>
      <c r="AJ66" s="31" t="inlineStr">
        <is>
          <t>Yes</t>
        </is>
      </c>
      <c r="AK66" s="31">
        <f>IF(AJ66="Yes",10,0)</f>
        <v/>
      </c>
      <c r="AL66" s="31" t="n"/>
      <c r="AM66" s="31">
        <f>IF(AL66="No",10,0)</f>
        <v/>
      </c>
      <c r="AN66" s="31" t="inlineStr">
        <is>
          <t>Yes</t>
        </is>
      </c>
      <c r="AO66" s="31">
        <f>IF(AN66="Yes",10,0)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Yes</t>
        </is>
      </c>
      <c r="AS66" s="31">
        <f>IF(AR66="Yes",5,0)</f>
        <v/>
      </c>
      <c r="AT66" s="31" t="inlineStr">
        <is>
          <t>No</t>
        </is>
      </c>
      <c r="AU66" s="31">
        <f>IF(AT66="No",10,IF(AT66="Yes",-10,0))</f>
        <v/>
      </c>
      <c r="AV66" s="31" t="inlineStr">
        <is>
          <t>No</t>
        </is>
      </c>
      <c r="AW66" s="31">
        <f>IF(AV66="No",10,0)</f>
        <v/>
      </c>
      <c r="AX66" s="31" t="inlineStr">
        <is>
          <t>No</t>
        </is>
      </c>
      <c r="AY66" s="31">
        <f>IF(AX66="No",10,IF(AX66= "Yes CEO Resignation",-5,0))</f>
        <v/>
      </c>
      <c r="AZ66" s="31" t="inlineStr">
        <is>
          <t>No</t>
        </is>
      </c>
      <c r="BA66" s="31">
        <f>IF(AZ66="No",10,IF(AZ66="Yes",-5,0))</f>
        <v/>
      </c>
      <c r="BB66" s="31" t="inlineStr">
        <is>
          <t>No</t>
        </is>
      </c>
      <c r="BC66" s="31">
        <f>IF(BB66="No",5,IF(BB66="Yes",-5,0))</f>
        <v/>
      </c>
      <c r="BD66" s="31" t="inlineStr">
        <is>
          <t>Yes</t>
        </is>
      </c>
      <c r="BE66" s="31">
        <f>IF(BD66="Yes",10,0)</f>
        <v/>
      </c>
      <c r="BF66" s="31" t="inlineStr">
        <is>
          <t>Yes</t>
        </is>
      </c>
      <c r="BG66" s="31">
        <f>IF(BF66="Yes",10,0)</f>
        <v/>
      </c>
      <c r="BH66" s="31" t="inlineStr">
        <is>
          <t>Yes</t>
        </is>
      </c>
      <c r="BI66" s="31">
        <f>IF(BH66="Yes",10,0)</f>
        <v/>
      </c>
      <c r="BJ66" s="31" t="inlineStr">
        <is>
          <t>P/BV between 2.5x to 5x and Growth less than 20%</t>
        </is>
      </c>
      <c r="BK66" s="31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1" t="inlineStr">
        <is>
          <t>0 to 20</t>
        </is>
      </c>
      <c r="BM66" s="31">
        <f>IF(BL66="Above 40",20,IF(BL66="20 to 40",10,IF(BL66="0 to 20",-5,0)))</f>
        <v/>
      </c>
      <c r="BN66" s="31" t="inlineStr">
        <is>
          <t>Between 50 to 75</t>
        </is>
      </c>
      <c r="BO66" s="31">
        <f>IF(BN66="Between 50 to 75",10,IF(BN66="Above 75",0,0))</f>
        <v/>
      </c>
      <c r="BP66" s="31" t="inlineStr">
        <is>
          <t>Stage 2</t>
        </is>
      </c>
      <c r="BQ66" s="31">
        <f>IF(BP66="Stage 2",20,IF(BP66="Stage 1",0,IF(BP66="Stage 3",5,IF(BP66="Stage 4",-5,0))))</f>
        <v/>
      </c>
      <c r="BR66" s="31" t="inlineStr">
        <is>
          <t>Positive Trend</t>
        </is>
      </c>
      <c r="BS66" s="31">
        <f>IF(BR66="Positive Trend",20,IF(BR66="Negative Trend",-10,0))</f>
        <v/>
      </c>
      <c r="BT66" s="31" t="inlineStr">
        <is>
          <t>Uptrend</t>
        </is>
      </c>
      <c r="BU66" s="31">
        <f>IF(BT66="Uptrend",10,IF(BT66="Sideways",5,0))</f>
        <v/>
      </c>
      <c r="BV66" s="31" t="inlineStr">
        <is>
          <t>Uptrend</t>
        </is>
      </c>
      <c r="BW66" s="31">
        <f>IF(BV66="Uptrend",10,IF(BV66="Sideways",5,0))</f>
        <v/>
      </c>
      <c r="BX66" s="31" t="inlineStr">
        <is>
          <t>Blue sky scenario</t>
        </is>
      </c>
      <c r="BY66" s="31">
        <f>IF(BX66="Overhead supply in last 2 years in last 2 years",-5,IF(BX66="Close to 52 week high or retracement",5,IF(BX66="Blue sky scenario",10,IF(BX66="Long term Downtrend",-10,0))))</f>
        <v/>
      </c>
      <c r="BZ66" s="31" t="inlineStr">
        <is>
          <t>Yes</t>
        </is>
      </c>
      <c r="CA66" s="31">
        <f>IF(BZ66="Yes",10,0)</f>
        <v/>
      </c>
    </row>
    <row r="67">
      <c r="A67" s="31">
        <f>IF(B67=0,"",RANK(B67,$B$2:$B$76,0))</f>
        <v/>
      </c>
      <c r="B67" s="32">
        <f>SUM(N67,Y67,AA67,AC67,AE67,AG67,AI67,AK67,AM67,AO67,AQ67,AS67,AU67,AW67,AY67,BA67,BC67,BE67,BG67,BI67,BK67,BM67,BO67,BQ67,BS67,BU67,BW67,BY67,CA67)</f>
        <v/>
      </c>
      <c r="C67" s="33" t="inlineStr">
        <is>
          <t>360ONE</t>
        </is>
      </c>
      <c r="D67" s="33" t="inlineStr">
        <is>
          <t>360 ONE WAM Ltd</t>
        </is>
      </c>
      <c r="E67" s="31" t="inlineStr">
        <is>
          <t>financials</t>
        </is>
      </c>
      <c r="F67" s="31" t="inlineStr">
        <is>
          <t>finance &amp; investments</t>
        </is>
      </c>
      <c r="G67" s="31" t="inlineStr">
        <is>
          <t>largecap</t>
        </is>
      </c>
      <c r="H67" s="32" t="n">
        <v>44683.35</v>
      </c>
      <c r="I67" s="32" t="n">
        <v>1129</v>
      </c>
      <c r="J67" s="32" t="n">
        <v>2.62</v>
      </c>
      <c r="K67" s="32" t="n">
        <v>2189050</v>
      </c>
      <c r="L67" s="31" t="n">
        <v>9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54.24</v>
      </c>
      <c r="P67" s="32" t="n">
        <v>11.97</v>
      </c>
      <c r="Q67" s="32" t="n">
        <v>916.5</v>
      </c>
      <c r="R67" s="31" t="inlineStr">
        <is>
          <t>Volume Spike / Accumulation</t>
        </is>
      </c>
      <c r="S67" s="31" t="inlineStr">
        <is>
          <t>Nifty Bank</t>
        </is>
      </c>
      <c r="T67" s="32" t="n">
        <v>2.28</v>
      </c>
      <c r="U67" s="32" t="n">
        <v>-4.41</v>
      </c>
      <c r="V67" s="32" t="n">
        <v>-6.54</v>
      </c>
      <c r="W67" s="32" t="n">
        <v>1.89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Fragmented with High ROE</t>
        </is>
      </c>
      <c r="AA67" s="31">
        <f>IF(Z67="Fragmented with Low ROE",-5,IF(Z67="Fragmented with High ROE",10,IF(Z67= "highly cyclical",5,0)))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Consistency)",15,IF(AF67="Shallow Cyclical (2 to 3 years growth)",10,IF(AF67 = "Cyclical in an Uptick",5,IF(AF67 = "Cyclical in an Downtick",-10,0))))</f>
        <v/>
      </c>
      <c r="AH67" s="31" t="inlineStr">
        <is>
          <t>Yes</t>
        </is>
      </c>
      <c r="AI67" s="31">
        <f>IF(AH67="Yes",10,0)</f>
        <v/>
      </c>
      <c r="AJ67" s="31" t="inlineStr">
        <is>
          <t>Yes</t>
        </is>
      </c>
      <c r="AK67" s="31">
        <f>IF(AJ67="Yes",10,0)</f>
        <v/>
      </c>
      <c r="AL67" s="31" t="n"/>
      <c r="AM67" s="31">
        <f>IF(AL67="No",10,0)</f>
        <v/>
      </c>
      <c r="AN67" s="31" t="inlineStr">
        <is>
          <t>Yes</t>
        </is>
      </c>
      <c r="AO67" s="31">
        <f>IF(AN67="Yes",10,0)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Yes</t>
        </is>
      </c>
      <c r="AS67" s="31">
        <f>IF(AR67="Yes",5,0)</f>
        <v/>
      </c>
      <c r="AT67" s="31" t="inlineStr">
        <is>
          <t>No</t>
        </is>
      </c>
      <c r="AU67" s="31">
        <f>IF(AT67="No",10,IF(AT67="Yes",-10,0))</f>
        <v/>
      </c>
      <c r="AV67" s="31" t="inlineStr">
        <is>
          <t>No</t>
        </is>
      </c>
      <c r="AW67" s="31">
        <f>IF(AV67="No",10,0)</f>
        <v/>
      </c>
      <c r="AX67" s="31" t="inlineStr">
        <is>
          <t>No</t>
        </is>
      </c>
      <c r="AY67" s="31">
        <f>IF(AX67="No",10,IF(AX67= "Yes CEO Resignation",-5,0))</f>
        <v/>
      </c>
      <c r="AZ67" s="31" t="inlineStr">
        <is>
          <t>No</t>
        </is>
      </c>
      <c r="BA67" s="31">
        <f>IF(AZ67="No",10,IF(AZ67="Yes",-5,0))</f>
        <v/>
      </c>
      <c r="BB67" s="31" t="inlineStr">
        <is>
          <t>No</t>
        </is>
      </c>
      <c r="BC67" s="31">
        <f>IF(BB67="No",5,IF(BB67="Yes",-5,0))</f>
        <v/>
      </c>
      <c r="BD67" s="31" t="inlineStr">
        <is>
          <t>Yes</t>
        </is>
      </c>
      <c r="BE67" s="31">
        <f>IF(BD67="Yes",10,0)</f>
        <v/>
      </c>
      <c r="BF67" s="31" t="inlineStr">
        <is>
          <t>Yes</t>
        </is>
      </c>
      <c r="BG67" s="31">
        <f>IF(BF67="Yes",10,0)</f>
        <v/>
      </c>
      <c r="BH67" s="31" t="inlineStr">
        <is>
          <t>Yes</t>
        </is>
      </c>
      <c r="BI67" s="31">
        <f>IF(BH67="Yes",10,0)</f>
        <v/>
      </c>
      <c r="BJ67" s="31" t="inlineStr">
        <is>
          <t>P/BV between 2.5x to 5x and Growth less than 20%</t>
        </is>
      </c>
      <c r="BK67" s="31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1" t="inlineStr">
        <is>
          <t>0 to 20</t>
        </is>
      </c>
      <c r="BM67" s="31">
        <f>IF(BL67="Above 40",20,IF(BL67="20 to 40",10,IF(BL67="0 to 20",-5,0)))</f>
        <v/>
      </c>
      <c r="BN67" s="31" t="inlineStr">
        <is>
          <t>Between 50 to 75</t>
        </is>
      </c>
      <c r="BO67" s="31">
        <f>IF(BN67="Between 50 to 75",10,IF(BN67="Above 75",0,0))</f>
        <v/>
      </c>
      <c r="BP67" s="31" t="inlineStr">
        <is>
          <t>Stage 2</t>
        </is>
      </c>
      <c r="BQ67" s="31">
        <f>IF(BP67="Stage 2",20,IF(BP67="Stage 1",0,IF(BP67="Stage 3",5,IF(BP67="Stage 4",-5,0))))</f>
        <v/>
      </c>
      <c r="BR67" s="31" t="inlineStr">
        <is>
          <t>Positive Trend</t>
        </is>
      </c>
      <c r="BS67" s="31">
        <f>IF(BR67="Positive Trend",20,IF(BR67="Negative Trend",-10,0))</f>
        <v/>
      </c>
      <c r="BT67" s="31" t="inlineStr">
        <is>
          <t>Uptrend</t>
        </is>
      </c>
      <c r="BU67" s="31">
        <f>IF(BT67="Uptrend",10,IF(BT67="Sideways",5,0))</f>
        <v/>
      </c>
      <c r="BV67" s="31" t="inlineStr">
        <is>
          <t>Uptrend</t>
        </is>
      </c>
      <c r="BW67" s="31">
        <f>IF(BV67="Uptrend",10,IF(BV67="Sideways",5,0))</f>
        <v/>
      </c>
      <c r="BX67" s="31" t="inlineStr">
        <is>
          <t>Close to 52 week high or retracement</t>
        </is>
      </c>
      <c r="BY67" s="31">
        <f>IF(BX67="Overhead supply in last 2 years in last 2 years",-5,IF(BX67="Close to 52 week high or retracement",5,IF(BX67="Blue sky scenario",10,IF(BX67="Long term Downtrend",-10,0))))</f>
        <v/>
      </c>
      <c r="BZ67" s="31" t="inlineStr">
        <is>
          <t>Yes</t>
        </is>
      </c>
      <c r="CA67" s="31">
        <f>IF(BZ67="Yes",10,0)</f>
        <v/>
      </c>
    </row>
    <row r="68">
      <c r="A68" s="31">
        <f>IF(B68=0,"",RANK(B68,$B$2:$B$76,0))</f>
        <v/>
      </c>
      <c r="B68" s="32">
        <f>SUM(N68,Y68,AA68,AC68,AE68,AG68,AI68,AK68,AM68,AO68,AQ68,AS68,AU68,AW68,AY68,BA68,BC68,BE68,BG68,BI68,BK68,BM68,BO68,BQ68,BS68,BU68,BW68,BY68,CA68)</f>
        <v/>
      </c>
      <c r="C68" s="33" t="inlineStr">
        <is>
          <t>5PAISA</t>
        </is>
      </c>
      <c r="D68" s="33" t="inlineStr">
        <is>
          <t>5Paisa Capital Ltd</t>
        </is>
      </c>
      <c r="E68" s="31" t="inlineStr">
        <is>
          <t>financials</t>
        </is>
      </c>
      <c r="F68" s="31" t="inlineStr">
        <is>
          <t>finance &amp; investments</t>
        </is>
      </c>
      <c r="G68" s="31" t="inlineStr">
        <is>
          <t>smallcap</t>
        </is>
      </c>
      <c r="H68" s="32" t="n">
        <v>1772.62</v>
      </c>
      <c r="I68" s="32" t="n">
        <v>368.95</v>
      </c>
      <c r="J68" s="32" t="n">
        <v>-2.42</v>
      </c>
      <c r="K68" s="32" t="n">
        <v>109517</v>
      </c>
      <c r="L68" s="31" t="n">
        <v>15</v>
      </c>
      <c r="M68" s="31" t="inlineStr">
        <is>
          <t>Underperforming</t>
        </is>
      </c>
      <c r="N68" s="32">
        <f>IF(M68="Underperforming",-5,IF(L68&gt;=95,15,IF(L68&gt;=90,10,IF(L68&gt;=80,5,0))))</f>
        <v/>
      </c>
      <c r="O68" s="32" t="n">
        <v>58.29</v>
      </c>
      <c r="P68" s="32" t="n">
        <v>11.81</v>
      </c>
      <c r="Q68" s="32" t="n">
        <v>290.39</v>
      </c>
      <c r="R68" s="31" t="inlineStr">
        <is>
          <t>Earnings / Momentum Support</t>
        </is>
      </c>
      <c r="S68" s="31" t="inlineStr">
        <is>
          <t>Nifty Bank</t>
        </is>
      </c>
      <c r="T68" s="32" t="n">
        <v>2.28</v>
      </c>
      <c r="U68" s="32" t="n">
        <v>-8.390000000000001</v>
      </c>
      <c r="V68" s="32" t="n">
        <v>-10.43</v>
      </c>
      <c r="W68" s="32" t="n">
        <v>3.26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Fragmented with High ROE</t>
        </is>
      </c>
      <c r="AA68" s="31">
        <f>IF(Z68="Fragmented with Low ROE",-5,IF(Z68="Fragmented with High ROE",10,IF(Z68= "highly cyclical",5,0)))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Consistency)",15,IF(AF68="Shallow Cyclical (2 to 3 years growth)",10,IF(AF68 = "Cyclical in an Uptick",5,IF(AF68 = "Cyclical in an Downtick",-10,0))))</f>
        <v/>
      </c>
      <c r="AH68" s="31" t="inlineStr">
        <is>
          <t>Yes</t>
        </is>
      </c>
      <c r="AI68" s="31">
        <f>IF(AH68="Yes",10,0)</f>
        <v/>
      </c>
      <c r="AJ68" s="31" t="inlineStr">
        <is>
          <t>Yes</t>
        </is>
      </c>
      <c r="AK68" s="31">
        <f>IF(AJ68="Yes",10,0)</f>
        <v/>
      </c>
      <c r="AL68" s="31" t="n"/>
      <c r="AM68" s="31">
        <f>IF(AL68="No",10,0)</f>
        <v/>
      </c>
      <c r="AN68" s="31" t="inlineStr">
        <is>
          <t>Yes</t>
        </is>
      </c>
      <c r="AO68" s="31">
        <f>IF(AN68="Yes",10,0)</f>
        <v/>
      </c>
      <c r="AP68" s="31" t="inlineStr">
        <is>
          <t>No</t>
        </is>
      </c>
      <c r="AQ68" s="31">
        <f>IF(AP68="Yes",10,0)</f>
        <v/>
      </c>
      <c r="AR68" s="31" t="inlineStr">
        <is>
          <t>Yes</t>
        </is>
      </c>
      <c r="AS68" s="31">
        <f>IF(AR68="Yes",5,0)</f>
        <v/>
      </c>
      <c r="AT68" s="31" t="inlineStr">
        <is>
          <t>No</t>
        </is>
      </c>
      <c r="AU68" s="31">
        <f>IF(AT68="No",10,IF(AT68="Yes",-10,0))</f>
        <v/>
      </c>
      <c r="AV68" s="31" t="inlineStr">
        <is>
          <t>No</t>
        </is>
      </c>
      <c r="AW68" s="31">
        <f>IF(AV68="No",10,0)</f>
        <v/>
      </c>
      <c r="AX68" s="31" t="inlineStr">
        <is>
          <t>No</t>
        </is>
      </c>
      <c r="AY68" s="31">
        <f>IF(AX68="No",10,IF(AX68= "Yes CEO Resignation",-5,0))</f>
        <v/>
      </c>
      <c r="AZ68" s="31" t="inlineStr">
        <is>
          <t>No</t>
        </is>
      </c>
      <c r="BA68" s="31">
        <f>IF(AZ68="No",10,IF(AZ68="Yes",-5,0))</f>
        <v/>
      </c>
      <c r="BB68" s="31" t="inlineStr">
        <is>
          <t>No</t>
        </is>
      </c>
      <c r="BC68" s="31">
        <f>IF(BB68="No",5,IF(BB68="Yes",-5,0))</f>
        <v/>
      </c>
      <c r="BD68" s="31" t="inlineStr">
        <is>
          <t>Yes</t>
        </is>
      </c>
      <c r="BE68" s="31">
        <f>IF(BD68="Yes",10,0)</f>
        <v/>
      </c>
      <c r="BF68" s="31" t="inlineStr">
        <is>
          <t>Yes</t>
        </is>
      </c>
      <c r="BG68" s="31">
        <f>IF(BF68="Yes",10,0)</f>
        <v/>
      </c>
      <c r="BH68" s="31" t="inlineStr">
        <is>
          <t>Yes</t>
        </is>
      </c>
      <c r="BI68" s="31">
        <f>IF(BH68="Yes",10,0)</f>
        <v/>
      </c>
      <c r="BJ68" s="31" t="inlineStr">
        <is>
          <t>P/BV less than 2.5x and Growth less than 20%</t>
        </is>
      </c>
      <c r="BK68" s="31">
        <f>IF(BJ68="P/BV less than 2.5x and Growth more than 20%",20,IF(BJ68 = "P/BV less than 2.5x and Growth less than 20%",5,IF(BJ68="P/BV between 2.5x to 5x and Growth more than 20%",10,IF(BJ68= "P/BV between 2.5x to 5x and Growth less than 20%",-5,IF(BJ68= "P/BV above 5x",-5,0)))))</f>
        <v/>
      </c>
      <c r="BL68" s="31" t="inlineStr">
        <is>
          <t>0 to 20</t>
        </is>
      </c>
      <c r="BM68" s="31">
        <f>IF(BL68="Above 40",20,IF(BL68="20 to 40",10,IF(BL68="0 to 20",-5,0)))</f>
        <v/>
      </c>
      <c r="BN68" s="31" t="inlineStr">
        <is>
          <t>Between 50 to 75</t>
        </is>
      </c>
      <c r="BO68" s="31">
        <f>IF(BN68="Between 50 to 75",10,IF(BN68="Above 75",0,0))</f>
        <v/>
      </c>
      <c r="BP68" s="31" t="inlineStr">
        <is>
          <t>Stage 2</t>
        </is>
      </c>
      <c r="BQ68" s="31">
        <f>IF(BP68="Stage 2",20,IF(BP68="Stage 1",0,IF(BP68="Stage 3",5,IF(BP68="Stage 4",-5,0))))</f>
        <v/>
      </c>
      <c r="BR68" s="31" t="inlineStr">
        <is>
          <t>Positive Trend</t>
        </is>
      </c>
      <c r="BS68" s="31">
        <f>IF(BR68="Positive Trend",20,IF(BR68="Negative Trend",-10,0))</f>
        <v/>
      </c>
      <c r="BT68" s="31" t="inlineStr">
        <is>
          <t>Uptrend</t>
        </is>
      </c>
      <c r="BU68" s="31">
        <f>IF(BT68="Uptrend",10,IF(BT68="Sideways",5,0))</f>
        <v/>
      </c>
      <c r="BV68" s="31" t="inlineStr">
        <is>
          <t>Uptrend</t>
        </is>
      </c>
      <c r="BW68" s="31">
        <f>IF(BV68="Uptrend",10,IF(BV68="Sideways",5,0))</f>
        <v/>
      </c>
      <c r="BX68" s="31" t="inlineStr">
        <is>
          <t>Close to 52 week high or retracement</t>
        </is>
      </c>
      <c r="BY68" s="31">
        <f>IF(BX68="Overhead supply in last 2 years in last 2 years",-5,IF(BX68="Close to 52 week high or retracement",5,IF(BX68="Blue sky scenario",10,IF(BX68="Long term Downtrend",-10,0))))</f>
        <v/>
      </c>
      <c r="BZ68" s="31" t="inlineStr">
        <is>
          <t>Yes</t>
        </is>
      </c>
      <c r="CA68" s="31">
        <f>IF(BZ68="Yes",10,0)</f>
        <v/>
      </c>
    </row>
    <row r="69">
      <c r="A69" s="31">
        <f>IF(B69=0,"",RANK(B69,$B$2:$B$76,0))</f>
        <v/>
      </c>
      <c r="B69" s="32">
        <f>SUM(N69,Y69,AA69,AC69,AE69,AG69,AI69,AK69,AM69,AO69,AQ69,AS69,AU69,AW69,AY69,BA69,BC69,BE69,BG69,BI69,BK69,BM69,BO69,BQ69,BS69,BU69,BW69,BY69,CA69)</f>
        <v/>
      </c>
      <c r="C69" s="31" t="inlineStr">
        <is>
          <t>TVSHLTD</t>
        </is>
      </c>
      <c r="D69" s="31" t="inlineStr">
        <is>
          <t>TVS Holdings Ltd</t>
        </is>
      </c>
      <c r="E69" s="31" t="inlineStr">
        <is>
          <t>financials</t>
        </is>
      </c>
      <c r="F69" s="31" t="inlineStr">
        <is>
          <t>finance &amp; investments</t>
        </is>
      </c>
      <c r="G69" s="31" t="inlineStr">
        <is>
          <t>largecap</t>
        </is>
      </c>
      <c r="H69" s="32" t="n">
        <v>28231.88</v>
      </c>
      <c r="I69" s="32" t="n">
        <v>14000</v>
      </c>
      <c r="J69" s="32" t="n">
        <v>0.33</v>
      </c>
      <c r="K69" s="32" t="n">
        <v>2317</v>
      </c>
      <c r="L69" s="31" t="n">
        <v>22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52.02</v>
      </c>
      <c r="P69" s="32" t="n">
        <v>10.85</v>
      </c>
      <c r="Q69" s="32" t="n">
        <v>12169.88</v>
      </c>
      <c r="R69" s="31" t="inlineStr">
        <is>
          <t>Earnings / Momentum Support</t>
        </is>
      </c>
      <c r="S69" s="31" t="inlineStr">
        <is>
          <t>Nifty Bank</t>
        </is>
      </c>
      <c r="T69" s="32" t="n">
        <v>2.28</v>
      </c>
      <c r="U69" s="32" t="n">
        <v>25.42</v>
      </c>
      <c r="V69" s="32" t="n">
        <v>22.63</v>
      </c>
      <c r="W69" s="32" t="n">
        <v>4.58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Fragmented with High ROE</t>
        </is>
      </c>
      <c r="AA69" s="31">
        <f>IF(Z69="Fragmented with Low ROE",-5,IF(Z69="Fragmented with High ROE",10,IF(Z69= "highly cyclical",5,0)))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Consistency)",15,IF(AF69="Shallow Cyclical (2 to 3 years growth)",10,IF(AF69 = "Cyclical in an Uptick",5,IF(AF69 = "Cyclical in an Downtick",-10,0))))</f>
        <v/>
      </c>
      <c r="AH69" s="31" t="inlineStr">
        <is>
          <t>Yes</t>
        </is>
      </c>
      <c r="AI69" s="31">
        <f>IF(AH69="Yes",10,0)</f>
        <v/>
      </c>
      <c r="AJ69" s="31" t="inlineStr">
        <is>
          <t>Yes</t>
        </is>
      </c>
      <c r="AK69" s="31">
        <f>IF(AJ69="Yes",10,0)</f>
        <v/>
      </c>
      <c r="AL69" s="31" t="n"/>
      <c r="AM69" s="31">
        <f>IF(AL69="No",10,0)</f>
        <v/>
      </c>
      <c r="AN69" s="31" t="inlineStr">
        <is>
          <t>Yes</t>
        </is>
      </c>
      <c r="AO69" s="31">
        <f>IF(AN69="Yes",10,0)</f>
        <v/>
      </c>
      <c r="AP69" s="31" t="inlineStr">
        <is>
          <t>No</t>
        </is>
      </c>
      <c r="AQ69" s="31">
        <f>IF(AP69="Yes",10,0)</f>
        <v/>
      </c>
      <c r="AR69" s="31" t="inlineStr">
        <is>
          <t>Yes</t>
        </is>
      </c>
      <c r="AS69" s="31">
        <f>IF(AR69="Yes",5,0)</f>
        <v/>
      </c>
      <c r="AT69" s="31" t="inlineStr">
        <is>
          <t>No</t>
        </is>
      </c>
      <c r="AU69" s="31">
        <f>IF(AT69="No",10,IF(AT69="Yes",-10,0))</f>
        <v/>
      </c>
      <c r="AV69" s="31" t="inlineStr">
        <is>
          <t>No</t>
        </is>
      </c>
      <c r="AW69" s="31">
        <f>IF(AV69="No",10,0)</f>
        <v/>
      </c>
      <c r="AX69" s="31" t="inlineStr">
        <is>
          <t>No</t>
        </is>
      </c>
      <c r="AY69" s="31">
        <f>IF(AX69="No",10,IF(AX69= "Yes CEO Resignation",-5,0))</f>
        <v/>
      </c>
      <c r="AZ69" s="31" t="inlineStr">
        <is>
          <t>No</t>
        </is>
      </c>
      <c r="BA69" s="31">
        <f>IF(AZ69="No",10,IF(AZ69="Yes",-5,0))</f>
        <v/>
      </c>
      <c r="BB69" s="31" t="inlineStr">
        <is>
          <t>No</t>
        </is>
      </c>
      <c r="BC69" s="31">
        <f>IF(BB69="No",5,IF(BB69="Yes",-5,0))</f>
        <v/>
      </c>
      <c r="BD69" s="31" t="inlineStr">
        <is>
          <t>Yes</t>
        </is>
      </c>
      <c r="BE69" s="31">
        <f>IF(BD69="Yes",10,0)</f>
        <v/>
      </c>
      <c r="BF69" s="31" t="inlineStr">
        <is>
          <t>Yes</t>
        </is>
      </c>
      <c r="BG69" s="31">
        <f>IF(BF69="Yes",10,0)</f>
        <v/>
      </c>
      <c r="BH69" s="31" t="inlineStr">
        <is>
          <t>Yes</t>
        </is>
      </c>
      <c r="BI69" s="31">
        <f>IF(BH69="Yes",10,0)</f>
        <v/>
      </c>
      <c r="BJ69" s="31" t="inlineStr">
        <is>
          <t>P/BV between 2.5x to 5x and Growth more than 20%</t>
        </is>
      </c>
      <c r="BK69" s="31">
        <f>IF(BJ69="P/BV less than 2.5x and Growth more than 20%",20,IF(BJ69 = "P/BV less than 2.5x and Growth less than 20%",5,IF(BJ69="P/BV between 2.5x to 5x and Growth more than 20%",10,IF(BJ69= "P/BV between 2.5x to 5x and Growth less than 20%",-5,IF(BJ69= "P/BV above 5x",-5,0)))))</f>
        <v/>
      </c>
      <c r="BL69" s="31" t="inlineStr">
        <is>
          <t>0 to 20</t>
        </is>
      </c>
      <c r="BM69" s="31">
        <f>IF(BL69="Above 40",20,IF(BL69="20 to 40",10,IF(BL69="0 to 20",-5,0)))</f>
        <v/>
      </c>
      <c r="BN69" s="31" t="inlineStr">
        <is>
          <t>Between 50 to 75</t>
        </is>
      </c>
      <c r="BO69" s="31">
        <f>IF(BN69="Between 50 to 75",10,IF(BN69="Above 75",0,0))</f>
        <v/>
      </c>
      <c r="BP69" s="31" t="inlineStr">
        <is>
          <t>Stage 1</t>
        </is>
      </c>
      <c r="BQ69" s="31">
        <f>IF(BP69="Stage 2",20,IF(BP69="Stage 1",0,IF(BP69="Stage 3",5,IF(BP69="Stage 4",-5,0))))</f>
        <v/>
      </c>
      <c r="BR69" s="31" t="inlineStr">
        <is>
          <t>Positive Trend</t>
        </is>
      </c>
      <c r="BS69" s="31">
        <f>IF(BR69="Positive Trend",20,IF(BR69="Negative Trend",-10,0))</f>
        <v/>
      </c>
      <c r="BT69" s="31" t="inlineStr">
        <is>
          <t>Uptrend</t>
        </is>
      </c>
      <c r="BU69" s="31">
        <f>IF(BT69="Uptrend",10,IF(BT69="Sideways",5,0))</f>
        <v/>
      </c>
      <c r="BV69" s="31" t="inlineStr">
        <is>
          <t>Uptrend</t>
        </is>
      </c>
      <c r="BW69" s="31">
        <f>IF(BV69="Uptrend",10,IF(BV69="Sideways",5,0))</f>
        <v/>
      </c>
      <c r="BX69" s="31" t="inlineStr">
        <is>
          <t>Close to 52 week high or retracement</t>
        </is>
      </c>
      <c r="BY69" s="31">
        <f>IF(BX69="Overhead supply in last 2 years in last 2 years",-5,IF(BX69="Close to 52 week high or retracement",5,IF(BX69="Blue sky scenario",10,IF(BX69="Long term Downtrend",-10,0))))</f>
        <v/>
      </c>
      <c r="BZ69" s="31" t="inlineStr">
        <is>
          <t>Yes</t>
        </is>
      </c>
      <c r="CA69" s="31">
        <f>IF(BZ69="Yes",10,0)</f>
        <v/>
      </c>
    </row>
    <row r="70">
      <c r="A70" s="31">
        <f>IF(B70=0,"",RANK(B70,$B$2:$B$76,0))</f>
        <v/>
      </c>
      <c r="B70" s="32">
        <f>SUM(N70,Y70,AA70,AC70,AE70,AG70,AI70,AK70,AM70,AO70,AQ70,AS70,AU70,AW70,AY70,BA70,BC70,BE70,BG70,BI70,BK70,BM70,BO70,BQ70,BS70,BU70,BW70,BY70,CA70)</f>
        <v/>
      </c>
      <c r="C70" s="33" t="inlineStr">
        <is>
          <t>BAJAJFINSV</t>
        </is>
      </c>
      <c r="D70" s="33" t="inlineStr">
        <is>
          <t>Bajaj Finserv Limited</t>
        </is>
      </c>
      <c r="E70" s="31" t="inlineStr">
        <is>
          <t>financials</t>
        </is>
      </c>
      <c r="F70" s="31" t="inlineStr">
        <is>
          <t>finance &amp; investments</t>
        </is>
      </c>
      <c r="G70" s="31" t="inlineStr">
        <is>
          <t>largecap</t>
        </is>
      </c>
      <c r="H70" s="32" t="n">
        <v>303304.22</v>
      </c>
      <c r="I70" s="32" t="n">
        <v>1916</v>
      </c>
      <c r="J70" s="32" t="n">
        <v>1.11</v>
      </c>
      <c r="K70" s="32" t="n">
        <v>822382</v>
      </c>
      <c r="L70" s="31" t="n">
        <v>4</v>
      </c>
      <c r="M70" s="31" t="inlineStr">
        <is>
          <t>Underperforming</t>
        </is>
      </c>
      <c r="N70" s="32">
        <f>IF(M70="Underperforming",-5,IF(L70&gt;=95,15,IF(L70&gt;=90,10,IF(L70&gt;=80,5,0))))</f>
        <v/>
      </c>
      <c r="O70" s="32" t="n">
        <v>55.65</v>
      </c>
      <c r="P70" s="32" t="n">
        <v>17.23</v>
      </c>
      <c r="Q70" s="32" t="n">
        <v>1625.64</v>
      </c>
      <c r="R70" s="31" t="inlineStr">
        <is>
          <t>Earnings / Momentum Support</t>
        </is>
      </c>
      <c r="S70" s="31" t="inlineStr">
        <is>
          <t>Nifty Bank</t>
        </is>
      </c>
      <c r="T70" s="32" t="n">
        <v>2.28</v>
      </c>
      <c r="U70" s="32" t="n">
        <v>-4.94</v>
      </c>
      <c r="V70" s="32" t="n">
        <v>-7.05</v>
      </c>
      <c r="W70" s="32" t="n">
        <v>0.31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Fragmented with High ROE</t>
        </is>
      </c>
      <c r="AA70" s="31">
        <f>IF(Z70="Fragmented with Low ROE",-5,IF(Z70="Fragmented with High ROE",10,IF(Z70= "highly cyclical",5,0)))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Consistency)",15,IF(AF70="Shallow Cyclical (2 to 3 years growth)",10,IF(AF70 = "Cyclical in an Uptick",5,IF(AF70 = "Cyclical in an Downtick",-10,0))))</f>
        <v/>
      </c>
      <c r="AH70" s="31" t="inlineStr">
        <is>
          <t>Yes</t>
        </is>
      </c>
      <c r="AI70" s="31">
        <f>IF(AH70="Yes",10,0)</f>
        <v/>
      </c>
      <c r="AJ70" s="31" t="inlineStr">
        <is>
          <t>Yes</t>
        </is>
      </c>
      <c r="AK70" s="31">
        <f>IF(AJ70="Yes",10,0)</f>
        <v/>
      </c>
      <c r="AL70" s="31" t="n"/>
      <c r="AM70" s="31">
        <f>IF(AL70="No",10,0)</f>
        <v/>
      </c>
      <c r="AN70" s="31" t="inlineStr">
        <is>
          <t>Yes</t>
        </is>
      </c>
      <c r="AO70" s="31">
        <f>IF(AN70="Yes",10,0)</f>
        <v/>
      </c>
      <c r="AP70" s="31" t="inlineStr">
        <is>
          <t>No</t>
        </is>
      </c>
      <c r="AQ70" s="31">
        <f>IF(AP70="Yes",10,0)</f>
        <v/>
      </c>
      <c r="AR70" s="31" t="inlineStr">
        <is>
          <t>Yes</t>
        </is>
      </c>
      <c r="AS70" s="31">
        <f>IF(AR70="Yes",5,0)</f>
        <v/>
      </c>
      <c r="AT70" s="31" t="inlineStr">
        <is>
          <t>No</t>
        </is>
      </c>
      <c r="AU70" s="31">
        <f>IF(AT70="No",10,IF(AT70="Yes",-10,0))</f>
        <v/>
      </c>
      <c r="AV70" s="31" t="inlineStr">
        <is>
          <t>No</t>
        </is>
      </c>
      <c r="AW70" s="31">
        <f>IF(AV70="No",10,0)</f>
        <v/>
      </c>
      <c r="AX70" s="31" t="inlineStr">
        <is>
          <t>No</t>
        </is>
      </c>
      <c r="AY70" s="31">
        <f>IF(AX70="No",10,IF(AX70= "Yes CEO Resignation",-5,0))</f>
        <v/>
      </c>
      <c r="AZ70" s="31" t="inlineStr">
        <is>
          <t>No</t>
        </is>
      </c>
      <c r="BA70" s="31">
        <f>IF(AZ70="No",10,IF(AZ70="Yes",-5,0))</f>
        <v/>
      </c>
      <c r="BB70" s="31" t="inlineStr">
        <is>
          <t>No</t>
        </is>
      </c>
      <c r="BC70" s="31">
        <f>IF(BB70="No",5,IF(BB70="Yes",-5,0))</f>
        <v/>
      </c>
      <c r="BD70" s="31" t="inlineStr">
        <is>
          <t>Yes</t>
        </is>
      </c>
      <c r="BE70" s="31">
        <f>IF(BD70="Yes",10,0)</f>
        <v/>
      </c>
      <c r="BF70" s="31" t="inlineStr">
        <is>
          <t>Yes</t>
        </is>
      </c>
      <c r="BG70" s="31">
        <f>IF(BF70="Yes",10,0)</f>
        <v/>
      </c>
      <c r="BH70" s="31" t="inlineStr">
        <is>
          <t>Yes</t>
        </is>
      </c>
      <c r="BI70" s="31">
        <f>IF(BH70="Yes",10,0)</f>
        <v/>
      </c>
      <c r="BJ70" s="31" t="inlineStr">
        <is>
          <t>P/BV between 2.5x to 5x and Growth less than 20%</t>
        </is>
      </c>
      <c r="BK70" s="31">
        <f>IF(BJ70="P/BV less than 2.5x and Growth more than 20%",20,IF(BJ70 = "P/BV less than 2.5x and Growth less than 20%",5,IF(BJ70="P/BV between 2.5x to 5x and Growth more than 20%",10,IF(BJ70= "P/BV between 2.5x to 5x and Growth less than 20%",-5,IF(BJ70= "P/BV above 5x",-5,0)))))</f>
        <v/>
      </c>
      <c r="BL70" s="31" t="inlineStr">
        <is>
          <t>0 to 20</t>
        </is>
      </c>
      <c r="BM70" s="31">
        <f>IF(BL70="Above 40",20,IF(BL70="20 to 40",10,IF(BL70="0 to 20",-5,0)))</f>
        <v/>
      </c>
      <c r="BN70" s="31" t="inlineStr">
        <is>
          <t>Between 50 to 75</t>
        </is>
      </c>
      <c r="BO70" s="31">
        <f>IF(BN70="Between 50 to 75",10,IF(BN70="Above 75",0,0))</f>
        <v/>
      </c>
      <c r="BP70" s="31" t="inlineStr">
        <is>
          <t>Stage 1</t>
        </is>
      </c>
      <c r="BQ70" s="31">
        <f>IF(BP70="Stage 2",20,IF(BP70="Stage 1",0,IF(BP70="Stage 3",5,IF(BP70="Stage 4",-5,0))))</f>
        <v/>
      </c>
      <c r="BR70" s="31" t="inlineStr">
        <is>
          <t>Positive Trend</t>
        </is>
      </c>
      <c r="BS70" s="31">
        <f>IF(BR70="Positive Trend",20,IF(BR70="Negative Trend",-10,0))</f>
        <v/>
      </c>
      <c r="BT70" s="31" t="inlineStr">
        <is>
          <t>Uptrend</t>
        </is>
      </c>
      <c r="BU70" s="31">
        <f>IF(BT70="Uptrend",10,IF(BT70="Sideways",5,0))</f>
        <v/>
      </c>
      <c r="BV70" s="31" t="inlineStr">
        <is>
          <t>Uptrend</t>
        </is>
      </c>
      <c r="BW70" s="31">
        <f>IF(BV70="Uptrend",10,IF(BV70="Sideways",5,0))</f>
        <v/>
      </c>
      <c r="BX70" s="31" t="inlineStr">
        <is>
          <t>Close to 52 week high or retracement</t>
        </is>
      </c>
      <c r="BY70" s="31">
        <f>IF(BX70="Overhead supply in last 2 years in last 2 years",-5,IF(BX70="Close to 52 week high or retracement",5,IF(BX70="Blue sky scenario",10,IF(BX70="Long term Downtrend",-10,0))))</f>
        <v/>
      </c>
      <c r="BZ70" s="31" t="inlineStr">
        <is>
          <t>Yes</t>
        </is>
      </c>
      <c r="CA70" s="31">
        <f>IF(BZ70="Yes",10,0)</f>
        <v/>
      </c>
    </row>
    <row r="71">
      <c r="A71" s="31">
        <f>IF(B71=0,"",RANK(B71,$B$2:$B$76,0))</f>
        <v/>
      </c>
      <c r="B71" s="32">
        <f>SUM(N71,Y71,AA71,AC71,AE71,AG71,AI71,AK71,AM71,AO71,AQ71,AS71,AU71,AW71,AY71,BA71,BC71,BE71,BG71,BI71,BK71,BM71,BO71,BQ71,BS71,BU71,BW71,BY71,CA71)</f>
        <v/>
      </c>
      <c r="C71" s="31" t="inlineStr">
        <is>
          <t>MOTILALOFS</t>
        </is>
      </c>
      <c r="D71" s="31" t="inlineStr">
        <is>
          <t>Motilal Oswal Financial Services Limited</t>
        </is>
      </c>
      <c r="E71" s="31" t="inlineStr">
        <is>
          <t>financials</t>
        </is>
      </c>
      <c r="F71" s="31" t="inlineStr">
        <is>
          <t>finance &amp; investments</t>
        </is>
      </c>
      <c r="G71" s="31" t="inlineStr">
        <is>
          <t>largecap</t>
        </is>
      </c>
      <c r="H71" s="32" t="n">
        <v>56725.31</v>
      </c>
      <c r="I71" s="32" t="n">
        <v>979.35</v>
      </c>
      <c r="J71" s="32" t="n">
        <v>3.91</v>
      </c>
      <c r="K71" s="32" t="n">
        <v>1344275</v>
      </c>
      <c r="L71" s="31" t="inlineStr"/>
      <c r="M71" s="31" t="inlineStr"/>
      <c r="N71" s="32">
        <f>IF(M71="Underperforming",-5,IF(L71&gt;=95,15,IF(L71&gt;=90,10,IF(L71&gt;=80,5,0))))</f>
        <v/>
      </c>
      <c r="O71" s="32" t="inlineStr"/>
      <c r="P71" s="32" t="inlineStr"/>
      <c r="Q71" s="32" t="inlineStr"/>
      <c r="R71" s="31" t="inlineStr"/>
      <c r="S71" s="31" t="inlineStr"/>
      <c r="T71" s="32" t="inlineStr"/>
      <c r="U71" s="32" t="inlineStr"/>
      <c r="V71" s="32" t="inlineStr"/>
      <c r="W71" s="32" t="inlineStr"/>
      <c r="X71" s="31" t="n"/>
      <c r="Y71" s="31">
        <f>IF(X71="Growing Industry",10,IF(X71="Cyclical in an Upturn",5,0))</f>
        <v/>
      </c>
      <c r="Z71" s="31" t="n"/>
      <c r="AA71" s="31">
        <f>IF(Z71="Fragmented with Low ROE",-5,IF(Z71="Fragmented with High ROE",10,IF(Z71= "highly cyclical",5,0)))</f>
        <v/>
      </c>
      <c r="AB71" s="31" t="n"/>
      <c r="AC71" s="31">
        <f>IF(AB71="No",5,0)</f>
        <v/>
      </c>
      <c r="AD71" s="31" t="n"/>
      <c r="AE71" s="31">
        <f>IF(AD71="Tailwind",10,0)</f>
        <v/>
      </c>
      <c r="AF71" s="31" t="n"/>
      <c r="AG71" s="31">
        <f>IF(AF71="Structural (10 Years Consistency)",15,IF(AF71="Shallow Cyclical (2 to 3 years growth)",10,IF(AF71 = "Cyclical in an Uptick",5,IF(AF71 = "Cyclical in an Downtick",-10,0))))</f>
        <v/>
      </c>
      <c r="AH71" s="31" t="n"/>
      <c r="AI71" s="31">
        <f>IF(AH71="Yes",10,0)</f>
        <v/>
      </c>
      <c r="AJ71" s="31" t="n"/>
      <c r="AK71" s="31">
        <f>IF(AJ71="Yes",10,0)</f>
        <v/>
      </c>
      <c r="AL71" s="31" t="n"/>
      <c r="AM71" s="31">
        <f>IF(AL71="No",10,0)</f>
        <v/>
      </c>
      <c r="AN71" s="31" t="n"/>
      <c r="AO71" s="31">
        <f>IF(AN71="Yes",10,0)</f>
        <v/>
      </c>
      <c r="AP71" s="31" t="n"/>
      <c r="AQ71" s="31">
        <f>IF(AP71="Yes",10,0)</f>
        <v/>
      </c>
      <c r="AR71" s="31" t="n"/>
      <c r="AS71" s="31">
        <f>IF(AR71="Yes",5,0)</f>
        <v/>
      </c>
      <c r="AT71" s="31" t="n"/>
      <c r="AU71" s="31">
        <f>IF(AT71="No",10,IF(AT71="Yes",-10,0))</f>
        <v/>
      </c>
      <c r="AV71" s="31" t="n"/>
      <c r="AW71" s="31">
        <f>IF(AV71="No",10,0)</f>
        <v/>
      </c>
      <c r="AX71" s="31" t="n"/>
      <c r="AY71" s="31">
        <f>IF(AX71="No",10,IF(AX71= "Yes CEO Resignation",-5,0))</f>
        <v/>
      </c>
      <c r="AZ71" s="31" t="n"/>
      <c r="BA71" s="31">
        <f>IF(AZ71="No",10,IF(AZ71="Yes",-5,0))</f>
        <v/>
      </c>
      <c r="BB71" s="31" t="n"/>
      <c r="BC71" s="31">
        <f>IF(BB71="No",5,IF(BB71="Yes",-5,0))</f>
        <v/>
      </c>
      <c r="BD71" s="31" t="n"/>
      <c r="BE71" s="31">
        <f>IF(BD71="Yes",10,0)</f>
        <v/>
      </c>
      <c r="BF71" s="31" t="n"/>
      <c r="BG71" s="31">
        <f>IF(BF71="Yes",10,0)</f>
        <v/>
      </c>
      <c r="BH71" s="31" t="n"/>
      <c r="BI71" s="31">
        <f>IF(BH71="Yes",10,0)</f>
        <v/>
      </c>
      <c r="BJ71" s="31" t="n"/>
      <c r="BK71" s="31">
        <f>IF(BJ71="P/BV less than 2.5x and Growth more than 20%",20,IF(BJ71 = "P/BV less than 2.5x and Growth less than 20%",5,IF(BJ71="P/BV between 2.5x to 5x and Growth more than 20%",10,IF(BJ71= "P/BV between 2.5x to 5x and Growth less than 20%",-5,IF(BJ71= "P/BV above 5x",-5,0)))))</f>
        <v/>
      </c>
      <c r="BL71" s="31" t="n"/>
      <c r="BM71" s="31">
        <f>IF(BL71="Above 40",20,IF(BL71="20 to 40",10,IF(BL71="0 to 20",-5,0)))</f>
        <v/>
      </c>
      <c r="BN71" s="31" t="n"/>
      <c r="BO71" s="31">
        <f>IF(BN71="Between 50 to 75",10,IF(BN71="Above 75",0,0))</f>
        <v/>
      </c>
      <c r="BP71" s="31" t="n"/>
      <c r="BQ71" s="31">
        <f>IF(BP71="Stage 2",20,IF(BP71="Stage 1",0,IF(BP71="Stage 3",5,IF(BP71="Stage 4",-5,0))))</f>
        <v/>
      </c>
      <c r="BR71" s="31" t="n"/>
      <c r="BS71" s="31">
        <f>IF(BR71="Positive Trend",20,IF(BR71="Negative Trend",-10,0))</f>
        <v/>
      </c>
      <c r="BT71" s="31" t="n"/>
      <c r="BU71" s="31">
        <f>IF(BT71="Uptrend",10,IF(BT71="Sideways",5,0))</f>
        <v/>
      </c>
      <c r="BV71" s="31" t="n"/>
      <c r="BW71" s="31">
        <f>IF(BV71="Uptrend",10,IF(BV71="Sideways",5,0))</f>
        <v/>
      </c>
      <c r="BX71" s="31" t="n"/>
      <c r="BY71" s="31">
        <f>IF(BX71="Overhead supply in last 2 years in last 2 years",-5,IF(BX71="Close to 52 week high or retracement",5,IF(BX71="Blue sky scenario",10,IF(BX71="Long term Downtrend",-10,0))))</f>
        <v/>
      </c>
      <c r="BZ71" s="31" t="n"/>
      <c r="CA71" s="31">
        <f>IF(BZ71="Yes",10,0)</f>
        <v/>
      </c>
    </row>
    <row r="72">
      <c r="A72" s="31">
        <f>IF(B72=0,"",RANK(B72,$B$2:$B$76,0))</f>
        <v/>
      </c>
      <c r="B72" s="32">
        <f>SUM(N72,Y72,AA72,AC72,AE72,AG72,AI72,AK72,AM72,AO72,AQ72,AS72,AU72,AW72,AY72,BA72,BC72,BE72,BG72,BI72,BK72,BM72,BO72,BQ72,BS72,BU72,BW72,BY72,CA72)</f>
        <v/>
      </c>
      <c r="C72" s="31" t="inlineStr">
        <is>
          <t>ESAFSFB</t>
        </is>
      </c>
      <c r="D72" s="31" t="inlineStr">
        <is>
          <t>ESAF Small Finance Bank Ltd</t>
        </is>
      </c>
      <c r="E72" s="31" t="inlineStr">
        <is>
          <t>bank</t>
        </is>
      </c>
      <c r="F72" s="31" t="inlineStr">
        <is>
          <t>banks - private sector</t>
        </is>
      </c>
      <c r="G72" s="31" t="inlineStr">
        <is>
          <t>smallcap</t>
        </is>
      </c>
      <c r="H72" s="32" t="n">
        <v>1782.13</v>
      </c>
      <c r="I72" s="32" t="n">
        <v>35.73</v>
      </c>
      <c r="J72" s="32" t="n">
        <v>3.39</v>
      </c>
      <c r="K72" s="32" t="n">
        <v>3641340</v>
      </c>
      <c r="L72" s="31" t="inlineStr"/>
      <c r="M72" s="31" t="inlineStr"/>
      <c r="N72" s="32">
        <f>IF(M72="Underperforming",-5,IF(L72&gt;=95,15,IF(L72&gt;=90,10,IF(L72&gt;=80,5,0))))</f>
        <v/>
      </c>
      <c r="O72" s="32" t="inlineStr"/>
      <c r="P72" s="32" t="inlineStr"/>
      <c r="Q72" s="32" t="inlineStr"/>
      <c r="R72" s="31" t="inlineStr"/>
      <c r="S72" s="31" t="inlineStr"/>
      <c r="T72" s="32" t="inlineStr"/>
      <c r="U72" s="32" t="inlineStr"/>
      <c r="V72" s="32" t="inlineStr"/>
      <c r="W72" s="32" t="inlineStr"/>
      <c r="X72" s="31" t="n"/>
      <c r="Y72" s="31">
        <f>IF(X72="Growing Industry",10,IF(X72="Cyclical in an Upturn",5,0))</f>
        <v/>
      </c>
      <c r="Z72" s="31" t="n"/>
      <c r="AA72" s="31">
        <f>IF(Z72="Fragmented with Low ROE",-5,IF(Z72="Fragmented with High ROE",10,IF(Z72= "highly cyclical",5,0)))</f>
        <v/>
      </c>
      <c r="AB72" s="31" t="n"/>
      <c r="AC72" s="31">
        <f>IF(AB72="No",5,0)</f>
        <v/>
      </c>
      <c r="AD72" s="31" t="n"/>
      <c r="AE72" s="31">
        <f>IF(AD72="Tailwind",10,0)</f>
        <v/>
      </c>
      <c r="AF72" s="31" t="n"/>
      <c r="AG72" s="31">
        <f>IF(AF72="Structural (10 Years Consistency)",15,IF(AF72="Shallow Cyclical (2 to 3 years growth)",10,IF(AF72 = "Cyclical in an Uptick",5,IF(AF72 = "Cyclical in an Downtick",-10,0))))</f>
        <v/>
      </c>
      <c r="AH72" s="31" t="n"/>
      <c r="AI72" s="31">
        <f>IF(AH72="Yes",10,0)</f>
        <v/>
      </c>
      <c r="AJ72" s="31" t="n"/>
      <c r="AK72" s="31">
        <f>IF(AJ72="Yes",10,0)</f>
        <v/>
      </c>
      <c r="AL72" s="31" t="n"/>
      <c r="AM72" s="31">
        <f>IF(AL72="No",10,0)</f>
        <v/>
      </c>
      <c r="AN72" s="31" t="n"/>
      <c r="AO72" s="31">
        <f>IF(AN72="Yes",10,0)</f>
        <v/>
      </c>
      <c r="AP72" s="31" t="n"/>
      <c r="AQ72" s="31">
        <f>IF(AP72="Yes",10,0)</f>
        <v/>
      </c>
      <c r="AR72" s="31" t="n"/>
      <c r="AS72" s="31">
        <f>IF(AR72="Yes",5,0)</f>
        <v/>
      </c>
      <c r="AT72" s="31" t="n"/>
      <c r="AU72" s="31">
        <f>IF(AT72="No",10,IF(AT72="Yes",-10,0))</f>
        <v/>
      </c>
      <c r="AV72" s="31" t="n"/>
      <c r="AW72" s="31">
        <f>IF(AV72="No",10,0)</f>
        <v/>
      </c>
      <c r="AX72" s="31" t="n"/>
      <c r="AY72" s="31">
        <f>IF(AX72="No",10,IF(AX72= "Yes CEO Resignation",-5,0))</f>
        <v/>
      </c>
      <c r="AZ72" s="31" t="n"/>
      <c r="BA72" s="31">
        <f>IF(AZ72="No",10,IF(AZ72="Yes",-5,0))</f>
        <v/>
      </c>
      <c r="BB72" s="31" t="n"/>
      <c r="BC72" s="31">
        <f>IF(BB72="No",5,IF(BB72="Yes",-5,0))</f>
        <v/>
      </c>
      <c r="BD72" s="31" t="n"/>
      <c r="BE72" s="31">
        <f>IF(BD72="Yes",10,0)</f>
        <v/>
      </c>
      <c r="BF72" s="31" t="n"/>
      <c r="BG72" s="31">
        <f>IF(BF72="Yes",10,0)</f>
        <v/>
      </c>
      <c r="BH72" s="31" t="n"/>
      <c r="BI72" s="31">
        <f>IF(BH72="Yes",10,0)</f>
        <v/>
      </c>
      <c r="BJ72" s="31" t="n"/>
      <c r="BK72" s="31">
        <f>IF(BJ72="P/BV less than 2.5x and Growth more than 20%",20,IF(BJ72 = "P/BV less than 2.5x and Growth less than 20%",5,IF(BJ72="P/BV between 2.5x to 5x and Growth more than 20%",10,IF(BJ72= "P/BV between 2.5x to 5x and Growth less than 20%",-5,IF(BJ72= "P/BV above 5x",-5,0)))))</f>
        <v/>
      </c>
      <c r="BL72" s="31" t="n"/>
      <c r="BM72" s="31">
        <f>IF(BL72="Above 40",20,IF(BL72="20 to 40",10,IF(BL72="0 to 20",-5,0)))</f>
        <v/>
      </c>
      <c r="BN72" s="31" t="n"/>
      <c r="BO72" s="31">
        <f>IF(BN72="Between 50 to 75",10,IF(BN72="Above 75",0,0))</f>
        <v/>
      </c>
      <c r="BP72" s="31" t="n"/>
      <c r="BQ72" s="31">
        <f>IF(BP72="Stage 2",20,IF(BP72="Stage 1",0,IF(BP72="Stage 3",5,IF(BP72="Stage 4",-5,0))))</f>
        <v/>
      </c>
      <c r="BR72" s="31" t="n"/>
      <c r="BS72" s="31">
        <f>IF(BR72="Positive Trend",20,IF(BR72="Negative Trend",-10,0))</f>
        <v/>
      </c>
      <c r="BT72" s="31" t="n"/>
      <c r="BU72" s="31">
        <f>IF(BT72="Uptrend",10,IF(BT72="Sideways",5,0))</f>
        <v/>
      </c>
      <c r="BV72" s="31" t="n"/>
      <c r="BW72" s="31">
        <f>IF(BV72="Uptrend",10,IF(BV72="Sideways",5,0))</f>
        <v/>
      </c>
      <c r="BX72" s="31" t="n"/>
      <c r="BY72" s="31">
        <f>IF(BX72="Overhead supply in last 2 years in last 2 years",-5,IF(BX72="Close to 52 week high or retracement",5,IF(BX72="Blue sky scenario",10,IF(BX72="Long term Downtrend",-10,0))))</f>
        <v/>
      </c>
      <c r="BZ72" s="31" t="n"/>
      <c r="CA72" s="31">
        <f>IF(BZ72="Yes",10,0)</f>
        <v/>
      </c>
    </row>
    <row r="73">
      <c r="A73" s="31">
        <f>IF(B73=0,"",RANK(B73,$B$2:$B$76,0))</f>
        <v/>
      </c>
      <c r="B73" s="32">
        <f>SUM(N73,Y73,AA73,AC73,AE73,AG73,AI73,AK73,AM73,AO73,AQ73,AS73,AU73,AW73,AY73,BA73,BC73,BE73,BG73,BI73,BK73,BM73,BO73,BQ73,BS73,BU73,BW73,BY73,CA73)</f>
        <v/>
      </c>
      <c r="C73" s="31" t="inlineStr">
        <is>
          <t>HDBFS</t>
        </is>
      </c>
      <c r="D73" s="31" t="inlineStr">
        <is>
          <t>HDB Financial Services Ltd</t>
        </is>
      </c>
      <c r="E73" s="31" t="inlineStr">
        <is>
          <t>financials</t>
        </is>
      </c>
      <c r="F73" s="31" t="inlineStr">
        <is>
          <t>finance &amp; investments</t>
        </is>
      </c>
      <c r="G73" s="31" t="inlineStr">
        <is>
          <t>largecap</t>
        </is>
      </c>
      <c r="H73" s="32" t="n">
        <v>61020.75</v>
      </c>
      <c r="I73" s="32" t="n">
        <v>755.45</v>
      </c>
      <c r="J73" s="32" t="n">
        <v>2.8</v>
      </c>
      <c r="K73" s="32" t="n">
        <v>802191</v>
      </c>
      <c r="L73" s="31" t="inlineStr"/>
      <c r="M73" s="31" t="inlineStr"/>
      <c r="N73" s="32">
        <f>IF(M73="Underperforming",-5,IF(L73&gt;=95,15,IF(L73&gt;=90,10,IF(L73&gt;=80,5,0))))</f>
        <v/>
      </c>
      <c r="O73" s="32" t="inlineStr"/>
      <c r="P73" s="32" t="inlineStr"/>
      <c r="Q73" s="32" t="inlineStr"/>
      <c r="R73" s="31" t="inlineStr"/>
      <c r="S73" s="31" t="inlineStr"/>
      <c r="T73" s="32" t="inlineStr"/>
      <c r="U73" s="32" t="inlineStr"/>
      <c r="V73" s="32" t="inlineStr"/>
      <c r="W73" s="32" t="inlineStr"/>
      <c r="X73" s="31" t="n"/>
      <c r="Y73" s="31">
        <f>IF(X73="Growing Industry",10,IF(X73="Cyclical in an Upturn",5,0))</f>
        <v/>
      </c>
      <c r="Z73" s="31" t="n"/>
      <c r="AA73" s="31">
        <f>IF(Z73="Fragmented with Low ROE",-5,IF(Z73="Fragmented with High ROE",10,IF(Z73= "highly cyclical",5,0)))</f>
        <v/>
      </c>
      <c r="AB73" s="31" t="n"/>
      <c r="AC73" s="31">
        <f>IF(AB73="No",5,0)</f>
        <v/>
      </c>
      <c r="AD73" s="31" t="n"/>
      <c r="AE73" s="31">
        <f>IF(AD73="Tailwind",10,0)</f>
        <v/>
      </c>
      <c r="AF73" s="31" t="n"/>
      <c r="AG73" s="31">
        <f>IF(AF73="Structural (10 Years Consistency)",15,IF(AF73="Shallow Cyclical (2 to 3 years growth)",10,IF(AF73 = "Cyclical in an Uptick",5,IF(AF73 = "Cyclical in an Downtick",-10,0))))</f>
        <v/>
      </c>
      <c r="AH73" s="31" t="n"/>
      <c r="AI73" s="31">
        <f>IF(AH73="Yes",10,0)</f>
        <v/>
      </c>
      <c r="AJ73" s="31" t="n"/>
      <c r="AK73" s="31">
        <f>IF(AJ73="Yes",10,0)</f>
        <v/>
      </c>
      <c r="AL73" s="31" t="n"/>
      <c r="AM73" s="31">
        <f>IF(AL73="No",10,0)</f>
        <v/>
      </c>
      <c r="AN73" s="31" t="n"/>
      <c r="AO73" s="31">
        <f>IF(AN73="Yes",10,0)</f>
        <v/>
      </c>
      <c r="AP73" s="31" t="n"/>
      <c r="AQ73" s="31">
        <f>IF(AP73="Yes",10,0)</f>
        <v/>
      </c>
      <c r="AR73" s="31" t="n"/>
      <c r="AS73" s="31">
        <f>IF(AR73="Yes",5,0)</f>
        <v/>
      </c>
      <c r="AT73" s="31" t="n"/>
      <c r="AU73" s="31">
        <f>IF(AT73="No",10,IF(AT73="Yes",-10,0))</f>
        <v/>
      </c>
      <c r="AV73" s="31" t="n"/>
      <c r="AW73" s="31">
        <f>IF(AV73="No",10,0)</f>
        <v/>
      </c>
      <c r="AX73" s="31" t="n"/>
      <c r="AY73" s="31">
        <f>IF(AX73="No",10,IF(AX73= "Yes CEO Resignation",-5,0))</f>
        <v/>
      </c>
      <c r="AZ73" s="31" t="n"/>
      <c r="BA73" s="31">
        <f>IF(AZ73="No",10,IF(AZ73="Yes",-5,0))</f>
        <v/>
      </c>
      <c r="BB73" s="31" t="n"/>
      <c r="BC73" s="31">
        <f>IF(BB73="No",5,IF(BB73="Yes",-5,0))</f>
        <v/>
      </c>
      <c r="BD73" s="31" t="n"/>
      <c r="BE73" s="31">
        <f>IF(BD73="Yes",10,0)</f>
        <v/>
      </c>
      <c r="BF73" s="31" t="n"/>
      <c r="BG73" s="31">
        <f>IF(BF73="Yes",10,0)</f>
        <v/>
      </c>
      <c r="BH73" s="31" t="n"/>
      <c r="BI73" s="31">
        <f>IF(BH73="Yes",10,0)</f>
        <v/>
      </c>
      <c r="BJ73" s="31" t="n"/>
      <c r="BK73" s="31">
        <f>IF(BJ73="P/BV less than 2.5x and Growth more than 20%",20,IF(BJ73 = "P/BV less than 2.5x and Growth less than 20%",5,IF(BJ73="P/BV between 2.5x to 5x and Growth more than 20%",10,IF(BJ73= "P/BV between 2.5x to 5x and Growth less than 20%",-5,IF(BJ73= "P/BV above 5x",-5,0)))))</f>
        <v/>
      </c>
      <c r="BL73" s="31" t="n"/>
      <c r="BM73" s="31">
        <f>IF(BL73="Above 40",20,IF(BL73="20 to 40",10,IF(BL73="0 to 20",-5,0)))</f>
        <v/>
      </c>
      <c r="BN73" s="31" t="n"/>
      <c r="BO73" s="31">
        <f>IF(BN73="Between 50 to 75",10,IF(BN73="Above 75",0,0))</f>
        <v/>
      </c>
      <c r="BP73" s="31" t="n"/>
      <c r="BQ73" s="31">
        <f>IF(BP73="Stage 2",20,IF(BP73="Stage 1",0,IF(BP73="Stage 3",5,IF(BP73="Stage 4",-5,0))))</f>
        <v/>
      </c>
      <c r="BR73" s="31" t="n"/>
      <c r="BS73" s="31">
        <f>IF(BR73="Positive Trend",20,IF(BR73="Negative Trend",-10,0))</f>
        <v/>
      </c>
      <c r="BT73" s="31" t="n"/>
      <c r="BU73" s="31">
        <f>IF(BT73="Uptrend",10,IF(BT73="Sideways",5,0))</f>
        <v/>
      </c>
      <c r="BV73" s="31" t="n"/>
      <c r="BW73" s="31">
        <f>IF(BV73="Uptrend",10,IF(BV73="Sideways",5,0))</f>
        <v/>
      </c>
      <c r="BX73" s="31" t="n"/>
      <c r="BY73" s="31">
        <f>IF(BX73="Overhead supply in last 2 years in last 2 years",-5,IF(BX73="Close to 52 week high or retracement",5,IF(BX73="Blue sky scenario",10,IF(BX73="Long term Downtrend",-10,0))))</f>
        <v/>
      </c>
      <c r="BZ73" s="31" t="n"/>
      <c r="CA73" s="31">
        <f>IF(BZ73="Yes",10,0)</f>
        <v/>
      </c>
    </row>
    <row r="74">
      <c r="A74" s="31">
        <f>IF(B74=0,"",RANK(B74,$B$2:$B$76,0))</f>
        <v/>
      </c>
      <c r="B74" s="32">
        <f>SUM(N74,Y74,AA74,AC74,AE74,AG74,AI74,AK74,AM74,AO74,AQ74,AS74,AU74,AW74,AY74,BA74,BC74,BE74,BG74,BI74,BK74,BM74,BO74,BQ74,BS74,BU74,BW74,BY74,CA74)</f>
        <v/>
      </c>
      <c r="C74" s="31" t="inlineStr">
        <is>
          <t>ANANDRATHI</t>
        </is>
      </c>
      <c r="D74" s="31" t="inlineStr">
        <is>
          <t>Anand Rathi Wealth Ltd</t>
        </is>
      </c>
      <c r="E74" s="31" t="inlineStr">
        <is>
          <t>financials</t>
        </is>
      </c>
      <c r="F74" s="31" t="inlineStr">
        <is>
          <t>finance &amp; investments</t>
        </is>
      </c>
      <c r="G74" s="31" t="inlineStr">
        <is>
          <t>largecap</t>
        </is>
      </c>
      <c r="H74" s="32" t="n">
        <v>34795.61</v>
      </c>
      <c r="I74" s="32" t="n">
        <v>2146.8</v>
      </c>
      <c r="J74" s="32" t="n">
        <v>2.44</v>
      </c>
      <c r="K74" s="32" t="n">
        <v>1767986</v>
      </c>
      <c r="L74" s="31" t="inlineStr"/>
      <c r="M74" s="31" t="inlineStr"/>
      <c r="N74" s="32">
        <f>IF(M74="Underperforming",-5,IF(L74&gt;=95,15,IF(L74&gt;=90,10,IF(L74&gt;=80,5,0))))</f>
        <v/>
      </c>
      <c r="O74" s="32" t="inlineStr"/>
      <c r="P74" s="32" t="inlineStr"/>
      <c r="Q74" s="32" t="inlineStr"/>
      <c r="R74" s="31" t="inlineStr"/>
      <c r="S74" s="31" t="inlineStr"/>
      <c r="T74" s="32" t="inlineStr"/>
      <c r="U74" s="32" t="inlineStr"/>
      <c r="V74" s="32" t="inlineStr"/>
      <c r="W74" s="32" t="inlineStr"/>
      <c r="X74" s="31" t="n"/>
      <c r="Y74" s="31">
        <f>IF(X74="Growing Industry",10,IF(X74="Cyclical in an Upturn",5,0))</f>
        <v/>
      </c>
      <c r="Z74" s="31" t="n"/>
      <c r="AA74" s="31">
        <f>IF(Z74="Fragmented with Low ROE",-5,IF(Z74="Fragmented with High ROE",10,IF(Z74= "highly cyclical",5,0)))</f>
        <v/>
      </c>
      <c r="AB74" s="31" t="n"/>
      <c r="AC74" s="31">
        <f>IF(AB74="No",5,0)</f>
        <v/>
      </c>
      <c r="AD74" s="31" t="n"/>
      <c r="AE74" s="31">
        <f>IF(AD74="Tailwind",10,0)</f>
        <v/>
      </c>
      <c r="AF74" s="31" t="n"/>
      <c r="AG74" s="31">
        <f>IF(AF74="Structural (10 Years Consistency)",15,IF(AF74="Shallow Cyclical (2 to 3 years growth)",10,IF(AF74 = "Cyclical in an Uptick",5,IF(AF74 = "Cyclical in an Downtick",-10,0))))</f>
        <v/>
      </c>
      <c r="AH74" s="31" t="n"/>
      <c r="AI74" s="31">
        <f>IF(AH74="Yes",10,0)</f>
        <v/>
      </c>
      <c r="AJ74" s="31" t="n"/>
      <c r="AK74" s="31">
        <f>IF(AJ74="Yes",10,0)</f>
        <v/>
      </c>
      <c r="AL74" s="31" t="n"/>
      <c r="AM74" s="31">
        <f>IF(AL74="No",10,0)</f>
        <v/>
      </c>
      <c r="AN74" s="31" t="n"/>
      <c r="AO74" s="31">
        <f>IF(AN74="Yes",10,0)</f>
        <v/>
      </c>
      <c r="AP74" s="31" t="n"/>
      <c r="AQ74" s="31">
        <f>IF(AP74="Yes",10,0)</f>
        <v/>
      </c>
      <c r="AR74" s="31" t="n"/>
      <c r="AS74" s="31">
        <f>IF(AR74="Yes",5,0)</f>
        <v/>
      </c>
      <c r="AT74" s="31" t="n"/>
      <c r="AU74" s="31">
        <f>IF(AT74="No",10,IF(AT74="Yes",-10,0))</f>
        <v/>
      </c>
      <c r="AV74" s="31" t="n"/>
      <c r="AW74" s="31">
        <f>IF(AV74="No",10,0)</f>
        <v/>
      </c>
      <c r="AX74" s="31" t="n"/>
      <c r="AY74" s="31">
        <f>IF(AX74="No",10,IF(AX74= "Yes CEO Resignation",-5,0))</f>
        <v/>
      </c>
      <c r="AZ74" s="31" t="n"/>
      <c r="BA74" s="31">
        <f>IF(AZ74="No",10,IF(AZ74="Yes",-5,0))</f>
        <v/>
      </c>
      <c r="BB74" s="31" t="n"/>
      <c r="BC74" s="31">
        <f>IF(BB74="No",5,IF(BB74="Yes",-5,0))</f>
        <v/>
      </c>
      <c r="BD74" s="31" t="n"/>
      <c r="BE74" s="31">
        <f>IF(BD74="Yes",10,0)</f>
        <v/>
      </c>
      <c r="BF74" s="31" t="n"/>
      <c r="BG74" s="31">
        <f>IF(BF74="Yes",10,0)</f>
        <v/>
      </c>
      <c r="BH74" s="31" t="n"/>
      <c r="BI74" s="31">
        <f>IF(BH74="Yes",10,0)</f>
        <v/>
      </c>
      <c r="BJ74" s="31" t="n"/>
      <c r="BK74" s="31">
        <f>IF(BJ74="P/BV less than 2.5x and Growth more than 20%",20,IF(BJ74 = "P/BV less than 2.5x and Growth less than 20%",5,IF(BJ74="P/BV between 2.5x to 5x and Growth more than 20%",10,IF(BJ74= "P/BV between 2.5x to 5x and Growth less than 20%",-5,IF(BJ74= "P/BV above 5x",-5,0)))))</f>
        <v/>
      </c>
      <c r="BL74" s="31" t="n"/>
      <c r="BM74" s="31">
        <f>IF(BL74="Above 40",20,IF(BL74="20 to 40",10,IF(BL74="0 to 20",-5,0)))</f>
        <v/>
      </c>
      <c r="BN74" s="31" t="n"/>
      <c r="BO74" s="31">
        <f>IF(BN74="Between 50 to 75",10,IF(BN74="Above 75",0,0))</f>
        <v/>
      </c>
      <c r="BP74" s="31" t="n"/>
      <c r="BQ74" s="31">
        <f>IF(BP74="Stage 2",20,IF(BP74="Stage 1",0,IF(BP74="Stage 3",5,IF(BP74="Stage 4",-5,0))))</f>
        <v/>
      </c>
      <c r="BR74" s="31" t="n"/>
      <c r="BS74" s="31">
        <f>IF(BR74="Positive Trend",20,IF(BR74="Negative Trend",-10,0))</f>
        <v/>
      </c>
      <c r="BT74" s="31" t="n"/>
      <c r="BU74" s="31">
        <f>IF(BT74="Uptrend",10,IF(BT74="Sideways",5,0))</f>
        <v/>
      </c>
      <c r="BV74" s="31" t="n"/>
      <c r="BW74" s="31">
        <f>IF(BV74="Uptrend",10,IF(BV74="Sideways",5,0))</f>
        <v/>
      </c>
      <c r="BX74" s="31" t="n"/>
      <c r="BY74" s="31">
        <f>IF(BX74="Overhead supply in last 2 years in last 2 years",-5,IF(BX74="Close to 52 week high or retracement",5,IF(BX74="Blue sky scenario",10,IF(BX74="Long term Downtrend",-10,0))))</f>
        <v/>
      </c>
      <c r="BZ74" s="31" t="n"/>
      <c r="CA74" s="31">
        <f>IF(BZ74="Yes",10,0)</f>
        <v/>
      </c>
    </row>
    <row r="75">
      <c r="A75" s="31">
        <f>IF(B75=0,"",RANK(B75,$B$2:$B$76,0))</f>
        <v/>
      </c>
      <c r="B75" s="32">
        <f>SUM(N75,Y75,AA75,AC75,AE75,AG75,AI75,AK75,AM75,AO75,AQ75,AS75,AU75,AW75,AY75,BA75,BC75,BE75,BG75,BI75,BK75,BM75,BO75,BQ75,BS75,BU75,BW75,BY75,CA75)</f>
        <v/>
      </c>
      <c r="C75" s="31" t="inlineStr">
        <is>
          <t>SHRIRAMFIN</t>
        </is>
      </c>
      <c r="D75" s="31" t="inlineStr">
        <is>
          <t>Shriram Finance Ltd</t>
        </is>
      </c>
      <c r="E75" s="31" t="inlineStr">
        <is>
          <t>financials</t>
        </is>
      </c>
      <c r="F75" s="31" t="inlineStr">
        <is>
          <t>finance &amp; investments</t>
        </is>
      </c>
      <c r="G75" s="31" t="inlineStr">
        <is>
          <t>largecap</t>
        </is>
      </c>
      <c r="H75" s="32" t="n">
        <v>242726.66</v>
      </c>
      <c r="I75" s="32" t="n">
        <v>1044.1</v>
      </c>
      <c r="J75" s="32" t="n">
        <v>1.2</v>
      </c>
      <c r="K75" s="32" t="n">
        <v>2773549</v>
      </c>
      <c r="L75" s="31" t="inlineStr"/>
      <c r="M75" s="31" t="inlineStr"/>
      <c r="N75" s="32">
        <f>IF(M75="Underperforming",-5,IF(L75&gt;=95,15,IF(L75&gt;=90,10,IF(L75&gt;=80,5,0))))</f>
        <v/>
      </c>
      <c r="O75" s="32" t="inlineStr"/>
      <c r="P75" s="32" t="inlineStr"/>
      <c r="Q75" s="32" t="inlineStr"/>
      <c r="R75" s="31" t="inlineStr"/>
      <c r="S75" s="31" t="inlineStr"/>
      <c r="T75" s="32" t="inlineStr"/>
      <c r="U75" s="32" t="inlineStr"/>
      <c r="V75" s="32" t="inlineStr"/>
      <c r="W75" s="32" t="inlineStr"/>
      <c r="X75" s="31" t="n"/>
      <c r="Y75" s="31">
        <f>IF(X75="Growing Industry",10,IF(X75="Cyclical in an Upturn",5,0))</f>
        <v/>
      </c>
      <c r="Z75" s="31" t="n"/>
      <c r="AA75" s="31">
        <f>IF(Z75="Fragmented with Low ROE",-5,IF(Z75="Fragmented with High ROE",10,IF(Z75= "highly cyclical",5,0)))</f>
        <v/>
      </c>
      <c r="AB75" s="31" t="n"/>
      <c r="AC75" s="31">
        <f>IF(AB75="No",5,0)</f>
        <v/>
      </c>
      <c r="AD75" s="31" t="n"/>
      <c r="AE75" s="31">
        <f>IF(AD75="Tailwind",10,0)</f>
        <v/>
      </c>
      <c r="AF75" s="31" t="n"/>
      <c r="AG75" s="31">
        <f>IF(AF75="Structural (10 Years Consistency)",15,IF(AF75="Shallow Cyclical (2 to 3 years growth)",10,IF(AF75 = "Cyclical in an Uptick",5,IF(AF75 = "Cyclical in an Downtick",-10,0))))</f>
        <v/>
      </c>
      <c r="AH75" s="31" t="n"/>
      <c r="AI75" s="31">
        <f>IF(AH75="Yes",10,0)</f>
        <v/>
      </c>
      <c r="AJ75" s="31" t="n"/>
      <c r="AK75" s="31">
        <f>IF(AJ75="Yes",10,0)</f>
        <v/>
      </c>
      <c r="AL75" s="31" t="n"/>
      <c r="AM75" s="31">
        <f>IF(AL75="No",10,0)</f>
        <v/>
      </c>
      <c r="AN75" s="31" t="n"/>
      <c r="AO75" s="31">
        <f>IF(AN75="Yes",10,0)</f>
        <v/>
      </c>
      <c r="AP75" s="31" t="n"/>
      <c r="AQ75" s="31">
        <f>IF(AP75="Yes",10,0)</f>
        <v/>
      </c>
      <c r="AR75" s="31" t="n"/>
      <c r="AS75" s="31">
        <f>IF(AR75="Yes",5,0)</f>
        <v/>
      </c>
      <c r="AT75" s="31" t="n"/>
      <c r="AU75" s="31">
        <f>IF(AT75="No",10,IF(AT75="Yes",-10,0))</f>
        <v/>
      </c>
      <c r="AV75" s="31" t="n"/>
      <c r="AW75" s="31">
        <f>IF(AV75="No",10,0)</f>
        <v/>
      </c>
      <c r="AX75" s="31" t="n"/>
      <c r="AY75" s="31">
        <f>IF(AX75="No",10,IF(AX75= "Yes CEO Resignation",-5,0))</f>
        <v/>
      </c>
      <c r="AZ75" s="31" t="n"/>
      <c r="BA75" s="31">
        <f>IF(AZ75="No",10,IF(AZ75="Yes",-5,0))</f>
        <v/>
      </c>
      <c r="BB75" s="31" t="n"/>
      <c r="BC75" s="31">
        <f>IF(BB75="No",5,IF(BB75="Yes",-5,0))</f>
        <v/>
      </c>
      <c r="BD75" s="31" t="n"/>
      <c r="BE75" s="31">
        <f>IF(BD75="Yes",10,0)</f>
        <v/>
      </c>
      <c r="BF75" s="31" t="n"/>
      <c r="BG75" s="31">
        <f>IF(BF75="Yes",10,0)</f>
        <v/>
      </c>
      <c r="BH75" s="31" t="n"/>
      <c r="BI75" s="31">
        <f>IF(BH75="Yes",10,0)</f>
        <v/>
      </c>
      <c r="BJ75" s="31" t="n"/>
      <c r="BK75" s="31">
        <f>IF(BJ75="P/BV less than 2.5x and Growth more than 20%",20,IF(BJ75 = "P/BV less than 2.5x and Growth less than 20%",5,IF(BJ75="P/BV between 2.5x to 5x and Growth more than 20%",10,IF(BJ75= "P/BV between 2.5x to 5x and Growth less than 20%",-5,IF(BJ75= "P/BV above 5x",-5,0)))))</f>
        <v/>
      </c>
      <c r="BL75" s="31" t="n"/>
      <c r="BM75" s="31">
        <f>IF(BL75="Above 40",20,IF(BL75="20 to 40",10,IF(BL75="0 to 20",-5,0)))</f>
        <v/>
      </c>
      <c r="BN75" s="31" t="n"/>
      <c r="BO75" s="31">
        <f>IF(BN75="Between 50 to 75",10,IF(BN75="Above 75",0,0))</f>
        <v/>
      </c>
      <c r="BP75" s="31" t="n"/>
      <c r="BQ75" s="31">
        <f>IF(BP75="Stage 2",20,IF(BP75="Stage 1",0,IF(BP75="Stage 3",5,IF(BP75="Stage 4",-5,0))))</f>
        <v/>
      </c>
      <c r="BR75" s="31" t="n"/>
      <c r="BS75" s="31">
        <f>IF(BR75="Positive Trend",20,IF(BR75="Negative Trend",-10,0))</f>
        <v/>
      </c>
      <c r="BT75" s="31" t="n"/>
      <c r="BU75" s="31">
        <f>IF(BT75="Uptrend",10,IF(BT75="Sideways",5,0))</f>
        <v/>
      </c>
      <c r="BV75" s="31" t="n"/>
      <c r="BW75" s="31">
        <f>IF(BV75="Uptrend",10,IF(BV75="Sideways",5,0))</f>
        <v/>
      </c>
      <c r="BX75" s="31" t="n"/>
      <c r="BY75" s="31">
        <f>IF(BX75="Overhead supply in last 2 years in last 2 years",-5,IF(BX75="Close to 52 week high or retracement",5,IF(BX75="Blue sky scenario",10,IF(BX75="Long term Downtrend",-10,0))))</f>
        <v/>
      </c>
      <c r="BZ75" s="31" t="n"/>
      <c r="CA75" s="31">
        <f>IF(BZ75="Yes",10,0)</f>
        <v/>
      </c>
    </row>
    <row r="76">
      <c r="A76" s="31">
        <f>IF(B76=0,"",RANK(B76,$B$2:$B$76,0))</f>
        <v/>
      </c>
      <c r="B76" s="32">
        <f>SUM(N76,Y76,AA76,AC76,AE76,AG76,AI76,AK76,AM76,AO76,AQ76,AS76,AU76,AW76,AY76,BA76,BC76,BE76,BG76,BI76,BK76,BM76,BO76,BQ76,BS76,BU76,BW76,BY76,CA76)</f>
        <v/>
      </c>
      <c r="C76" s="31" t="inlineStr">
        <is>
          <t>CHOICEIN</t>
        </is>
      </c>
      <c r="D76" s="31" t="inlineStr">
        <is>
          <t>Choice International Ltd</t>
        </is>
      </c>
      <c r="E76" s="31" t="inlineStr">
        <is>
          <t>financials</t>
        </is>
      </c>
      <c r="F76" s="31" t="inlineStr">
        <is>
          <t>finance &amp; investments</t>
        </is>
      </c>
      <c r="G76" s="31" t="inlineStr">
        <is>
          <t>midcap</t>
        </is>
      </c>
      <c r="H76" s="32" t="n">
        <v>18500.47</v>
      </c>
      <c r="I76" s="32" t="n">
        <v>835</v>
      </c>
      <c r="J76" s="32" t="n">
        <v>0.55</v>
      </c>
      <c r="K76" s="32" t="n">
        <v>3009940</v>
      </c>
      <c r="L76" s="31" t="inlineStr"/>
      <c r="M76" s="31" t="inlineStr"/>
      <c r="N76" s="32">
        <f>IF(M76="Underperforming",-5,IF(L76&gt;=95,15,IF(L76&gt;=90,10,IF(L76&gt;=80,5,0))))</f>
        <v/>
      </c>
      <c r="O76" s="32" t="inlineStr"/>
      <c r="P76" s="32" t="inlineStr"/>
      <c r="Q76" s="32" t="inlineStr"/>
      <c r="R76" s="31" t="inlineStr"/>
      <c r="S76" s="31" t="inlineStr"/>
      <c r="T76" s="32" t="inlineStr"/>
      <c r="U76" s="32" t="inlineStr"/>
      <c r="V76" s="32" t="inlineStr"/>
      <c r="W76" s="32" t="inlineStr"/>
      <c r="X76" s="31" t="n"/>
      <c r="Y76" s="31">
        <f>IF(X76="Growing Industry",10,IF(X76="Cyclical in an Upturn",5,0))</f>
        <v/>
      </c>
      <c r="Z76" s="31" t="n"/>
      <c r="AA76" s="31">
        <f>IF(Z76="Fragmented with Low ROE",-5,IF(Z76="Fragmented with High ROE",10,IF(Z76= "highly cyclical",5,0)))</f>
        <v/>
      </c>
      <c r="AB76" s="31" t="n"/>
      <c r="AC76" s="31">
        <f>IF(AB76="No",5,0)</f>
        <v/>
      </c>
      <c r="AD76" s="31" t="n"/>
      <c r="AE76" s="31">
        <f>IF(AD76="Tailwind",10,0)</f>
        <v/>
      </c>
      <c r="AF76" s="31" t="n"/>
      <c r="AG76" s="31">
        <f>IF(AF76="Structural (10 Years Consistency)",15,IF(AF76="Shallow Cyclical (2 to 3 years growth)",10,IF(AF76 = "Cyclical in an Uptick",5,IF(AF76 = "Cyclical in an Downtick",-10,0))))</f>
        <v/>
      </c>
      <c r="AH76" s="31" t="n"/>
      <c r="AI76" s="31">
        <f>IF(AH76="Yes",10,0)</f>
        <v/>
      </c>
      <c r="AJ76" s="31" t="n"/>
      <c r="AK76" s="31">
        <f>IF(AJ76="Yes",10,0)</f>
        <v/>
      </c>
      <c r="AL76" s="31" t="n"/>
      <c r="AM76" s="31">
        <f>IF(AL76="No",10,0)</f>
        <v/>
      </c>
      <c r="AN76" s="31" t="n"/>
      <c r="AO76" s="31">
        <f>IF(AN76="Yes",10,0)</f>
        <v/>
      </c>
      <c r="AP76" s="31" t="n"/>
      <c r="AQ76" s="31">
        <f>IF(AP76="Yes",10,0)</f>
        <v/>
      </c>
      <c r="AR76" s="31" t="n"/>
      <c r="AS76" s="31">
        <f>IF(AR76="Yes",5,0)</f>
        <v/>
      </c>
      <c r="AT76" s="31" t="n"/>
      <c r="AU76" s="31">
        <f>IF(AT76="No",10,IF(AT76="Yes",-10,0))</f>
        <v/>
      </c>
      <c r="AV76" s="31" t="n"/>
      <c r="AW76" s="31">
        <f>IF(AV76="No",10,0)</f>
        <v/>
      </c>
      <c r="AX76" s="31" t="n"/>
      <c r="AY76" s="31">
        <f>IF(AX76="No",10,IF(AX76= "Yes CEO Resignation",-5,0))</f>
        <v/>
      </c>
      <c r="AZ76" s="31" t="n"/>
      <c r="BA76" s="31">
        <f>IF(AZ76="No",10,IF(AZ76="Yes",-5,0))</f>
        <v/>
      </c>
      <c r="BB76" s="31" t="n"/>
      <c r="BC76" s="31">
        <f>IF(BB76="No",5,IF(BB76="Yes",-5,0))</f>
        <v/>
      </c>
      <c r="BD76" s="31" t="n"/>
      <c r="BE76" s="31">
        <f>IF(BD76="Yes",10,0)</f>
        <v/>
      </c>
      <c r="BF76" s="31" t="n"/>
      <c r="BG76" s="31">
        <f>IF(BF76="Yes",10,0)</f>
        <v/>
      </c>
      <c r="BH76" s="31" t="n"/>
      <c r="BI76" s="31">
        <f>IF(BH76="Yes",10,0)</f>
        <v/>
      </c>
      <c r="BJ76" s="31" t="n"/>
      <c r="BK76" s="31">
        <f>IF(BJ76="P/BV less than 2.5x and Growth more than 20%",20,IF(BJ76 = "P/BV less than 2.5x and Growth less than 20%",5,IF(BJ76="P/BV between 2.5x to 5x and Growth more than 20%",10,IF(BJ76= "P/BV between 2.5x to 5x and Growth less than 20%",-5,IF(BJ76= "P/BV above 5x",-5,0)))))</f>
        <v/>
      </c>
      <c r="BL76" s="31" t="n"/>
      <c r="BM76" s="31">
        <f>IF(BL76="Above 40",20,IF(BL76="20 to 40",10,IF(BL76="0 to 20",-5,0)))</f>
        <v/>
      </c>
      <c r="BN76" s="31" t="n"/>
      <c r="BO76" s="31">
        <f>IF(BN76="Between 50 to 75",10,IF(BN76="Above 75",0,0))</f>
        <v/>
      </c>
      <c r="BP76" s="31" t="n"/>
      <c r="BQ76" s="31">
        <f>IF(BP76="Stage 2",20,IF(BP76="Stage 1",0,IF(BP76="Stage 3",5,IF(BP76="Stage 4",-5,0))))</f>
        <v/>
      </c>
      <c r="BR76" s="31" t="n"/>
      <c r="BS76" s="31">
        <f>IF(BR76="Positive Trend",20,IF(BR76="Negative Trend",-10,0))</f>
        <v/>
      </c>
      <c r="BT76" s="31" t="n"/>
      <c r="BU76" s="31">
        <f>IF(BT76="Uptrend",10,IF(BT76="Sideways",5,0))</f>
        <v/>
      </c>
      <c r="BV76" s="31" t="n"/>
      <c r="BW76" s="31">
        <f>IF(BV76="Uptrend",10,IF(BV76="Sideways",5,0))</f>
        <v/>
      </c>
      <c r="BX76" s="31" t="n"/>
      <c r="BY76" s="31">
        <f>IF(BX76="Overhead supply in last 2 years in last 2 years",-5,IF(BX76="Close to 52 week high or retracement",5,IF(BX76="Blue sky scenario",10,IF(BX76="Long term Downtrend",-10,0))))</f>
        <v/>
      </c>
      <c r="BZ76" s="31" t="n"/>
      <c r="CA76" s="31">
        <f>IF(BZ76="Yes",10,0)</f>
        <v/>
      </c>
    </row>
  </sheetData>
  <autoFilter ref="A1:CA76"/>
  <conditionalFormatting sqref="B2:B7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76">
    <cfRule type="cellIs" priority="34" operator="equal" dxfId="3" stopIfTrue="1">
      <formula>"Underperforming"</formula>
    </cfRule>
  </conditionalFormatting>
  <conditionalFormatting sqref="N2:N76">
    <cfRule type="cellIs" priority="35" operator="equal" dxfId="3" stopIfTrue="1">
      <formula>-5</formula>
    </cfRule>
  </conditionalFormatting>
  <conditionalFormatting sqref="Q2:Q76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76" showDropDown="0" showInputMessage="0" showErrorMessage="0" allowBlank="1" type="list">
      <formula1>"Growing Industry,Stagnant Industry,Cyclical in an Upturn"</formula1>
    </dataValidation>
    <dataValidation sqref="Z2:Z76" showDropDown="0" showInputMessage="0" showErrorMessage="0" allowBlank="1" type="list">
      <formula1>"Fragmented with Low ROE,Fragmented with High ROE,Highly Cyclical"</formula1>
    </dataValidation>
    <dataValidation sqref="AB2:AB76" showDropDown="0" showInputMessage="0" showErrorMessage="0" allowBlank="1" type="list">
      <formula1>"Yes,No"</formula1>
    </dataValidation>
    <dataValidation sqref="AD2:AD76" showDropDown="0" showInputMessage="0" showErrorMessage="0" allowBlank="1" type="list">
      <formula1>"Tailwind,Headwind"</formula1>
    </dataValidation>
    <dataValidation sqref="AF2:AF7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6" showDropDown="0" showInputMessage="0" showErrorMessage="0" allowBlank="1" type="list">
      <formula1>"Yes,No"</formula1>
    </dataValidation>
    <dataValidation sqref="AJ2:AJ76" showDropDown="0" showInputMessage="0" showErrorMessage="0" allowBlank="1" type="list">
      <formula1>"Yes,No,Not Applicable"</formula1>
    </dataValidation>
    <dataValidation sqref="AL2:AL76" showDropDown="0" showInputMessage="0" showErrorMessage="0" allowBlank="1" type="list">
      <formula1>"Yes,No"</formula1>
    </dataValidation>
    <dataValidation sqref="AN2:AN76" showDropDown="0" showInputMessage="0" showErrorMessage="0" allowBlank="1" type="list">
      <formula1>"Yes,No"</formula1>
    </dataValidation>
    <dataValidation sqref="AP2:AP76" showDropDown="0" showInputMessage="0" showErrorMessage="0" allowBlank="1" type="list">
      <formula1>"Yes,No"</formula1>
    </dataValidation>
    <dataValidation sqref="AR2:AR76" showDropDown="0" showInputMessage="0" showErrorMessage="0" allowBlank="1" type="list">
      <formula1>"Yes,No"</formula1>
    </dataValidation>
    <dataValidation sqref="AT2:AT76" showDropDown="0" showInputMessage="0" showErrorMessage="0" allowBlank="1" type="list">
      <formula1>"No,Yes"</formula1>
    </dataValidation>
    <dataValidation sqref="AV2:AV76" showDropDown="0" showInputMessage="0" showErrorMessage="0" allowBlank="1" type="list">
      <formula1>"No,Yes"</formula1>
    </dataValidation>
    <dataValidation sqref="AX2:AX76" showDropDown="0" showInputMessage="0" showErrorMessage="0" allowBlank="1" type="list">
      <formula1>"No,Yes CEO Resignation,Yes CEO Retirement"</formula1>
    </dataValidation>
    <dataValidation sqref="AZ2:AZ76" showDropDown="0" showInputMessage="0" showErrorMessage="0" allowBlank="1" type="list">
      <formula1>"No,Yes"</formula1>
    </dataValidation>
    <dataValidation sqref="BB2:BB76" showDropDown="0" showInputMessage="0" showErrorMessage="0" allowBlank="1" type="list">
      <formula1>"No,Yes"</formula1>
    </dataValidation>
    <dataValidation sqref="BD2:BD76" showDropDown="0" showInputMessage="0" showErrorMessage="0" allowBlank="1" type="list">
      <formula1>"Yes,No"</formula1>
    </dataValidation>
    <dataValidation sqref="BF2:BF76" showDropDown="0" showInputMessage="0" showErrorMessage="0" allowBlank="1" type="list">
      <formula1>"Yes,No"</formula1>
    </dataValidation>
    <dataValidation sqref="BH2:BH76" showDropDown="0" showInputMessage="0" showErrorMessage="0" allowBlank="1" type="list">
      <formula1>"Yes,No"</formula1>
    </dataValidation>
    <dataValidation sqref="BJ2:BJ7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6" showDropDown="0" showInputMessage="0" showErrorMessage="0" allowBlank="1" type="list">
      <formula1>"Above 40,20 to 40,0 to 20"</formula1>
    </dataValidation>
    <dataValidation sqref="BN2:BN76" showDropDown="0" showInputMessage="0" showErrorMessage="0" allowBlank="1" type="list">
      <formula1>"Between 50 to 75,Above 75,Below 45"</formula1>
    </dataValidation>
    <dataValidation sqref="BP2:BP76" showDropDown="0" showInputMessage="0" showErrorMessage="0" allowBlank="1" type="list">
      <formula1>"Stage 1,Stage 2,Stage 3,Stage 4"</formula1>
    </dataValidation>
    <dataValidation sqref="BR2:BR76" showDropDown="0" showInputMessage="0" showErrorMessage="0" allowBlank="1" type="list">
      <formula1>"Positive Trend,Negative Trend"</formula1>
    </dataValidation>
    <dataValidation sqref="BT2:BT76" showDropDown="0" showInputMessage="0" showErrorMessage="0" allowBlank="1" type="list">
      <formula1>"Uptrend,Sideways,Downtrend"</formula1>
    </dataValidation>
    <dataValidation sqref="BV2:BV76" showDropDown="0" showInputMessage="0" showErrorMessage="0" allowBlank="1" type="list">
      <formula1>"Uptrend,Sideways,Downtrend"</formula1>
    </dataValidation>
    <dataValidation sqref="BX2:BX7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IF(B2=0,"",RANK(B2,$B$2:$B$21,0))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138.6</v>
      </c>
      <c r="E2" s="32" t="inlineStr">
        <is>
          <t>5%</t>
        </is>
      </c>
      <c r="F2" s="32" t="n">
        <v>50000</v>
      </c>
      <c r="G2" s="32" t="n">
        <v>74</v>
      </c>
      <c r="H2" s="31" t="inlineStr">
        <is>
          <t>BAJAJCON</t>
        </is>
      </c>
      <c r="I2" s="31" t="inlineStr">
        <is>
          <t>Bajaj Consumer Care Ltd</t>
        </is>
      </c>
      <c r="J2" s="31" t="inlineStr">
        <is>
          <t>fmcg</t>
        </is>
      </c>
      <c r="K2" s="31" t="inlineStr">
        <is>
          <t>personal care - indian</t>
        </is>
      </c>
      <c r="L2" s="31" t="inlineStr">
        <is>
          <t>midcap</t>
        </is>
      </c>
      <c r="M2" s="32" t="n">
        <v>8405.940000000001</v>
      </c>
      <c r="N2" s="32" t="n">
        <v>670.25</v>
      </c>
      <c r="O2" s="32" t="n">
        <v>4.15</v>
      </c>
      <c r="P2" s="32" t="n">
        <v>2128239</v>
      </c>
      <c r="Q2" s="31" t="n">
        <v>93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76.11</v>
      </c>
      <c r="U2" s="32" t="n">
        <v>64.09</v>
      </c>
      <c r="V2" s="32" t="n">
        <v>525.88</v>
      </c>
      <c r="W2" s="31" t="inlineStr">
        <is>
          <t>Near 52W High Breakout</t>
        </is>
      </c>
      <c r="X2" s="31" t="inlineStr">
        <is>
          <t>Nifty FMCG</t>
        </is>
      </c>
      <c r="Y2" s="32" t="n">
        <v>-11.8</v>
      </c>
      <c r="Z2" s="32" t="n">
        <v>187.48</v>
      </c>
      <c r="AA2" s="32" t="n">
        <v>225.95</v>
      </c>
      <c r="AB2" s="32" t="n">
        <v>36.79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Yes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IF(B3=0,"",RANK(B3,$B$2:$B$21,0))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138.7</v>
      </c>
      <c r="E3" s="32" t="inlineStr">
        <is>
          <t>5%</t>
        </is>
      </c>
      <c r="F3" s="32" t="n">
        <v>50000</v>
      </c>
      <c r="G3" s="32" t="n">
        <v>56</v>
      </c>
      <c r="H3" s="31" t="inlineStr">
        <is>
          <t>GRANULES</t>
        </is>
      </c>
      <c r="I3" s="31" t="inlineStr">
        <is>
          <t>Granules India Limited</t>
        </is>
      </c>
      <c r="J3" s="31" t="inlineStr">
        <is>
          <t>healthcare</t>
        </is>
      </c>
      <c r="K3" s="31" t="inlineStr">
        <is>
          <t>pharmaceuticals - indian - bulk drugs &amp; formln</t>
        </is>
      </c>
      <c r="L3" s="31" t="inlineStr">
        <is>
          <t>largecap</t>
        </is>
      </c>
      <c r="M3" s="32" t="n">
        <v>21856.93</v>
      </c>
      <c r="N3" s="32" t="n">
        <v>889.85</v>
      </c>
      <c r="O3" s="32" t="n">
        <v>0.88</v>
      </c>
      <c r="P3" s="32" t="n">
        <v>1450106</v>
      </c>
      <c r="Q3" s="31" t="n">
        <v>82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78.31999999999999</v>
      </c>
      <c r="U3" s="32" t="n">
        <v>44.54</v>
      </c>
      <c r="V3" s="32" t="n">
        <v>745.25</v>
      </c>
      <c r="W3" s="31" t="inlineStr">
        <is>
          <t>Near 52W High Breakout</t>
        </is>
      </c>
      <c r="X3" s="31" t="inlineStr">
        <is>
          <t>Nifty Pharma</t>
        </is>
      </c>
      <c r="Y3" s="32" t="n">
        <v>15.51</v>
      </c>
      <c r="Z3" s="32" t="n">
        <v>90.31</v>
      </c>
      <c r="AA3" s="32" t="n">
        <v>64.75</v>
      </c>
      <c r="AB3" s="32" t="n">
        <v>22.82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Between 50% to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IF(B4=0,"",RANK(B4,$B$2:$B$21,0))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138.5</v>
      </c>
      <c r="E4" s="32" t="inlineStr">
        <is>
          <t>5%</t>
        </is>
      </c>
      <c r="F4" s="32" t="n">
        <v>50000</v>
      </c>
      <c r="G4" s="32" t="n">
        <v>7</v>
      </c>
      <c r="H4" s="31" t="inlineStr">
        <is>
          <t>PGHL</t>
        </is>
      </c>
      <c r="I4" s="31" t="inlineStr">
        <is>
          <t>Procter &amp; Gamble Health Ltd</t>
        </is>
      </c>
      <c r="J4" s="31" t="inlineStr">
        <is>
          <t>healthcare</t>
        </is>
      </c>
      <c r="K4" s="31" t="inlineStr">
        <is>
          <t>pharmaceuticals - multinational</t>
        </is>
      </c>
      <c r="L4" s="31" t="inlineStr">
        <is>
          <t>midcap</t>
        </is>
      </c>
      <c r="M4" s="32" t="n">
        <v>10975.51</v>
      </c>
      <c r="N4" s="32" t="n">
        <v>6810</v>
      </c>
      <c r="O4" s="32" t="n">
        <v>2.99</v>
      </c>
      <c r="P4" s="32" t="n">
        <v>82938</v>
      </c>
      <c r="Q4" s="31" t="n">
        <v>61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81.95999999999999</v>
      </c>
      <c r="U4" s="32" t="n">
        <v>56.51</v>
      </c>
      <c r="V4" s="32" t="n">
        <v>5825.31</v>
      </c>
      <c r="W4" s="31" t="inlineStr">
        <is>
          <t>Near 52W High Breakout</t>
        </is>
      </c>
      <c r="X4" s="31" t="inlineStr">
        <is>
          <t>Nifty Pharma</t>
        </is>
      </c>
      <c r="Y4" s="32" t="n">
        <v>15.51</v>
      </c>
      <c r="Z4" s="32" t="n">
        <v>23.27</v>
      </c>
      <c r="AA4" s="32" t="n">
        <v>6.72</v>
      </c>
      <c r="AB4" s="32" t="n">
        <v>13.29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IF(B5=0,"",RANK(B5,$B$2:$B$21,0))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138.6</v>
      </c>
      <c r="E5" s="32" t="inlineStr">
        <is>
          <t>5%</t>
        </is>
      </c>
      <c r="F5" s="32" t="n">
        <v>50000</v>
      </c>
      <c r="G5" s="32" t="n">
        <v>40</v>
      </c>
      <c r="H5" s="31" t="inlineStr">
        <is>
          <t>ATHERENERG</t>
        </is>
      </c>
      <c r="I5" s="31" t="inlineStr">
        <is>
          <t>Ather Energy Ltd</t>
        </is>
      </c>
      <c r="J5" s="31" t="inlineStr">
        <is>
          <t>auto</t>
        </is>
      </c>
      <c r="K5" s="31" t="inlineStr">
        <is>
          <t>automobiles - scooters and 3 - wheelers</t>
        </is>
      </c>
      <c r="L5" s="31" t="inlineStr">
        <is>
          <t>largecap</t>
        </is>
      </c>
      <c r="M5" s="32" t="n">
        <v>46624.9</v>
      </c>
      <c r="N5" s="32" t="n">
        <v>1225.8</v>
      </c>
      <c r="O5" s="32" t="n">
        <v>0.61</v>
      </c>
      <c r="P5" s="32" t="n">
        <v>2268185</v>
      </c>
      <c r="Q5" s="31" t="n">
        <v>95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77.7</v>
      </c>
      <c r="U5" s="32" t="n">
        <v>53.15</v>
      </c>
      <c r="V5" s="32" t="n">
        <v>948.3</v>
      </c>
      <c r="W5" s="31" t="inlineStr">
        <is>
          <t>Near 52W High Breakout</t>
        </is>
      </c>
      <c r="X5" s="31" t="inlineStr">
        <is>
          <t>Nifty Auto</t>
        </is>
      </c>
      <c r="Y5" s="32" t="n">
        <v>14.33</v>
      </c>
      <c r="Z5" s="32" t="n">
        <v>268.77</v>
      </c>
      <c r="AA5" s="32" t="n">
        <v>222.55</v>
      </c>
      <c r="AB5" s="32" t="n">
        <v>41.15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Negative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IF(B6=0,"",RANK(B6,$B$2:$B$21,0))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138.9</v>
      </c>
      <c r="E6" s="32" t="inlineStr">
        <is>
          <t>5%</t>
        </is>
      </c>
      <c r="F6" s="32" t="n">
        <v>50000</v>
      </c>
      <c r="G6" s="32" t="n">
        <v>155</v>
      </c>
      <c r="H6" s="31" t="inlineStr">
        <is>
          <t>SKMEGGPROD</t>
        </is>
      </c>
      <c r="I6" s="31" t="inlineStr">
        <is>
          <t>Skm Egg Products Export (india) Limited</t>
        </is>
      </c>
      <c r="J6" s="31" t="inlineStr">
        <is>
          <t>fmcg</t>
        </is>
      </c>
      <c r="K6" s="31" t="inlineStr">
        <is>
          <t>food - processing - indian</t>
        </is>
      </c>
      <c r="L6" s="31" t="inlineStr">
        <is>
          <t>smallcap</t>
        </is>
      </c>
      <c r="M6" s="32" t="n">
        <v>1664.85</v>
      </c>
      <c r="N6" s="32" t="n">
        <v>321.35</v>
      </c>
      <c r="O6" s="32" t="n">
        <v>1.64</v>
      </c>
      <c r="P6" s="32" t="n">
        <v>514750</v>
      </c>
      <c r="Q6" s="31" t="n">
        <v>93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80.17</v>
      </c>
      <c r="U6" s="32" t="n">
        <v>35.24</v>
      </c>
      <c r="V6" s="32" t="n">
        <v>235.32</v>
      </c>
      <c r="W6" s="31" t="inlineStr">
        <is>
          <t>Near 52W High Breakout</t>
        </is>
      </c>
      <c r="X6" s="31" t="inlineStr">
        <is>
          <t>Nifty FMCG</t>
        </is>
      </c>
      <c r="Y6" s="32" t="n">
        <v>-11.8</v>
      </c>
      <c r="Z6" s="32" t="n">
        <v>122.12</v>
      </c>
      <c r="AA6" s="32" t="n">
        <v>151.84</v>
      </c>
      <c r="AB6" s="32" t="n">
        <v>37.64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B2C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20 to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Less than 50%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IF(B7=0,"",RANK(B7,$B$2:$B$21,0))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140</v>
      </c>
      <c r="E7" s="32" t="inlineStr">
        <is>
          <t>5%</t>
        </is>
      </c>
      <c r="F7" s="32" t="n">
        <v>50000</v>
      </c>
      <c r="G7" s="32" t="n">
        <v>130</v>
      </c>
      <c r="H7" s="31" t="inlineStr">
        <is>
          <t>RUBYMILLS</t>
        </is>
      </c>
      <c r="I7" s="31" t="inlineStr">
        <is>
          <t>The Ruby Mills Limited</t>
        </is>
      </c>
      <c r="J7" s="31" t="inlineStr">
        <is>
          <t>textiles</t>
        </is>
      </c>
      <c r="K7" s="31" t="inlineStr">
        <is>
          <t>textiles - composite</t>
        </is>
      </c>
      <c r="L7" s="31" t="inlineStr">
        <is>
          <t>smallcap</t>
        </is>
      </c>
      <c r="M7" s="32" t="n">
        <v>1222.4</v>
      </c>
      <c r="N7" s="32" t="n">
        <v>382.5</v>
      </c>
      <c r="O7" s="32" t="n">
        <v>4.64</v>
      </c>
      <c r="P7" s="32" t="n">
        <v>64318</v>
      </c>
      <c r="Q7" s="31" t="n">
        <v>86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78.94</v>
      </c>
      <c r="U7" s="32" t="n">
        <v>48.43</v>
      </c>
      <c r="V7" s="32" t="n">
        <v>291.86</v>
      </c>
      <c r="W7" s="31" t="inlineStr">
        <is>
          <t>Near 52W High Breakout</t>
        </is>
      </c>
      <c r="X7" s="31" t="inlineStr">
        <is>
          <t>Nifty 50</t>
        </is>
      </c>
      <c r="Y7" s="32" t="n">
        <v>-3.75</v>
      </c>
      <c r="Z7" s="32" t="n">
        <v>61.04</v>
      </c>
      <c r="AA7" s="32" t="n">
        <v>67.31</v>
      </c>
      <c r="AB7" s="32" t="n">
        <v>25.54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Less than 12%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IF(B8=0,"",RANK(B8,$B$2:$B$21,0))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</v>
      </c>
      <c r="E8" s="32" t="inlineStr">
        <is>
          <t>5%</t>
        </is>
      </c>
      <c r="F8" s="32" t="n">
        <v>50000</v>
      </c>
      <c r="G8" s="32" t="n">
        <v>66</v>
      </c>
      <c r="H8" s="31" t="inlineStr">
        <is>
          <t>UFBL</t>
        </is>
      </c>
      <c r="I8" s="31" t="inlineStr">
        <is>
          <t>United Foodbrands Ltd</t>
        </is>
      </c>
      <c r="J8" s="31" t="inlineStr">
        <is>
          <t>consumer discretionary</t>
        </is>
      </c>
      <c r="K8" s="31" t="inlineStr">
        <is>
          <t>hotels</t>
        </is>
      </c>
      <c r="L8" s="31" t="inlineStr">
        <is>
          <t>smallcap</t>
        </is>
      </c>
      <c r="M8" s="32" t="n">
        <v>2841.58</v>
      </c>
      <c r="N8" s="32" t="n">
        <v>755.8</v>
      </c>
      <c r="O8" s="32" t="n">
        <v>3.96</v>
      </c>
      <c r="P8" s="32" t="n">
        <v>364586</v>
      </c>
      <c r="Q8" s="31" t="n">
        <v>98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87.19</v>
      </c>
      <c r="U8" s="32" t="n">
        <v>51.19</v>
      </c>
      <c r="V8" s="32" t="n">
        <v>569.47</v>
      </c>
      <c r="W8" s="31" t="inlineStr">
        <is>
          <t>Near 52W High Breakout</t>
        </is>
      </c>
      <c r="X8" s="31" t="inlineStr">
        <is>
          <t>Nifty 50</t>
        </is>
      </c>
      <c r="Y8" s="32" t="n">
        <v>-3.75</v>
      </c>
      <c r="Z8" s="32" t="n">
        <v>146.83</v>
      </c>
      <c r="AA8" s="32" t="n">
        <v>156.45</v>
      </c>
      <c r="AB8" s="32" t="n">
        <v>67.42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More than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IF(B9=0,"",RANK(B9,$B$2:$B$21,0))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</v>
      </c>
      <c r="E9" s="32" t="inlineStr">
        <is>
          <t>5%</t>
        </is>
      </c>
      <c r="F9" s="32" t="n">
        <v>50000</v>
      </c>
      <c r="G9" s="32" t="n">
        <v>15</v>
      </c>
      <c r="H9" s="31" t="inlineStr">
        <is>
          <t>SANSERA</t>
        </is>
      </c>
      <c r="I9" s="31" t="inlineStr">
        <is>
          <t>Sansera Engineering Ltd</t>
        </is>
      </c>
      <c r="J9" s="31" t="inlineStr">
        <is>
          <t>auto</t>
        </is>
      </c>
      <c r="K9" s="31" t="inlineStr">
        <is>
          <t>auto ancillaries</t>
        </is>
      </c>
      <c r="L9" s="31" t="inlineStr">
        <is>
          <t>midcap</t>
        </is>
      </c>
      <c r="M9" s="32" t="n">
        <v>19584.73</v>
      </c>
      <c r="N9" s="32" t="n">
        <v>3304</v>
      </c>
      <c r="O9" s="32" t="n">
        <v>5.16</v>
      </c>
      <c r="P9" s="32" t="n">
        <v>316772</v>
      </c>
      <c r="Q9" s="31" t="n">
        <v>88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79.62</v>
      </c>
      <c r="U9" s="32" t="n">
        <v>48.18</v>
      </c>
      <c r="V9" s="32" t="n">
        <v>2624.62</v>
      </c>
      <c r="W9" s="31" t="inlineStr">
        <is>
          <t>Near 52W High Breakout</t>
        </is>
      </c>
      <c r="X9" s="31" t="inlineStr">
        <is>
          <t>Nifty Auto</t>
        </is>
      </c>
      <c r="Y9" s="32" t="n">
        <v>14.33</v>
      </c>
      <c r="Z9" s="32" t="n">
        <v>144.43</v>
      </c>
      <c r="AA9" s="32" t="n">
        <v>113.79</v>
      </c>
      <c r="AB9" s="32" t="n">
        <v>28.8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Between 50% to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IF(B10=0,"",RANK(B10,$B$2:$B$21,0))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138.7</v>
      </c>
      <c r="E10" s="32" t="inlineStr">
        <is>
          <t>5%</t>
        </is>
      </c>
      <c r="F10" s="32" t="n">
        <v>50000</v>
      </c>
      <c r="G10" s="32" t="n">
        <v>42</v>
      </c>
      <c r="H10" s="31" t="inlineStr">
        <is>
          <t>INDNIPPON</t>
        </is>
      </c>
      <c r="I10" s="31" t="inlineStr">
        <is>
          <t>India Nippon Electricals Limited</t>
        </is>
      </c>
      <c r="J10" s="31" t="inlineStr">
        <is>
          <t>auto</t>
        </is>
      </c>
      <c r="K10" s="31" t="inlineStr">
        <is>
          <t>auto ancillaries</t>
        </is>
      </c>
      <c r="L10" s="31" t="inlineStr">
        <is>
          <t>smallcap</t>
        </is>
      </c>
      <c r="M10" s="32" t="n">
        <v>2506.23</v>
      </c>
      <c r="N10" s="32" t="n">
        <v>1180</v>
      </c>
      <c r="O10" s="32" t="n">
        <v>6.51</v>
      </c>
      <c r="P10" s="32" t="n">
        <v>305723</v>
      </c>
      <c r="Q10" s="31" t="n">
        <v>80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76.09</v>
      </c>
      <c r="U10" s="32" t="n">
        <v>23.64</v>
      </c>
      <c r="V10" s="32" t="n">
        <v>937.3200000000001</v>
      </c>
      <c r="W10" s="31" t="inlineStr">
        <is>
          <t>Volume Spike &amp; Near 52W High Breakout</t>
        </is>
      </c>
      <c r="X10" s="31" t="inlineStr">
        <is>
          <t>Nifty Auto</t>
        </is>
      </c>
      <c r="Y10" s="32" t="n">
        <v>14.33</v>
      </c>
      <c r="Z10" s="32" t="n">
        <v>52.4</v>
      </c>
      <c r="AA10" s="32" t="n">
        <v>33.3</v>
      </c>
      <c r="AB10" s="32" t="n">
        <v>21.77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Less than 50%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IF(B11=0,"",RANK(B11,$B$2:$B$21,0))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</v>
      </c>
      <c r="E11" s="32" t="inlineStr">
        <is>
          <t>5%</t>
        </is>
      </c>
      <c r="F11" s="32" t="n">
        <v>50000</v>
      </c>
      <c r="G11" s="32" t="n">
        <v>79</v>
      </c>
      <c r="H11" s="31" t="inlineStr">
        <is>
          <t>SHILPAMED</t>
        </is>
      </c>
      <c r="I11" s="31" t="inlineStr">
        <is>
          <t>Shilpa Medicare Limited</t>
        </is>
      </c>
      <c r="J11" s="31" t="inlineStr">
        <is>
          <t>healthcare</t>
        </is>
      </c>
      <c r="K11" s="31" t="inlineStr">
        <is>
          <t>pharmaceuticals - indian - formulations</t>
        </is>
      </c>
      <c r="L11" s="31" t="inlineStr">
        <is>
          <t>midcap</t>
        </is>
      </c>
      <c r="M11" s="32" t="n">
        <v>12171.06</v>
      </c>
      <c r="N11" s="32" t="n">
        <v>627.15</v>
      </c>
      <c r="O11" s="32" t="n">
        <v>0.78</v>
      </c>
      <c r="P11" s="32" t="n">
        <v>614292</v>
      </c>
      <c r="Q11" s="31" t="n">
        <v>79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85.39</v>
      </c>
      <c r="U11" s="32" t="n">
        <v>62.51</v>
      </c>
      <c r="V11" s="32" t="n">
        <v>493.24</v>
      </c>
      <c r="W11" s="31" t="inlineStr">
        <is>
          <t>Near 52W High Breakout</t>
        </is>
      </c>
      <c r="X11" s="31" t="inlineStr">
        <is>
          <t>Nifty Pharma</t>
        </is>
      </c>
      <c r="Y11" s="32" t="n">
        <v>15.51</v>
      </c>
      <c r="Z11" s="32" t="n">
        <v>40.04</v>
      </c>
      <c r="AA11" s="32" t="n">
        <v>21.23</v>
      </c>
      <c r="AB11" s="32" t="n">
        <v>20.4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IF(B12=0,"",RANK(B12,$B$2:$B$21,0))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139.5</v>
      </c>
      <c r="E12" s="32" t="inlineStr">
        <is>
          <t>5%</t>
        </is>
      </c>
      <c r="F12" s="32" t="n">
        <v>50000</v>
      </c>
      <c r="G12" s="32" t="n">
        <v>23</v>
      </c>
      <c r="H12" s="31" t="inlineStr">
        <is>
          <t>PHOENIXLTD</t>
        </is>
      </c>
      <c r="I12" s="31" t="inlineStr">
        <is>
          <t>The Phoenix Mills Limited</t>
        </is>
      </c>
      <c r="J12" s="31" t="inlineStr">
        <is>
          <t>realty</t>
        </is>
      </c>
      <c r="K12" s="31" t="inlineStr">
        <is>
          <t>construction</t>
        </is>
      </c>
      <c r="L12" s="31" t="inlineStr">
        <is>
          <t>largecap</t>
        </is>
      </c>
      <c r="M12" s="32" t="n">
        <v>74674.11</v>
      </c>
      <c r="N12" s="32" t="n">
        <v>2138.9</v>
      </c>
      <c r="O12" s="32" t="n">
        <v>2.44</v>
      </c>
      <c r="P12" s="32" t="n">
        <v>914479</v>
      </c>
      <c r="Q12" s="31" t="n">
        <v>57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72.69</v>
      </c>
      <c r="U12" s="32" t="n">
        <v>11.95</v>
      </c>
      <c r="V12" s="32" t="n">
        <v>1791.65</v>
      </c>
      <c r="W12" s="31" t="inlineStr">
        <is>
          <t>Volume Spike &amp; Near 52W High Breakout</t>
        </is>
      </c>
      <c r="X12" s="31" t="inlineStr">
        <is>
          <t>Nifty Realty</t>
        </is>
      </c>
      <c r="Y12" s="32" t="n">
        <v>-2.52</v>
      </c>
      <c r="Z12" s="32" t="n">
        <v>43.89</v>
      </c>
      <c r="AA12" s="32" t="n">
        <v>47.61</v>
      </c>
      <c r="AB12" s="32" t="n">
        <v>12.37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0 to 20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IF(B13=0,"",RANK(B13,$B$2:$B$21,0))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138.7</v>
      </c>
      <c r="E13" s="32" t="inlineStr">
        <is>
          <t>5%</t>
        </is>
      </c>
      <c r="F13" s="32" t="n">
        <v>50000</v>
      </c>
      <c r="G13" s="32" t="n">
        <v>31</v>
      </c>
      <c r="H13" s="31" t="inlineStr">
        <is>
          <t>WELCORP</t>
        </is>
      </c>
      <c r="I13" s="31" t="inlineStr">
        <is>
          <t>Welspun Corp Limited</t>
        </is>
      </c>
      <c r="J13" s="31" t="inlineStr">
        <is>
          <t>industrials</t>
        </is>
      </c>
      <c r="K13" s="31" t="inlineStr">
        <is>
          <t>steel - large</t>
        </is>
      </c>
      <c r="L13" s="31" t="inlineStr">
        <is>
          <t>largecap</t>
        </is>
      </c>
      <c r="M13" s="32" t="n">
        <v>42256.62</v>
      </c>
      <c r="N13" s="32" t="n">
        <v>1612.6</v>
      </c>
      <c r="O13" s="32" t="n">
        <v>0.67</v>
      </c>
      <c r="P13" s="32" t="n">
        <v>1353803</v>
      </c>
      <c r="Q13" s="31" t="n">
        <v>88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86.77</v>
      </c>
      <c r="U13" s="32" t="n">
        <v>64.29000000000001</v>
      </c>
      <c r="V13" s="32" t="n">
        <v>1325.6</v>
      </c>
      <c r="W13" s="31" t="inlineStr">
        <is>
          <t>Volume Spike &amp; Near 52W High Breakout</t>
        </is>
      </c>
      <c r="X13" s="31" t="inlineStr">
        <is>
          <t>Nifty Metal</t>
        </is>
      </c>
      <c r="Y13" s="32" t="n">
        <v>35.24</v>
      </c>
      <c r="Z13" s="32" t="n">
        <v>78.56999999999999</v>
      </c>
      <c r="AA13" s="32" t="n">
        <v>32.04</v>
      </c>
      <c r="AB13" s="32" t="n">
        <v>29.31</v>
      </c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IF(B14=0,"",RANK(B14,$B$2:$B$21,0))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138.3</v>
      </c>
      <c r="E14" s="32" t="inlineStr">
        <is>
          <t>5%</t>
        </is>
      </c>
      <c r="F14" s="32" t="n">
        <v>50000</v>
      </c>
      <c r="G14" s="32" t="n">
        <v>39</v>
      </c>
      <c r="H14" s="31" t="inlineStr">
        <is>
          <t>SAILIFE</t>
        </is>
      </c>
      <c r="I14" s="31" t="inlineStr">
        <is>
          <t>Sai Life Sciences Ltd</t>
        </is>
      </c>
      <c r="J14" s="31" t="inlineStr">
        <is>
          <t>healthcare</t>
        </is>
      </c>
      <c r="K14" s="31" t="inlineStr">
        <is>
          <t>pharmaceuticals - indian - bulk drugs &amp; formln</t>
        </is>
      </c>
      <c r="L14" s="31" t="inlineStr">
        <is>
          <t>largecap</t>
        </is>
      </c>
      <c r="M14" s="32" t="n">
        <v>26142.03</v>
      </c>
      <c r="N14" s="32" t="n">
        <v>1265</v>
      </c>
      <c r="O14" s="32" t="n">
        <v>2.48</v>
      </c>
      <c r="P14" s="32" t="n">
        <v>905331</v>
      </c>
      <c r="Q14" s="31" t="n">
        <v>70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74.81999999999999</v>
      </c>
      <c r="U14" s="32" t="n">
        <v>28.93</v>
      </c>
      <c r="V14" s="32" t="n">
        <v>1028.6</v>
      </c>
      <c r="W14" s="31" t="inlineStr">
        <is>
          <t>Near 52W High Breakout</t>
        </is>
      </c>
      <c r="X14" s="31" t="inlineStr">
        <is>
          <t>Nifty Pharma</t>
        </is>
      </c>
      <c r="Y14" s="32" t="n">
        <v>15.51</v>
      </c>
      <c r="Z14" s="32" t="n">
        <v>61.73</v>
      </c>
      <c r="AA14" s="32" t="n">
        <v>40.01</v>
      </c>
      <c r="AB14" s="32" t="n">
        <v>15.75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Between 12 to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IF(B15=0,"",RANK(B15,$B$2:$B$21,0))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139.7</v>
      </c>
      <c r="E15" s="32" t="inlineStr">
        <is>
          <t>5%</t>
        </is>
      </c>
      <c r="F15" s="32" t="n">
        <v>50000</v>
      </c>
      <c r="G15" s="32" t="n">
        <v>151</v>
      </c>
      <c r="H15" s="31" t="inlineStr">
        <is>
          <t>NYKAA</t>
        </is>
      </c>
      <c r="I15" s="31" t="inlineStr">
        <is>
          <t>FSN E-Commerce Ventures Ltd</t>
        </is>
      </c>
      <c r="J15" s="31" t="inlineStr">
        <is>
          <t>i.t</t>
        </is>
      </c>
      <c r="K15" s="31" t="inlineStr">
        <is>
          <t>trading</t>
        </is>
      </c>
      <c r="L15" s="31" t="inlineStr">
        <is>
          <t>largecap</t>
        </is>
      </c>
      <c r="M15" s="32" t="n">
        <v>92782.88</v>
      </c>
      <c r="N15" s="32" t="n">
        <v>330.1</v>
      </c>
      <c r="O15" s="32" t="n">
        <v>1.87</v>
      </c>
      <c r="P15" s="32" t="n">
        <v>10556295</v>
      </c>
      <c r="Q15" s="31" t="n">
        <v>66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74</v>
      </c>
      <c r="U15" s="32" t="n">
        <v>30</v>
      </c>
      <c r="V15" s="32" t="n">
        <v>278.19</v>
      </c>
      <c r="W15" s="31" t="inlineStr">
        <is>
          <t>Near 52W High Breakout</t>
        </is>
      </c>
      <c r="X15" s="31" t="inlineStr">
        <is>
          <t>Nifty IT</t>
        </is>
      </c>
      <c r="Y15" s="32" t="n">
        <v>-25.69</v>
      </c>
      <c r="Z15" s="32" t="n">
        <v>51.96</v>
      </c>
      <c r="AA15" s="32" t="n">
        <v>104.49</v>
      </c>
      <c r="AB15" s="32" t="n">
        <v>14.89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Between 0.7 to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IF(B16=0,"",RANK(B16,$B$2:$B$21,0))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138.4</v>
      </c>
      <c r="E16" s="32" t="inlineStr">
        <is>
          <t>5%</t>
        </is>
      </c>
      <c r="F16" s="32" t="n">
        <v>50000</v>
      </c>
      <c r="G16" s="32" t="n">
        <v>20</v>
      </c>
      <c r="H16" s="31" t="inlineStr">
        <is>
          <t>AZAD</t>
        </is>
      </c>
      <c r="I16" s="31" t="inlineStr">
        <is>
          <t>Azad Engineering Ltd</t>
        </is>
      </c>
      <c r="J16" s="31" t="inlineStr">
        <is>
          <t>aerospace &amp; defence</t>
        </is>
      </c>
      <c r="K16" s="31" t="inlineStr">
        <is>
          <t>engineering</t>
        </is>
      </c>
      <c r="L16" s="31" t="inlineStr">
        <is>
          <t>midcap</t>
        </is>
      </c>
      <c r="M16" s="32" t="n">
        <v>15991.09</v>
      </c>
      <c r="N16" s="32" t="n">
        <v>2479.5</v>
      </c>
      <c r="O16" s="32" t="n">
        <v>0.14</v>
      </c>
      <c r="P16" s="32" t="n">
        <v>923623</v>
      </c>
      <c r="Q16" s="31" t="n">
        <v>78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69.09</v>
      </c>
      <c r="U16" s="32" t="n">
        <v>26.79</v>
      </c>
      <c r="V16" s="32" t="n">
        <v>1886.92</v>
      </c>
      <c r="W16" s="31" t="inlineStr">
        <is>
          <t>Volume Spike &amp; Near 52W High Breakout</t>
        </is>
      </c>
      <c r="X16" s="31" t="inlineStr">
        <is>
          <t>Nifty 50</t>
        </is>
      </c>
      <c r="Y16" s="32" t="n">
        <v>-3.75</v>
      </c>
      <c r="Z16" s="32" t="n">
        <v>56.11</v>
      </c>
      <c r="AA16" s="32" t="n">
        <v>62.19</v>
      </c>
      <c r="AB16" s="32" t="n">
        <v>19.72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Negative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IF(B17=0,"",RANK(B17,$B$2:$B$21,0))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139.4</v>
      </c>
      <c r="E17" s="32" t="inlineStr">
        <is>
          <t>5%</t>
        </is>
      </c>
      <c r="F17" s="32" t="n">
        <v>50000</v>
      </c>
      <c r="G17" s="32" t="n">
        <v>202</v>
      </c>
      <c r="H17" s="31" t="inlineStr">
        <is>
          <t>INDSWFTLAB</t>
        </is>
      </c>
      <c r="I17" s="31" t="inlineStr">
        <is>
          <t>Ind-swift Laboratories Limited</t>
        </is>
      </c>
      <c r="J17" s="31" t="inlineStr">
        <is>
          <t>healthcare</t>
        </is>
      </c>
      <c r="K17" s="31" t="inlineStr">
        <is>
          <t>pharmaceuticals - indian - bulk drugs &amp; formln</t>
        </is>
      </c>
      <c r="L17" s="31" t="inlineStr">
        <is>
          <t>smallcap</t>
        </is>
      </c>
      <c r="M17" s="32" t="n">
        <v>2045.7</v>
      </c>
      <c r="N17" s="32" t="n">
        <v>246.44</v>
      </c>
      <c r="O17" s="32" t="n">
        <v>4.61</v>
      </c>
      <c r="P17" s="32" t="n">
        <v>1902514</v>
      </c>
      <c r="Q17" s="31" t="n">
        <v>94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88.78</v>
      </c>
      <c r="U17" s="32" t="n">
        <v>44.39</v>
      </c>
      <c r="V17" s="32" t="n">
        <v>192.03</v>
      </c>
      <c r="W17" s="31" t="inlineStr">
        <is>
          <t>Volume Spike &amp; Near 52W High Breakout</t>
        </is>
      </c>
      <c r="X17" s="31" t="inlineStr">
        <is>
          <t>Nifty Pharma</t>
        </is>
      </c>
      <c r="Y17" s="32" t="n">
        <v>15.51</v>
      </c>
      <c r="Z17" s="32" t="n">
        <v>135.51</v>
      </c>
      <c r="AA17" s="32" t="n">
        <v>103.88</v>
      </c>
      <c r="AB17" s="32" t="n">
        <v>38.51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Negative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IF(B18=0,"",RANK(B18,$B$2:$B$21,0))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139.3</v>
      </c>
      <c r="E18" s="32" t="inlineStr">
        <is>
          <t>5%</t>
        </is>
      </c>
      <c r="F18" s="32" t="n">
        <v>50000</v>
      </c>
      <c r="G18" s="32" t="n">
        <v>96</v>
      </c>
      <c r="H18" s="31" t="inlineStr">
        <is>
          <t>DELHIVERY</t>
        </is>
      </c>
      <c r="I18" s="31" t="inlineStr">
        <is>
          <t>Delhivery Ltd</t>
        </is>
      </c>
      <c r="J18" s="31" t="inlineStr">
        <is>
          <t>transportation</t>
        </is>
      </c>
      <c r="K18" s="31" t="inlineStr">
        <is>
          <t>miscellaneous</t>
        </is>
      </c>
      <c r="L18" s="31" t="inlineStr">
        <is>
          <t>largecap</t>
        </is>
      </c>
      <c r="M18" s="32" t="n">
        <v>38601.98</v>
      </c>
      <c r="N18" s="32" t="n">
        <v>520.3</v>
      </c>
      <c r="O18" s="32" t="n">
        <v>0.9</v>
      </c>
      <c r="P18" s="32" t="n">
        <v>13915121</v>
      </c>
      <c r="Q18" s="31" t="n">
        <v>37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68.36</v>
      </c>
      <c r="U18" s="32" t="n">
        <v>14.62</v>
      </c>
      <c r="V18" s="32" t="n">
        <v>431.54</v>
      </c>
      <c r="W18" s="31" t="inlineStr">
        <is>
          <t>Volume Spike &amp; Near 52W High Breakout</t>
        </is>
      </c>
      <c r="X18" s="31" t="inlineStr">
        <is>
          <t>Nifty 50</t>
        </is>
      </c>
      <c r="Y18" s="32" t="n">
        <v>-3.75</v>
      </c>
      <c r="Z18" s="32" t="n">
        <v>26.52</v>
      </c>
      <c r="AA18" s="32" t="n">
        <v>31.45</v>
      </c>
      <c r="AB18" s="32" t="n">
        <v>7.5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IF(B19=0,"",RANK(B19,$B$2:$B$21,0))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139.1</v>
      </c>
      <c r="E19" s="32" t="inlineStr">
        <is>
          <t>5%</t>
        </is>
      </c>
      <c r="F19" s="32" t="n">
        <v>50000</v>
      </c>
      <c r="G19" s="32" t="n">
        <v>10</v>
      </c>
      <c r="H19" s="31" t="inlineStr">
        <is>
          <t>TORNTPHARM</t>
        </is>
      </c>
      <c r="I19" s="31" t="inlineStr">
        <is>
          <t>Torrent Pharmaceuticals Limited</t>
        </is>
      </c>
      <c r="J19" s="31" t="inlineStr">
        <is>
          <t>healthcare</t>
        </is>
      </c>
      <c r="K19" s="31" t="inlineStr">
        <is>
          <t>pharmaceuticals - indian - formulations</t>
        </is>
      </c>
      <c r="L19" s="31" t="inlineStr">
        <is>
          <t>largecap</t>
        </is>
      </c>
      <c r="M19" s="32" t="n">
        <v>165777.35</v>
      </c>
      <c r="N19" s="32" t="n">
        <v>4901.5</v>
      </c>
      <c r="O19" s="32" t="n">
        <v>0.07000000000000001</v>
      </c>
      <c r="P19" s="32" t="n">
        <v>963170</v>
      </c>
      <c r="Q19" s="31" t="n">
        <v>56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73.09</v>
      </c>
      <c r="U19" s="32" t="n">
        <v>31.77</v>
      </c>
      <c r="V19" s="32" t="n">
        <v>4234.25</v>
      </c>
      <c r="W19" s="31" t="inlineStr">
        <is>
          <t>Near 52W High Breakout</t>
        </is>
      </c>
      <c r="X19" s="31" t="inlineStr">
        <is>
          <t>Nifty Pharma</t>
        </is>
      </c>
      <c r="Y19" s="32" t="n">
        <v>15.51</v>
      </c>
      <c r="Z19" s="32" t="n">
        <v>49.2</v>
      </c>
      <c r="AA19" s="32" t="n">
        <v>29.16</v>
      </c>
      <c r="AB19" s="32" t="n">
        <v>12.15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Yes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Annuity, Lower One Time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Between 50% to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Between 0.7 to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IF(B20=0,"",RANK(B20,$B$2:$B$21,0))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139.4</v>
      </c>
      <c r="E20" s="32" t="inlineStr">
        <is>
          <t>5%</t>
        </is>
      </c>
      <c r="F20" s="32" t="n">
        <v>50000</v>
      </c>
      <c r="G20" s="32" t="n">
        <v>31</v>
      </c>
      <c r="H20" s="31" t="inlineStr">
        <is>
          <t>GOODLUCK</t>
        </is>
      </c>
      <c r="I20" s="31" t="inlineStr">
        <is>
          <t>Goodluck India Limited</t>
        </is>
      </c>
      <c r="J20" s="31" t="inlineStr">
        <is>
          <t>metals &amp; mining</t>
        </is>
      </c>
      <c r="K20" s="31" t="inlineStr">
        <is>
          <t>steel - medium / small</t>
        </is>
      </c>
      <c r="L20" s="31" t="inlineStr">
        <is>
          <t>midcap</t>
        </is>
      </c>
      <c r="M20" s="32" t="n">
        <v>5151.3</v>
      </c>
      <c r="N20" s="32" t="n">
        <v>1565.9</v>
      </c>
      <c r="O20" s="32" t="n">
        <v>1.04</v>
      </c>
      <c r="P20" s="32" t="n">
        <v>211600</v>
      </c>
      <c r="Q20" s="31" t="n">
        <v>73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66.2</v>
      </c>
      <c r="U20" s="32" t="n">
        <v>31.37</v>
      </c>
      <c r="V20" s="32" t="n">
        <v>1185.06</v>
      </c>
      <c r="W20" s="31" t="inlineStr">
        <is>
          <t>Near 52W High Breakout</t>
        </is>
      </c>
      <c r="X20" s="31" t="inlineStr">
        <is>
          <t>Nifty Metal</t>
        </is>
      </c>
      <c r="Y20" s="32" t="n">
        <v>35.24</v>
      </c>
      <c r="Z20" s="32" t="n">
        <v>41.82</v>
      </c>
      <c r="AA20" s="32" t="n">
        <v>4.87</v>
      </c>
      <c r="AB20" s="32" t="n">
        <v>16.8</v>
      </c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Cyclical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Volatile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Less than 1.5</t>
        </is>
      </c>
      <c r="BZ20" s="31">
        <f>IF(BY20="Above 2",0,IF(BY20="Between 1.5 to 2",5,IF(BY20="Less than 1.5",10,0)))</f>
        <v/>
      </c>
      <c r="CA20" s="31" t="inlineStr">
        <is>
          <t>Less than 50%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Between 0.7 to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IF(B21=0,"",RANK(B21,$B$2:$B$21,0))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EMA Crossover</t>
        </is>
      </c>
      <c r="D21" s="32" t="n">
        <v>138.6</v>
      </c>
      <c r="E21" s="32" t="inlineStr">
        <is>
          <t>7%</t>
        </is>
      </c>
      <c r="F21" s="32" t="n">
        <v>70000</v>
      </c>
      <c r="G21" s="32" t="n">
        <v>43</v>
      </c>
      <c r="H21" s="33" t="inlineStr">
        <is>
          <t>BHARTIHEXA</t>
        </is>
      </c>
      <c r="I21" s="33" t="inlineStr">
        <is>
          <t>Bharti Hexacom Ltd</t>
        </is>
      </c>
      <c r="J21" s="31" t="inlineStr">
        <is>
          <t>telecom-service</t>
        </is>
      </c>
      <c r="K21" s="31" t="inlineStr">
        <is>
          <t>telecommunications - service provider</t>
        </is>
      </c>
      <c r="L21" s="31" t="inlineStr">
        <is>
          <t>largecap</t>
        </is>
      </c>
      <c r="M21" s="32" t="n">
        <v>78575</v>
      </c>
      <c r="N21" s="32" t="n">
        <v>1615</v>
      </c>
      <c r="O21" s="32" t="n">
        <v>2.77</v>
      </c>
      <c r="P21" s="32" t="n">
        <v>159659</v>
      </c>
      <c r="Q21" s="31" t="n">
        <v>2</v>
      </c>
      <c r="R21" s="31" t="inlineStr">
        <is>
          <t>Underperforming</t>
        </is>
      </c>
      <c r="S21" s="32">
        <f>IF(R21="Underperforming",-5,IF(Q21&gt;=95,15,IF(Q21&gt;=90,10,IF(Q21&gt;=80,5,0))))</f>
        <v/>
      </c>
      <c r="T21" s="32" t="n">
        <v>53.89</v>
      </c>
      <c r="U21" s="32" t="n">
        <v>27.69</v>
      </c>
      <c r="V21" s="32" t="n">
        <v>1314.7</v>
      </c>
      <c r="W21" s="31" t="inlineStr">
        <is>
          <t>Volume Spike / Accumulation</t>
        </is>
      </c>
      <c r="X21" s="31" t="inlineStr">
        <is>
          <t>Nifty 50</t>
        </is>
      </c>
      <c r="Y21" s="32" t="n">
        <v>-3.75</v>
      </c>
      <c r="Z21" s="32" t="n">
        <v>-9.91</v>
      </c>
      <c r="AA21" s="32" t="n">
        <v>-6.4</v>
      </c>
      <c r="AB21" s="32" t="n">
        <v>-0.79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Oligopoly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Yes</t>
        </is>
      </c>
      <c r="AH21" s="31">
        <f>IF(AG21="No",5,0)</f>
        <v/>
      </c>
      <c r="AI21" s="31" t="inlineStr">
        <is>
          <t>Headwind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1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Close to 52 week high or retracement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Between 0.7 to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IF(B2=0,"",RANK(B2,$B$2:$B$3,0))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139.2</v>
      </c>
      <c r="E2" s="32" t="inlineStr">
        <is>
          <t>5%</t>
        </is>
      </c>
      <c r="F2" s="32" t="n">
        <v>50000</v>
      </c>
      <c r="G2" s="32" t="n">
        <v>25</v>
      </c>
      <c r="H2" s="31" t="inlineStr">
        <is>
          <t>NUVAMA</t>
        </is>
      </c>
      <c r="I2" s="31" t="inlineStr">
        <is>
          <t>Nuvama Wealth Management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largecap</t>
        </is>
      </c>
      <c r="M2" s="32" t="n">
        <v>35217.75</v>
      </c>
      <c r="N2" s="32" t="n">
        <v>1977.6</v>
      </c>
      <c r="O2" s="32" t="n">
        <v>2.22</v>
      </c>
      <c r="P2" s="32" t="n">
        <v>512294</v>
      </c>
      <c r="Q2" s="31" t="n">
        <v>76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73.84999999999999</v>
      </c>
      <c r="U2" s="32" t="n">
        <v>30.8</v>
      </c>
      <c r="V2" s="32" t="n">
        <v>1590.91</v>
      </c>
      <c r="W2" s="31" t="inlineStr">
        <is>
          <t>Near 52W High Breakout</t>
        </is>
      </c>
      <c r="X2" s="31" t="inlineStr">
        <is>
          <t>Nifty Bank</t>
        </is>
      </c>
      <c r="Y2" s="32" t="n">
        <v>2.28</v>
      </c>
      <c r="Z2" s="32" t="n">
        <v>37.7</v>
      </c>
      <c r="AA2" s="32" t="n">
        <v>34.64</v>
      </c>
      <c r="AB2" s="32" t="n">
        <v>19.12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above 5x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IF(B3=0,"",RANK(B3,$B$2:$B$3,0))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138.6</v>
      </c>
      <c r="E3" s="32" t="inlineStr">
        <is>
          <t>5%</t>
        </is>
      </c>
      <c r="F3" s="32" t="n">
        <v>50000</v>
      </c>
      <c r="G3" s="32" t="n">
        <v>23</v>
      </c>
      <c r="H3" s="31" t="inlineStr">
        <is>
          <t>ANANDRATHI</t>
        </is>
      </c>
      <c r="I3" s="31" t="inlineStr">
        <is>
          <t>Anand Rathi Wealth Ltd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largecap</t>
        </is>
      </c>
      <c r="M3" s="32" t="n">
        <v>34795.61</v>
      </c>
      <c r="N3" s="32" t="n">
        <v>2146.8</v>
      </c>
      <c r="O3" s="32" t="n">
        <v>2.44</v>
      </c>
      <c r="P3" s="32" t="n">
        <v>1767986</v>
      </c>
      <c r="Q3" s="31" t="inlineStr"/>
      <c r="R3" s="31" t="inlineStr"/>
      <c r="S3" s="32">
        <f>IF(R3="Underperforming",-5,IF(Q3&gt;=95,15,IF(Q3&gt;=90,10,IF(Q3&gt;=80,5,0))))</f>
        <v/>
      </c>
      <c r="T3" s="32" t="inlineStr"/>
      <c r="U3" s="32" t="inlineStr"/>
      <c r="V3" s="32" t="inlineStr"/>
      <c r="W3" s="31" t="inlineStr"/>
      <c r="X3" s="31" t="inlineStr"/>
      <c r="Y3" s="32" t="inlineStr"/>
      <c r="Z3" s="32" t="inlineStr"/>
      <c r="AA3" s="32" t="inlineStr"/>
      <c r="AB3" s="32" t="inlineStr"/>
      <c r="AC3" s="31" t="n"/>
      <c r="AD3" s="31">
        <f>IF(AC3="Growing Industry",10,IF(AC3="Cyclical in an Upturn",5,0))</f>
        <v/>
      </c>
      <c r="AE3" s="31" t="n"/>
      <c r="AF3" s="31">
        <f>IF(AE3="Fragmented with Low ROE",-5,IF(AE3="Fragmented with High ROE",10,IF(AE3= "highly cyclical",5,0)))</f>
        <v/>
      </c>
      <c r="AG3" s="31" t="n"/>
      <c r="AH3" s="31">
        <f>IF(AG3="No",5,0)</f>
        <v/>
      </c>
      <c r="AI3" s="31" t="n"/>
      <c r="AJ3" s="31">
        <f>IF(AI3="Tailwind",10,0)</f>
        <v/>
      </c>
      <c r="AK3" s="31" t="n"/>
      <c r="AL3" s="31">
        <f>IF(AK3="Structural (10 Years Consistency)",15,IF(AK3="Shallow Cyclical (2 to 3 years growth)",10,IF(AK3 = "Cyclical in an Uptick",5,IF(AK3 = "Cyclical in an Downtick",-10,0))))</f>
        <v/>
      </c>
      <c r="AM3" s="31" t="n"/>
      <c r="AN3" s="31">
        <f>IF(AM3="Yes",10,0)</f>
        <v/>
      </c>
      <c r="AO3" s="31" t="n"/>
      <c r="AP3" s="31">
        <f>IF(AO3="Yes",10,0)</f>
        <v/>
      </c>
      <c r="AQ3" s="31" t="n"/>
      <c r="AR3" s="31">
        <f>IF(AQ3="No",10,0)</f>
        <v/>
      </c>
      <c r="AS3" s="31" t="n"/>
      <c r="AT3" s="31">
        <f>IF(AS3="Yes",10,0)</f>
        <v/>
      </c>
      <c r="AU3" s="31" t="n"/>
      <c r="AV3" s="31">
        <f>IF(AU3="Yes",10,0)</f>
        <v/>
      </c>
      <c r="AW3" s="31" t="n"/>
      <c r="AX3" s="31">
        <f>IF(AW3="Yes",5,0)</f>
        <v/>
      </c>
      <c r="AY3" s="31" t="n"/>
      <c r="AZ3" s="31">
        <f>IF(AY3="No",10,IF(AY3="Yes",-10,0))</f>
        <v/>
      </c>
      <c r="BA3" s="31" t="n"/>
      <c r="BB3" s="31">
        <f>IF(BA3="No",10,0)</f>
        <v/>
      </c>
      <c r="BC3" s="31" t="n"/>
      <c r="BD3" s="31">
        <f>IF(BC3="No",10,IF(BC3= "Yes CEO Resignation",-5,0))</f>
        <v/>
      </c>
      <c r="BE3" s="31" t="n"/>
      <c r="BF3" s="31">
        <f>IF(BE3="No",10,IF(BE3="Yes",-5,0))</f>
        <v/>
      </c>
      <c r="BG3" s="31" t="n"/>
      <c r="BH3" s="31">
        <f>IF(BG3="No",5,IF(BG3="Yes",-5,0))</f>
        <v/>
      </c>
      <c r="BI3" s="31" t="n"/>
      <c r="BJ3" s="31">
        <f>IF(BI3="Yes",10,0)</f>
        <v/>
      </c>
      <c r="BK3" s="31" t="n"/>
      <c r="BL3" s="31">
        <f>IF(BK3="Yes",10,0)</f>
        <v/>
      </c>
      <c r="BM3" s="31" t="n"/>
      <c r="BN3" s="31">
        <f>IF(BM3="Yes",10,0)</f>
        <v/>
      </c>
      <c r="BO3" s="31" t="n"/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n"/>
      <c r="BR3" s="31">
        <f>IF(BQ3="Above 40",20,IF(BQ3="20 to 40",10,IF(BQ3="0 to 20",-5,0)))</f>
        <v/>
      </c>
      <c r="BS3" s="31" t="n"/>
      <c r="BT3" s="31">
        <f>IF(BS3="Between 50 to 75",10,IF(BS3="Above 75",0,0))</f>
        <v/>
      </c>
      <c r="BU3" s="31" t="n"/>
      <c r="BV3" s="31">
        <f>IF(BU3="Stage 2",20,IF(BU3="Stage 1",0,IF(BU3="Stage 3",5,IF(BU3="Stage 4",-5,0))))</f>
        <v/>
      </c>
      <c r="BW3" s="31" t="n"/>
      <c r="BX3" s="31">
        <f>IF(BW3="Positive Trend",20,IF(BW3="Negative Trend",-10,0))</f>
        <v/>
      </c>
      <c r="BY3" s="31" t="n"/>
      <c r="BZ3" s="31">
        <f>IF(BY3="Uptrend",10,IF(BY3="Sideways",5,0))</f>
        <v/>
      </c>
      <c r="CA3" s="31" t="n"/>
      <c r="CB3" s="31">
        <f>IF(CA3="Uptrend",10,IF(CA3="Sideways",5,0))</f>
        <v/>
      </c>
      <c r="CC3" s="31" t="n"/>
      <c r="CD3" s="31">
        <f>IF(CC3="Overhead supply in last 2 years in last 2 years",-5,IF(CC3="Close to 52 week high or retracement",5,IF(CC3="Blue sky scenario",10,IF(CC3="Long term Downtrend",-10,0))))</f>
        <v/>
      </c>
      <c r="CE3" s="31" t="n"/>
      <c r="CF3" s="31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IF(B2=0,"",RANK(B2,$B$2:$B$85,0))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IOLCP</t>
        </is>
      </c>
      <c r="D2" s="31" t="inlineStr">
        <is>
          <t>IOL Chemicals &amp; Pharmaceuticals Ltd</t>
        </is>
      </c>
      <c r="E2" s="31" t="inlineStr">
        <is>
          <t>healthcare</t>
        </is>
      </c>
      <c r="F2" s="31" t="inlineStr">
        <is>
          <t>Pharma - API &amp; CRAMS</t>
        </is>
      </c>
      <c r="G2" s="31" t="inlineStr">
        <is>
          <t>midcap</t>
        </is>
      </c>
      <c r="H2" s="32" t="n">
        <v>5077.15</v>
      </c>
      <c r="I2" s="32" t="n">
        <v>172.97</v>
      </c>
      <c r="J2" s="32" t="n">
        <v>2.87</v>
      </c>
      <c r="K2" s="32" t="n">
        <v>0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86.43000000000001</v>
      </c>
      <c r="P2" s="32" t="n">
        <v>58.71</v>
      </c>
      <c r="Q2" s="32" t="n">
        <v>130.8</v>
      </c>
      <c r="R2" s="31" t="inlineStr">
        <is>
          <t>Volume Spike &amp; Near 52W High Breakout</t>
        </is>
      </c>
      <c r="S2" s="31" t="inlineStr">
        <is>
          <t>Nifty Pharma</t>
        </is>
      </c>
      <c r="T2" s="32" t="n">
        <v>15.51</v>
      </c>
      <c r="U2" s="32" t="n">
        <v>90.15000000000001</v>
      </c>
      <c r="V2" s="32" t="n">
        <v>64.61</v>
      </c>
      <c r="W2" s="32" t="n">
        <v>42.3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23</t>
        </is>
      </c>
      <c r="CG2" s="31">
        <f>IF(CF2&gt;20,10,IF(CF2&gt;=10,5,2))</f>
        <v/>
      </c>
    </row>
    <row r="3">
      <c r="A3" s="31">
        <f>IF(B3=0,"",RANK(B3,$B$2:$B$85,0))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IBULLSLTD</t>
        </is>
      </c>
      <c r="D3" s="31" t="inlineStr">
        <is>
          <t>Indiabulls Limited</t>
        </is>
      </c>
      <c r="E3" s="31" t="inlineStr">
        <is>
          <t>miscellaneous</t>
        </is>
      </c>
      <c r="F3" s="31" t="inlineStr">
        <is>
          <t>Diversified</t>
        </is>
      </c>
      <c r="G3" s="31" t="inlineStr">
        <is>
          <t>midcap</t>
        </is>
      </c>
      <c r="H3" s="32" t="n">
        <v>6918.74</v>
      </c>
      <c r="I3" s="32" t="n">
        <v>29.7</v>
      </c>
      <c r="J3" s="32" t="n">
        <v>0.44</v>
      </c>
      <c r="K3" s="32" t="n">
        <v>0</v>
      </c>
      <c r="L3" s="31" t="n">
        <v>97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78.42</v>
      </c>
      <c r="P3" s="32" t="n">
        <v>40.32</v>
      </c>
      <c r="Q3" s="32" t="n">
        <v>21.73</v>
      </c>
      <c r="R3" s="31" t="inlineStr">
        <is>
          <t>Near 52W High Breakout</t>
        </is>
      </c>
      <c r="S3" s="31" t="inlineStr">
        <is>
          <t>Nifty 50</t>
        </is>
      </c>
      <c r="T3" s="32" t="n">
        <v>-3.75</v>
      </c>
      <c r="U3" s="32" t="n">
        <v>90.18000000000001</v>
      </c>
      <c r="V3" s="32" t="n">
        <v>97.59</v>
      </c>
      <c r="W3" s="32" t="n">
        <v>53.53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19</t>
        </is>
      </c>
      <c r="CG3" s="31">
        <f>IF(CF3&gt;20,10,IF(CF3&gt;=10,5,2))</f>
        <v/>
      </c>
    </row>
    <row r="4">
      <c r="A4" s="31">
        <f>IF(B4=0,"",RANK(B4,$B$2:$B$85,0))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RPTECH</t>
        </is>
      </c>
      <c r="D4" s="31" t="inlineStr">
        <is>
          <t>Rashi Peripherals Ltd</t>
        </is>
      </c>
      <c r="E4" s="31" t="inlineStr">
        <is>
          <t>services</t>
        </is>
      </c>
      <c r="F4" s="31" t="inlineStr">
        <is>
          <t>Trading</t>
        </is>
      </c>
      <c r="G4" s="31" t="inlineStr">
        <is>
          <t>midcap</t>
        </is>
      </c>
      <c r="H4" s="32" t="n">
        <v>5129.3</v>
      </c>
      <c r="I4" s="32" t="n">
        <v>778.35</v>
      </c>
      <c r="J4" s="32" t="n">
        <v>-0.12</v>
      </c>
      <c r="K4" s="32" t="n">
        <v>0</v>
      </c>
      <c r="L4" s="31" t="n">
        <v>96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85.18000000000001</v>
      </c>
      <c r="P4" s="32" t="n">
        <v>68.39</v>
      </c>
      <c r="Q4" s="32" t="n">
        <v>604.35</v>
      </c>
      <c r="R4" s="31" t="inlineStr">
        <is>
          <t>Near 52W High Breakout</t>
        </is>
      </c>
      <c r="S4" s="31" t="inlineStr">
        <is>
          <t>Nifty 50</t>
        </is>
      </c>
      <c r="T4" s="32" t="n">
        <v>-3.75</v>
      </c>
      <c r="U4" s="32" t="n">
        <v>162.46</v>
      </c>
      <c r="V4" s="32" t="n">
        <v>172.68</v>
      </c>
      <c r="W4" s="32" t="n">
        <v>43.87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Less than 50%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21</t>
        </is>
      </c>
      <c r="CG4" s="31">
        <f>IF(CF4&gt;20,10,IF(CF4&gt;=10,5,2))</f>
        <v/>
      </c>
    </row>
    <row r="5">
      <c r="A5" s="31">
        <f>IF(B5=0,"",RANK(B5,$B$2:$B$85,0))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BAJAJCON</t>
        </is>
      </c>
      <c r="D5" s="31" t="inlineStr">
        <is>
          <t>Bajaj Consumer Care Ltd</t>
        </is>
      </c>
      <c r="E5" s="31" t="inlineStr">
        <is>
          <t>fmcg</t>
        </is>
      </c>
      <c r="F5" s="31" t="inlineStr">
        <is>
          <t>FMCG - Personal Care</t>
        </is>
      </c>
      <c r="G5" s="31" t="inlineStr">
        <is>
          <t>midcap</t>
        </is>
      </c>
      <c r="H5" s="32" t="n">
        <v>8816.74</v>
      </c>
      <c r="I5" s="32" t="n">
        <v>675</v>
      </c>
      <c r="J5" s="32" t="n">
        <v>4.89</v>
      </c>
      <c r="K5" s="32" t="n">
        <v>0</v>
      </c>
      <c r="L5" s="31" t="n">
        <v>93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76.11</v>
      </c>
      <c r="P5" s="32" t="n">
        <v>64.09</v>
      </c>
      <c r="Q5" s="32" t="n">
        <v>525.88</v>
      </c>
      <c r="R5" s="31" t="inlineStr">
        <is>
          <t>Near 52W High Breakout</t>
        </is>
      </c>
      <c r="S5" s="31" t="inlineStr">
        <is>
          <t>Nifty FMCG</t>
        </is>
      </c>
      <c r="T5" s="32" t="n">
        <v>-11.8</v>
      </c>
      <c r="U5" s="32" t="n">
        <v>187.48</v>
      </c>
      <c r="V5" s="32" t="n">
        <v>225.95</v>
      </c>
      <c r="W5" s="32" t="n">
        <v>36.79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21</t>
        </is>
      </c>
      <c r="CG5" s="31">
        <f>IF(CF5&gt;20,10,IF(CF5&gt;=10,5,2))</f>
        <v/>
      </c>
    </row>
    <row r="6">
      <c r="A6" s="31">
        <f>IF(B6=0,"",RANK(B6,$B$2:$B$85,0))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RADICO</t>
        </is>
      </c>
      <c r="D6" s="31" t="inlineStr">
        <is>
          <t>Radico Khaitan Ltd</t>
        </is>
      </c>
      <c r="E6" s="31" t="inlineStr">
        <is>
          <t>fmcg</t>
        </is>
      </c>
      <c r="F6" s="31" t="inlineStr">
        <is>
          <t>Alcoholic Beverages</t>
        </is>
      </c>
      <c r="G6" s="31" t="inlineStr">
        <is>
          <t>largecap</t>
        </is>
      </c>
      <c r="H6" s="32" t="n">
        <v>54423.65</v>
      </c>
      <c r="I6" s="32" t="n">
        <v>4062</v>
      </c>
      <c r="J6" s="32" t="n">
        <v>-0.66</v>
      </c>
      <c r="K6" s="32" t="n">
        <v>0</v>
      </c>
      <c r="L6" s="31" t="n">
        <v>75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79.55</v>
      </c>
      <c r="P6" s="32" t="n">
        <v>47.36</v>
      </c>
      <c r="Q6" s="32" t="n">
        <v>3420.18</v>
      </c>
      <c r="R6" s="31" t="inlineStr">
        <is>
          <t>Near 52W High Breakout</t>
        </is>
      </c>
      <c r="S6" s="31" t="inlineStr">
        <is>
          <t>Nifty FMCG</t>
        </is>
      </c>
      <c r="T6" s="32" t="n">
        <v>-11.8</v>
      </c>
      <c r="U6" s="32" t="n">
        <v>50.08</v>
      </c>
      <c r="V6" s="32" t="n">
        <v>70.17</v>
      </c>
      <c r="W6" s="32" t="n">
        <v>19.04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16</t>
        </is>
      </c>
      <c r="CG6" s="31">
        <f>IF(CF6&gt;20,10,IF(CF6&gt;=10,5,2))</f>
        <v/>
      </c>
    </row>
    <row r="7">
      <c r="A7" s="31">
        <f>IF(B7=0,"",RANK(B7,$B$2:$B$85,0))</f>
        <v/>
      </c>
      <c r="B7" s="32">
        <f>SUM(N7,Y7,AA7,AC7,AE7,AG7,AI7,AK7,AM7,AO7,AQ7,AS7,AU7,AW7,AY7,BA7,BC7,BE7,BG7,BI7,BK7,BM7,BO7,BQ7,BS7,BU7,BW7,BY7,CA7,CC7,CE7,CG7)</f>
        <v/>
      </c>
      <c r="C7" s="34" t="inlineStr">
        <is>
          <t>UNIPARTS</t>
        </is>
      </c>
      <c r="D7" s="34" t="inlineStr">
        <is>
          <t>Uniparts India Ltd</t>
        </is>
      </c>
      <c r="E7" s="31" t="inlineStr">
        <is>
          <t>industrials</t>
        </is>
      </c>
      <c r="F7" s="31" t="inlineStr">
        <is>
          <t>Castings, Forgings &amp; Fastners</t>
        </is>
      </c>
      <c r="G7" s="31" t="inlineStr">
        <is>
          <t>smallcap</t>
        </is>
      </c>
      <c r="H7" s="32" t="n">
        <v>3191.84</v>
      </c>
      <c r="I7" s="32" t="n">
        <v>707.05</v>
      </c>
      <c r="J7" s="32" t="n">
        <v>3.91</v>
      </c>
      <c r="K7" s="32" t="n">
        <v>0</v>
      </c>
      <c r="L7" s="31" t="n">
        <v>82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74.77</v>
      </c>
      <c r="P7" s="32" t="n">
        <v>50.13</v>
      </c>
      <c r="Q7" s="32" t="n">
        <v>552.99</v>
      </c>
      <c r="R7" s="31" t="inlineStr">
        <is>
          <t>Near 52W High Breakout</t>
        </is>
      </c>
      <c r="S7" s="31" t="inlineStr">
        <is>
          <t>Nifty 50</t>
        </is>
      </c>
      <c r="T7" s="32" t="n">
        <v>-3.75</v>
      </c>
      <c r="U7" s="32" t="n">
        <v>91.89</v>
      </c>
      <c r="V7" s="32" t="n">
        <v>99.36</v>
      </c>
      <c r="W7" s="32" t="n">
        <v>22.71</v>
      </c>
      <c r="X7" s="31" t="inlineStr">
        <is>
          <t>Cyclical in an Upturn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16</t>
        </is>
      </c>
      <c r="CG7" s="31">
        <f>IF(CF7&gt;20,10,IF(CF7&gt;=10,5,2))</f>
        <v/>
      </c>
    </row>
    <row r="8">
      <c r="A8" s="31">
        <f>IF(B8=0,"",RANK(B8,$B$2:$B$85,0))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CUPID</t>
        </is>
      </c>
      <c r="D8" s="31" t="inlineStr">
        <is>
          <t>Cupid Ltd</t>
        </is>
      </c>
      <c r="E8" s="31" t="inlineStr">
        <is>
          <t>fmcg</t>
        </is>
      </c>
      <c r="F8" s="31" t="inlineStr">
        <is>
          <t>Contraceptives/Protectives</t>
        </is>
      </c>
      <c r="G8" s="31" t="inlineStr">
        <is>
          <t>largecap</t>
        </is>
      </c>
      <c r="H8" s="32" t="n">
        <v>28634.55</v>
      </c>
      <c r="I8" s="32" t="n">
        <v>212.95</v>
      </c>
      <c r="J8" s="32" t="n">
        <v>1.4</v>
      </c>
      <c r="K8" s="32" t="n">
        <v>0</v>
      </c>
      <c r="L8" s="31" t="n">
        <v>99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88.63</v>
      </c>
      <c r="P8" s="32" t="n">
        <v>59.99</v>
      </c>
      <c r="Q8" s="32" t="n">
        <v>165.51</v>
      </c>
      <c r="R8" s="31" t="inlineStr">
        <is>
          <t>Volume Spike &amp; Near 52W High Breakout</t>
        </is>
      </c>
      <c r="S8" s="31" t="inlineStr">
        <is>
          <t>Nifty FMCG</t>
        </is>
      </c>
      <c r="T8" s="32" t="n">
        <v>-11.8</v>
      </c>
      <c r="U8" s="32" t="n">
        <v>795.38</v>
      </c>
      <c r="V8" s="32" t="n">
        <v>915.21</v>
      </c>
      <c r="W8" s="32" t="n">
        <v>88.69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Less than 50%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20</t>
        </is>
      </c>
      <c r="CG8" s="31">
        <f>IF(CF8&gt;20,10,IF(CF8&gt;=10,5,2))</f>
        <v/>
      </c>
    </row>
    <row r="9">
      <c r="A9" s="31">
        <f>IF(B9=0,"",RANK(B9,$B$2:$B$85,0))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ADFFOODS</t>
        </is>
      </c>
      <c r="D9" s="31" t="inlineStr">
        <is>
          <t>ADF Foods Ltd</t>
        </is>
      </c>
      <c r="E9" s="31" t="inlineStr">
        <is>
          <t>fmcg</t>
        </is>
      </c>
      <c r="F9" s="31" t="inlineStr">
        <is>
          <t>FMCG - Contract Mfg</t>
        </is>
      </c>
      <c r="G9" s="31" t="inlineStr">
        <is>
          <t>smallcap</t>
        </is>
      </c>
      <c r="H9" s="32" t="n">
        <v>3515.64</v>
      </c>
      <c r="I9" s="32" t="n">
        <v>320</v>
      </c>
      <c r="J9" s="32" t="n">
        <v>0.77</v>
      </c>
      <c r="K9" s="32" t="n">
        <v>0</v>
      </c>
      <c r="L9" s="31" t="n">
        <v>80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69.43000000000001</v>
      </c>
      <c r="P9" s="32" t="n">
        <v>37.93</v>
      </c>
      <c r="Q9" s="32" t="n">
        <v>235.48</v>
      </c>
      <c r="R9" s="31" t="inlineStr">
        <is>
          <t>Near 52W High Breakout</t>
        </is>
      </c>
      <c r="S9" s="31" t="inlineStr">
        <is>
          <t>Nifty FMCG</t>
        </is>
      </c>
      <c r="T9" s="32" t="n">
        <v>-11.8</v>
      </c>
      <c r="U9" s="32" t="n">
        <v>21.75</v>
      </c>
      <c r="V9" s="32" t="n">
        <v>38.04</v>
      </c>
      <c r="W9" s="32" t="n">
        <v>21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Less than 50%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19</t>
        </is>
      </c>
      <c r="CG9" s="31">
        <f>IF(CF9&gt;20,10,IF(CF9&gt;=10,5,2))</f>
        <v/>
      </c>
    </row>
    <row r="10">
      <c r="A10" s="31">
        <f>IF(B10=0,"",RANK(B10,$B$2:$B$85,0))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KPL</t>
        </is>
      </c>
      <c r="D10" s="31" t="inlineStr">
        <is>
          <t>Kwality Pharmaceuticals Ltd</t>
        </is>
      </c>
      <c r="E10" s="31" t="inlineStr">
        <is>
          <t>Healthcare</t>
        </is>
      </c>
      <c r="F10" s="31" t="inlineStr">
        <is>
          <t>Pharma - Formulators</t>
        </is>
      </c>
      <c r="G10" s="31" t="inlineStr">
        <is>
          <t>smallcap</t>
        </is>
      </c>
      <c r="H10" s="32" t="n">
        <v>2712.55</v>
      </c>
      <c r="I10" s="32" t="n">
        <v>2614.2</v>
      </c>
      <c r="J10" s="32" t="n">
        <v>-0.13</v>
      </c>
      <c r="K10" s="32" t="n">
        <v>0</v>
      </c>
      <c r="L10" s="31" t="n">
        <v>92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75.84</v>
      </c>
      <c r="P10" s="32" t="n">
        <v>58.76</v>
      </c>
      <c r="Q10" s="32" t="n">
        <v>1959.48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15.51</v>
      </c>
      <c r="U10" s="32" t="n">
        <v>118.68</v>
      </c>
      <c r="V10" s="32" t="n">
        <v>89.31</v>
      </c>
      <c r="W10" s="32" t="n">
        <v>34.92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Less than 50%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19</t>
        </is>
      </c>
      <c r="CG10" s="31">
        <f>IF(CF10&gt;20,10,IF(CF10&gt;=10,5,2))</f>
        <v/>
      </c>
    </row>
    <row r="11">
      <c r="A11" s="31">
        <f>IF(B11=0,"",RANK(B11,$B$2:$B$85,0))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GRANULES</t>
        </is>
      </c>
      <c r="D11" s="34" t="inlineStr">
        <is>
          <t>Granules India Ltd</t>
        </is>
      </c>
      <c r="E11" s="31" t="inlineStr">
        <is>
          <t>healthcare</t>
        </is>
      </c>
      <c r="F11" s="31" t="inlineStr">
        <is>
          <t>Pharma - API &amp; CRAMS</t>
        </is>
      </c>
      <c r="G11" s="31" t="inlineStr">
        <is>
          <t>largecap</t>
        </is>
      </c>
      <c r="H11" s="32" t="n">
        <v>21979.59</v>
      </c>
      <c r="I11" s="32" t="n">
        <v>887</v>
      </c>
      <c r="J11" s="32" t="n">
        <v>0.5600000000000001</v>
      </c>
      <c r="K11" s="32" t="n">
        <v>0</v>
      </c>
      <c r="L11" s="31" t="n">
        <v>82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78.31999999999999</v>
      </c>
      <c r="P11" s="32" t="n">
        <v>44.54</v>
      </c>
      <c r="Q11" s="32" t="n">
        <v>745.25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15.51</v>
      </c>
      <c r="U11" s="32" t="n">
        <v>90.31</v>
      </c>
      <c r="V11" s="32" t="n">
        <v>64.75</v>
      </c>
      <c r="W11" s="32" t="n">
        <v>22.82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18</t>
        </is>
      </c>
      <c r="CG11" s="31">
        <f>IF(CF11&gt;20,10,IF(CF11&gt;=10,5,2))</f>
        <v/>
      </c>
    </row>
    <row r="12">
      <c r="A12" s="31">
        <f>IF(B12=0,"",RANK(B12,$B$2:$B$85,0))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MODINSU</t>
        </is>
      </c>
      <c r="D12" s="31" t="inlineStr">
        <is>
          <t>Modern Insulators Ltd</t>
        </is>
      </c>
      <c r="E12" s="31" t="inlineStr">
        <is>
          <t>Technology</t>
        </is>
      </c>
      <c r="F12" s="31" t="inlineStr">
        <is>
          <t>Capital Goods - Electric General</t>
        </is>
      </c>
      <c r="G12" s="31" t="inlineStr">
        <is>
          <t>smallcap</t>
        </is>
      </c>
      <c r="H12" s="32" t="n">
        <v>2552.84</v>
      </c>
      <c r="I12" s="32" t="n">
        <v>541.5</v>
      </c>
      <c r="J12" s="32" t="n">
        <v>4.99</v>
      </c>
      <c r="K12" s="32" t="n">
        <v>0</v>
      </c>
      <c r="L12" s="31" t="n">
        <v>98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76.19</v>
      </c>
      <c r="P12" s="32" t="n">
        <v>51.28</v>
      </c>
      <c r="Q12" s="32" t="n">
        <v>392.62</v>
      </c>
      <c r="R12" s="31" t="inlineStr">
        <is>
          <t>Near 52W High Breakout</t>
        </is>
      </c>
      <c r="S12" s="31" t="inlineStr">
        <is>
          <t>Nifty 50</t>
        </is>
      </c>
      <c r="T12" s="32" t="n">
        <v>-3.75</v>
      </c>
      <c r="U12" s="32" t="n">
        <v>397.93</v>
      </c>
      <c r="V12" s="32" t="n">
        <v>417.33</v>
      </c>
      <c r="W12" s="32" t="n">
        <v>61.85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Less than 50%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17</t>
        </is>
      </c>
      <c r="CG12" s="31">
        <f>IF(CF12&gt;20,10,IF(CF12&gt;=10,5,2))</f>
        <v/>
      </c>
    </row>
    <row r="13">
      <c r="A13" s="31">
        <f>IF(B13=0,"",RANK(B13,$B$2:$B$85,0))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4" t="inlineStr">
        <is>
          <t>BLISSGVS</t>
        </is>
      </c>
      <c r="D13" s="34" t="inlineStr">
        <is>
          <t>Bliss GVS Pharma Ltd</t>
        </is>
      </c>
      <c r="E13" s="31" t="inlineStr">
        <is>
          <t>healthcare</t>
        </is>
      </c>
      <c r="F13" s="31" t="inlineStr">
        <is>
          <t>Pharma - Formulators</t>
        </is>
      </c>
      <c r="G13" s="31" t="inlineStr">
        <is>
          <t>midcap</t>
        </is>
      </c>
      <c r="H13" s="32" t="n">
        <v>5540.38</v>
      </c>
      <c r="I13" s="32" t="n">
        <v>522.4</v>
      </c>
      <c r="J13" s="32" t="n">
        <v>-0.33</v>
      </c>
      <c r="K13" s="32" t="n">
        <v>0</v>
      </c>
      <c r="L13" s="31" t="n">
        <v>97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91.68000000000001</v>
      </c>
      <c r="P13" s="32" t="n">
        <v>73.15000000000001</v>
      </c>
      <c r="Q13" s="32" t="n">
        <v>401.06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15.51</v>
      </c>
      <c r="U13" s="32" t="n">
        <v>243.36</v>
      </c>
      <c r="V13" s="32" t="n">
        <v>197.24</v>
      </c>
      <c r="W13" s="32" t="n">
        <v>53.54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17</t>
        </is>
      </c>
      <c r="CG13" s="31">
        <f>IF(CF13&gt;20,10,IF(CF13&gt;=10,5,2))</f>
        <v/>
      </c>
    </row>
    <row r="14">
      <c r="A14" s="31">
        <f>IF(B14=0,"",RANK(B14,$B$2:$B$85,0))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4" t="inlineStr">
        <is>
          <t>MARKSANS</t>
        </is>
      </c>
      <c r="D14" s="34" t="inlineStr">
        <is>
          <t>Marksans Pharma Ltd</t>
        </is>
      </c>
      <c r="E14" s="31" t="inlineStr">
        <is>
          <t>healthcare</t>
        </is>
      </c>
      <c r="F14" s="31" t="inlineStr">
        <is>
          <t>Pharma - Formulators</t>
        </is>
      </c>
      <c r="G14" s="31" t="inlineStr">
        <is>
          <t>midcap</t>
        </is>
      </c>
      <c r="H14" s="32" t="n">
        <v>12258.08</v>
      </c>
      <c r="I14" s="32" t="n">
        <v>270.5</v>
      </c>
      <c r="J14" s="32" t="n">
        <v>-2.45</v>
      </c>
      <c r="K14" s="32" t="n">
        <v>0</v>
      </c>
      <c r="L14" s="31" t="n">
        <v>67</v>
      </c>
      <c r="M14" s="31" t="inlineStr">
        <is>
          <t>Underperforming</t>
        </is>
      </c>
      <c r="N14" s="32">
        <f>IF(M14="Underperforming",-5,IF(L14&gt;=95,15,IF(L14&gt;=90,10,IF(L14&gt;=80,5,0))))</f>
        <v/>
      </c>
      <c r="O14" s="32" t="n">
        <v>74.92</v>
      </c>
      <c r="P14" s="32" t="n">
        <v>42.64</v>
      </c>
      <c r="Q14" s="32" t="n">
        <v>211.29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15.51</v>
      </c>
      <c r="U14" s="32" t="n">
        <v>7.39</v>
      </c>
      <c r="V14" s="32" t="n">
        <v>-7.03</v>
      </c>
      <c r="W14" s="32" t="n">
        <v>15.05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16</t>
        </is>
      </c>
      <c r="CG14" s="31">
        <f>IF(CF14&gt;20,10,IF(CF14&gt;=10,5,2))</f>
        <v/>
      </c>
    </row>
    <row r="15">
      <c r="A15" s="31">
        <f>IF(B15=0,"",RANK(B15,$B$2:$B$85,0))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THANGAMAYL</t>
        </is>
      </c>
      <c r="D15" s="31" t="inlineStr">
        <is>
          <t>Thangamayil Jewellery Ltd</t>
        </is>
      </c>
      <c r="E15" s="31" t="inlineStr">
        <is>
          <t>consumer discretionary</t>
        </is>
      </c>
      <c r="F15" s="31" t="inlineStr">
        <is>
          <t>Diamond, Gems &amp; Jewellery</t>
        </is>
      </c>
      <c r="G15" s="31" t="inlineStr">
        <is>
          <t>largecap</t>
        </is>
      </c>
      <c r="H15" s="32" t="n">
        <v>20327.64</v>
      </c>
      <c r="I15" s="32" t="n">
        <v>6540</v>
      </c>
      <c r="J15" s="32" t="n">
        <v>-0.89</v>
      </c>
      <c r="K15" s="32" t="n">
        <v>0</v>
      </c>
      <c r="L15" s="31" t="n">
        <v>95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77.87</v>
      </c>
      <c r="P15" s="32" t="n">
        <v>46.01</v>
      </c>
      <c r="Q15" s="32" t="n">
        <v>4861.41</v>
      </c>
      <c r="R15" s="31" t="inlineStr">
        <is>
          <t>Near 52W High Breakout</t>
        </is>
      </c>
      <c r="S15" s="31" t="inlineStr">
        <is>
          <t>Nifty 50</t>
        </is>
      </c>
      <c r="T15" s="32" t="n">
        <v>-3.75</v>
      </c>
      <c r="U15" s="32" t="n">
        <v>242.28</v>
      </c>
      <c r="V15" s="32" t="n">
        <v>255.61</v>
      </c>
      <c r="W15" s="32" t="n">
        <v>43.05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25</t>
        </is>
      </c>
      <c r="CG15" s="31">
        <f>IF(CF15&gt;20,10,IF(CF15&gt;=10,5,2))</f>
        <v/>
      </c>
    </row>
    <row r="16">
      <c r="A16" s="31">
        <f>IF(B16=0,"",RANK(B16,$B$2:$B$85,0))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GOLDIAM</t>
        </is>
      </c>
      <c r="D16" s="34" t="inlineStr">
        <is>
          <t>Goldiam International Ltd</t>
        </is>
      </c>
      <c r="E16" s="31" t="inlineStr">
        <is>
          <t>Consumer Cyclical</t>
        </is>
      </c>
      <c r="F16" s="31" t="inlineStr">
        <is>
          <t>Lab Grown Diamonds</t>
        </is>
      </c>
      <c r="G16" s="31" t="inlineStr">
        <is>
          <t>smallcap</t>
        </is>
      </c>
      <c r="H16" s="32" t="n">
        <v>4273.38</v>
      </c>
      <c r="I16" s="32" t="n">
        <v>378.45</v>
      </c>
      <c r="J16" s="32" t="n">
        <v>19.99</v>
      </c>
      <c r="K16" s="32" t="n">
        <v>0</v>
      </c>
      <c r="L16" s="31" t="n">
        <v>75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66.64</v>
      </c>
      <c r="P16" s="32" t="n">
        <v>34.61</v>
      </c>
      <c r="Q16" s="32" t="n">
        <v>267.7</v>
      </c>
      <c r="R16" s="31" t="inlineStr">
        <is>
          <t>Volume Spike &amp; Near 52W High Breakout</t>
        </is>
      </c>
      <c r="S16" s="31" t="inlineStr">
        <is>
          <t>Nifty 50</t>
        </is>
      </c>
      <c r="T16" s="32" t="n">
        <v>-3.75</v>
      </c>
      <c r="U16" s="32" t="n">
        <v>49.74</v>
      </c>
      <c r="V16" s="32" t="n">
        <v>55.57</v>
      </c>
      <c r="W16" s="32" t="n">
        <v>18.92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20</t>
        </is>
      </c>
      <c r="CG16" s="31">
        <f>IF(CF16&gt;20,10,IF(CF16&gt;=10,5,2))</f>
        <v/>
      </c>
    </row>
    <row r="17">
      <c r="A17" s="31">
        <f>IF(B17=0,"",RANK(B17,$B$2:$B$85,0))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TIPSMUSIC</t>
        </is>
      </c>
      <c r="D17" s="31" t="inlineStr">
        <is>
          <t>Tips Music Ltd</t>
        </is>
      </c>
      <c r="E17" s="31" t="inlineStr">
        <is>
          <t>media</t>
        </is>
      </c>
      <c r="F17" s="31" t="inlineStr">
        <is>
          <t>Music Licensing</t>
        </is>
      </c>
      <c r="G17" s="31" t="inlineStr">
        <is>
          <t>midcap</t>
        </is>
      </c>
      <c r="H17" s="32" t="n">
        <v>9018.52</v>
      </c>
      <c r="I17" s="32" t="n">
        <v>705.5</v>
      </c>
      <c r="J17" s="32" t="n">
        <v>-0.79</v>
      </c>
      <c r="K17" s="32" t="n">
        <v>0</v>
      </c>
      <c r="L17" s="31" t="n">
        <v>50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65.09</v>
      </c>
      <c r="P17" s="32" t="n">
        <v>38.09</v>
      </c>
      <c r="Q17" s="32" t="n">
        <v>553.42</v>
      </c>
      <c r="R17" s="31" t="inlineStr">
        <is>
          <t>Near 52W High Breakout</t>
        </is>
      </c>
      <c r="S17" s="31" t="inlineStr">
        <is>
          <t>Nifty IT</t>
        </is>
      </c>
      <c r="T17" s="32" t="n">
        <v>-25.69</v>
      </c>
      <c r="U17" s="32" t="n">
        <v>12.01</v>
      </c>
      <c r="V17" s="32" t="n">
        <v>50.73</v>
      </c>
      <c r="W17" s="32" t="n">
        <v>9.77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20</t>
        </is>
      </c>
      <c r="CG17" s="31">
        <f>IF(CF17&gt;20,10,IF(CF17&gt;=10,5,2))</f>
        <v/>
      </c>
    </row>
    <row r="18">
      <c r="A18" s="31">
        <f>IF(B18=0,"",RANK(B18,$B$2:$B$85,0))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TIMEX</t>
        </is>
      </c>
      <c r="D18" s="31" t="inlineStr">
        <is>
          <t>Timex Group India Ltd</t>
        </is>
      </c>
      <c r="E18" s="31" t="inlineStr">
        <is>
          <t>Consumer Cyclical</t>
        </is>
      </c>
      <c r="F18" s="31" t="inlineStr">
        <is>
          <t>Watches</t>
        </is>
      </c>
      <c r="G18" s="31" t="inlineStr">
        <is>
          <t>midcap</t>
        </is>
      </c>
      <c r="H18" s="32" t="n">
        <v>5804.63</v>
      </c>
      <c r="I18" s="32" t="n">
        <v>575</v>
      </c>
      <c r="J18" s="32" t="n">
        <v>5.21</v>
      </c>
      <c r="K18" s="32" t="n">
        <v>0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78.76000000000001</v>
      </c>
      <c r="P18" s="32" t="n">
        <v>37.31</v>
      </c>
      <c r="Q18" s="32" t="n">
        <v>439.77</v>
      </c>
      <c r="R18" s="31" t="inlineStr">
        <is>
          <t>Near 52W High Breakout</t>
        </is>
      </c>
      <c r="S18" s="31" t="inlineStr">
        <is>
          <t>Nifty 50</t>
        </is>
      </c>
      <c r="T18" s="32" t="n">
        <v>-3.75</v>
      </c>
      <c r="U18" s="32" t="n">
        <v>152.42</v>
      </c>
      <c r="V18" s="32" t="n">
        <v>162.25</v>
      </c>
      <c r="W18" s="32" t="n">
        <v>53.41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18</t>
        </is>
      </c>
      <c r="CG18" s="31">
        <f>IF(CF18&gt;20,10,IF(CF18&gt;=10,5,2))</f>
        <v/>
      </c>
    </row>
    <row r="19">
      <c r="A19" s="31">
        <f>IF(B19=0,"",RANK(B19,$B$2:$B$85,0))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ATHERENERG</t>
        </is>
      </c>
      <c r="D19" s="31" t="inlineStr">
        <is>
          <t>Ather Energy Ltd</t>
        </is>
      </c>
      <c r="E19" s="31" t="inlineStr">
        <is>
          <t>auto</t>
        </is>
      </c>
      <c r="F19" s="31" t="inlineStr">
        <is>
          <t>Auto - 2 &amp; 3 Wheelers</t>
        </is>
      </c>
      <c r="G19" s="31" t="inlineStr">
        <is>
          <t>largecap</t>
        </is>
      </c>
      <c r="H19" s="32" t="n">
        <v>46556.86</v>
      </c>
      <c r="I19" s="32" t="n">
        <v>1215.2</v>
      </c>
      <c r="J19" s="32" t="n">
        <v>-0.26</v>
      </c>
      <c r="K19" s="32" t="n">
        <v>0</v>
      </c>
      <c r="L19" s="31" t="n">
        <v>95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77.7</v>
      </c>
      <c r="P19" s="32" t="n">
        <v>53.15</v>
      </c>
      <c r="Q19" s="32" t="n">
        <v>948.3</v>
      </c>
      <c r="R19" s="31" t="inlineStr">
        <is>
          <t>Near 52W High Breakout</t>
        </is>
      </c>
      <c r="S19" s="31" t="inlineStr">
        <is>
          <t>Nifty Auto</t>
        </is>
      </c>
      <c r="T19" s="32" t="n">
        <v>14.33</v>
      </c>
      <c r="U19" s="32" t="n">
        <v>268.77</v>
      </c>
      <c r="V19" s="32" t="n">
        <v>222.55</v>
      </c>
      <c r="W19" s="32" t="n">
        <v>41.15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Negative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17</t>
        </is>
      </c>
      <c r="CG19" s="31">
        <f>IF(CF19&gt;20,10,IF(CF19&gt;=10,5,2))</f>
        <v/>
      </c>
    </row>
    <row r="20">
      <c r="A20" s="31">
        <f>IF(B20=0,"",RANK(B20,$B$2:$B$85,0))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SANGHVIMOV</t>
        </is>
      </c>
      <c r="D20" s="31" t="inlineStr">
        <is>
          <t>Sanghvi Movers Ltd</t>
        </is>
      </c>
      <c r="E20" s="31" t="inlineStr">
        <is>
          <t>miscellaneous</t>
        </is>
      </c>
      <c r="F20" s="31" t="inlineStr">
        <is>
          <t>Capital Goods - EPC/Cranes</t>
        </is>
      </c>
      <c r="G20" s="31" t="inlineStr">
        <is>
          <t>smallcap</t>
        </is>
      </c>
      <c r="H20" s="32" t="n">
        <v>3959.55</v>
      </c>
      <c r="I20" s="32" t="n">
        <v>457.35</v>
      </c>
      <c r="J20" s="32" t="n">
        <v>-1.48</v>
      </c>
      <c r="K20" s="32" t="n">
        <v>0</v>
      </c>
      <c r="L20" s="31" t="n">
        <v>85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71.95</v>
      </c>
      <c r="P20" s="32" t="n">
        <v>29.82</v>
      </c>
      <c r="Q20" s="32" t="n">
        <v>347.3</v>
      </c>
      <c r="R20" s="31" t="inlineStr">
        <is>
          <t>Near 52W High Breakout</t>
        </is>
      </c>
      <c r="S20" s="31" t="inlineStr">
        <is>
          <t>Nifty 50</t>
        </is>
      </c>
      <c r="T20" s="32" t="n">
        <v>-3.75</v>
      </c>
      <c r="U20" s="32" t="n">
        <v>68.39</v>
      </c>
      <c r="V20" s="32" t="n">
        <v>74.95</v>
      </c>
      <c r="W20" s="32" t="n">
        <v>25.3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17</t>
        </is>
      </c>
      <c r="CG20" s="31">
        <f>IF(CF20&gt;20,10,IF(CF20&gt;=10,5,2))</f>
        <v/>
      </c>
    </row>
    <row r="21">
      <c r="A21" s="31">
        <f>IF(B21=0,"",RANK(B21,$B$2:$B$85,0))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SEKURITIND</t>
        </is>
      </c>
      <c r="D21" s="31" t="inlineStr">
        <is>
          <t>Saint-Gobain Sekurit India Ltd</t>
        </is>
      </c>
      <c r="E21" s="31" t="inlineStr">
        <is>
          <t>Consumer Cyclical</t>
        </is>
      </c>
      <c r="F21" s="31" t="inlineStr">
        <is>
          <t>Glass &amp; Glass Products</t>
        </is>
      </c>
      <c r="G21" s="31" t="inlineStr">
        <is>
          <t>smallcap</t>
        </is>
      </c>
      <c r="H21" s="32" t="n">
        <v>1224.01</v>
      </c>
      <c r="I21" s="32" t="n">
        <v>134.35</v>
      </c>
      <c r="J21" s="32" t="n">
        <v>0.67</v>
      </c>
      <c r="K21" s="32" t="n">
        <v>0</v>
      </c>
      <c r="L21" s="31" t="n">
        <v>54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69.09999999999999</v>
      </c>
      <c r="P21" s="32" t="n">
        <v>31.69</v>
      </c>
      <c r="Q21" s="32" t="n">
        <v>107.69</v>
      </c>
      <c r="R21" s="31" t="inlineStr">
        <is>
          <t>Near 52W High Breakout</t>
        </is>
      </c>
      <c r="S21" s="31" t="inlineStr">
        <is>
          <t>Nifty Auto</t>
        </is>
      </c>
      <c r="T21" s="32" t="n">
        <v>14.33</v>
      </c>
      <c r="U21" s="32" t="n">
        <v>19.57</v>
      </c>
      <c r="V21" s="32" t="n">
        <v>4.58</v>
      </c>
      <c r="W21" s="32" t="n">
        <v>11.55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16</t>
        </is>
      </c>
      <c r="CG21" s="31">
        <f>IF(CF21&gt;20,10,IF(CF21&gt;=10,5,2))</f>
        <v/>
      </c>
    </row>
    <row r="22">
      <c r="A22" s="31">
        <f>IF(B22=0,"",RANK(B22,$B$2:$B$85,0))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BHARATSE</t>
        </is>
      </c>
      <c r="D22" s="31" t="inlineStr">
        <is>
          <t>Bharat Seats Ltd</t>
        </is>
      </c>
      <c r="E22" s="31" t="inlineStr">
        <is>
          <t>auto</t>
        </is>
      </c>
      <c r="F22" s="31" t="inlineStr">
        <is>
          <t>Auto Ancillaries - Seats</t>
        </is>
      </c>
      <c r="G22" s="31" t="inlineStr">
        <is>
          <t>smallcap</t>
        </is>
      </c>
      <c r="H22" s="32" t="n">
        <v>1510.34</v>
      </c>
      <c r="I22" s="32" t="n">
        <v>240.5</v>
      </c>
      <c r="J22" s="32" t="n">
        <v>-2.1</v>
      </c>
      <c r="K22" s="32" t="n">
        <v>0</v>
      </c>
      <c r="L22" s="31" t="n">
        <v>90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68.01000000000001</v>
      </c>
      <c r="P22" s="32" t="n">
        <v>25.84</v>
      </c>
      <c r="Q22" s="32" t="n">
        <v>167.71</v>
      </c>
      <c r="R22" s="31" t="inlineStr">
        <is>
          <t>Near 52W High Breakout</t>
        </is>
      </c>
      <c r="S22" s="31" t="inlineStr">
        <is>
          <t>Nifty Auto</t>
        </is>
      </c>
      <c r="T22" s="32" t="n">
        <v>14.33</v>
      </c>
      <c r="U22" s="32" t="n">
        <v>131.32</v>
      </c>
      <c r="V22" s="32" t="n">
        <v>102.32</v>
      </c>
      <c r="W22" s="32" t="n">
        <v>32.88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Between 12 to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16</t>
        </is>
      </c>
      <c r="CG22" s="31">
        <f>IF(CF22&gt;20,10,IF(CF22&gt;=10,5,2))</f>
        <v/>
      </c>
    </row>
    <row r="23">
      <c r="A23" s="31">
        <f>IF(B23=0,"",RANK(B23,$B$2:$B$85,0))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4" t="inlineStr">
        <is>
          <t>VIJAYA</t>
        </is>
      </c>
      <c r="D23" s="34" t="inlineStr">
        <is>
          <t>Vijaya Diagnostic Centre Ltd</t>
        </is>
      </c>
      <c r="E23" s="31" t="inlineStr">
        <is>
          <t>healthcare</t>
        </is>
      </c>
      <c r="F23" s="31" t="inlineStr">
        <is>
          <t>Diagnostics</t>
        </is>
      </c>
      <c r="G23" s="31" t="inlineStr">
        <is>
          <t>midcap</t>
        </is>
      </c>
      <c r="H23" s="32" t="n">
        <v>14276.92</v>
      </c>
      <c r="I23" s="32" t="n">
        <v>1387.5</v>
      </c>
      <c r="J23" s="32" t="n">
        <v>0.7</v>
      </c>
      <c r="K23" s="32" t="n">
        <v>0</v>
      </c>
      <c r="L23" s="31" t="n">
        <v>70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67.93000000000001</v>
      </c>
      <c r="P23" s="32" t="n">
        <v>42.51</v>
      </c>
      <c r="Q23" s="32" t="n">
        <v>1087.81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15.51</v>
      </c>
      <c r="U23" s="32" t="n">
        <v>36.4</v>
      </c>
      <c r="V23" s="32" t="n">
        <v>18.08</v>
      </c>
      <c r="W23" s="32" t="n">
        <v>15.88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18</t>
        </is>
      </c>
      <c r="CG23" s="31">
        <f>IF(CF23&gt;20,10,IF(CF23&gt;=10,5,2))</f>
        <v/>
      </c>
    </row>
    <row r="24">
      <c r="A24" s="31">
        <f>IF(B24=0,"",RANK(B24,$B$2:$B$85,0))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4" t="inlineStr">
        <is>
          <t>SUVEN</t>
        </is>
      </c>
      <c r="D24" s="34" t="inlineStr">
        <is>
          <t>Suven Life Sciences Ltd</t>
        </is>
      </c>
      <c r="E24" s="31" t="inlineStr">
        <is>
          <t>healthcare</t>
        </is>
      </c>
      <c r="F24" s="31" t="inlineStr">
        <is>
          <t>Pharma - Formulators</t>
        </is>
      </c>
      <c r="G24" s="31" t="inlineStr">
        <is>
          <t>midcap</t>
        </is>
      </c>
      <c r="H24" s="32" t="n">
        <v>10087.49</v>
      </c>
      <c r="I24" s="32" t="n">
        <v>357</v>
      </c>
      <c r="J24" s="32" t="n">
        <v>2.96</v>
      </c>
      <c r="K24" s="32" t="n">
        <v>0</v>
      </c>
      <c r="L24" s="31" t="n">
        <v>87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77.41</v>
      </c>
      <c r="P24" s="32" t="n">
        <v>43.17</v>
      </c>
      <c r="Q24" s="32" t="n">
        <v>256.73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15.51</v>
      </c>
      <c r="U24" s="32" t="n">
        <v>29.36</v>
      </c>
      <c r="V24" s="32" t="n">
        <v>11.99</v>
      </c>
      <c r="W24" s="32" t="n">
        <v>28.09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17</t>
        </is>
      </c>
      <c r="CG24" s="31">
        <f>IF(CF24&gt;20,10,IF(CF24&gt;=10,5,2))</f>
        <v/>
      </c>
    </row>
    <row r="25">
      <c r="A25" s="31">
        <f>IF(B25=0,"",RANK(B25,$B$2:$B$85,0))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CEMPRO</t>
        </is>
      </c>
      <c r="D25" s="31" t="inlineStr">
        <is>
          <t>Cemindia Projects Ltd</t>
        </is>
      </c>
      <c r="E25" s="31" t="inlineStr">
        <is>
          <t>realty</t>
        </is>
      </c>
      <c r="F25" s="31" t="inlineStr">
        <is>
          <t>Infra - Construction &amp; Contracting</t>
        </is>
      </c>
      <c r="G25" s="31" t="inlineStr">
        <is>
          <t>largecap</t>
        </is>
      </c>
      <c r="H25" s="32" t="n">
        <v>26877.89</v>
      </c>
      <c r="I25" s="32" t="n">
        <v>1564.6</v>
      </c>
      <c r="J25" s="32" t="n">
        <v>0.68</v>
      </c>
      <c r="K25" s="32" t="n">
        <v>0</v>
      </c>
      <c r="L25" s="31" t="n">
        <v>98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83.65000000000001</v>
      </c>
      <c r="P25" s="32" t="n">
        <v>46.24</v>
      </c>
      <c r="Q25" s="32" t="n">
        <v>1227.73</v>
      </c>
      <c r="R25" s="31" t="inlineStr">
        <is>
          <t>Near 52W High Breakout</t>
        </is>
      </c>
      <c r="S25" s="31" t="inlineStr">
        <is>
          <t>Nifty Realty</t>
        </is>
      </c>
      <c r="T25" s="32" t="n">
        <v>-2.52</v>
      </c>
      <c r="U25" s="32" t="n">
        <v>80.75</v>
      </c>
      <c r="V25" s="32" t="n">
        <v>85.43000000000001</v>
      </c>
      <c r="W25" s="32" t="n">
        <v>53.62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Less than 50%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20</t>
        </is>
      </c>
      <c r="CG25" s="31">
        <f>IF(CF25&gt;20,10,IF(CF25&gt;=10,5,2))</f>
        <v/>
      </c>
    </row>
    <row r="26">
      <c r="A26" s="31">
        <f>IF(B26=0,"",RANK(B26,$B$2:$B$85,0))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NITTAGELA</t>
        </is>
      </c>
      <c r="D26" s="34" t="inlineStr">
        <is>
          <t>Nitta Gelatin India Ltd</t>
        </is>
      </c>
      <c r="E26" s="31" t="inlineStr">
        <is>
          <t>Basic Materials</t>
        </is>
      </c>
      <c r="F26" s="31" t="inlineStr">
        <is>
          <t>Chemicals - Organic</t>
        </is>
      </c>
      <c r="G26" s="31" t="inlineStr">
        <is>
          <t>smallcap</t>
        </is>
      </c>
      <c r="H26" s="32" t="n">
        <v>1845.79</v>
      </c>
      <c r="I26" s="32" t="n">
        <v>2033</v>
      </c>
      <c r="J26" s="32" t="n">
        <v>5.52</v>
      </c>
      <c r="K26" s="32" t="n">
        <v>0</v>
      </c>
      <c r="L26" s="31" t="n">
        <v>98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79.20999999999999</v>
      </c>
      <c r="P26" s="32" t="n">
        <v>54.51</v>
      </c>
      <c r="Q26" s="32" t="n">
        <v>1544.48</v>
      </c>
      <c r="R26" s="31" t="inlineStr">
        <is>
          <t>Near 52W High Breakout</t>
        </is>
      </c>
      <c r="S26" s="31" t="inlineStr">
        <is>
          <t>Nifty 50</t>
        </is>
      </c>
      <c r="T26" s="32" t="n">
        <v>-3.75</v>
      </c>
      <c r="U26" s="32" t="n">
        <v>106.15</v>
      </c>
      <c r="V26" s="32" t="n">
        <v>114.18</v>
      </c>
      <c r="W26" s="32" t="n">
        <v>55.63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Cyclical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Volatile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19</t>
        </is>
      </c>
      <c r="CG26" s="31">
        <f>IF(CF26&gt;20,10,IF(CF26&gt;=10,5,2))</f>
        <v/>
      </c>
    </row>
    <row r="27">
      <c r="A27" s="31">
        <f>IF(B27=0,"",RANK(B27,$B$2:$B$85,0))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AVALON</t>
        </is>
      </c>
      <c r="D27" s="31" t="inlineStr">
        <is>
          <t>Avalon Technologies Ltd</t>
        </is>
      </c>
      <c r="E27" s="31" t="inlineStr">
        <is>
          <t>consumer discretionary</t>
        </is>
      </c>
      <c r="F27" s="31" t="inlineStr">
        <is>
          <t>Consumer Electronics - EMS</t>
        </is>
      </c>
      <c r="G27" s="31" t="inlineStr">
        <is>
          <t>midcap</t>
        </is>
      </c>
      <c r="H27" s="32" t="n">
        <v>11839.04</v>
      </c>
      <c r="I27" s="32" t="n">
        <v>1772</v>
      </c>
      <c r="J27" s="32" t="n">
        <v>2.51</v>
      </c>
      <c r="K27" s="32" t="n">
        <v>0</v>
      </c>
      <c r="L27" s="31" t="n">
        <v>91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76.88</v>
      </c>
      <c r="P27" s="32" t="n">
        <v>51.16</v>
      </c>
      <c r="Q27" s="32" t="n">
        <v>1337.78</v>
      </c>
      <c r="R27" s="31" t="inlineStr">
        <is>
          <t>Near 52W High Breakout</t>
        </is>
      </c>
      <c r="S27" s="31" t="inlineStr">
        <is>
          <t>Nifty 50</t>
        </is>
      </c>
      <c r="T27" s="32" t="n">
        <v>-3.75</v>
      </c>
      <c r="U27" s="32" t="n">
        <v>106.61</v>
      </c>
      <c r="V27" s="32" t="n">
        <v>114.66</v>
      </c>
      <c r="W27" s="32" t="n">
        <v>33.71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Between 1.5 to 2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18</t>
        </is>
      </c>
      <c r="CG27" s="31">
        <f>IF(CF27&gt;20,10,IF(CF27&gt;=10,5,2))</f>
        <v/>
      </c>
    </row>
    <row r="28">
      <c r="A28" s="31">
        <f>IF(B28=0,"",RANK(B28,$B$2:$B$85,0))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INDOTECH</t>
        </is>
      </c>
      <c r="D28" s="31" t="inlineStr">
        <is>
          <t>Indo Tech Transformers Ltd</t>
        </is>
      </c>
      <c r="E28" s="31" t="inlineStr">
        <is>
          <t>industrials</t>
        </is>
      </c>
      <c r="F28" s="31" t="inlineStr">
        <is>
          <t>Capital Goods - Transformers</t>
        </is>
      </c>
      <c r="G28" s="31" t="inlineStr">
        <is>
          <t>smallcap</t>
        </is>
      </c>
      <c r="H28" s="32" t="n">
        <v>3509.17</v>
      </c>
      <c r="I28" s="32" t="n">
        <v>3304.3</v>
      </c>
      <c r="J28" s="32" t="n">
        <v>5</v>
      </c>
      <c r="K28" s="32" t="n">
        <v>0</v>
      </c>
      <c r="L28" s="31" t="n">
        <v>97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74.25</v>
      </c>
      <c r="P28" s="32" t="n">
        <v>43.96</v>
      </c>
      <c r="Q28" s="32" t="n">
        <v>2385.66</v>
      </c>
      <c r="R28" s="31" t="inlineStr">
        <is>
          <t>Near 52W High Breakout</t>
        </is>
      </c>
      <c r="S28" s="31" t="inlineStr">
        <is>
          <t>Nifty Infra</t>
        </is>
      </c>
      <c r="T28" s="32" t="n">
        <v>1.87</v>
      </c>
      <c r="U28" s="32" t="n">
        <v>75.75</v>
      </c>
      <c r="V28" s="32" t="n">
        <v>72.53</v>
      </c>
      <c r="W28" s="32" t="n">
        <v>53.09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Between 12 to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18</t>
        </is>
      </c>
      <c r="CG28" s="31">
        <f>IF(CF28&gt;20,10,IF(CF28&gt;=10,5,2))</f>
        <v/>
      </c>
    </row>
    <row r="29">
      <c r="A29" s="31">
        <f>IF(B29=0,"",RANK(B29,$B$2:$B$85,0))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RISHABH</t>
        </is>
      </c>
      <c r="D29" s="31" t="inlineStr">
        <is>
          <t>Rishabh Instruments Ltd</t>
        </is>
      </c>
      <c r="E29" s="31" t="inlineStr">
        <is>
          <t>industrials</t>
        </is>
      </c>
      <c r="F29" s="31" t="inlineStr">
        <is>
          <t>Capital Goods - Electric General</t>
        </is>
      </c>
      <c r="G29" s="31" t="inlineStr">
        <is>
          <t>smallcap</t>
        </is>
      </c>
      <c r="H29" s="32" t="n">
        <v>2553.62</v>
      </c>
      <c r="I29" s="32" t="n">
        <v>660.5</v>
      </c>
      <c r="J29" s="32" t="n">
        <v>1.21</v>
      </c>
      <c r="K29" s="32" t="n">
        <v>0</v>
      </c>
      <c r="L29" s="31" t="n">
        <v>88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73.03</v>
      </c>
      <c r="P29" s="32" t="n">
        <v>39.45</v>
      </c>
      <c r="Q29" s="32" t="n">
        <v>482.88</v>
      </c>
      <c r="R29" s="31" t="inlineStr">
        <is>
          <t>Volume Spike &amp; Near 52W High Breakout</t>
        </is>
      </c>
      <c r="S29" s="31" t="inlineStr">
        <is>
          <t>Nifty 50</t>
        </is>
      </c>
      <c r="T29" s="32" t="n">
        <v>-3.75</v>
      </c>
      <c r="U29" s="32" t="n">
        <v>123.64</v>
      </c>
      <c r="V29" s="32" t="n">
        <v>132.36</v>
      </c>
      <c r="W29" s="32" t="n">
        <v>29.28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16</t>
        </is>
      </c>
      <c r="CG29" s="31">
        <f>IF(CF29&gt;20,10,IF(CF29&gt;=10,5,2))</f>
        <v/>
      </c>
    </row>
    <row r="30">
      <c r="A30" s="31">
        <f>IF(B30=0,"",RANK(B30,$B$2:$B$85,0))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KMCSHIL</t>
        </is>
      </c>
      <c r="D30" s="31" t="inlineStr">
        <is>
          <t>KMC Speciality Hospitals (India) Ltd</t>
        </is>
      </c>
      <c r="E30" s="31" t="inlineStr">
        <is>
          <t>Healthcare</t>
        </is>
      </c>
      <c r="F30" s="31" t="inlineStr">
        <is>
          <t>Hospitals</t>
        </is>
      </c>
      <c r="G30" s="31" t="inlineStr">
        <is>
          <t>smallcap</t>
        </is>
      </c>
      <c r="H30" s="32" t="n">
        <v>2206.54</v>
      </c>
      <c r="I30" s="32" t="n">
        <v>135.3</v>
      </c>
      <c r="J30" s="32" t="n">
        <v>-0.7</v>
      </c>
      <c r="K30" s="32" t="n">
        <v>0</v>
      </c>
      <c r="L30" s="31" t="n">
        <v>87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84.73999999999999</v>
      </c>
      <c r="P30" s="32" t="n">
        <v>63.6</v>
      </c>
      <c r="Q30" s="32" t="n">
        <v>104.58</v>
      </c>
      <c r="R30" s="31" t="inlineStr">
        <is>
          <t>Near 52W High Breakout</t>
        </is>
      </c>
      <c r="S30" s="31" t="inlineStr">
        <is>
          <t>Nifty Pharma</t>
        </is>
      </c>
      <c r="T30" s="32" t="n">
        <v>15.51</v>
      </c>
      <c r="U30" s="32" t="n">
        <v>106.62</v>
      </c>
      <c r="V30" s="32" t="n">
        <v>78.87</v>
      </c>
      <c r="W30" s="32" t="n">
        <v>28.29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23</t>
        </is>
      </c>
      <c r="CG30" s="31">
        <f>IF(CF30&gt;20,10,IF(CF30&gt;=10,5,2))</f>
        <v/>
      </c>
    </row>
    <row r="31">
      <c r="A31" s="31">
        <f>IF(B31=0,"",RANK(B31,$B$2:$B$85,0))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VADILALIND</t>
        </is>
      </c>
      <c r="D31" s="31" t="inlineStr">
        <is>
          <t>Vadilal Industries Ltd</t>
        </is>
      </c>
      <c r="E31" s="31" t="inlineStr">
        <is>
          <t>fmcg</t>
        </is>
      </c>
      <c r="F31" s="31" t="inlineStr">
        <is>
          <t>FMCG - Dairy Products</t>
        </is>
      </c>
      <c r="G31" s="31" t="inlineStr">
        <is>
          <t>smallcap</t>
        </is>
      </c>
      <c r="H31" s="32" t="n">
        <v>4626.09</v>
      </c>
      <c r="I31" s="32" t="n">
        <v>6436</v>
      </c>
      <c r="J31" s="32" t="n">
        <v>1.27</v>
      </c>
      <c r="K31" s="32" t="n">
        <v>0</v>
      </c>
      <c r="L31" s="31" t="n">
        <v>64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69.83</v>
      </c>
      <c r="P31" s="32" t="n">
        <v>22.6</v>
      </c>
      <c r="Q31" s="32" t="n">
        <v>5059.29</v>
      </c>
      <c r="R31" s="31" t="inlineStr">
        <is>
          <t>Near 52W High Breakout</t>
        </is>
      </c>
      <c r="S31" s="31" t="inlineStr">
        <is>
          <t>Nifty FMCG</t>
        </is>
      </c>
      <c r="T31" s="32" t="n">
        <v>-11.8</v>
      </c>
      <c r="U31" s="32" t="n">
        <v>22.86</v>
      </c>
      <c r="V31" s="32" t="n">
        <v>39.3</v>
      </c>
      <c r="W31" s="32" t="n">
        <v>14.21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B2C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21</t>
        </is>
      </c>
      <c r="CG31" s="31">
        <f>IF(CF31&gt;20,10,IF(CF31&gt;=10,5,2))</f>
        <v/>
      </c>
    </row>
    <row r="32">
      <c r="A32" s="31">
        <f>IF(B32=0,"",RANK(B32,$B$2:$B$85,0))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SKMEGGPROD</t>
        </is>
      </c>
      <c r="D32" s="31" t="inlineStr">
        <is>
          <t>SKM Egg Products Export (India) Ltd</t>
        </is>
      </c>
      <c r="E32" s="31" t="inlineStr">
        <is>
          <t>fmcg</t>
        </is>
      </c>
      <c r="F32" s="31" t="inlineStr">
        <is>
          <t>FMCG - Animal/Polutry</t>
        </is>
      </c>
      <c r="G32" s="31" t="inlineStr">
        <is>
          <t>smallcap</t>
        </is>
      </c>
      <c r="H32" s="32" t="n">
        <v>1694.34</v>
      </c>
      <c r="I32" s="32" t="n">
        <v>321.75</v>
      </c>
      <c r="J32" s="32" t="n">
        <v>1.77</v>
      </c>
      <c r="K32" s="32" t="n">
        <v>0</v>
      </c>
      <c r="L32" s="31" t="n">
        <v>93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80.17</v>
      </c>
      <c r="P32" s="32" t="n">
        <v>35.24</v>
      </c>
      <c r="Q32" s="32" t="n">
        <v>235.32</v>
      </c>
      <c r="R32" s="31" t="inlineStr">
        <is>
          <t>Near 52W High Breakout</t>
        </is>
      </c>
      <c r="S32" s="31" t="inlineStr">
        <is>
          <t>Nifty FMCG</t>
        </is>
      </c>
      <c r="T32" s="32" t="n">
        <v>-11.8</v>
      </c>
      <c r="U32" s="32" t="n">
        <v>122.12</v>
      </c>
      <c r="V32" s="32" t="n">
        <v>151.84</v>
      </c>
      <c r="W32" s="32" t="n">
        <v>37.64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B2C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Less than 50%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21</t>
        </is>
      </c>
      <c r="CG32" s="31">
        <f>IF(CF32&gt;20,10,IF(CF32&gt;=10,5,2))</f>
        <v/>
      </c>
    </row>
    <row r="33">
      <c r="A33" s="31">
        <f>IF(B33=0,"",RANK(B33,$B$2:$B$85,0))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INDNIPPON</t>
        </is>
      </c>
      <c r="D33" s="34" t="inlineStr">
        <is>
          <t>India Nippon Electricals Ltd</t>
        </is>
      </c>
      <c r="E33" s="31" t="inlineStr">
        <is>
          <t>auto</t>
        </is>
      </c>
      <c r="F33" s="31" t="inlineStr">
        <is>
          <t>Auto Ancillaries - Engine Parts</t>
        </is>
      </c>
      <c r="G33" s="31" t="inlineStr">
        <is>
          <t>smallcap</t>
        </is>
      </c>
      <c r="H33" s="32" t="n">
        <v>2669.33</v>
      </c>
      <c r="I33" s="32" t="n">
        <v>1180</v>
      </c>
      <c r="J33" s="32" t="n">
        <v>6.51</v>
      </c>
      <c r="K33" s="32" t="n">
        <v>0</v>
      </c>
      <c r="L33" s="31" t="n">
        <v>80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76.09</v>
      </c>
      <c r="P33" s="32" t="n">
        <v>23.64</v>
      </c>
      <c r="Q33" s="32" t="n">
        <v>937.3200000000001</v>
      </c>
      <c r="R33" s="31" t="inlineStr">
        <is>
          <t>Volume Spike &amp; Near 52W High Breakout</t>
        </is>
      </c>
      <c r="S33" s="31" t="inlineStr">
        <is>
          <t>Nifty Auto</t>
        </is>
      </c>
      <c r="T33" s="32" t="n">
        <v>14.33</v>
      </c>
      <c r="U33" s="32" t="n">
        <v>52.4</v>
      </c>
      <c r="V33" s="32" t="n">
        <v>33.3</v>
      </c>
      <c r="W33" s="32" t="n">
        <v>21.77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Less than 50%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25</t>
        </is>
      </c>
      <c r="CG33" s="31">
        <f>IF(CF33&gt;20,10,IF(CF33&gt;=10,5,2))</f>
        <v/>
      </c>
    </row>
    <row r="34">
      <c r="A34" s="31">
        <f>IF(B34=0,"",RANK(B34,$B$2:$B$85,0))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KMEW</t>
        </is>
      </c>
      <c r="D34" s="31" t="inlineStr">
        <is>
          <t>Knowledge Marine &amp; Engineering Works Ltd</t>
        </is>
      </c>
      <c r="E34" s="31" t="inlineStr">
        <is>
          <t>transportation</t>
        </is>
      </c>
      <c r="F34" s="31" t="inlineStr">
        <is>
          <t>Shipping</t>
        </is>
      </c>
      <c r="G34" s="31" t="inlineStr">
        <is>
          <t>midcap</t>
        </is>
      </c>
      <c r="H34" s="32" t="n">
        <v>5914.33</v>
      </c>
      <c r="I34" s="32" t="n">
        <v>2404.2</v>
      </c>
      <c r="J34" s="32" t="n">
        <v>5.9</v>
      </c>
      <c r="K34" s="32" t="n">
        <v>0</v>
      </c>
      <c r="L34" s="31" t="n">
        <v>90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70.72</v>
      </c>
      <c r="P34" s="32" t="n">
        <v>42.05</v>
      </c>
      <c r="Q34" s="32" t="n">
        <v>1705.83</v>
      </c>
      <c r="R34" s="31" t="inlineStr">
        <is>
          <t>Near 52W High Breakout</t>
        </is>
      </c>
      <c r="S34" s="31" t="inlineStr">
        <is>
          <t>Nifty 50</t>
        </is>
      </c>
      <c r="T34" s="32" t="n">
        <v>-3.75</v>
      </c>
      <c r="U34" s="32" t="n">
        <v>194.02</v>
      </c>
      <c r="V34" s="32" t="n">
        <v>205.47</v>
      </c>
      <c r="W34" s="32" t="n">
        <v>32.73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Negative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20</t>
        </is>
      </c>
      <c r="CG34" s="31">
        <f>IF(CF34&gt;20,10,IF(CF34&gt;=10,5,2))</f>
        <v/>
      </c>
    </row>
    <row r="35">
      <c r="A35" s="31">
        <f>IF(B35=0,"",RANK(B35,$B$2:$B$85,0))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SIGNPOST</t>
        </is>
      </c>
      <c r="D35" s="34" t="inlineStr">
        <is>
          <t>Signpost India Ltd</t>
        </is>
      </c>
      <c r="E35" s="31" t="inlineStr">
        <is>
          <t>miscellaneous</t>
        </is>
      </c>
      <c r="F35" s="31" t="inlineStr">
        <is>
          <t>Advertisement</t>
        </is>
      </c>
      <c r="G35" s="31" t="inlineStr">
        <is>
          <t>smallcap</t>
        </is>
      </c>
      <c r="H35" s="32" t="n">
        <v>1710.4</v>
      </c>
      <c r="I35" s="32" t="n">
        <v>320</v>
      </c>
      <c r="J35" s="32" t="n">
        <v>-0.03</v>
      </c>
      <c r="K35" s="32" t="n">
        <v>0</v>
      </c>
      <c r="L35" s="31" t="n">
        <v>54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65.78</v>
      </c>
      <c r="P35" s="32" t="n">
        <v>30.37</v>
      </c>
      <c r="Q35" s="32" t="n">
        <v>219.03</v>
      </c>
      <c r="R35" s="31" t="inlineStr">
        <is>
          <t>Near 52W High Breakout</t>
        </is>
      </c>
      <c r="S35" s="31" t="inlineStr">
        <is>
          <t>Nifty 50</t>
        </is>
      </c>
      <c r="T35" s="32" t="n">
        <v>-3.75</v>
      </c>
      <c r="U35" s="32" t="n">
        <v>21.03</v>
      </c>
      <c r="V35" s="32" t="n">
        <v>25.75</v>
      </c>
      <c r="W35" s="32" t="n">
        <v>11.44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19</t>
        </is>
      </c>
      <c r="CG35" s="31">
        <f>IF(CF35&gt;20,10,IF(CF35&gt;=10,5,2))</f>
        <v/>
      </c>
    </row>
    <row r="36">
      <c r="A36" s="31">
        <f>IF(B36=0,"",RANK(B36,$B$2:$B$85,0))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DIFFNKG</t>
        </is>
      </c>
      <c r="D36" s="31" t="inlineStr">
        <is>
          <t>Diffusion Engineers Ltd</t>
        </is>
      </c>
      <c r="E36" s="31" t="inlineStr">
        <is>
          <t>industrials</t>
        </is>
      </c>
      <c r="F36" s="31" t="inlineStr">
        <is>
          <t>Welding Equipments</t>
        </is>
      </c>
      <c r="G36" s="31" t="inlineStr">
        <is>
          <t>smallcap</t>
        </is>
      </c>
      <c r="H36" s="32" t="n">
        <v>1508.65</v>
      </c>
      <c r="I36" s="32" t="n">
        <v>403.1</v>
      </c>
      <c r="J36" s="32" t="n">
        <v>0.72</v>
      </c>
      <c r="K36" s="32" t="n">
        <v>0</v>
      </c>
      <c r="L36" s="31" t="n">
        <v>68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69.03</v>
      </c>
      <c r="P36" s="32" t="n">
        <v>22.9</v>
      </c>
      <c r="Q36" s="32" t="n">
        <v>312.22</v>
      </c>
      <c r="R36" s="31" t="inlineStr">
        <is>
          <t>Near 52W High Breakout</t>
        </is>
      </c>
      <c r="S36" s="31" t="inlineStr">
        <is>
          <t>Nifty 50</t>
        </is>
      </c>
      <c r="T36" s="32" t="n">
        <v>-3.75</v>
      </c>
      <c r="U36" s="32" t="n">
        <v>25.89</v>
      </c>
      <c r="V36" s="32" t="n">
        <v>30.79</v>
      </c>
      <c r="W36" s="32" t="n">
        <v>15.42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Less than 50%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18</t>
        </is>
      </c>
      <c r="CG36" s="31">
        <f>IF(CF36&gt;20,10,IF(CF36&gt;=10,5,2))</f>
        <v/>
      </c>
    </row>
    <row r="37">
      <c r="A37" s="31">
        <f>IF(B37=0,"",RANK(B37,$B$2:$B$85,0))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RAMCOSYS</t>
        </is>
      </c>
      <c r="D37" s="31" t="inlineStr">
        <is>
          <t>Ramco Systems Ltd</t>
        </is>
      </c>
      <c r="E37" s="31" t="inlineStr">
        <is>
          <t>i.t</t>
        </is>
      </c>
      <c r="F37" s="31" t="inlineStr">
        <is>
          <t>IT Product Companies</t>
        </is>
      </c>
      <c r="G37" s="31" t="inlineStr">
        <is>
          <t>smallcap</t>
        </is>
      </c>
      <c r="H37" s="32" t="n">
        <v>3062.53</v>
      </c>
      <c r="I37" s="32" t="n">
        <v>814.85</v>
      </c>
      <c r="J37" s="32" t="n">
        <v>-2.69</v>
      </c>
      <c r="K37" s="32" t="n">
        <v>0</v>
      </c>
      <c r="L37" s="31" t="n">
        <v>94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76.04000000000001</v>
      </c>
      <c r="P37" s="32" t="n">
        <v>23.08</v>
      </c>
      <c r="Q37" s="32" t="n">
        <v>556.2</v>
      </c>
      <c r="R37" s="31" t="inlineStr">
        <is>
          <t>Near 52W High Breakout</t>
        </is>
      </c>
      <c r="S37" s="31" t="inlineStr">
        <is>
          <t>Nifty IT</t>
        </is>
      </c>
      <c r="T37" s="32" t="n">
        <v>-25.69</v>
      </c>
      <c r="U37" s="32" t="n">
        <v>108.27</v>
      </c>
      <c r="V37" s="32" t="n">
        <v>180.27</v>
      </c>
      <c r="W37" s="32" t="n">
        <v>39.02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18</t>
        </is>
      </c>
      <c r="CG37" s="31">
        <f>IF(CF37&gt;20,10,IF(CF37&gt;=10,5,2))</f>
        <v/>
      </c>
    </row>
    <row r="38">
      <c r="A38" s="31">
        <f>IF(B38=0,"",RANK(B38,$B$2:$B$85,0))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PRIVISCL</t>
        </is>
      </c>
      <c r="D38" s="31" t="inlineStr">
        <is>
          <t>Privi Speciality Chemicals Ltd</t>
        </is>
      </c>
      <c r="E38" s="31" t="inlineStr">
        <is>
          <t>chemicals</t>
        </is>
      </c>
      <c r="F38" s="31" t="inlineStr">
        <is>
          <t>Speciality Chemicals</t>
        </is>
      </c>
      <c r="G38" s="31" t="inlineStr">
        <is>
          <t>midcap</t>
        </is>
      </c>
      <c r="H38" s="32" t="n">
        <v>14293.04</v>
      </c>
      <c r="I38" s="32" t="n">
        <v>3659</v>
      </c>
      <c r="J38" s="32" t="n">
        <v>1.04</v>
      </c>
      <c r="K38" s="32" t="n">
        <v>0</v>
      </c>
      <c r="L38" s="31" t="n">
        <v>65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66.06999999999999</v>
      </c>
      <c r="P38" s="32" t="n">
        <v>25.02</v>
      </c>
      <c r="Q38" s="32" t="n">
        <v>3024.31</v>
      </c>
      <c r="R38" s="31" t="inlineStr">
        <is>
          <t>Near 52W High Breakout</t>
        </is>
      </c>
      <c r="S38" s="31" t="inlineStr">
        <is>
          <t>Nifty 50</t>
        </is>
      </c>
      <c r="T38" s="32" t="n">
        <v>-3.75</v>
      </c>
      <c r="U38" s="32" t="n">
        <v>51.77</v>
      </c>
      <c r="V38" s="32" t="n">
        <v>57.69</v>
      </c>
      <c r="W38" s="32" t="n">
        <v>14.32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16</t>
        </is>
      </c>
      <c r="CG38" s="31">
        <f>IF(CF38&gt;20,10,IF(CF38&gt;=10,5,2))</f>
        <v/>
      </c>
    </row>
    <row r="39">
      <c r="A39" s="31">
        <f>IF(B39=0,"",RANK(B39,$B$2:$B$85,0))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ACUTAAS</t>
        </is>
      </c>
      <c r="D39" s="31" t="inlineStr">
        <is>
          <t>Acutaas Chemicals Ltd</t>
        </is>
      </c>
      <c r="E39" s="31" t="inlineStr">
        <is>
          <t>healthcare</t>
        </is>
      </c>
      <c r="F39" s="31" t="inlineStr">
        <is>
          <t>Pharma - API &amp; CRAMS</t>
        </is>
      </c>
      <c r="G39" s="31" t="inlineStr">
        <is>
          <t>largecap</t>
        </is>
      </c>
      <c r="H39" s="32" t="n">
        <v>27754.31</v>
      </c>
      <c r="I39" s="32" t="n">
        <v>3390</v>
      </c>
      <c r="J39" s="32" t="n">
        <v>-1.99</v>
      </c>
      <c r="K39" s="32" t="n">
        <v>0</v>
      </c>
      <c r="L39" s="31" t="n">
        <v>91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68.47</v>
      </c>
      <c r="P39" s="32" t="n">
        <v>66.61</v>
      </c>
      <c r="Q39" s="32" t="n">
        <v>2875.04</v>
      </c>
      <c r="R39" s="31" t="inlineStr">
        <is>
          <t>Earnings / Momentum Support</t>
        </is>
      </c>
      <c r="S39" s="31" t="inlineStr">
        <is>
          <t>Nifty Pharma</t>
        </is>
      </c>
      <c r="T39" s="32" t="n">
        <v>15.51</v>
      </c>
      <c r="U39" s="32" t="n">
        <v>196.95</v>
      </c>
      <c r="V39" s="32" t="n">
        <v>157.07</v>
      </c>
      <c r="W39" s="32" t="n">
        <v>34.22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Between 50% to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19</t>
        </is>
      </c>
      <c r="CG39" s="31">
        <f>IF(CF39&gt;20,10,IF(CF39&gt;=10,5,2))</f>
        <v/>
      </c>
    </row>
    <row r="40">
      <c r="A40" s="31">
        <f>IF(B40=0,"",RANK(B40,$B$2:$B$85,0))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SPARC</t>
        </is>
      </c>
      <c r="D40" s="31" t="inlineStr">
        <is>
          <t>Sun Pharma Advanced Research Company Ltd</t>
        </is>
      </c>
      <c r="E40" s="31" t="inlineStr">
        <is>
          <t>healthcare</t>
        </is>
      </c>
      <c r="F40" s="31" t="inlineStr">
        <is>
          <t>Pharma - Others</t>
        </is>
      </c>
      <c r="G40" s="31" t="inlineStr">
        <is>
          <t>midcap</t>
        </is>
      </c>
      <c r="H40" s="32" t="n">
        <v>8599.82</v>
      </c>
      <c r="I40" s="32" t="n">
        <v>265</v>
      </c>
      <c r="J40" s="32" t="n">
        <v>-4.53</v>
      </c>
      <c r="K40" s="32" t="n">
        <v>0</v>
      </c>
      <c r="L40" s="31" t="n">
        <v>89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78.27</v>
      </c>
      <c r="P40" s="32" t="n">
        <v>61.89</v>
      </c>
      <c r="Q40" s="32" t="n">
        <v>188.78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15.51</v>
      </c>
      <c r="U40" s="32" t="n">
        <v>66.06</v>
      </c>
      <c r="V40" s="32" t="n">
        <v>43.76</v>
      </c>
      <c r="W40" s="32" t="n">
        <v>30.34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Negative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16</t>
        </is>
      </c>
      <c r="CG40" s="31">
        <f>IF(CF40&gt;20,10,IF(CF40&gt;=10,5,2))</f>
        <v/>
      </c>
    </row>
    <row r="41">
      <c r="A41" s="31">
        <f>IF(B41=0,"",RANK(B41,$B$2:$B$85,0))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NGLFINE</t>
        </is>
      </c>
      <c r="D41" s="31" t="inlineStr">
        <is>
          <t>NGL Fine Chem Ltd</t>
        </is>
      </c>
      <c r="E41" s="31" t="inlineStr">
        <is>
          <t>healthcare</t>
        </is>
      </c>
      <c r="F41" s="31" t="inlineStr">
        <is>
          <t>Pharma - Animal</t>
        </is>
      </c>
      <c r="G41" s="31" t="inlineStr">
        <is>
          <t>smallcap</t>
        </is>
      </c>
      <c r="H41" s="32" t="n">
        <v>1985</v>
      </c>
      <c r="I41" s="32" t="n">
        <v>3213</v>
      </c>
      <c r="J41" s="32" t="n">
        <v>0.05</v>
      </c>
      <c r="K41" s="32" t="n">
        <v>0</v>
      </c>
      <c r="L41" s="31" t="n">
        <v>89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78.66</v>
      </c>
      <c r="P41" s="32" t="n">
        <v>67.73999999999999</v>
      </c>
      <c r="Q41" s="32" t="n">
        <v>2190.72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15.51</v>
      </c>
      <c r="U41" s="32" t="n">
        <v>145.47</v>
      </c>
      <c r="V41" s="32" t="n">
        <v>112.5</v>
      </c>
      <c r="W41" s="32" t="n">
        <v>29.75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Between 50% to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16</t>
        </is>
      </c>
      <c r="CG41" s="31">
        <f>IF(CF41&gt;20,10,IF(CF41&gt;=10,5,2))</f>
        <v/>
      </c>
    </row>
    <row r="42">
      <c r="A42" s="31">
        <f>IF(B42=0,"",RANK(B42,$B$2:$B$85,0))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WELCORP</t>
        </is>
      </c>
      <c r="D42" s="31" t="inlineStr">
        <is>
          <t>Welspun Corp Ltd</t>
        </is>
      </c>
      <c r="E42" s="31" t="inlineStr">
        <is>
          <t>industrials</t>
        </is>
      </c>
      <c r="F42" s="31" t="inlineStr">
        <is>
          <t>DI Pipes/Saw Pipes</t>
        </is>
      </c>
      <c r="G42" s="31" t="inlineStr">
        <is>
          <t>largecap</t>
        </is>
      </c>
      <c r="H42" s="32" t="n">
        <v>42652.31</v>
      </c>
      <c r="I42" s="32" t="n">
        <v>1616.9</v>
      </c>
      <c r="J42" s="32" t="n">
        <v>0.9399999999999999</v>
      </c>
      <c r="K42" s="32" t="n">
        <v>0</v>
      </c>
      <c r="L42" s="31" t="n">
        <v>88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86.77</v>
      </c>
      <c r="P42" s="32" t="n">
        <v>64.29000000000001</v>
      </c>
      <c r="Q42" s="32" t="n">
        <v>1325.6</v>
      </c>
      <c r="R42" s="31" t="inlineStr">
        <is>
          <t>Volume Spike &amp; Near 52W High Breakout</t>
        </is>
      </c>
      <c r="S42" s="31" t="inlineStr">
        <is>
          <t>Nifty Metal</t>
        </is>
      </c>
      <c r="T42" s="32" t="n">
        <v>35.24</v>
      </c>
      <c r="U42" s="32" t="n">
        <v>78.56999999999999</v>
      </c>
      <c r="V42" s="32" t="n">
        <v>32.04</v>
      </c>
      <c r="W42" s="32" t="n">
        <v>29.31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Less than 12%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20</t>
        </is>
      </c>
      <c r="CG42" s="31">
        <f>IF(CF42&gt;20,10,IF(CF42&gt;=10,5,2))</f>
        <v/>
      </c>
    </row>
    <row r="43">
      <c r="A43" s="31">
        <f>IF(B43=0,"",RANK(B43,$B$2:$B$85,0))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WABAG</t>
        </is>
      </c>
      <c r="D43" s="31" t="inlineStr">
        <is>
          <t>Va Tech Wabag Ltd</t>
        </is>
      </c>
      <c r="E43" s="31" t="inlineStr">
        <is>
          <t>realty</t>
        </is>
      </c>
      <c r="F43" s="31" t="inlineStr">
        <is>
          <t>Water Treatment</t>
        </is>
      </c>
      <c r="G43" s="31" t="inlineStr">
        <is>
          <t>midcap</t>
        </is>
      </c>
      <c r="H43" s="32" t="n">
        <v>13833.41</v>
      </c>
      <c r="I43" s="32" t="n">
        <v>2218.5</v>
      </c>
      <c r="J43" s="32" t="n">
        <v>4.76</v>
      </c>
      <c r="K43" s="32" t="n">
        <v>0</v>
      </c>
      <c r="L43" s="31" t="n">
        <v>84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80.5</v>
      </c>
      <c r="P43" s="32" t="n">
        <v>24.36</v>
      </c>
      <c r="Q43" s="32" t="n">
        <v>1762.83</v>
      </c>
      <c r="R43" s="31" t="inlineStr">
        <is>
          <t>Volume Spike &amp; Near 52W High Breakout</t>
        </is>
      </c>
      <c r="S43" s="31" t="inlineStr">
        <is>
          <t>Nifty Realty</t>
        </is>
      </c>
      <c r="T43" s="32" t="n">
        <v>-2.52</v>
      </c>
      <c r="U43" s="32" t="n">
        <v>50.21</v>
      </c>
      <c r="V43" s="32" t="n">
        <v>54.1</v>
      </c>
      <c r="W43" s="32" t="n">
        <v>24.26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Between 1.5 to 2</t>
        </is>
      </c>
      <c r="BU43" s="31">
        <f>IF(BT43="Above 2",0,IF(BT43="Between 1.5 to 2",5,IF(BT43="Less than 1.5",10,0)))</f>
        <v/>
      </c>
      <c r="BV43" s="31" t="inlineStr">
        <is>
          <t>Less than 50%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19</t>
        </is>
      </c>
      <c r="CG43" s="31">
        <f>IF(CF43&gt;20,10,IF(CF43&gt;=10,5,2))</f>
        <v/>
      </c>
    </row>
    <row r="44">
      <c r="A44" s="31">
        <f>IF(B44=0,"",RANK(B44,$B$2:$B$85,0))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AEGISLOG</t>
        </is>
      </c>
      <c r="D44" s="31" t="inlineStr">
        <is>
          <t>Aegis Logistics Ltd</t>
        </is>
      </c>
      <c r="E44" s="31" t="inlineStr">
        <is>
          <t>services</t>
        </is>
      </c>
      <c r="F44" s="31" t="inlineStr">
        <is>
          <t>Logistics</t>
        </is>
      </c>
      <c r="G44" s="31" t="inlineStr">
        <is>
          <t>largecap</t>
        </is>
      </c>
      <c r="H44" s="32" t="n">
        <v>43313.4</v>
      </c>
      <c r="I44" s="32" t="n">
        <v>1234</v>
      </c>
      <c r="J44" s="32" t="n">
        <v>-2.38</v>
      </c>
      <c r="K44" s="32" t="n">
        <v>0</v>
      </c>
      <c r="L44" s="31" t="n">
        <v>93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77.38</v>
      </c>
      <c r="P44" s="32" t="n">
        <v>35.83</v>
      </c>
      <c r="Q44" s="32" t="n">
        <v>1012.82</v>
      </c>
      <c r="R44" s="31" t="inlineStr">
        <is>
          <t>Earnings / Momentum Support</t>
        </is>
      </c>
      <c r="S44" s="31" t="inlineStr">
        <is>
          <t>Nifty 50</t>
        </is>
      </c>
      <c r="T44" s="32" t="n">
        <v>-3.75</v>
      </c>
      <c r="U44" s="32" t="n">
        <v>70.93000000000001</v>
      </c>
      <c r="V44" s="32" t="n">
        <v>77.59</v>
      </c>
      <c r="W44" s="32" t="n">
        <v>36.72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19</t>
        </is>
      </c>
      <c r="CG44" s="31">
        <f>IF(CF44&gt;20,10,IF(CF44&gt;=10,5,2))</f>
        <v/>
      </c>
    </row>
    <row r="45">
      <c r="A45" s="31">
        <f>IF(B45=0,"",RANK(B45,$B$2:$B$85,0))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JAYBARMARU</t>
        </is>
      </c>
      <c r="D45" s="31" t="inlineStr">
        <is>
          <t>Jay Bharat Maruti Ltd</t>
        </is>
      </c>
      <c r="E45" s="31" t="inlineStr">
        <is>
          <t>auto</t>
        </is>
      </c>
      <c r="F45" s="31" t="inlineStr">
        <is>
          <t>Auto Ancillaries - Diversified</t>
        </is>
      </c>
      <c r="G45" s="31" t="inlineStr">
        <is>
          <t>smallcap</t>
        </is>
      </c>
      <c r="H45" s="32" t="n">
        <v>2045.93</v>
      </c>
      <c r="I45" s="32" t="n">
        <v>189</v>
      </c>
      <c r="J45" s="32" t="n">
        <v>1</v>
      </c>
      <c r="K45" s="32" t="n">
        <v>0</v>
      </c>
      <c r="L45" s="31" t="n">
        <v>97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78.23999999999999</v>
      </c>
      <c r="P45" s="32" t="n">
        <v>33.78</v>
      </c>
      <c r="Q45" s="32" t="n">
        <v>141.51</v>
      </c>
      <c r="R45" s="31" t="inlineStr">
        <is>
          <t>Near 52W High Breakout</t>
        </is>
      </c>
      <c r="S45" s="31" t="inlineStr">
        <is>
          <t>Nifty Auto</t>
        </is>
      </c>
      <c r="T45" s="32" t="n">
        <v>14.33</v>
      </c>
      <c r="U45" s="32" t="n">
        <v>149.92</v>
      </c>
      <c r="V45" s="32" t="n">
        <v>118.6</v>
      </c>
      <c r="W45" s="32" t="n">
        <v>47.92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Between 0.7 to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IF(B46=0,"",RANK(B46,$B$2:$B$85,0))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4" t="inlineStr">
        <is>
          <t>NYKAA</t>
        </is>
      </c>
      <c r="D46" s="34" t="inlineStr">
        <is>
          <t>FSN E-Commerce Ventures Ltd</t>
        </is>
      </c>
      <c r="E46" s="31" t="inlineStr">
        <is>
          <t>i.t</t>
        </is>
      </c>
      <c r="F46" s="31" t="inlineStr">
        <is>
          <t>New age - Platform - E-Retail</t>
        </is>
      </c>
      <c r="G46" s="31" t="inlineStr">
        <is>
          <t>largecap</t>
        </is>
      </c>
      <c r="H46" s="32" t="n">
        <v>94090.94</v>
      </c>
      <c r="I46" s="32" t="n">
        <v>328.55</v>
      </c>
      <c r="J46" s="32" t="n">
        <v>1.39</v>
      </c>
      <c r="K46" s="32" t="n">
        <v>0</v>
      </c>
      <c r="L46" s="31" t="n">
        <v>66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74</v>
      </c>
      <c r="P46" s="32" t="n">
        <v>30</v>
      </c>
      <c r="Q46" s="32" t="n">
        <v>278.19</v>
      </c>
      <c r="R46" s="31" t="inlineStr">
        <is>
          <t>Near 52W High Breakout</t>
        </is>
      </c>
      <c r="S46" s="31" t="inlineStr">
        <is>
          <t>Nifty IT</t>
        </is>
      </c>
      <c r="T46" s="32" t="n">
        <v>-25.69</v>
      </c>
      <c r="U46" s="32" t="n">
        <v>51.96</v>
      </c>
      <c r="V46" s="32" t="n">
        <v>104.49</v>
      </c>
      <c r="W46" s="32" t="n">
        <v>14.89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B2C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Between 0.7 to 1.2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19</t>
        </is>
      </c>
      <c r="CG46" s="31">
        <f>IF(CF46&gt;20,10,IF(CF46&gt;=10,5,2))</f>
        <v/>
      </c>
    </row>
    <row r="47">
      <c r="A47" s="31">
        <f>IF(B47=0,"",RANK(B47,$B$2:$B$85,0))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RATEGAIN</t>
        </is>
      </c>
      <c r="D47" s="31" t="inlineStr">
        <is>
          <t>Rategain Travel Technologies Ltd</t>
        </is>
      </c>
      <c r="E47" s="31" t="inlineStr">
        <is>
          <t>i.t</t>
        </is>
      </c>
      <c r="F47" s="31" t="inlineStr">
        <is>
          <t>IT Product Companies</t>
        </is>
      </c>
      <c r="G47" s="31" t="inlineStr">
        <is>
          <t>midcap</t>
        </is>
      </c>
      <c r="H47" s="32" t="n">
        <v>11120.16</v>
      </c>
      <c r="I47" s="32" t="n">
        <v>939</v>
      </c>
      <c r="J47" s="32" t="n">
        <v>-0.29</v>
      </c>
      <c r="K47" s="32" t="n">
        <v>0</v>
      </c>
      <c r="L47" s="31" t="n">
        <v>90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78.45999999999999</v>
      </c>
      <c r="P47" s="32" t="n">
        <v>30.63</v>
      </c>
      <c r="Q47" s="32" t="n">
        <v>738.51</v>
      </c>
      <c r="R47" s="31" t="inlineStr">
        <is>
          <t>Near 52W High Breakout</t>
        </is>
      </c>
      <c r="S47" s="31" t="inlineStr">
        <is>
          <t>Nifty IT</t>
        </is>
      </c>
      <c r="T47" s="32" t="n">
        <v>-25.69</v>
      </c>
      <c r="U47" s="32" t="n">
        <v>100.66</v>
      </c>
      <c r="V47" s="32" t="n">
        <v>170.02</v>
      </c>
      <c r="W47" s="32" t="n">
        <v>32.59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Between 50% to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16</t>
        </is>
      </c>
      <c r="CG47" s="31">
        <f>IF(CF47&gt;20,10,IF(CF47&gt;=10,5,2))</f>
        <v/>
      </c>
    </row>
    <row r="48">
      <c r="A48" s="31">
        <f>IF(B48=0,"",RANK(B48,$B$2:$B$85,0))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SKYGOLD</t>
        </is>
      </c>
      <c r="D48" s="31" t="inlineStr">
        <is>
          <t>Sky Gold &amp; Diamonds Ltd</t>
        </is>
      </c>
      <c r="E48" s="31" t="inlineStr">
        <is>
          <t>consumer discretionary</t>
        </is>
      </c>
      <c r="F48" s="31" t="inlineStr">
        <is>
          <t>Diamond, Gems &amp; Jewellery</t>
        </is>
      </c>
      <c r="G48" s="31" t="inlineStr">
        <is>
          <t>midcap</t>
        </is>
      </c>
      <c r="H48" s="32" t="n">
        <v>9648.639999999999</v>
      </c>
      <c r="I48" s="32" t="n">
        <v>623</v>
      </c>
      <c r="J48" s="32" t="n">
        <v>-0.05</v>
      </c>
      <c r="K48" s="32" t="n">
        <v>0</v>
      </c>
      <c r="L48" s="31" t="n">
        <v>88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72.73999999999999</v>
      </c>
      <c r="P48" s="32" t="n">
        <v>50.39</v>
      </c>
      <c r="Q48" s="32" t="n">
        <v>454.87</v>
      </c>
      <c r="R48" s="31" t="inlineStr">
        <is>
          <t>Near 52W High Breakout</t>
        </is>
      </c>
      <c r="S48" s="31" t="inlineStr">
        <is>
          <t>Nifty 50</t>
        </is>
      </c>
      <c r="T48" s="32" t="n">
        <v>-3.75</v>
      </c>
      <c r="U48" s="32" t="n">
        <v>96.86</v>
      </c>
      <c r="V48" s="32" t="n">
        <v>104.53</v>
      </c>
      <c r="W48" s="32" t="n">
        <v>28.49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Negative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25</t>
        </is>
      </c>
      <c r="CG48" s="31">
        <f>IF(CF48&gt;20,10,IF(CF48&gt;=10,5,2))</f>
        <v/>
      </c>
    </row>
    <row r="49">
      <c r="A49" s="31">
        <f>IF(B49=0,"",RANK(B49,$B$2:$B$85,0))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IKS</t>
        </is>
      </c>
      <c r="D49" s="31" t="inlineStr">
        <is>
          <t>Inventurus Knowledge Solutions Ltd</t>
        </is>
      </c>
      <c r="E49" s="31" t="inlineStr">
        <is>
          <t>i.t</t>
        </is>
      </c>
      <c r="F49" s="31" t="inlineStr">
        <is>
          <t>IT Enabled Services/Business Process Outsourcing</t>
        </is>
      </c>
      <c r="G49" s="31" t="inlineStr">
        <is>
          <t>largecap</t>
        </is>
      </c>
      <c r="H49" s="32" t="n">
        <v>33045.16</v>
      </c>
      <c r="I49" s="32" t="n">
        <v>1925</v>
      </c>
      <c r="J49" s="32" t="n">
        <v>3.33</v>
      </c>
      <c r="K49" s="32" t="n">
        <v>0</v>
      </c>
      <c r="L49" s="31" t="n">
        <v>49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68.69</v>
      </c>
      <c r="P49" s="32" t="n">
        <v>9.33</v>
      </c>
      <c r="Q49" s="32" t="n">
        <v>1542.94</v>
      </c>
      <c r="R49" s="31" t="inlineStr">
        <is>
          <t>Near 52W High Breakout</t>
        </is>
      </c>
      <c r="S49" s="31" t="inlineStr">
        <is>
          <t>Nifty IT</t>
        </is>
      </c>
      <c r="T49" s="32" t="n">
        <v>-25.69</v>
      </c>
      <c r="U49" s="32" t="n">
        <v>21.63</v>
      </c>
      <c r="V49" s="32" t="n">
        <v>63.68</v>
      </c>
      <c r="W49" s="32" t="n">
        <v>9.640000000000001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0 to 20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20</t>
        </is>
      </c>
      <c r="CG49" s="31">
        <f>IF(CF49&gt;20,10,IF(CF49&gt;=10,5,2))</f>
        <v/>
      </c>
    </row>
    <row r="50">
      <c r="A50" s="31">
        <f>IF(B50=0,"",RANK(B50,$B$2:$B$85,0))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AFCOM</t>
        </is>
      </c>
      <c r="D50" s="31" t="inlineStr">
        <is>
          <t>Afcom Holdings Ltd</t>
        </is>
      </c>
      <c r="E50" s="31" t="inlineStr">
        <is>
          <t>Industrials</t>
        </is>
      </c>
      <c r="F50" s="31" t="inlineStr">
        <is>
          <t>Air Transport Service</t>
        </is>
      </c>
      <c r="G50" s="31" t="inlineStr">
        <is>
          <t>smallcap</t>
        </is>
      </c>
      <c r="H50" s="32" t="n">
        <v>4304.79</v>
      </c>
      <c r="I50" s="32" t="n">
        <v>1500</v>
      </c>
      <c r="J50" s="32" t="n">
        <v>8.779999999999999</v>
      </c>
      <c r="K50" s="32" t="n">
        <v>0</v>
      </c>
      <c r="L50" s="31" t="n">
        <v>94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77.44</v>
      </c>
      <c r="P50" s="32" t="n">
        <v>26.52</v>
      </c>
      <c r="Q50" s="32" t="n">
        <v>1099.48</v>
      </c>
      <c r="R50" s="31" t="inlineStr">
        <is>
          <t>Near 52W High Breakout</t>
        </is>
      </c>
      <c r="S50" s="31" t="inlineStr">
        <is>
          <t>Nifty 50</t>
        </is>
      </c>
      <c r="T50" s="32" t="n">
        <v>-3.75</v>
      </c>
      <c r="U50" s="32" t="n">
        <v>76.58</v>
      </c>
      <c r="V50" s="32" t="n">
        <v>83.45999999999999</v>
      </c>
      <c r="W50" s="32" t="n">
        <v>39.75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Less than 50%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18</t>
        </is>
      </c>
      <c r="CG50" s="31">
        <f>IF(CF50&gt;20,10,IF(CF50&gt;=10,5,2))</f>
        <v/>
      </c>
    </row>
    <row r="51">
      <c r="A51" s="31">
        <f>IF(B51=0,"",RANK(B51,$B$2:$B$85,0))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RPEL</t>
        </is>
      </c>
      <c r="D51" s="31" t="inlineStr">
        <is>
          <t>Raghav Productivity Enhancers Ltd</t>
        </is>
      </c>
      <c r="E51" s="31" t="inlineStr">
        <is>
          <t>building materials</t>
        </is>
      </c>
      <c r="F51" s="31" t="inlineStr">
        <is>
          <t>Steel Products</t>
        </is>
      </c>
      <c r="G51" s="31" t="inlineStr">
        <is>
          <t>midcap</t>
        </is>
      </c>
      <c r="H51" s="32" t="n">
        <v>5974.9</v>
      </c>
      <c r="I51" s="32" t="n">
        <v>1301.1</v>
      </c>
      <c r="J51" s="32" t="n">
        <v>1.15</v>
      </c>
      <c r="K51" s="32" t="n">
        <v>0</v>
      </c>
      <c r="L51" s="31" t="n">
        <v>92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78.65000000000001</v>
      </c>
      <c r="P51" s="32" t="n">
        <v>36.58</v>
      </c>
      <c r="Q51" s="32" t="n">
        <v>1008.34</v>
      </c>
      <c r="R51" s="31" t="inlineStr">
        <is>
          <t>Near 52W High Breakout</t>
        </is>
      </c>
      <c r="S51" s="31" t="inlineStr">
        <is>
          <t>Nifty Infra</t>
        </is>
      </c>
      <c r="T51" s="32" t="n">
        <v>1.87</v>
      </c>
      <c r="U51" s="32" t="n">
        <v>88.78</v>
      </c>
      <c r="V51" s="32" t="n">
        <v>85.31999999999999</v>
      </c>
      <c r="W51" s="32" t="n">
        <v>35.45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Less than 50%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17</t>
        </is>
      </c>
      <c r="CG51" s="31">
        <f>IF(CF51&gt;20,10,IF(CF51&gt;=10,5,2))</f>
        <v/>
      </c>
    </row>
    <row r="52">
      <c r="A52" s="31">
        <f>IF(B52=0,"",RANK(B52,$B$2:$B$85,0))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AURUM</t>
        </is>
      </c>
      <c r="D52" s="31" t="inlineStr">
        <is>
          <t>Aurum Proptech Ltd</t>
        </is>
      </c>
      <c r="E52" s="31" t="inlineStr">
        <is>
          <t>i.t</t>
        </is>
      </c>
      <c r="F52" s="31" t="inlineStr">
        <is>
          <t>IT Enabled Services</t>
        </is>
      </c>
      <c r="G52" s="31" t="inlineStr">
        <is>
          <t>smallcap</t>
        </is>
      </c>
      <c r="H52" s="32" t="n">
        <v>1643.32</v>
      </c>
      <c r="I52" s="32" t="n">
        <v>228.1</v>
      </c>
      <c r="J52" s="32" t="n">
        <v>3.35</v>
      </c>
      <c r="K52" s="32" t="n">
        <v>0</v>
      </c>
      <c r="L52" s="31" t="n">
        <v>53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69.72</v>
      </c>
      <c r="P52" s="32" t="n">
        <v>31.93</v>
      </c>
      <c r="Q52" s="32" t="n">
        <v>183.98</v>
      </c>
      <c r="R52" s="31" t="inlineStr">
        <is>
          <t>Near 52W High Breakout</t>
        </is>
      </c>
      <c r="S52" s="31" t="inlineStr">
        <is>
          <t>Nifty IT</t>
        </is>
      </c>
      <c r="T52" s="32" t="n">
        <v>-25.69</v>
      </c>
      <c r="U52" s="32" t="n">
        <v>18.37</v>
      </c>
      <c r="V52" s="32" t="n">
        <v>59.28</v>
      </c>
      <c r="W52" s="32" t="n">
        <v>10.98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Between 50% to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17</t>
        </is>
      </c>
      <c r="CG52" s="31">
        <f>IF(CF52&gt;20,10,IF(CF52&gt;=10,5,2))</f>
        <v/>
      </c>
    </row>
    <row r="53">
      <c r="A53" s="31">
        <f>IF(B53=0,"",RANK(B53,$B$2:$B$85,0))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4" t="inlineStr">
        <is>
          <t>FILATEX</t>
        </is>
      </c>
      <c r="D53" s="34" t="inlineStr">
        <is>
          <t>Filatex India Ltd</t>
        </is>
      </c>
      <c r="E53" s="31" t="inlineStr">
        <is>
          <t>textiles</t>
        </is>
      </c>
      <c r="F53" s="31" t="inlineStr">
        <is>
          <t>Textiles - Manmade Fibre - PFY/PSF</t>
        </is>
      </c>
      <c r="G53" s="31" t="inlineStr">
        <is>
          <t>smallcap</t>
        </is>
      </c>
      <c r="H53" s="32" t="n">
        <v>2766.48</v>
      </c>
      <c r="I53" s="32" t="n">
        <v>62.3</v>
      </c>
      <c r="J53" s="32" t="n">
        <v>2.03</v>
      </c>
      <c r="K53" s="32" t="n">
        <v>0</v>
      </c>
      <c r="L53" s="31" t="n">
        <v>51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69.06999999999999</v>
      </c>
      <c r="P53" s="32" t="n">
        <v>18.04</v>
      </c>
      <c r="Q53" s="32" t="n">
        <v>47.58</v>
      </c>
      <c r="R53" s="31" t="inlineStr">
        <is>
          <t>Volume Spike &amp; Near 52W High Breakout</t>
        </is>
      </c>
      <c r="S53" s="31" t="inlineStr">
        <is>
          <t>Nifty 50</t>
        </is>
      </c>
      <c r="T53" s="32" t="n">
        <v>-3.75</v>
      </c>
      <c r="U53" s="32" t="n">
        <v>5.33</v>
      </c>
      <c r="V53" s="32" t="n">
        <v>9.43</v>
      </c>
      <c r="W53" s="32" t="n">
        <v>10.18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0 to 20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Between 12 to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16</t>
        </is>
      </c>
      <c r="CG53" s="31">
        <f>IF(CF53&gt;20,10,IF(CF53&gt;=10,5,2))</f>
        <v/>
      </c>
    </row>
    <row r="54">
      <c r="A54" s="31">
        <f>IF(B54=0,"",RANK(B54,$B$2:$B$85,0))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4" t="inlineStr">
        <is>
          <t>RAMCOIND</t>
        </is>
      </c>
      <c r="D54" s="34" t="inlineStr">
        <is>
          <t>Ramco Industries Ltd</t>
        </is>
      </c>
      <c r="E54" s="31" t="inlineStr">
        <is>
          <t>building materials</t>
        </is>
      </c>
      <c r="F54" s="31" t="inlineStr">
        <is>
          <t>Cement Products</t>
        </is>
      </c>
      <c r="G54" s="31" t="inlineStr">
        <is>
          <t>smallcap</t>
        </is>
      </c>
      <c r="H54" s="32" t="n">
        <v>3192.3</v>
      </c>
      <c r="I54" s="32" t="n">
        <v>367.6</v>
      </c>
      <c r="J54" s="32" t="n">
        <v>-0.38</v>
      </c>
      <c r="K54" s="32" t="n">
        <v>0</v>
      </c>
      <c r="L54" s="31" t="n">
        <v>66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67.69</v>
      </c>
      <c r="P54" s="32" t="n">
        <v>23.6</v>
      </c>
      <c r="Q54" s="32" t="n">
        <v>279.79</v>
      </c>
      <c r="R54" s="31" t="inlineStr">
        <is>
          <t>Earnings / Momentum Support</t>
        </is>
      </c>
      <c r="S54" s="31" t="inlineStr">
        <is>
          <t>Nifty Infra</t>
        </is>
      </c>
      <c r="T54" s="32" t="n">
        <v>1.87</v>
      </c>
      <c r="U54" s="32" t="n">
        <v>29.32</v>
      </c>
      <c r="V54" s="32" t="n">
        <v>26.95</v>
      </c>
      <c r="W54" s="32" t="n">
        <v>14.74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16</t>
        </is>
      </c>
      <c r="CG54" s="31">
        <f>IF(CF54&gt;20,10,IF(CF54&gt;=10,5,2))</f>
        <v/>
      </c>
    </row>
    <row r="55">
      <c r="A55" s="31">
        <f>IF(B55=0,"",RANK(B55,$B$2:$B$85,0))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WELENT</t>
        </is>
      </c>
      <c r="D55" s="31" t="inlineStr">
        <is>
          <t>Welspun Enterprises Ltd</t>
        </is>
      </c>
      <c r="E55" s="31" t="inlineStr">
        <is>
          <t>realty</t>
        </is>
      </c>
      <c r="F55" s="31" t="inlineStr">
        <is>
          <t>Water Treatment</t>
        </is>
      </c>
      <c r="G55" s="31" t="inlineStr">
        <is>
          <t>midcap</t>
        </is>
      </c>
      <c r="H55" s="32" t="n">
        <v>8473.690000000001</v>
      </c>
      <c r="I55" s="32" t="n">
        <v>612.2</v>
      </c>
      <c r="J55" s="32" t="n">
        <v>-0.29</v>
      </c>
      <c r="K55" s="32" t="n">
        <v>0</v>
      </c>
      <c r="L55" s="31" t="n">
        <v>59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72.55</v>
      </c>
      <c r="P55" s="32" t="n">
        <v>16.5</v>
      </c>
      <c r="Q55" s="32" t="n">
        <v>491.8</v>
      </c>
      <c r="R55" s="31" t="inlineStr">
        <is>
          <t>Near 52W High Breakout</t>
        </is>
      </c>
      <c r="S55" s="31" t="inlineStr">
        <is>
          <t>Nifty Realty</t>
        </is>
      </c>
      <c r="T55" s="32" t="n">
        <v>-2.52</v>
      </c>
      <c r="U55" s="32" t="n">
        <v>20.38</v>
      </c>
      <c r="V55" s="32" t="n">
        <v>23.5</v>
      </c>
      <c r="W55" s="32" t="n">
        <v>12.98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0 to 20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Less than 50%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15</t>
        </is>
      </c>
      <c r="CG55" s="31">
        <f>IF(CF55&gt;20,10,IF(CF55&gt;=10,5,2))</f>
        <v/>
      </c>
    </row>
    <row r="56">
      <c r="A56" s="31">
        <f>IF(B56=0,"",RANK(B56,$B$2:$B$85,0))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TRIVENI</t>
        </is>
      </c>
      <c r="D56" s="31" t="inlineStr">
        <is>
          <t>Triveni Engineering and Industries Ltd</t>
        </is>
      </c>
      <c r="E56" s="31" t="inlineStr">
        <is>
          <t>fmcg</t>
        </is>
      </c>
      <c r="F56" s="31" t="inlineStr">
        <is>
          <t>Sugar</t>
        </is>
      </c>
      <c r="G56" s="31" t="inlineStr">
        <is>
          <t>midcap</t>
        </is>
      </c>
      <c r="H56" s="32" t="n">
        <v>10136.7</v>
      </c>
      <c r="I56" s="32" t="n">
        <v>460</v>
      </c>
      <c r="J56" s="32" t="n">
        <v>1.09</v>
      </c>
      <c r="K56" s="32" t="n">
        <v>0</v>
      </c>
      <c r="L56" s="31" t="n">
        <v>47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68.65000000000001</v>
      </c>
      <c r="P56" s="32" t="n">
        <v>21.34</v>
      </c>
      <c r="Q56" s="32" t="n">
        <v>368.54</v>
      </c>
      <c r="R56" s="31" t="inlineStr">
        <is>
          <t>Near 52W High Breakout</t>
        </is>
      </c>
      <c r="S56" s="31" t="inlineStr">
        <is>
          <t>Nifty FMCG</t>
        </is>
      </c>
      <c r="T56" s="32" t="n">
        <v>-11.8</v>
      </c>
      <c r="U56" s="32" t="n">
        <v>27.63</v>
      </c>
      <c r="V56" s="32" t="n">
        <v>44.72</v>
      </c>
      <c r="W56" s="32" t="n">
        <v>9.460000000000001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B2C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Less than 12%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16</t>
        </is>
      </c>
      <c r="CG56" s="31">
        <f>IF(CF56&gt;20,10,IF(CF56&gt;=10,5,2))</f>
        <v/>
      </c>
    </row>
    <row r="57">
      <c r="A57" s="31">
        <f>IF(B57=0,"",RANK(B57,$B$2:$B$85,0))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4" t="inlineStr">
        <is>
          <t>TBZ</t>
        </is>
      </c>
      <c r="D57" s="34" t="inlineStr">
        <is>
          <t>Tribhovandas Bhimji Zaveri Ltd</t>
        </is>
      </c>
      <c r="E57" s="31" t="inlineStr">
        <is>
          <t>consumer discretionary</t>
        </is>
      </c>
      <c r="F57" s="31" t="inlineStr">
        <is>
          <t>Diamond, Gems &amp; Jewellery</t>
        </is>
      </c>
      <c r="G57" s="31" t="inlineStr">
        <is>
          <t>smallcap</t>
        </is>
      </c>
      <c r="H57" s="32" t="n">
        <v>1526.73</v>
      </c>
      <c r="I57" s="32" t="n">
        <v>228.79</v>
      </c>
      <c r="J57" s="32" t="n">
        <v>-1.19</v>
      </c>
      <c r="K57" s="32" t="n">
        <v>0</v>
      </c>
      <c r="L57" s="31" t="n">
        <v>77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73.17</v>
      </c>
      <c r="P57" s="32" t="n">
        <v>20.24</v>
      </c>
      <c r="Q57" s="32" t="n">
        <v>169.89</v>
      </c>
      <c r="R57" s="31" t="inlineStr">
        <is>
          <t>Volume Spike &amp; Near 52W High Breakout</t>
        </is>
      </c>
      <c r="S57" s="31" t="inlineStr">
        <is>
          <t>Nifty 50</t>
        </is>
      </c>
      <c r="T57" s="32" t="n">
        <v>-3.75</v>
      </c>
      <c r="U57" s="32" t="n">
        <v>21.92</v>
      </c>
      <c r="V57" s="32" t="n">
        <v>26.67</v>
      </c>
      <c r="W57" s="32" t="n">
        <v>19.31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Less than 50% and Borrowings are increasing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21</t>
        </is>
      </c>
      <c r="CG57" s="31">
        <f>IF(CF57&gt;20,10,IF(CF57&gt;=10,5,2))</f>
        <v/>
      </c>
    </row>
    <row r="58">
      <c r="A58" s="31">
        <f>IF(B58=0,"",RANK(B58,$B$2:$B$85,0))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4" t="inlineStr">
        <is>
          <t>SIGMAADV</t>
        </is>
      </c>
      <c r="D58" s="34" t="inlineStr">
        <is>
          <t>Sigma Advanced System Ltd</t>
        </is>
      </c>
      <c r="E58" s="31" t="inlineStr">
        <is>
          <t>aerospace &amp; defence</t>
        </is>
      </c>
      <c r="F58" s="31" t="inlineStr">
        <is>
          <t>Aerospace &amp; Defence - Equipments</t>
        </is>
      </c>
      <c r="G58" s="31" t="inlineStr">
        <is>
          <t>midcap</t>
        </is>
      </c>
      <c r="H58" s="32" t="n">
        <v>10283.59</v>
      </c>
      <c r="I58" s="32" t="n">
        <v>583.5</v>
      </c>
      <c r="J58" s="32" t="n">
        <v>4.56</v>
      </c>
      <c r="K58" s="32" t="n">
        <v>0</v>
      </c>
      <c r="L58" s="31" t="n">
        <v>99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78.92</v>
      </c>
      <c r="P58" s="32" t="n">
        <v>59.31</v>
      </c>
      <c r="Q58" s="32" t="n">
        <v>459.96</v>
      </c>
      <c r="R58" s="31" t="inlineStr">
        <is>
          <t>Earnings / Momentum Support</t>
        </is>
      </c>
      <c r="S58" s="31" t="inlineStr">
        <is>
          <t>Nifty 50</t>
        </is>
      </c>
      <c r="T58" s="32" t="n">
        <v>-3.75</v>
      </c>
      <c r="U58" s="32" t="n">
        <v>497.71</v>
      </c>
      <c r="V58" s="32" t="n">
        <v>521</v>
      </c>
      <c r="W58" s="32" t="n">
        <v>105.36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Negative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Between 0.7 to 1.2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20</t>
        </is>
      </c>
      <c r="CG58" s="31">
        <f>IF(CF58&gt;20,10,IF(CF58&gt;=10,5,2))</f>
        <v/>
      </c>
    </row>
    <row r="59">
      <c r="A59" s="31">
        <f>IF(B59=0,"",RANK(B59,$B$2:$B$85,0))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GREAVESCOT</t>
        </is>
      </c>
      <c r="D59" s="31" t="inlineStr">
        <is>
          <t>Greaves Cotton Ltd</t>
        </is>
      </c>
      <c r="E59" s="31" t="inlineStr">
        <is>
          <t>industrials</t>
        </is>
      </c>
      <c r="F59" s="31" t="inlineStr">
        <is>
          <t>Engines</t>
        </is>
      </c>
      <c r="G59" s="31" t="inlineStr">
        <is>
          <t>midcap</t>
        </is>
      </c>
      <c r="H59" s="32" t="n">
        <v>6130.35</v>
      </c>
      <c r="I59" s="32" t="n">
        <v>263.16</v>
      </c>
      <c r="J59" s="32" t="n">
        <v>10.93</v>
      </c>
      <c r="K59" s="32" t="n">
        <v>0</v>
      </c>
      <c r="L59" s="31" t="n">
        <v>85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76.75</v>
      </c>
      <c r="P59" s="32" t="n">
        <v>21.44</v>
      </c>
      <c r="Q59" s="32" t="n">
        <v>204.72</v>
      </c>
      <c r="R59" s="31" t="inlineStr">
        <is>
          <t>Volume Spike &amp; Near 52W High Breakout</t>
        </is>
      </c>
      <c r="S59" s="31" t="inlineStr">
        <is>
          <t>Nifty 50</t>
        </is>
      </c>
      <c r="T59" s="32" t="n">
        <v>-3.75</v>
      </c>
      <c r="U59" s="32" t="n">
        <v>32.22</v>
      </c>
      <c r="V59" s="32" t="n">
        <v>37.37</v>
      </c>
      <c r="W59" s="32" t="n">
        <v>24.85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18</t>
        </is>
      </c>
      <c r="CG59" s="31">
        <f>IF(CF59&gt;20,10,IF(CF59&gt;=10,5,2))</f>
        <v/>
      </c>
    </row>
    <row r="60">
      <c r="A60" s="31">
        <f>IF(B60=0,"",RANK(B60,$B$2:$B$85,0))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OBEROIRLTY</t>
        </is>
      </c>
      <c r="D60" s="31" t="inlineStr">
        <is>
          <t>Oberoi Realty Ltd</t>
        </is>
      </c>
      <c r="E60" s="31" t="inlineStr">
        <is>
          <t>realty</t>
        </is>
      </c>
      <c r="F60" s="31" t="inlineStr">
        <is>
          <t>Realty - Regional</t>
        </is>
      </c>
      <c r="G60" s="31" t="inlineStr">
        <is>
          <t>largecap</t>
        </is>
      </c>
      <c r="H60" s="32" t="n">
        <v>69015.34</v>
      </c>
      <c r="I60" s="32" t="n">
        <v>1898.1</v>
      </c>
      <c r="J60" s="32" t="n">
        <v>1.33</v>
      </c>
      <c r="K60" s="32" t="n">
        <v>0</v>
      </c>
      <c r="L60" s="31" t="n">
        <v>21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67.98999999999999</v>
      </c>
      <c r="P60" s="32" t="n">
        <v>14.7</v>
      </c>
      <c r="Q60" s="32" t="n">
        <v>1606.69</v>
      </c>
      <c r="R60" s="31" t="inlineStr">
        <is>
          <t>Volume Spike &amp; Near 52W High Breakout</t>
        </is>
      </c>
      <c r="S60" s="31" t="inlineStr">
        <is>
          <t>Nifty Realty</t>
        </is>
      </c>
      <c r="T60" s="32" t="n">
        <v>-2.52</v>
      </c>
      <c r="U60" s="32" t="n">
        <v>5.38</v>
      </c>
      <c r="V60" s="32" t="n">
        <v>8.109999999999999</v>
      </c>
      <c r="W60" s="32" t="n">
        <v>4.53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0 to 20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Less than 50%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18</t>
        </is>
      </c>
      <c r="CG60" s="31">
        <f>IF(CF60&gt;20,10,IF(CF60&gt;=10,5,2))</f>
        <v/>
      </c>
    </row>
    <row r="61">
      <c r="A61" s="31">
        <f>IF(B61=0,"",RANK(B61,$B$2:$B$85,0))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BLSE</t>
        </is>
      </c>
      <c r="D61" s="31" t="inlineStr">
        <is>
          <t>BLS E-Services Ltd</t>
        </is>
      </c>
      <c r="E61" s="31" t="inlineStr">
        <is>
          <t>i.t</t>
        </is>
      </c>
      <c r="F61" s="31" t="inlineStr">
        <is>
          <t>IT - Software</t>
        </is>
      </c>
      <c r="G61" s="31" t="inlineStr">
        <is>
          <t>smallcap</t>
        </is>
      </c>
      <c r="H61" s="32" t="n">
        <v>2389.53</v>
      </c>
      <c r="I61" s="32" t="n">
        <v>263</v>
      </c>
      <c r="J61" s="32" t="n">
        <v>0.63</v>
      </c>
      <c r="K61" s="32" t="n">
        <v>0</v>
      </c>
      <c r="L61" s="31" t="n">
        <v>81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75.06</v>
      </c>
      <c r="P61" s="32" t="n">
        <v>26.79</v>
      </c>
      <c r="Q61" s="32" t="n">
        <v>204.94</v>
      </c>
      <c r="R61" s="31" t="inlineStr">
        <is>
          <t>Volume Spike &amp; Near 52W High Breakout</t>
        </is>
      </c>
      <c r="S61" s="31" t="inlineStr">
        <is>
          <t>Nifty IT</t>
        </is>
      </c>
      <c r="T61" s="32" t="n">
        <v>-25.69</v>
      </c>
      <c r="U61" s="32" t="n">
        <v>42.47</v>
      </c>
      <c r="V61" s="32" t="n">
        <v>91.72</v>
      </c>
      <c r="W61" s="32" t="n">
        <v>22.47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Less than 12%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Between 50% to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17</t>
        </is>
      </c>
      <c r="CG61" s="31">
        <f>IF(CF61&gt;20,10,IF(CF61&gt;=10,5,2))</f>
        <v/>
      </c>
    </row>
    <row r="62">
      <c r="A62" s="31">
        <f>IF(B62=0,"",RANK(B62,$B$2:$B$85,0))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AZAD</t>
        </is>
      </c>
      <c r="D62" s="34" t="inlineStr">
        <is>
          <t>Azad Engineering Ltd</t>
        </is>
      </c>
      <c r="E62" s="31" t="inlineStr">
        <is>
          <t>aerospace &amp; defence</t>
        </is>
      </c>
      <c r="F62" s="31" t="inlineStr">
        <is>
          <t>Aerospace &amp; Defence - Equipments</t>
        </is>
      </c>
      <c r="G62" s="31" t="inlineStr">
        <is>
          <t>midcap</t>
        </is>
      </c>
      <c r="H62" s="32" t="n">
        <v>15964.61</v>
      </c>
      <c r="I62" s="32" t="n">
        <v>2472</v>
      </c>
      <c r="J62" s="32" t="n">
        <v>-0.17</v>
      </c>
      <c r="K62" s="32" t="n">
        <v>0</v>
      </c>
      <c r="L62" s="31" t="n">
        <v>78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69.09</v>
      </c>
      <c r="P62" s="32" t="n">
        <v>26.79</v>
      </c>
      <c r="Q62" s="32" t="n">
        <v>1886.92</v>
      </c>
      <c r="R62" s="31" t="inlineStr">
        <is>
          <t>Volume Spike &amp; Near 52W High Breakout</t>
        </is>
      </c>
      <c r="S62" s="31" t="inlineStr">
        <is>
          <t>Nifty 50</t>
        </is>
      </c>
      <c r="T62" s="32" t="n">
        <v>-3.75</v>
      </c>
      <c r="U62" s="32" t="n">
        <v>56.11</v>
      </c>
      <c r="V62" s="32" t="n">
        <v>62.19</v>
      </c>
      <c r="W62" s="32" t="n">
        <v>19.72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Negative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18</t>
        </is>
      </c>
      <c r="CG62" s="31">
        <f>IF(CF62&gt;20,10,IF(CF62&gt;=10,5,2))</f>
        <v/>
      </c>
    </row>
    <row r="63">
      <c r="A63" s="31">
        <f>IF(B63=0,"",RANK(B63,$B$2:$B$85,0))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DIACABS</t>
        </is>
      </c>
      <c r="D63" s="34" t="inlineStr">
        <is>
          <t>Diamond Power Infrastructure Ltd</t>
        </is>
      </c>
      <c r="E63" s="31" t="inlineStr">
        <is>
          <t>industrials</t>
        </is>
      </c>
      <c r="F63" s="31" t="inlineStr">
        <is>
          <t>Cables - Power</t>
        </is>
      </c>
      <c r="G63" s="31" t="inlineStr">
        <is>
          <t>midcap</t>
        </is>
      </c>
      <c r="H63" s="32" t="n">
        <v>12041.29</v>
      </c>
      <c r="I63" s="32" t="n">
        <v>228.5</v>
      </c>
      <c r="J63" s="32" t="n">
        <v>-4.47</v>
      </c>
      <c r="K63" s="32" t="n">
        <v>0</v>
      </c>
      <c r="L63" s="31" t="n">
        <v>83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76.73</v>
      </c>
      <c r="P63" s="32" t="n">
        <v>45.92</v>
      </c>
      <c r="Q63" s="32" t="n">
        <v>169.07</v>
      </c>
      <c r="R63" s="31" t="inlineStr">
        <is>
          <t>Volume Spike &amp; Near 52W High Breakout</t>
        </is>
      </c>
      <c r="S63" s="31" t="inlineStr">
        <is>
          <t>Nifty Energy</t>
        </is>
      </c>
      <c r="T63" s="32" t="n">
        <v>8.710000000000001</v>
      </c>
      <c r="U63" s="32" t="n">
        <v>38.89</v>
      </c>
      <c r="V63" s="32" t="n">
        <v>27.76</v>
      </c>
      <c r="W63" s="32" t="n">
        <v>23.37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Negative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18</t>
        </is>
      </c>
      <c r="CG63" s="31">
        <f>IF(CF63&gt;20,10,IF(CF63&gt;=10,5,2))</f>
        <v/>
      </c>
    </row>
    <row r="64">
      <c r="A64" s="31">
        <f>IF(B64=0,"",RANK(B64,$B$2:$B$85,0))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DIVGIITTS</t>
        </is>
      </c>
      <c r="D64" s="31" t="inlineStr">
        <is>
          <t>Divgi Torqtransfer Systems Ltd</t>
        </is>
      </c>
      <c r="E64" s="31" t="inlineStr">
        <is>
          <t>auto</t>
        </is>
      </c>
      <c r="F64" s="31" t="inlineStr">
        <is>
          <t>Auto Ancillaries - Transmission</t>
        </is>
      </c>
      <c r="G64" s="31" t="inlineStr">
        <is>
          <t>smallcap</t>
        </is>
      </c>
      <c r="H64" s="32" t="n">
        <v>2960.43</v>
      </c>
      <c r="I64" s="32" t="n">
        <v>968</v>
      </c>
      <c r="J64" s="32" t="n">
        <v>-1.19</v>
      </c>
      <c r="K64" s="32" t="n">
        <v>0</v>
      </c>
      <c r="L64" s="31" t="n">
        <v>77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66.92</v>
      </c>
      <c r="P64" s="32" t="n">
        <v>36.65</v>
      </c>
      <c r="Q64" s="32" t="n">
        <v>763.3</v>
      </c>
      <c r="R64" s="31" t="inlineStr">
        <is>
          <t>Earnings / Momentum Support</t>
        </is>
      </c>
      <c r="S64" s="31" t="inlineStr">
        <is>
          <t>Nifty Auto</t>
        </is>
      </c>
      <c r="T64" s="32" t="n">
        <v>14.33</v>
      </c>
      <c r="U64" s="32" t="n">
        <v>55.95</v>
      </c>
      <c r="V64" s="32" t="n">
        <v>36.4</v>
      </c>
      <c r="W64" s="32" t="n">
        <v>19.36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Between 50% to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18</t>
        </is>
      </c>
      <c r="CG64" s="31">
        <f>IF(CF64&gt;20,10,IF(CF64&gt;=10,5,2))</f>
        <v/>
      </c>
    </row>
    <row r="65">
      <c r="A65" s="31">
        <f>IF(B65=0,"",RANK(B65,$B$2:$B$85,0))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AETHER</t>
        </is>
      </c>
      <c r="D65" s="31" t="inlineStr">
        <is>
          <t>Aether Industries Ltd</t>
        </is>
      </c>
      <c r="E65" s="31" t="inlineStr">
        <is>
          <t>chemicals</t>
        </is>
      </c>
      <c r="F65" s="31" t="inlineStr">
        <is>
          <t>Speciality Chemicals</t>
        </is>
      </c>
      <c r="G65" s="31" t="inlineStr">
        <is>
          <t>midcap</t>
        </is>
      </c>
      <c r="H65" s="32" t="n">
        <v>19660.11</v>
      </c>
      <c r="I65" s="32" t="n">
        <v>1481.4</v>
      </c>
      <c r="J65" s="32" t="n">
        <v>-0.3</v>
      </c>
      <c r="K65" s="32" t="n">
        <v>0</v>
      </c>
      <c r="L65" s="31" t="n">
        <v>78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76</v>
      </c>
      <c r="P65" s="32" t="n">
        <v>46.55</v>
      </c>
      <c r="Q65" s="32" t="n">
        <v>1173.54</v>
      </c>
      <c r="R65" s="31" t="inlineStr">
        <is>
          <t>Volume Spike &amp; Near 52W High Breakout</t>
        </is>
      </c>
      <c r="S65" s="31" t="inlineStr">
        <is>
          <t>Nifty 50</t>
        </is>
      </c>
      <c r="T65" s="32" t="n">
        <v>-3.75</v>
      </c>
      <c r="U65" s="32" t="n">
        <v>92.77</v>
      </c>
      <c r="V65" s="32" t="n">
        <v>100.28</v>
      </c>
      <c r="W65" s="32" t="n">
        <v>20.13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Less than 12%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Less than 50%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16</t>
        </is>
      </c>
      <c r="CG65" s="31">
        <f>IF(CF65&gt;20,10,IF(CF65&gt;=10,5,2))</f>
        <v/>
      </c>
    </row>
    <row r="66">
      <c r="A66" s="31">
        <f>IF(B66=0,"",RANK(B66,$B$2:$B$85,0))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RML</t>
        </is>
      </c>
      <c r="D66" s="31" t="inlineStr">
        <is>
          <t>Rane (Madras) Ltd</t>
        </is>
      </c>
      <c r="E66" s="31" t="inlineStr">
        <is>
          <t>auto</t>
        </is>
      </c>
      <c r="F66" s="31" t="inlineStr">
        <is>
          <t>Auto Ancillaries - Gears</t>
        </is>
      </c>
      <c r="G66" s="31" t="inlineStr">
        <is>
          <t>smallcap</t>
        </is>
      </c>
      <c r="H66" s="32" t="n">
        <v>3571.55</v>
      </c>
      <c r="I66" s="32" t="n">
        <v>1292.3</v>
      </c>
      <c r="J66" s="32" t="n">
        <v>1.17</v>
      </c>
      <c r="K66" s="32" t="n">
        <v>0</v>
      </c>
      <c r="L66" s="31" t="n">
        <v>87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75.34</v>
      </c>
      <c r="P66" s="32" t="n">
        <v>31.91</v>
      </c>
      <c r="Q66" s="32" t="n">
        <v>1015.31</v>
      </c>
      <c r="R66" s="31" t="inlineStr">
        <is>
          <t>Near 52W High Breakout</t>
        </is>
      </c>
      <c r="S66" s="31" t="inlineStr">
        <is>
          <t>Nifty Auto</t>
        </is>
      </c>
      <c r="T66" s="32" t="n">
        <v>14.33</v>
      </c>
      <c r="U66" s="32" t="n">
        <v>48.91</v>
      </c>
      <c r="V66" s="32" t="n">
        <v>30.24</v>
      </c>
      <c r="W66" s="32" t="n">
        <v>27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Less than 12%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Between 50% to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20</t>
        </is>
      </c>
      <c r="CG66" s="31">
        <f>IF(CF66&gt;20,10,IF(CF66&gt;=10,5,2))</f>
        <v/>
      </c>
    </row>
    <row r="67">
      <c r="A67" s="31">
        <f>IF(B67=0,"",RANK(B67,$B$2:$B$85,0))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AEGISVOPAK</t>
        </is>
      </c>
      <c r="D67" s="34" t="inlineStr">
        <is>
          <t>Aegis Vopak Terminals Ltd</t>
        </is>
      </c>
      <c r="E67" s="31" t="inlineStr">
        <is>
          <t>transportation</t>
        </is>
      </c>
      <c r="F67" s="31" t="inlineStr">
        <is>
          <t>Miscellaneous</t>
        </is>
      </c>
      <c r="G67" s="31" t="inlineStr">
        <is>
          <t>largecap</t>
        </is>
      </c>
      <c r="H67" s="32" t="n">
        <v>31389.4</v>
      </c>
      <c r="I67" s="32" t="n">
        <v>283.3</v>
      </c>
      <c r="J67" s="32" t="n">
        <v>2.82</v>
      </c>
      <c r="K67" s="32" t="n">
        <v>0</v>
      </c>
      <c r="L67" s="31" t="n">
        <v>64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65.18000000000001</v>
      </c>
      <c r="P67" s="32" t="n">
        <v>18.65</v>
      </c>
      <c r="Q67" s="32" t="n">
        <v>206.72</v>
      </c>
      <c r="R67" s="31" t="inlineStr">
        <is>
          <t>Volume Spike &amp; Near 52W High Breakout</t>
        </is>
      </c>
      <c r="S67" s="31" t="inlineStr">
        <is>
          <t>Nifty 50</t>
        </is>
      </c>
      <c r="T67" s="32" t="n">
        <v>-3.75</v>
      </c>
      <c r="U67" s="32" t="n">
        <v>8.949999999999999</v>
      </c>
      <c r="V67" s="32" t="n">
        <v>13.2</v>
      </c>
      <c r="W67" s="32" t="n">
        <v>14.08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19</t>
        </is>
      </c>
      <c r="CG67" s="31">
        <f>IF(CF67&gt;20,10,IF(CF67&gt;=10,5,2))</f>
        <v/>
      </c>
    </row>
    <row r="68">
      <c r="A68" s="31">
        <f>IF(B68=0,"",RANK(B68,$B$2:$B$85,0))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FERMENTA</t>
        </is>
      </c>
      <c r="D68" s="34" t="inlineStr">
        <is>
          <t>Fermenta Biotech Ltd</t>
        </is>
      </c>
      <c r="E68" s="31" t="inlineStr">
        <is>
          <t>Healthcare</t>
        </is>
      </c>
      <c r="F68" s="31" t="inlineStr">
        <is>
          <t>Pharma - API</t>
        </is>
      </c>
      <c r="G68" s="31" t="inlineStr">
        <is>
          <t>smallcap</t>
        </is>
      </c>
      <c r="H68" s="32" t="n">
        <v>1206.08</v>
      </c>
      <c r="I68" s="32" t="n">
        <v>409.8</v>
      </c>
      <c r="J68" s="32" t="n">
        <v>2.17</v>
      </c>
      <c r="K68" s="32" t="n">
        <v>0</v>
      </c>
      <c r="L68" s="31" t="n">
        <v>35</v>
      </c>
      <c r="M68" s="31" t="inlineStr">
        <is>
          <t>Underperforming</t>
        </is>
      </c>
      <c r="N68" s="32">
        <f>IF(M68="Underperforming",-5,IF(L68&gt;=95,15,IF(L68&gt;=90,10,IF(L68&gt;=80,5,0))))</f>
        <v/>
      </c>
      <c r="O68" s="32" t="n">
        <v>67.17</v>
      </c>
      <c r="P68" s="32" t="n">
        <v>17.65</v>
      </c>
      <c r="Q68" s="32" t="n">
        <v>309.17</v>
      </c>
      <c r="R68" s="31" t="inlineStr">
        <is>
          <t>Volume Spike &amp; Near 52W High Breakout</t>
        </is>
      </c>
      <c r="S68" s="31" t="inlineStr">
        <is>
          <t>Nifty Pharma</t>
        </is>
      </c>
      <c r="T68" s="32" t="n">
        <v>15.51</v>
      </c>
      <c r="U68" s="32" t="n">
        <v>7.82</v>
      </c>
      <c r="V68" s="32" t="n">
        <v>-6.66</v>
      </c>
      <c r="W68" s="32" t="n">
        <v>7.06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Less than 12%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18</t>
        </is>
      </c>
      <c r="CG68" s="31">
        <f>IF(CF68&gt;20,10,IF(CF68&gt;=10,5,2))</f>
        <v/>
      </c>
    </row>
    <row r="69">
      <c r="A69" s="31">
        <f>IF(B69=0,"",RANK(B69,$B$2:$B$85,0))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CNL</t>
        </is>
      </c>
      <c r="D69" s="31" t="inlineStr">
        <is>
          <t>Creative Newtech Ltd</t>
        </is>
      </c>
      <c r="E69" s="31" t="inlineStr">
        <is>
          <t>Technology</t>
        </is>
      </c>
      <c r="F69" s="31" t="inlineStr">
        <is>
          <t>E-Commerce - Platform - Utility</t>
        </is>
      </c>
      <c r="G69" s="31" t="inlineStr">
        <is>
          <t>smallcap</t>
        </is>
      </c>
      <c r="H69" s="32" t="n">
        <v>1264.4</v>
      </c>
      <c r="I69" s="32" t="n">
        <v>842</v>
      </c>
      <c r="J69" s="32" t="n">
        <v>-0.02</v>
      </c>
      <c r="K69" s="32" t="n">
        <v>0</v>
      </c>
      <c r="L69" s="31" t="n">
        <v>68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73.45</v>
      </c>
      <c r="P69" s="32" t="n">
        <v>25.81</v>
      </c>
      <c r="Q69" s="32" t="n">
        <v>648.59</v>
      </c>
      <c r="R69" s="31" t="inlineStr">
        <is>
          <t>Volume Spike &amp; Near 52W High Breakout</t>
        </is>
      </c>
      <c r="S69" s="31" t="inlineStr">
        <is>
          <t>Nifty 50</t>
        </is>
      </c>
      <c r="T69" s="32" t="n">
        <v>-3.75</v>
      </c>
      <c r="U69" s="32" t="n">
        <v>31.94</v>
      </c>
      <c r="V69" s="32" t="n">
        <v>37.08</v>
      </c>
      <c r="W69" s="32" t="n">
        <v>15.35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Oligopoly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Between 0.7 to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22</t>
        </is>
      </c>
      <c r="CG69" s="31">
        <f>IF(CF69&gt;20,10,IF(CF69&gt;=10,5,2))</f>
        <v/>
      </c>
    </row>
    <row r="70">
      <c r="A70" s="31">
        <f>IF(B70=0,"",RANK(B70,$B$2:$B$85,0))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FIEMIND</t>
        </is>
      </c>
      <c r="D70" s="31" t="inlineStr">
        <is>
          <t>Fiem Industries Ltd</t>
        </is>
      </c>
      <c r="E70" s="31" t="inlineStr">
        <is>
          <t>Consumer Cyclical</t>
        </is>
      </c>
      <c r="F70" s="31" t="inlineStr">
        <is>
          <t>Auto Ancillaries - 2&amp;3 Wheelers</t>
        </is>
      </c>
      <c r="G70" s="31" t="inlineStr">
        <is>
          <t>midcap</t>
        </is>
      </c>
      <c r="H70" s="32" t="n">
        <v>5908.76</v>
      </c>
      <c r="I70" s="32" t="n">
        <v>2245</v>
      </c>
      <c r="J70" s="32" t="n">
        <v>1.64</v>
      </c>
      <c r="K70" s="32" t="n">
        <v>0</v>
      </c>
      <c r="L70" s="31" t="n">
        <v>19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53.98</v>
      </c>
      <c r="P70" s="32" t="n">
        <v>20.99</v>
      </c>
      <c r="Q70" s="32" t="n">
        <v>1878.29</v>
      </c>
      <c r="R70" s="31" t="inlineStr">
        <is>
          <t>Earnings / Momentum Support</t>
        </is>
      </c>
      <c r="S70" s="31" t="inlineStr">
        <is>
          <t>Nifty Auto</t>
        </is>
      </c>
      <c r="T70" s="32" t="n">
        <v>14.33</v>
      </c>
      <c r="U70" s="32" t="n">
        <v>19.35</v>
      </c>
      <c r="V70" s="32" t="n">
        <v>4.39</v>
      </c>
      <c r="W70" s="32" t="n">
        <v>4.05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Less than 50%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16</t>
        </is>
      </c>
      <c r="CG70" s="31">
        <f>IF(CF70&gt;20,10,IF(CF70&gt;=10,5,2))</f>
        <v/>
      </c>
    </row>
    <row r="71">
      <c r="A71" s="31">
        <f>IF(B71=0,"",RANK(B71,$B$2:$B$85,0))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UNICHEMLAB</t>
        </is>
      </c>
      <c r="D71" s="34" t="inlineStr">
        <is>
          <t>Unichem Laboratories Ltd</t>
        </is>
      </c>
      <c r="E71" s="31" t="inlineStr">
        <is>
          <t>healthcare</t>
        </is>
      </c>
      <c r="F71" s="31" t="inlineStr">
        <is>
          <t>Pharma - Others</t>
        </is>
      </c>
      <c r="G71" s="31" t="inlineStr">
        <is>
          <t>smallcap</t>
        </is>
      </c>
      <c r="H71" s="32" t="n">
        <v>4464.43</v>
      </c>
      <c r="I71" s="32" t="n">
        <v>634.1</v>
      </c>
      <c r="J71" s="32" t="n">
        <v>-2.54</v>
      </c>
      <c r="K71" s="32" t="n">
        <v>0</v>
      </c>
      <c r="L71" s="31" t="n">
        <v>86</v>
      </c>
      <c r="M71" s="31" t="inlineStr">
        <is>
          <t>Underperforming</t>
        </is>
      </c>
      <c r="N71" s="32">
        <f>IF(M71="Underperforming",-5,IF(L71&gt;=95,15,IF(L71&gt;=90,10,IF(L71&gt;=80,5,0))))</f>
        <v/>
      </c>
      <c r="O71" s="32" t="n">
        <v>77.88</v>
      </c>
      <c r="P71" s="32" t="n">
        <v>21.36</v>
      </c>
      <c r="Q71" s="32" t="n">
        <v>464.26</v>
      </c>
      <c r="R71" s="31" t="inlineStr">
        <is>
          <t>Volume Spike &amp; Near 52W High Breakout</t>
        </is>
      </c>
      <c r="S71" s="31" t="inlineStr">
        <is>
          <t>Nifty Pharma</t>
        </is>
      </c>
      <c r="T71" s="32" t="n">
        <v>15.51</v>
      </c>
      <c r="U71" s="32" t="n">
        <v>8.109999999999999</v>
      </c>
      <c r="V71" s="32" t="n">
        <v>-6.41</v>
      </c>
      <c r="W71" s="32" t="n">
        <v>25.82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Less than 12%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18</t>
        </is>
      </c>
      <c r="CG71" s="31">
        <f>IF(CF71&gt;20,10,IF(CF71&gt;=10,5,2))</f>
        <v/>
      </c>
    </row>
    <row r="72">
      <c r="A72" s="31">
        <f>IF(B72=0,"",RANK(B72,$B$2:$B$85,0))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KAPSTON</t>
        </is>
      </c>
      <c r="D72" s="31" t="inlineStr">
        <is>
          <t>Kapston Services Ltd</t>
        </is>
      </c>
      <c r="E72" s="31" t="inlineStr">
        <is>
          <t>miscellaneous</t>
        </is>
      </c>
      <c r="F72" s="31" t="inlineStr">
        <is>
          <t>Services - Others</t>
        </is>
      </c>
      <c r="G72" s="31" t="inlineStr">
        <is>
          <t>smallcap</t>
        </is>
      </c>
      <c r="H72" s="32" t="n">
        <v>1256.85</v>
      </c>
      <c r="I72" s="32" t="n">
        <v>413</v>
      </c>
      <c r="J72" s="32" t="n">
        <v>9.49</v>
      </c>
      <c r="K72" s="32" t="n">
        <v>0</v>
      </c>
      <c r="L72" s="31" t="n">
        <v>81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68.56</v>
      </c>
      <c r="P72" s="32" t="n">
        <v>16.5</v>
      </c>
      <c r="Q72" s="32" t="n">
        <v>302.79</v>
      </c>
      <c r="R72" s="31" t="inlineStr">
        <is>
          <t>Volume Spike &amp; Near 52W High Breakout</t>
        </is>
      </c>
      <c r="S72" s="31" t="inlineStr">
        <is>
          <t>Nifty 50</t>
        </is>
      </c>
      <c r="T72" s="32" t="n">
        <v>-3.75</v>
      </c>
      <c r="U72" s="32" t="n">
        <v>68.23</v>
      </c>
      <c r="V72" s="32" t="n">
        <v>74.78</v>
      </c>
      <c r="W72" s="32" t="n">
        <v>22.24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0 to 20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Between 1.5 to 2</t>
        </is>
      </c>
      <c r="BU72" s="31">
        <f>IF(BT72="Above 2",0,IF(BT72="Between 1.5 to 2",5,IF(BT72="Less than 1.5",10,0)))</f>
        <v/>
      </c>
      <c r="BV72" s="31" t="inlineStr">
        <is>
          <t>Less than 50% and Borrowings are increasing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More than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18</t>
        </is>
      </c>
      <c r="CG72" s="31">
        <f>IF(CF72&gt;20,10,IF(CF72&gt;=10,5,2))</f>
        <v/>
      </c>
    </row>
    <row r="73">
      <c r="A73" s="31">
        <f>IF(B73=0,"",RANK(B73,$B$2:$B$85,0))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TVSSCS</t>
        </is>
      </c>
      <c r="D73" s="31" t="inlineStr">
        <is>
          <t>TVS Supply Chain Solutions Ltd</t>
        </is>
      </c>
      <c r="E73" s="31" t="inlineStr">
        <is>
          <t>transportation</t>
        </is>
      </c>
      <c r="F73" s="31" t="inlineStr">
        <is>
          <t>Logistics - Warehousing/Supply Chain</t>
        </is>
      </c>
      <c r="G73" s="31" t="inlineStr">
        <is>
          <t>midcap</t>
        </is>
      </c>
      <c r="H73" s="32" t="n">
        <v>6233.87</v>
      </c>
      <c r="I73" s="32" t="n">
        <v>141.3</v>
      </c>
      <c r="J73" s="32" t="n">
        <v>-0.05</v>
      </c>
      <c r="K73" s="32" t="n">
        <v>0</v>
      </c>
      <c r="L73" s="31" t="n">
        <v>38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61.65</v>
      </c>
      <c r="P73" s="32" t="n">
        <v>13.21</v>
      </c>
      <c r="Q73" s="32" t="n">
        <v>106.74</v>
      </c>
      <c r="R73" s="31" t="inlineStr">
        <is>
          <t>Near 52W High Breakout</t>
        </is>
      </c>
      <c r="S73" s="31" t="inlineStr">
        <is>
          <t>Nifty 50</t>
        </is>
      </c>
      <c r="T73" s="32" t="n">
        <v>-3.75</v>
      </c>
      <c r="U73" s="32" t="n">
        <v>5.87</v>
      </c>
      <c r="V73" s="32" t="n">
        <v>10</v>
      </c>
      <c r="W73" s="32" t="n">
        <v>7.58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More than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17</t>
        </is>
      </c>
      <c r="CG73" s="31">
        <f>IF(CF73&gt;20,10,IF(CF73&gt;=10,5,2))</f>
        <v/>
      </c>
    </row>
    <row r="74">
      <c r="A74" s="31">
        <f>IF(B74=0,"",RANK(B74,$B$2:$B$85,0))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GALAPREC</t>
        </is>
      </c>
      <c r="D74" s="31" t="inlineStr">
        <is>
          <t>Gala Precision Engineering Ltd</t>
        </is>
      </c>
      <c r="E74" s="31" t="inlineStr">
        <is>
          <t>industrials</t>
        </is>
      </c>
      <c r="F74" s="31" t="inlineStr">
        <is>
          <t>Castings, Forgings &amp; Fastners</t>
        </is>
      </c>
      <c r="G74" s="31" t="inlineStr">
        <is>
          <t>smallcap</t>
        </is>
      </c>
      <c r="H74" s="32" t="n">
        <v>1518.72</v>
      </c>
      <c r="I74" s="32" t="n">
        <v>1185</v>
      </c>
      <c r="J74" s="32" t="n">
        <v>0.2</v>
      </c>
      <c r="K74" s="32" t="n">
        <v>0</v>
      </c>
      <c r="L74" s="31" t="n">
        <v>79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80.02</v>
      </c>
      <c r="P74" s="32" t="n">
        <v>36.69</v>
      </c>
      <c r="Q74" s="32" t="n">
        <v>904.17</v>
      </c>
      <c r="R74" s="31" t="inlineStr">
        <is>
          <t>Near 52W High Breakout</t>
        </is>
      </c>
      <c r="S74" s="31" t="inlineStr">
        <is>
          <t>Nifty 50</t>
        </is>
      </c>
      <c r="T74" s="32" t="n">
        <v>-3.75</v>
      </c>
      <c r="U74" s="32" t="n">
        <v>31.91</v>
      </c>
      <c r="V74" s="32" t="n">
        <v>37.05</v>
      </c>
      <c r="W74" s="32" t="n">
        <v>20.57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Less than 12%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16</t>
        </is>
      </c>
      <c r="CG74" s="31">
        <f>IF(CF74&gt;20,10,IF(CF74&gt;=10,5,2))</f>
        <v/>
      </c>
    </row>
    <row r="75">
      <c r="A75" s="31">
        <f>IF(B75=0,"",RANK(B75,$B$2:$B$85,0))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KSL</t>
        </is>
      </c>
      <c r="D75" s="34" t="inlineStr">
        <is>
          <t>Kalyani Steels Ltd</t>
        </is>
      </c>
      <c r="E75" s="31" t="inlineStr">
        <is>
          <t>metals &amp; mining</t>
        </is>
      </c>
      <c r="F75" s="31" t="inlineStr">
        <is>
          <t>Steel Products</t>
        </is>
      </c>
      <c r="G75" s="31" t="inlineStr">
        <is>
          <t>smallcap</t>
        </is>
      </c>
      <c r="H75" s="32" t="n">
        <v>4151.41</v>
      </c>
      <c r="I75" s="32" t="n">
        <v>951</v>
      </c>
      <c r="J75" s="32" t="n">
        <v>1.87</v>
      </c>
      <c r="K75" s="32" t="n">
        <v>0</v>
      </c>
      <c r="L75" s="31" t="n">
        <v>57</v>
      </c>
      <c r="M75" s="31" t="inlineStr">
        <is>
          <t>Underperforming</t>
        </is>
      </c>
      <c r="N75" s="32">
        <f>IF(M75="Underperforming",-5,IF(L75&gt;=95,15,IF(L75&gt;=90,10,IF(L75&gt;=80,5,0))))</f>
        <v/>
      </c>
      <c r="O75" s="32" t="n">
        <v>69.7</v>
      </c>
      <c r="P75" s="32" t="n">
        <v>19.24</v>
      </c>
      <c r="Q75" s="32" t="n">
        <v>768.73</v>
      </c>
      <c r="R75" s="31" t="inlineStr">
        <is>
          <t>Volume Spike &amp; Near 52W High Breakout</t>
        </is>
      </c>
      <c r="S75" s="31" t="inlineStr">
        <is>
          <t>Nifty Metal</t>
        </is>
      </c>
      <c r="T75" s="32" t="n">
        <v>35.24</v>
      </c>
      <c r="U75" s="32" t="n">
        <v>6.54</v>
      </c>
      <c r="V75" s="32" t="n">
        <v>-21.22</v>
      </c>
      <c r="W75" s="32" t="n">
        <v>12.49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0 to 20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Less than 12%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17</t>
        </is>
      </c>
      <c r="CG75" s="31">
        <f>IF(CF75&gt;20,10,IF(CF75&gt;=10,5,2))</f>
        <v/>
      </c>
    </row>
    <row r="76">
      <c r="A76" s="31">
        <f>IF(B76=0,"",RANK(B76,$B$2:$B$85,0))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POCL</t>
        </is>
      </c>
      <c r="D76" s="31" t="inlineStr">
        <is>
          <t>Pondy Oxides &amp; Chemicals Ltd</t>
        </is>
      </c>
      <c r="E76" s="31" t="inlineStr">
        <is>
          <t>metals &amp; mining</t>
        </is>
      </c>
      <c r="F76" s="31" t="inlineStr">
        <is>
          <t>Recycling</t>
        </is>
      </c>
      <c r="G76" s="31" t="inlineStr">
        <is>
          <t>smallcap</t>
        </is>
      </c>
      <c r="H76" s="32" t="n">
        <v>4347.86</v>
      </c>
      <c r="I76" s="32" t="n">
        <v>1425</v>
      </c>
      <c r="J76" s="32" t="n">
        <v>0.59</v>
      </c>
      <c r="K76" s="32" t="n">
        <v>0</v>
      </c>
      <c r="L76" s="31" t="n">
        <v>61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58.48</v>
      </c>
      <c r="P76" s="32" t="n">
        <v>22.92</v>
      </c>
      <c r="Q76" s="32" t="n">
        <v>1115.45</v>
      </c>
      <c r="R76" s="31" t="inlineStr">
        <is>
          <t>Earnings / Momentum Support</t>
        </is>
      </c>
      <c r="S76" s="31" t="inlineStr">
        <is>
          <t>Nifty Metal</t>
        </is>
      </c>
      <c r="T76" s="32" t="n">
        <v>35.24</v>
      </c>
      <c r="U76" s="32" t="n">
        <v>47.31</v>
      </c>
      <c r="V76" s="32" t="n">
        <v>8.93</v>
      </c>
      <c r="W76" s="32" t="n">
        <v>13.3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Negative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15</t>
        </is>
      </c>
      <c r="CG76" s="31">
        <f>IF(CF76&gt;20,10,IF(CF76&gt;=10,5,2))</f>
        <v/>
      </c>
    </row>
    <row r="77">
      <c r="A77" s="31">
        <f>IF(B77=0,"",RANK(B77,$B$2:$B$85,0))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GRAVITA</t>
        </is>
      </c>
      <c r="D77" s="34" t="inlineStr">
        <is>
          <t>Gravita India Ltd</t>
        </is>
      </c>
      <c r="E77" s="31" t="inlineStr">
        <is>
          <t>metals &amp; mining</t>
        </is>
      </c>
      <c r="F77" s="31" t="inlineStr">
        <is>
          <t>Recycling</t>
        </is>
      </c>
      <c r="G77" s="31" t="inlineStr">
        <is>
          <t>midcap</t>
        </is>
      </c>
      <c r="H77" s="32" t="n">
        <v>13669.33</v>
      </c>
      <c r="I77" s="32" t="n">
        <v>1852</v>
      </c>
      <c r="J77" s="32" t="n">
        <v>2.24</v>
      </c>
      <c r="K77" s="32" t="n">
        <v>0</v>
      </c>
      <c r="L77" s="31" t="n">
        <v>27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60.79</v>
      </c>
      <c r="P77" s="32" t="n">
        <v>14.16</v>
      </c>
      <c r="Q77" s="32" t="n">
        <v>1442.71</v>
      </c>
      <c r="R77" s="31" t="inlineStr">
        <is>
          <t>Volume Spike &amp; Near 52W High Breakout</t>
        </is>
      </c>
      <c r="S77" s="31" t="inlineStr">
        <is>
          <t>Nifty Metal</t>
        </is>
      </c>
      <c r="T77" s="32" t="n">
        <v>35.24</v>
      </c>
      <c r="U77" s="32" t="n">
        <v>6.67</v>
      </c>
      <c r="V77" s="32" t="n">
        <v>-21.13</v>
      </c>
      <c r="W77" s="32" t="n">
        <v>5.51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Less than 12%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Less than 50%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16</t>
        </is>
      </c>
      <c r="CG77" s="31">
        <f>IF(CF77&gt;20,10,IF(CF77&gt;=10,5,2))</f>
        <v/>
      </c>
    </row>
    <row r="78">
      <c r="A78" s="31">
        <f>IF(B78=0,"",RANK(B78,$B$2:$B$85,0))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BALAMINES</t>
        </is>
      </c>
      <c r="D78" s="34" t="inlineStr">
        <is>
          <t>Balaji Amines Ltd</t>
        </is>
      </c>
      <c r="E78" s="31" t="inlineStr">
        <is>
          <t>chemicals</t>
        </is>
      </c>
      <c r="F78" s="31" t="inlineStr">
        <is>
          <t>Chemicals - Organic</t>
        </is>
      </c>
      <c r="G78" s="31" t="inlineStr">
        <is>
          <t>midcap</t>
        </is>
      </c>
      <c r="H78" s="32" t="n">
        <v>7805.4</v>
      </c>
      <c r="I78" s="32" t="n">
        <v>2409</v>
      </c>
      <c r="J78" s="32" t="n">
        <v>1.9</v>
      </c>
      <c r="K78" s="32" t="n">
        <v>0</v>
      </c>
      <c r="L78" s="31" t="n">
        <v>95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80.26000000000001</v>
      </c>
      <c r="P78" s="32" t="n">
        <v>53.01</v>
      </c>
      <c r="Q78" s="32" t="n">
        <v>1785.2</v>
      </c>
      <c r="R78" s="31" t="inlineStr">
        <is>
          <t>Near 52W High Breakout</t>
        </is>
      </c>
      <c r="S78" s="31" t="inlineStr">
        <is>
          <t>Nifty 50</t>
        </is>
      </c>
      <c r="T78" s="32" t="n">
        <v>-3.75</v>
      </c>
      <c r="U78" s="32" t="n">
        <v>36.07</v>
      </c>
      <c r="V78" s="32" t="n">
        <v>41.37</v>
      </c>
      <c r="W78" s="32" t="n">
        <v>41.03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Duopoly That Cooperate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Shallow Cyclical (2 to 3 Years Growth)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4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Downtrend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Overhead supply in last 2 years in last 2 years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No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Between 50% to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16</t>
        </is>
      </c>
      <c r="CG78" s="31">
        <f>IF(CF78&gt;20,10,IF(CF78&gt;=10,5,2))</f>
        <v/>
      </c>
    </row>
    <row r="79">
      <c r="A79" s="31">
        <f>IF(B79=0,"",RANK(B79,$B$2:$B$85,0))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UNIABEXAL</t>
        </is>
      </c>
      <c r="D79" s="31" t="inlineStr">
        <is>
          <t>Uni Abex Alloy Products Ltd</t>
        </is>
      </c>
      <c r="E79" s="31" t="inlineStr">
        <is>
          <t>unknown</t>
        </is>
      </c>
      <c r="F79" s="31" t="inlineStr">
        <is>
          <t>Castings, Forgings &amp; Fastners</t>
        </is>
      </c>
      <c r="G79" s="31" t="inlineStr">
        <is>
          <t>smallcap</t>
        </is>
      </c>
      <c r="H79" s="32" t="n">
        <v>1106</v>
      </c>
      <c r="I79" s="32" t="n">
        <v>5600</v>
      </c>
      <c r="J79" s="32" t="n">
        <v>0.46</v>
      </c>
      <c r="K79" s="32" t="n">
        <v>0</v>
      </c>
      <c r="L79" s="31" t="inlineStr"/>
      <c r="M79" s="31" t="inlineStr"/>
      <c r="N79" s="32">
        <f>IF(M79="Underperforming",-5,IF(L79&gt;=95,15,IF(L79&gt;=90,10,IF(L79&gt;=80,5,0))))</f>
        <v/>
      </c>
      <c r="O79" s="32" t="inlineStr"/>
      <c r="P79" s="32" t="inlineStr"/>
      <c r="Q79" s="32" t="inlineStr"/>
      <c r="R79" s="31" t="inlineStr"/>
      <c r="S79" s="31" t="inlineStr"/>
      <c r="T79" s="32" t="inlineStr"/>
      <c r="U79" s="32" t="inlineStr"/>
      <c r="V79" s="32" t="inlineStr"/>
      <c r="W79" s="32" t="inlineStr"/>
      <c r="X79" s="31" t="n"/>
      <c r="Y79" s="31">
        <f>IF(X79="Growing Industry",10,IF(X79="Cyclical in an Upturn",5,0))</f>
        <v/>
      </c>
      <c r="Z79" s="31" t="n"/>
      <c r="AA79" s="31">
        <f>IF(Z79="Monopoly",10,IF(Z79="Oligopoly",5,IF(Z79="Duopoly that cooperate",10,IF(Z79="Duopoly that compete",5,IF(Z79="Too many players with High ROCE",5,0)))))</f>
        <v/>
      </c>
      <c r="AB79" s="31" t="n"/>
      <c r="AC79" s="31">
        <f>IF(AB79="No",5,0)</f>
        <v/>
      </c>
      <c r="AD79" s="31" t="n"/>
      <c r="AE79" s="31">
        <f>IF(AD79="Tailwind",10,0)</f>
        <v/>
      </c>
      <c r="AF79" s="31" t="n"/>
      <c r="AG79" s="31">
        <f>IF(AF79="Structural (10 Years Consistency)",10,IF(AF79="Shallow Cyclical (2 to 3 years growth)",5,0))</f>
        <v/>
      </c>
      <c r="AH79" s="31" t="n"/>
      <c r="AI79" s="31">
        <f>IF(AH79="Yes due to Product Mix change or Operating Leverage",10,IF(AH79="Yes, these are peak margins",-5,IF(AH79="No",5,0)))</f>
        <v/>
      </c>
      <c r="AJ79" s="31" t="n"/>
      <c r="AK79" s="31">
        <f>IF(AJ79="Stable",10,0)</f>
        <v/>
      </c>
      <c r="AL79" s="31" t="n"/>
      <c r="AM79" s="31">
        <f>IF(AL79="Yes",10,0)</f>
        <v/>
      </c>
      <c r="AN79" s="31" t="n"/>
      <c r="AO79" s="31">
        <f>IF(AN79="B2C",10,IF(AN79="B2B",5,0))</f>
        <v/>
      </c>
      <c r="AP79" s="31" t="n"/>
      <c r="AQ79" s="31">
        <f>IF(AP79="Yes",10,0)</f>
        <v/>
      </c>
      <c r="AR79" s="31" t="n"/>
      <c r="AS79" s="31">
        <f>IF(AR79="Fully Annuity",10,IF(AR79="Higher Annuity, Lower One Time",5,IF(AR79="Higher One Time, Lower Annuity",3,0)))</f>
        <v/>
      </c>
      <c r="AT79" s="31" t="n"/>
      <c r="AU79" s="31">
        <f>IF(AT79="Good",10,0)</f>
        <v/>
      </c>
      <c r="AV79" s="31" t="n"/>
      <c r="AW79" s="31">
        <f>IF(AV79="Yes for more than 2 years",10,IF(AV79="Yes only for next 1 to 2 years",5,0))</f>
        <v/>
      </c>
      <c r="AX79" s="31" t="n"/>
      <c r="AY79" s="31">
        <f>IF(AX79="Above 40",20,IF(AX79="20 to 40",10,IF(AX79="0 to 20",-5,0)))</f>
        <v/>
      </c>
      <c r="AZ79" s="31" t="n"/>
      <c r="BA79" s="31">
        <f>IF(AZ79="Between 50 to 75",10,IF(AZ79="Above 75",0,0))</f>
        <v/>
      </c>
      <c r="BB79" s="31" t="n"/>
      <c r="BC79" s="31">
        <f>IF(BB79="Stage 2",20,IF(BB79="Stage 1",0,IF(BB79="Stage 3",5,IF(BB79="Stage 4",-5,0))))</f>
        <v/>
      </c>
      <c r="BD79" s="31" t="n"/>
      <c r="BE79" s="31">
        <f>IF(BD79="Positive Trend",20,IF(BD79="Negative Trend",-10,0))</f>
        <v/>
      </c>
      <c r="BF79" s="31" t="n"/>
      <c r="BG79" s="31">
        <f>IF(BF79="Uptrend",10,IF(BF79="Sideways",5,0))</f>
        <v/>
      </c>
      <c r="BH79" s="31" t="n"/>
      <c r="BI79" s="31">
        <f>IF(BH79="Uptrend",10,IF(BH79="Sideways",5,0))</f>
        <v/>
      </c>
      <c r="BJ79" s="31" t="n"/>
      <c r="BK79" s="31">
        <f>IF(BJ79="Overhead supply in last 2 years in last 2 years",-5,IF(BJ79="Close to 52 week high or retracement",5,IF(BJ79="Blue sky scenario",10,IF(BJ79="Long term Downtrend",-10,0))))</f>
        <v/>
      </c>
      <c r="BL79" s="31" t="n"/>
      <c r="BM79" s="31">
        <f>IF(BL79="Yes",10,0)</f>
        <v/>
      </c>
      <c r="BN79" s="31" t="n"/>
      <c r="BO79" s="31">
        <f>IF(BN79="More than 20%",10,IF(BN79="Between 12 to 20%",5,IF(BN79="Less than 12%",0,0)))</f>
        <v/>
      </c>
      <c r="BP79" s="31" t="n"/>
      <c r="BQ79" s="31">
        <f>IF(BP79="No",10,0)</f>
        <v/>
      </c>
      <c r="BR79" s="31" t="n"/>
      <c r="BS79" s="31">
        <f>IF(BR79="NO",5,0)</f>
        <v/>
      </c>
      <c r="BT79" s="31" t="n"/>
      <c r="BU79" s="31">
        <f>IF(BT79="Above 2",0,IF(BT79="Between 1.5 to 2",5,IF(BT79="Less than 1.5",10,0)))</f>
        <v/>
      </c>
      <c r="BV79" s="31" t="n"/>
      <c r="BW79" s="31">
        <f>IF(BV79="Above 70%",10,IF(BV79="Between 50% to 70%",5,IF(BV79="Less than 50%",0,IF(BV79="Negative",-10,IF(BV79="Less than 50% and Borrowings are increasing",-5,0)))))</f>
        <v/>
      </c>
      <c r="BX79" s="31" t="n"/>
      <c r="BY79" s="31">
        <f>IF(BX79="More than 1.2",-10,IF(BX79="Between 0.7 to 1.2",0,IF(BX79="Less than 0.7",10,0)))</f>
        <v/>
      </c>
      <c r="BZ79" s="31" t="n"/>
      <c r="CA79" s="31">
        <f>IF(BZ79="Yes",-10,0)</f>
        <v/>
      </c>
      <c r="CB79" s="31" t="n"/>
      <c r="CC79" s="31">
        <f>IF(CB79="More than 15%",-10,IF(CB79="Less than 15%",10,0))</f>
        <v/>
      </c>
      <c r="CD79" s="31" t="n"/>
      <c r="CE79" s="31">
        <f>IF(CD79="Yes, more than 10%",-10,IF(CD79="No",10,0))</f>
        <v/>
      </c>
      <c r="CF79" s="31" t="n"/>
      <c r="CG79" s="31">
        <f>IF(CF79&gt;20,10,IF(CF79&gt;=10,5,2))</f>
        <v/>
      </c>
    </row>
    <row r="80">
      <c r="A80" s="31">
        <f>IF(B80=0,"",RANK(B80,$B$2:$B$85,0))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JNKINDIA</t>
        </is>
      </c>
      <c r="D80" s="31" t="inlineStr">
        <is>
          <t>JNK India Ltd</t>
        </is>
      </c>
      <c r="E80" s="31" t="inlineStr">
        <is>
          <t>realty</t>
        </is>
      </c>
      <c r="F80" s="31" t="inlineStr">
        <is>
          <t>Capital Goods - Engineering Heavy</t>
        </is>
      </c>
      <c r="G80" s="31" t="inlineStr">
        <is>
          <t>smallcap</t>
        </is>
      </c>
      <c r="H80" s="32" t="n">
        <v>2836.02</v>
      </c>
      <c r="I80" s="32" t="n">
        <v>506.85</v>
      </c>
      <c r="J80" s="32" t="n">
        <v>-0.51</v>
      </c>
      <c r="K80" s="32" t="n">
        <v>0</v>
      </c>
      <c r="L80" s="31" t="inlineStr"/>
      <c r="M80" s="31" t="inlineStr"/>
      <c r="N80" s="32">
        <f>IF(M80="Underperforming",-5,IF(L80&gt;=95,15,IF(L80&gt;=90,10,IF(L80&gt;=80,5,0))))</f>
        <v/>
      </c>
      <c r="O80" s="32" t="inlineStr"/>
      <c r="P80" s="32" t="inlineStr"/>
      <c r="Q80" s="32" t="inlineStr"/>
      <c r="R80" s="31" t="inlineStr"/>
      <c r="S80" s="31" t="inlineStr"/>
      <c r="T80" s="32" t="inlineStr"/>
      <c r="U80" s="32" t="inlineStr"/>
      <c r="V80" s="32" t="inlineStr"/>
      <c r="W80" s="32" t="inlineStr"/>
      <c r="X80" s="31" t="n"/>
      <c r="Y80" s="31">
        <f>IF(X80="Growing Industry",10,IF(X80="Cyclical in an Upturn",5,0))</f>
        <v/>
      </c>
      <c r="Z80" s="31" t="n"/>
      <c r="AA80" s="31">
        <f>IF(Z80="Monopoly",10,IF(Z80="Oligopoly",5,IF(Z80="Duopoly that cooperate",10,IF(Z80="Duopoly that compete",5,IF(Z80="Too many players with High ROCE",5,0)))))</f>
        <v/>
      </c>
      <c r="AB80" s="31" t="n"/>
      <c r="AC80" s="31">
        <f>IF(AB80="No",5,0)</f>
        <v/>
      </c>
      <c r="AD80" s="31" t="n"/>
      <c r="AE80" s="31">
        <f>IF(AD80="Tailwind",10,0)</f>
        <v/>
      </c>
      <c r="AF80" s="31" t="n"/>
      <c r="AG80" s="31">
        <f>IF(AF80="Structural (10 Years Consistency)",10,IF(AF80="Shallow Cyclical (2 to 3 years growth)",5,0))</f>
        <v/>
      </c>
      <c r="AH80" s="31" t="n"/>
      <c r="AI80" s="31">
        <f>IF(AH80="Yes due to Product Mix change or Operating Leverage",10,IF(AH80="Yes, these are peak margins",-5,IF(AH80="No",5,0)))</f>
        <v/>
      </c>
      <c r="AJ80" s="31" t="n"/>
      <c r="AK80" s="31">
        <f>IF(AJ80="Stable",10,0)</f>
        <v/>
      </c>
      <c r="AL80" s="31" t="n"/>
      <c r="AM80" s="31">
        <f>IF(AL80="Yes",10,0)</f>
        <v/>
      </c>
      <c r="AN80" s="31" t="n"/>
      <c r="AO80" s="31">
        <f>IF(AN80="B2C",10,IF(AN80="B2B",5,0))</f>
        <v/>
      </c>
      <c r="AP80" s="31" t="n"/>
      <c r="AQ80" s="31">
        <f>IF(AP80="Yes",10,0)</f>
        <v/>
      </c>
      <c r="AR80" s="31" t="n"/>
      <c r="AS80" s="31">
        <f>IF(AR80="Fully Annuity",10,IF(AR80="Higher Annuity, Lower One Time",5,IF(AR80="Higher One Time, Lower Annuity",3,0)))</f>
        <v/>
      </c>
      <c r="AT80" s="31" t="n"/>
      <c r="AU80" s="31">
        <f>IF(AT80="Good",10,0)</f>
        <v/>
      </c>
      <c r="AV80" s="31" t="n"/>
      <c r="AW80" s="31">
        <f>IF(AV80="Yes for more than 2 years",10,IF(AV80="Yes only for next 1 to 2 years",5,0))</f>
        <v/>
      </c>
      <c r="AX80" s="31" t="n"/>
      <c r="AY80" s="31">
        <f>IF(AX80="Above 40",20,IF(AX80="20 to 40",10,IF(AX80="0 to 20",-5,0)))</f>
        <v/>
      </c>
      <c r="AZ80" s="31" t="n"/>
      <c r="BA80" s="31">
        <f>IF(AZ80="Between 50 to 75",10,IF(AZ80="Above 75",0,0))</f>
        <v/>
      </c>
      <c r="BB80" s="31" t="n"/>
      <c r="BC80" s="31">
        <f>IF(BB80="Stage 2",20,IF(BB80="Stage 1",0,IF(BB80="Stage 3",5,IF(BB80="Stage 4",-5,0))))</f>
        <v/>
      </c>
      <c r="BD80" s="31" t="n"/>
      <c r="BE80" s="31">
        <f>IF(BD80="Positive Trend",20,IF(BD80="Negative Trend",-10,0))</f>
        <v/>
      </c>
      <c r="BF80" s="31" t="n"/>
      <c r="BG80" s="31">
        <f>IF(BF80="Uptrend",10,IF(BF80="Sideways",5,0))</f>
        <v/>
      </c>
      <c r="BH80" s="31" t="n"/>
      <c r="BI80" s="31">
        <f>IF(BH80="Uptrend",10,IF(BH80="Sideways",5,0))</f>
        <v/>
      </c>
      <c r="BJ80" s="31" t="n"/>
      <c r="BK80" s="31">
        <f>IF(BJ80="Overhead supply in last 2 years in last 2 years",-5,IF(BJ80="Close to 52 week high or retracement",5,IF(BJ80="Blue sky scenario",10,IF(BJ80="Long term Downtrend",-10,0))))</f>
        <v/>
      </c>
      <c r="BL80" s="31" t="n"/>
      <c r="BM80" s="31">
        <f>IF(BL80="Yes",10,0)</f>
        <v/>
      </c>
      <c r="BN80" s="31" t="n"/>
      <c r="BO80" s="31">
        <f>IF(BN80="More than 20%",10,IF(BN80="Between 12 to 20%",5,IF(BN80="Less than 12%",0,0)))</f>
        <v/>
      </c>
      <c r="BP80" s="31" t="n"/>
      <c r="BQ80" s="31">
        <f>IF(BP80="No",10,0)</f>
        <v/>
      </c>
      <c r="BR80" s="31" t="n"/>
      <c r="BS80" s="31">
        <f>IF(BR80="NO",5,0)</f>
        <v/>
      </c>
      <c r="BT80" s="31" t="n"/>
      <c r="BU80" s="31">
        <f>IF(BT80="Above 2",0,IF(BT80="Between 1.5 to 2",5,IF(BT80="Less than 1.5",10,0)))</f>
        <v/>
      </c>
      <c r="BV80" s="31" t="n"/>
      <c r="BW80" s="31">
        <f>IF(BV80="Above 70%",10,IF(BV80="Between 50% to 70%",5,IF(BV80="Less than 50%",0,IF(BV80="Negative",-10,IF(BV80="Less than 50% and Borrowings are increasing",-5,0)))))</f>
        <v/>
      </c>
      <c r="BX80" s="31" t="n"/>
      <c r="BY80" s="31">
        <f>IF(BX80="More than 1.2",-10,IF(BX80="Between 0.7 to 1.2",0,IF(BX80="Less than 0.7",10,0)))</f>
        <v/>
      </c>
      <c r="BZ80" s="31" t="n"/>
      <c r="CA80" s="31">
        <f>IF(BZ80="Yes",-10,0)</f>
        <v/>
      </c>
      <c r="CB80" s="31" t="n"/>
      <c r="CC80" s="31">
        <f>IF(CB80="More than 15%",-10,IF(CB80="Less than 15%",10,0))</f>
        <v/>
      </c>
      <c r="CD80" s="31" t="n"/>
      <c r="CE80" s="31">
        <f>IF(CD80="Yes, more than 10%",-10,IF(CD80="No",10,0))</f>
        <v/>
      </c>
      <c r="CF80" s="31" t="n"/>
      <c r="CG80" s="31">
        <f>IF(CF80&gt;20,10,IF(CF80&gt;=10,5,2))</f>
        <v/>
      </c>
    </row>
    <row r="81">
      <c r="A81" s="31">
        <f>IF(B81=0,"",RANK(B81,$B$2:$B$85,0))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UTSSAV</t>
        </is>
      </c>
      <c r="D81" s="31" t="inlineStr">
        <is>
          <t>Utssav CZ Gold Jewels Ltd</t>
        </is>
      </c>
      <c r="E81" s="31" t="inlineStr">
        <is>
          <t>unknown</t>
        </is>
      </c>
      <c r="F81" s="31" t="inlineStr">
        <is>
          <t>Diamond, Gems &amp; Jewellery</t>
        </is>
      </c>
      <c r="G81" s="31" t="inlineStr">
        <is>
          <t>smallcap</t>
        </is>
      </c>
      <c r="H81" s="32" t="n">
        <v>1152.46</v>
      </c>
      <c r="I81" s="32" t="n">
        <v>477.25</v>
      </c>
      <c r="J81" s="32" t="n">
        <v>4.99</v>
      </c>
      <c r="K81" s="32" t="n">
        <v>0</v>
      </c>
      <c r="L81" s="31" t="inlineStr"/>
      <c r="M81" s="31" t="inlineStr"/>
      <c r="N81" s="32">
        <f>IF(M81="Underperforming",-5,IF(L81&gt;=95,15,IF(L81&gt;=90,10,IF(L81&gt;=80,5,0))))</f>
        <v/>
      </c>
      <c r="O81" s="32" t="inlineStr"/>
      <c r="P81" s="32" t="inlineStr"/>
      <c r="Q81" s="32" t="inlineStr"/>
      <c r="R81" s="31" t="inlineStr"/>
      <c r="S81" s="31" t="inlineStr"/>
      <c r="T81" s="32" t="inlineStr"/>
      <c r="U81" s="32" t="inlineStr"/>
      <c r="V81" s="32" t="inlineStr"/>
      <c r="W81" s="32" t="inlineStr"/>
      <c r="X81" s="31" t="n"/>
      <c r="Y81" s="31">
        <f>IF(X81="Growing Industry",10,IF(X81="Cyclical in an Upturn",5,0))</f>
        <v/>
      </c>
      <c r="Z81" s="31" t="n"/>
      <c r="AA81" s="31">
        <f>IF(Z81="Monopoly",10,IF(Z81="Oligopoly",5,IF(Z81="Duopoly that cooperate",10,IF(Z81="Duopoly that compete",5,IF(Z81="Too many players with High ROCE",5,0)))))</f>
        <v/>
      </c>
      <c r="AB81" s="31" t="n"/>
      <c r="AC81" s="31">
        <f>IF(AB81="No",5,0)</f>
        <v/>
      </c>
      <c r="AD81" s="31" t="n"/>
      <c r="AE81" s="31">
        <f>IF(AD81="Tailwind",10,0)</f>
        <v/>
      </c>
      <c r="AF81" s="31" t="n"/>
      <c r="AG81" s="31">
        <f>IF(AF81="Structural (10 Years Consistency)",10,IF(AF81="Shallow Cyclical (2 to 3 years growth)",5,0))</f>
        <v/>
      </c>
      <c r="AH81" s="31" t="n"/>
      <c r="AI81" s="31">
        <f>IF(AH81="Yes due to Product Mix change or Operating Leverage",10,IF(AH81="Yes, these are peak margins",-5,IF(AH81="No",5,0)))</f>
        <v/>
      </c>
      <c r="AJ81" s="31" t="n"/>
      <c r="AK81" s="31">
        <f>IF(AJ81="Stable",10,0)</f>
        <v/>
      </c>
      <c r="AL81" s="31" t="n"/>
      <c r="AM81" s="31">
        <f>IF(AL81="Yes",10,0)</f>
        <v/>
      </c>
      <c r="AN81" s="31" t="n"/>
      <c r="AO81" s="31">
        <f>IF(AN81="B2C",10,IF(AN81="B2B",5,0))</f>
        <v/>
      </c>
      <c r="AP81" s="31" t="n"/>
      <c r="AQ81" s="31">
        <f>IF(AP81="Yes",10,0)</f>
        <v/>
      </c>
      <c r="AR81" s="31" t="n"/>
      <c r="AS81" s="31">
        <f>IF(AR81="Fully Annuity",10,IF(AR81="Higher Annuity, Lower One Time",5,IF(AR81="Higher One Time, Lower Annuity",3,0)))</f>
        <v/>
      </c>
      <c r="AT81" s="31" t="n"/>
      <c r="AU81" s="31">
        <f>IF(AT81="Good",10,0)</f>
        <v/>
      </c>
      <c r="AV81" s="31" t="n"/>
      <c r="AW81" s="31">
        <f>IF(AV81="Yes for more than 2 years",10,IF(AV81="Yes only for next 1 to 2 years",5,0))</f>
        <v/>
      </c>
      <c r="AX81" s="31" t="n"/>
      <c r="AY81" s="31">
        <f>IF(AX81="Above 40",20,IF(AX81="20 to 40",10,IF(AX81="0 to 20",-5,0)))</f>
        <v/>
      </c>
      <c r="AZ81" s="31" t="n"/>
      <c r="BA81" s="31">
        <f>IF(AZ81="Between 50 to 75",10,IF(AZ81="Above 75",0,0))</f>
        <v/>
      </c>
      <c r="BB81" s="31" t="n"/>
      <c r="BC81" s="31">
        <f>IF(BB81="Stage 2",20,IF(BB81="Stage 1",0,IF(BB81="Stage 3",5,IF(BB81="Stage 4",-5,0))))</f>
        <v/>
      </c>
      <c r="BD81" s="31" t="n"/>
      <c r="BE81" s="31">
        <f>IF(BD81="Positive Trend",20,IF(BD81="Negative Trend",-10,0))</f>
        <v/>
      </c>
      <c r="BF81" s="31" t="n"/>
      <c r="BG81" s="31">
        <f>IF(BF81="Uptrend",10,IF(BF81="Sideways",5,0))</f>
        <v/>
      </c>
      <c r="BH81" s="31" t="n"/>
      <c r="BI81" s="31">
        <f>IF(BH81="Uptrend",10,IF(BH81="Sideways",5,0))</f>
        <v/>
      </c>
      <c r="BJ81" s="31" t="n"/>
      <c r="BK81" s="31">
        <f>IF(BJ81="Overhead supply in last 2 years in last 2 years",-5,IF(BJ81="Close to 52 week high or retracement",5,IF(BJ81="Blue sky scenario",10,IF(BJ81="Long term Downtrend",-10,0))))</f>
        <v/>
      </c>
      <c r="BL81" s="31" t="n"/>
      <c r="BM81" s="31">
        <f>IF(BL81="Yes",10,0)</f>
        <v/>
      </c>
      <c r="BN81" s="31" t="n"/>
      <c r="BO81" s="31">
        <f>IF(BN81="More than 20%",10,IF(BN81="Between 12 to 20%",5,IF(BN81="Less than 12%",0,0)))</f>
        <v/>
      </c>
      <c r="BP81" s="31" t="n"/>
      <c r="BQ81" s="31">
        <f>IF(BP81="No",10,0)</f>
        <v/>
      </c>
      <c r="BR81" s="31" t="n"/>
      <c r="BS81" s="31">
        <f>IF(BR81="NO",5,0)</f>
        <v/>
      </c>
      <c r="BT81" s="31" t="n"/>
      <c r="BU81" s="31">
        <f>IF(BT81="Above 2",0,IF(BT81="Between 1.5 to 2",5,IF(BT81="Less than 1.5",10,0)))</f>
        <v/>
      </c>
      <c r="BV81" s="31" t="n"/>
      <c r="BW81" s="31">
        <f>IF(BV81="Above 70%",10,IF(BV81="Between 50% to 70%",5,IF(BV81="Less than 50%",0,IF(BV81="Negative",-10,IF(BV81="Less than 50% and Borrowings are increasing",-5,0)))))</f>
        <v/>
      </c>
      <c r="BX81" s="31" t="n"/>
      <c r="BY81" s="31">
        <f>IF(BX81="More than 1.2",-10,IF(BX81="Between 0.7 to 1.2",0,IF(BX81="Less than 0.7",10,0)))</f>
        <v/>
      </c>
      <c r="BZ81" s="31" t="n"/>
      <c r="CA81" s="31">
        <f>IF(BZ81="Yes",-10,0)</f>
        <v/>
      </c>
      <c r="CB81" s="31" t="n"/>
      <c r="CC81" s="31">
        <f>IF(CB81="More than 15%",-10,IF(CB81="Less than 15%",10,0))</f>
        <v/>
      </c>
      <c r="CD81" s="31" t="n"/>
      <c r="CE81" s="31">
        <f>IF(CD81="Yes, more than 10%",-10,IF(CD81="No",10,0))</f>
        <v/>
      </c>
      <c r="CF81" s="31" t="n"/>
      <c r="CG81" s="31">
        <f>IF(CF81&gt;20,10,IF(CF81&gt;=10,5,2))</f>
        <v/>
      </c>
    </row>
    <row r="82">
      <c r="A82" s="31">
        <f>IF(B82=0,"",RANK(B82,$B$2:$B$85,0))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GHCLTEXTIL</t>
        </is>
      </c>
      <c r="D82" s="31" t="inlineStr">
        <is>
          <t>GHCL Textiles Ltd</t>
        </is>
      </c>
      <c r="E82" s="31" t="inlineStr">
        <is>
          <t>textiles</t>
        </is>
      </c>
      <c r="F82" s="31" t="inlineStr">
        <is>
          <t>Textiles - General</t>
        </is>
      </c>
      <c r="G82" s="31" t="inlineStr">
        <is>
          <t>smallcap</t>
        </is>
      </c>
      <c r="H82" s="32" t="n">
        <v>1041.89</v>
      </c>
      <c r="I82" s="32" t="n">
        <v>109</v>
      </c>
      <c r="J82" s="32" t="n">
        <v>1.2</v>
      </c>
      <c r="K82" s="32" t="n">
        <v>0</v>
      </c>
      <c r="L82" s="31" t="inlineStr"/>
      <c r="M82" s="31" t="inlineStr"/>
      <c r="N82" s="32">
        <f>IF(M82="Underperforming",-5,IF(L82&gt;=95,15,IF(L82&gt;=90,10,IF(L82&gt;=80,5,0))))</f>
        <v/>
      </c>
      <c r="O82" s="32" t="inlineStr"/>
      <c r="P82" s="32" t="inlineStr"/>
      <c r="Q82" s="32" t="inlineStr"/>
      <c r="R82" s="31" t="inlineStr"/>
      <c r="S82" s="31" t="inlineStr"/>
      <c r="T82" s="32" t="inlineStr"/>
      <c r="U82" s="32" t="inlineStr"/>
      <c r="V82" s="32" t="inlineStr"/>
      <c r="W82" s="32" t="inlineStr"/>
      <c r="X82" s="31" t="n"/>
      <c r="Y82" s="31">
        <f>IF(X82="Growing Industry",10,IF(X82="Cyclical in an Upturn",5,0))</f>
        <v/>
      </c>
      <c r="Z82" s="31" t="n"/>
      <c r="AA82" s="31">
        <f>IF(Z82="Monopoly",10,IF(Z82="Oligopoly",5,IF(Z82="Duopoly that cooperate",10,IF(Z82="Duopoly that compete",5,IF(Z82="Too many players with High ROCE",5,0)))))</f>
        <v/>
      </c>
      <c r="AB82" s="31" t="n"/>
      <c r="AC82" s="31">
        <f>IF(AB82="No",5,0)</f>
        <v/>
      </c>
      <c r="AD82" s="31" t="n"/>
      <c r="AE82" s="31">
        <f>IF(AD82="Tailwind",10,0)</f>
        <v/>
      </c>
      <c r="AF82" s="31" t="n"/>
      <c r="AG82" s="31">
        <f>IF(AF82="Structural (10 Years Consistency)",10,IF(AF82="Shallow Cyclical (2 to 3 years growth)",5,0))</f>
        <v/>
      </c>
      <c r="AH82" s="31" t="n"/>
      <c r="AI82" s="31">
        <f>IF(AH82="Yes due to Product Mix change or Operating Leverage",10,IF(AH82="Yes, these are peak margins",-5,IF(AH82="No",5,0)))</f>
        <v/>
      </c>
      <c r="AJ82" s="31" t="n"/>
      <c r="AK82" s="31">
        <f>IF(AJ82="Stable",10,0)</f>
        <v/>
      </c>
      <c r="AL82" s="31" t="n"/>
      <c r="AM82" s="31">
        <f>IF(AL82="Yes",10,0)</f>
        <v/>
      </c>
      <c r="AN82" s="31" t="n"/>
      <c r="AO82" s="31">
        <f>IF(AN82="B2C",10,IF(AN82="B2B",5,0))</f>
        <v/>
      </c>
      <c r="AP82" s="31" t="n"/>
      <c r="AQ82" s="31">
        <f>IF(AP82="Yes",10,0)</f>
        <v/>
      </c>
      <c r="AR82" s="31" t="n"/>
      <c r="AS82" s="31">
        <f>IF(AR82="Fully Annuity",10,IF(AR82="Higher Annuity, Lower One Time",5,IF(AR82="Higher One Time, Lower Annuity",3,0)))</f>
        <v/>
      </c>
      <c r="AT82" s="31" t="n"/>
      <c r="AU82" s="31">
        <f>IF(AT82="Good",10,0)</f>
        <v/>
      </c>
      <c r="AV82" s="31" t="n"/>
      <c r="AW82" s="31">
        <f>IF(AV82="Yes for more than 2 years",10,IF(AV82="Yes only for next 1 to 2 years",5,0))</f>
        <v/>
      </c>
      <c r="AX82" s="31" t="n"/>
      <c r="AY82" s="31">
        <f>IF(AX82="Above 40",20,IF(AX82="20 to 40",10,IF(AX82="0 to 20",-5,0)))</f>
        <v/>
      </c>
      <c r="AZ82" s="31" t="n"/>
      <c r="BA82" s="31">
        <f>IF(AZ82="Between 50 to 75",10,IF(AZ82="Above 75",0,0))</f>
        <v/>
      </c>
      <c r="BB82" s="31" t="n"/>
      <c r="BC82" s="31">
        <f>IF(BB82="Stage 2",20,IF(BB82="Stage 1",0,IF(BB82="Stage 3",5,IF(BB82="Stage 4",-5,0))))</f>
        <v/>
      </c>
      <c r="BD82" s="31" t="n"/>
      <c r="BE82" s="31">
        <f>IF(BD82="Positive Trend",20,IF(BD82="Negative Trend",-10,0))</f>
        <v/>
      </c>
      <c r="BF82" s="31" t="n"/>
      <c r="BG82" s="31">
        <f>IF(BF82="Uptrend",10,IF(BF82="Sideways",5,0))</f>
        <v/>
      </c>
      <c r="BH82" s="31" t="n"/>
      <c r="BI82" s="31">
        <f>IF(BH82="Uptrend",10,IF(BH82="Sideways",5,0))</f>
        <v/>
      </c>
      <c r="BJ82" s="31" t="n"/>
      <c r="BK82" s="31">
        <f>IF(BJ82="Overhead supply in last 2 years in last 2 years",-5,IF(BJ82="Close to 52 week high or retracement",5,IF(BJ82="Blue sky scenario",10,IF(BJ82="Long term Downtrend",-10,0))))</f>
        <v/>
      </c>
      <c r="BL82" s="31" t="n"/>
      <c r="BM82" s="31">
        <f>IF(BL82="Yes",10,0)</f>
        <v/>
      </c>
      <c r="BN82" s="31" t="n"/>
      <c r="BO82" s="31">
        <f>IF(BN82="More than 20%",10,IF(BN82="Between 12 to 20%",5,IF(BN82="Less than 12%",0,0)))</f>
        <v/>
      </c>
      <c r="BP82" s="31" t="n"/>
      <c r="BQ82" s="31">
        <f>IF(BP82="No",10,0)</f>
        <v/>
      </c>
      <c r="BR82" s="31" t="n"/>
      <c r="BS82" s="31">
        <f>IF(BR82="NO",5,0)</f>
        <v/>
      </c>
      <c r="BT82" s="31" t="n"/>
      <c r="BU82" s="31">
        <f>IF(BT82="Above 2",0,IF(BT82="Between 1.5 to 2",5,IF(BT82="Less than 1.5",10,0)))</f>
        <v/>
      </c>
      <c r="BV82" s="31" t="n"/>
      <c r="BW82" s="31">
        <f>IF(BV82="Above 70%",10,IF(BV82="Between 50% to 70%",5,IF(BV82="Less than 50%",0,IF(BV82="Negative",-10,IF(BV82="Less than 50% and Borrowings are increasing",-5,0)))))</f>
        <v/>
      </c>
      <c r="BX82" s="31" t="n"/>
      <c r="BY82" s="31">
        <f>IF(BX82="More than 1.2",-10,IF(BX82="Between 0.7 to 1.2",0,IF(BX82="Less than 0.7",10,0)))</f>
        <v/>
      </c>
      <c r="BZ82" s="31" t="n"/>
      <c r="CA82" s="31">
        <f>IF(BZ82="Yes",-10,0)</f>
        <v/>
      </c>
      <c r="CB82" s="31" t="n"/>
      <c r="CC82" s="31">
        <f>IF(CB82="More than 15%",-10,IF(CB82="Less than 15%",10,0))</f>
        <v/>
      </c>
      <c r="CD82" s="31" t="n"/>
      <c r="CE82" s="31">
        <f>IF(CD82="Yes, more than 10%",-10,IF(CD82="No",10,0))</f>
        <v/>
      </c>
      <c r="CF82" s="31" t="n"/>
      <c r="CG82" s="31">
        <f>IF(CF82&gt;20,10,IF(CF82&gt;=10,5,2))</f>
        <v/>
      </c>
    </row>
    <row r="83">
      <c r="A83" s="31">
        <f>IF(B83=0,"",RANK(B83,$B$2:$B$85,0))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HFCL</t>
        </is>
      </c>
      <c r="D83" s="31" t="inlineStr">
        <is>
          <t>HFCL Ltd</t>
        </is>
      </c>
      <c r="E83" s="31" t="inlineStr">
        <is>
          <t>telecom</t>
        </is>
      </c>
      <c r="F83" s="31" t="inlineStr">
        <is>
          <t>Telecom Services</t>
        </is>
      </c>
      <c r="G83" s="31" t="inlineStr">
        <is>
          <t>largecap</t>
        </is>
      </c>
      <c r="H83" s="32" t="n">
        <v>33045.71</v>
      </c>
      <c r="I83" s="32" t="n">
        <v>215.9</v>
      </c>
      <c r="J83" s="32" t="n">
        <v>0.57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inlineStr"/>
      <c r="P83" s="32" t="inlineStr"/>
      <c r="Q83" s="32" t="inlineStr"/>
      <c r="R83" s="31" t="inlineStr"/>
      <c r="S83" s="31" t="inlineStr"/>
      <c r="T83" s="32" t="inlineStr"/>
      <c r="U83" s="32" t="inlineStr"/>
      <c r="V83" s="32" t="inlineStr"/>
      <c r="W83" s="32" t="inlineStr"/>
      <c r="X83" s="31" t="n"/>
      <c r="Y83" s="31">
        <f>IF(X83="Growing Industry",10,IF(X83="Cyclical in an Upturn",5,0))</f>
        <v/>
      </c>
      <c r="Z83" s="31" t="n"/>
      <c r="AA83" s="31">
        <f>IF(Z83="Monopoly",10,IF(Z83="Oligopoly",5,IF(Z83="Duopoly that cooperate",10,IF(Z83="Duopoly that compete",5,IF(Z83="Too many players with High ROCE",5,0)))))</f>
        <v/>
      </c>
      <c r="AB83" s="31" t="n"/>
      <c r="AC83" s="31">
        <f>IF(AB83="No",5,0)</f>
        <v/>
      </c>
      <c r="AD83" s="31" t="n"/>
      <c r="AE83" s="31">
        <f>IF(AD83="Tailwind",10,0)</f>
        <v/>
      </c>
      <c r="AF83" s="31" t="n"/>
      <c r="AG83" s="31">
        <f>IF(AF83="Structural (10 Years Consistency)",10,IF(AF83="Shallow Cyclical (2 to 3 years growth)",5,0))</f>
        <v/>
      </c>
      <c r="AH83" s="31" t="n"/>
      <c r="AI83" s="31">
        <f>IF(AH83="Yes due to Product Mix change or Operating Leverage",10,IF(AH83="Yes, these are peak margins",-5,IF(AH83="No",5,0)))</f>
        <v/>
      </c>
      <c r="AJ83" s="31" t="n"/>
      <c r="AK83" s="31">
        <f>IF(AJ83="Stable",10,0)</f>
        <v/>
      </c>
      <c r="AL83" s="31" t="n"/>
      <c r="AM83" s="31">
        <f>IF(AL83="Yes",10,0)</f>
        <v/>
      </c>
      <c r="AN83" s="31" t="n"/>
      <c r="AO83" s="31">
        <f>IF(AN83="B2C",10,IF(AN83="B2B",5,0))</f>
        <v/>
      </c>
      <c r="AP83" s="31" t="n"/>
      <c r="AQ83" s="31">
        <f>IF(AP83="Yes",10,0)</f>
        <v/>
      </c>
      <c r="AR83" s="31" t="n"/>
      <c r="AS83" s="31">
        <f>IF(AR83="Fully Annuity",10,IF(AR83="Higher Annuity, Lower One Time",5,IF(AR83="Higher One Time, Lower Annuity",3,0)))</f>
        <v/>
      </c>
      <c r="AT83" s="31" t="n"/>
      <c r="AU83" s="31">
        <f>IF(AT83="Good",10,0)</f>
        <v/>
      </c>
      <c r="AV83" s="31" t="n"/>
      <c r="AW83" s="31">
        <f>IF(AV83="Yes for more than 2 years",10,IF(AV83="Yes only for next 1 to 2 years",5,0))</f>
        <v/>
      </c>
      <c r="AX83" s="31" t="n"/>
      <c r="AY83" s="31">
        <f>IF(AX83="Above 40",20,IF(AX83="20 to 40",10,IF(AX83="0 to 20",-5,0)))</f>
        <v/>
      </c>
      <c r="AZ83" s="31" t="n"/>
      <c r="BA83" s="31">
        <f>IF(AZ83="Between 50 to 75",10,IF(AZ83="Above 75",0,0))</f>
        <v/>
      </c>
      <c r="BB83" s="31" t="n"/>
      <c r="BC83" s="31">
        <f>IF(BB83="Stage 2",20,IF(BB83="Stage 1",0,IF(BB83="Stage 3",5,IF(BB83="Stage 4",-5,0))))</f>
        <v/>
      </c>
      <c r="BD83" s="31" t="n"/>
      <c r="BE83" s="31">
        <f>IF(BD83="Positive Trend",20,IF(BD83="Negative Trend",-10,0))</f>
        <v/>
      </c>
      <c r="BF83" s="31" t="n"/>
      <c r="BG83" s="31">
        <f>IF(BF83="Uptrend",10,IF(BF83="Sideways",5,0))</f>
        <v/>
      </c>
      <c r="BH83" s="31" t="n"/>
      <c r="BI83" s="31">
        <f>IF(BH83="Uptrend",10,IF(BH83="Sideways",5,0))</f>
        <v/>
      </c>
      <c r="BJ83" s="31" t="n"/>
      <c r="BK83" s="31">
        <f>IF(BJ83="Overhead supply in last 2 years in last 2 years",-5,IF(BJ83="Close to 52 week high or retracement",5,IF(BJ83="Blue sky scenario",10,IF(BJ83="Long term Downtrend",-10,0))))</f>
        <v/>
      </c>
      <c r="BL83" s="31" t="n"/>
      <c r="BM83" s="31">
        <f>IF(BL83="Yes",10,0)</f>
        <v/>
      </c>
      <c r="BN83" s="31" t="n"/>
      <c r="BO83" s="31">
        <f>IF(BN83="More than 20%",10,IF(BN83="Between 12 to 20%",5,IF(BN83="Less than 12%",0,0)))</f>
        <v/>
      </c>
      <c r="BP83" s="31" t="n"/>
      <c r="BQ83" s="31">
        <f>IF(BP83="No",10,0)</f>
        <v/>
      </c>
      <c r="BR83" s="31" t="n"/>
      <c r="BS83" s="31">
        <f>IF(BR83="NO",5,0)</f>
        <v/>
      </c>
      <c r="BT83" s="31" t="n"/>
      <c r="BU83" s="31">
        <f>IF(BT83="Above 2",0,IF(BT83="Between 1.5 to 2",5,IF(BT83="Less than 1.5",10,0)))</f>
        <v/>
      </c>
      <c r="BV83" s="31" t="n"/>
      <c r="BW83" s="31">
        <f>IF(BV83="Above 70%",10,IF(BV83="Between 50% to 70%",5,IF(BV83="Less than 50%",0,IF(BV83="Negative",-10,IF(BV83="Less than 50% and Borrowings are increasing",-5,0)))))</f>
        <v/>
      </c>
      <c r="BX83" s="31" t="n"/>
      <c r="BY83" s="31">
        <f>IF(BX83="More than 1.2",-10,IF(BX83="Between 0.7 to 1.2",0,IF(BX83="Less than 0.7",10,0)))</f>
        <v/>
      </c>
      <c r="BZ83" s="31" t="n"/>
      <c r="CA83" s="31">
        <f>IF(BZ83="Yes",-10,0)</f>
        <v/>
      </c>
      <c r="CB83" s="31" t="n"/>
      <c r="CC83" s="31">
        <f>IF(CB83="More than 15%",-10,IF(CB83="Less than 15%",10,0))</f>
        <v/>
      </c>
      <c r="CD83" s="31" t="n"/>
      <c r="CE83" s="31">
        <f>IF(CD83="Yes, more than 10%",-10,IF(CD83="No",10,0))</f>
        <v/>
      </c>
      <c r="CF83" s="31" t="n"/>
      <c r="CG83" s="31">
        <f>IF(CF83&gt;20,10,IF(CF83&gt;=10,5,2))</f>
        <v/>
      </c>
    </row>
    <row r="84">
      <c r="A84" s="31">
        <f>IF(B84=0,"",RANK(B84,$B$2:$B$85,0))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BHAGYANGR</t>
        </is>
      </c>
      <c r="D84" s="31" t="inlineStr">
        <is>
          <t>Bhagyanagar India Ltd</t>
        </is>
      </c>
      <c r="E84" s="31" t="inlineStr">
        <is>
          <t>power &amp; utilities</t>
        </is>
      </c>
      <c r="F84" s="31" t="inlineStr">
        <is>
          <t>Recycling</t>
        </is>
      </c>
      <c r="G84" s="31" t="inlineStr">
        <is>
          <t>smallcap</t>
        </is>
      </c>
      <c r="H84" s="32" t="n">
        <v>1228.13</v>
      </c>
      <c r="I84" s="32" t="n">
        <v>383.85</v>
      </c>
      <c r="J84" s="32" t="n">
        <v>2.65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inlineStr"/>
      <c r="P84" s="32" t="inlineStr"/>
      <c r="Q84" s="32" t="inlineStr"/>
      <c r="R84" s="31" t="inlineStr"/>
      <c r="S84" s="31" t="inlineStr"/>
      <c r="T84" s="32" t="inlineStr"/>
      <c r="U84" s="32" t="inlineStr"/>
      <c r="V84" s="32" t="inlineStr"/>
      <c r="W84" s="32" t="inlineStr"/>
      <c r="X84" s="31" t="n"/>
      <c r="Y84" s="31">
        <f>IF(X84="Growing Industry",10,IF(X84="Cyclical in an Upturn",5,0))</f>
        <v/>
      </c>
      <c r="Z84" s="31" t="n"/>
      <c r="AA84" s="31">
        <f>IF(Z84="Monopoly",10,IF(Z84="Oligopoly",5,IF(Z84="Duopoly that cooperate",10,IF(Z84="Duopoly that compete",5,IF(Z84="Too many players with High ROCE",5,0)))))</f>
        <v/>
      </c>
      <c r="AB84" s="31" t="n"/>
      <c r="AC84" s="31">
        <f>IF(AB84="No",5,0)</f>
        <v/>
      </c>
      <c r="AD84" s="31" t="n"/>
      <c r="AE84" s="31">
        <f>IF(AD84="Tailwind",10,0)</f>
        <v/>
      </c>
      <c r="AF84" s="31" t="n"/>
      <c r="AG84" s="31">
        <f>IF(AF84="Structural (10 Years Consistency)",10,IF(AF84="Shallow Cyclical (2 to 3 years growth)",5,0))</f>
        <v/>
      </c>
      <c r="AH84" s="31" t="n"/>
      <c r="AI84" s="31">
        <f>IF(AH84="Yes due to Product Mix change or Operating Leverage",10,IF(AH84="Yes, these are peak margins",-5,IF(AH84="No",5,0)))</f>
        <v/>
      </c>
      <c r="AJ84" s="31" t="n"/>
      <c r="AK84" s="31">
        <f>IF(AJ84="Stable",10,0)</f>
        <v/>
      </c>
      <c r="AL84" s="31" t="n"/>
      <c r="AM84" s="31">
        <f>IF(AL84="Yes",10,0)</f>
        <v/>
      </c>
      <c r="AN84" s="31" t="n"/>
      <c r="AO84" s="31">
        <f>IF(AN84="B2C",10,IF(AN84="B2B",5,0))</f>
        <v/>
      </c>
      <c r="AP84" s="31" t="n"/>
      <c r="AQ84" s="31">
        <f>IF(AP84="Yes",10,0)</f>
        <v/>
      </c>
      <c r="AR84" s="31" t="n"/>
      <c r="AS84" s="31">
        <f>IF(AR84="Fully Annuity",10,IF(AR84="Higher Annuity, Lower One Time",5,IF(AR84="Higher One Time, Lower Annuity",3,0)))</f>
        <v/>
      </c>
      <c r="AT84" s="31" t="n"/>
      <c r="AU84" s="31">
        <f>IF(AT84="Good",10,0)</f>
        <v/>
      </c>
      <c r="AV84" s="31" t="n"/>
      <c r="AW84" s="31">
        <f>IF(AV84="Yes for more than 2 years",10,IF(AV84="Yes only for next 1 to 2 years",5,0))</f>
        <v/>
      </c>
      <c r="AX84" s="31" t="n"/>
      <c r="AY84" s="31">
        <f>IF(AX84="Above 40",20,IF(AX84="20 to 40",10,IF(AX84="0 to 20",-5,0)))</f>
        <v/>
      </c>
      <c r="AZ84" s="31" t="n"/>
      <c r="BA84" s="31">
        <f>IF(AZ84="Between 50 to 75",10,IF(AZ84="Above 75",0,0))</f>
        <v/>
      </c>
      <c r="BB84" s="31" t="n"/>
      <c r="BC84" s="31">
        <f>IF(BB84="Stage 2",20,IF(BB84="Stage 1",0,IF(BB84="Stage 3",5,IF(BB84="Stage 4",-5,0))))</f>
        <v/>
      </c>
      <c r="BD84" s="31" t="n"/>
      <c r="BE84" s="31">
        <f>IF(BD84="Positive Trend",20,IF(BD84="Negative Trend",-10,0))</f>
        <v/>
      </c>
      <c r="BF84" s="31" t="n"/>
      <c r="BG84" s="31">
        <f>IF(BF84="Uptrend",10,IF(BF84="Sideways",5,0))</f>
        <v/>
      </c>
      <c r="BH84" s="31" t="n"/>
      <c r="BI84" s="31">
        <f>IF(BH84="Uptrend",10,IF(BH84="Sideways",5,0))</f>
        <v/>
      </c>
      <c r="BJ84" s="31" t="n"/>
      <c r="BK84" s="31">
        <f>IF(BJ84="Overhead supply in last 2 years in last 2 years",-5,IF(BJ84="Close to 52 week high or retracement",5,IF(BJ84="Blue sky scenario",10,IF(BJ84="Long term Downtrend",-10,0))))</f>
        <v/>
      </c>
      <c r="BL84" s="31" t="n"/>
      <c r="BM84" s="31">
        <f>IF(BL84="Yes",10,0)</f>
        <v/>
      </c>
      <c r="BN84" s="31" t="n"/>
      <c r="BO84" s="31">
        <f>IF(BN84="More than 20%",10,IF(BN84="Between 12 to 20%",5,IF(BN84="Less than 12%",0,0)))</f>
        <v/>
      </c>
      <c r="BP84" s="31" t="n"/>
      <c r="BQ84" s="31">
        <f>IF(BP84="No",10,0)</f>
        <v/>
      </c>
      <c r="BR84" s="31" t="n"/>
      <c r="BS84" s="31">
        <f>IF(BR84="NO",5,0)</f>
        <v/>
      </c>
      <c r="BT84" s="31" t="n"/>
      <c r="BU84" s="31">
        <f>IF(BT84="Above 2",0,IF(BT84="Between 1.5 to 2",5,IF(BT84="Less than 1.5",10,0)))</f>
        <v/>
      </c>
      <c r="BV84" s="31" t="n"/>
      <c r="BW84" s="31">
        <f>IF(BV84="Above 70%",10,IF(BV84="Between 50% to 70%",5,IF(BV84="Less than 50%",0,IF(BV84="Negative",-10,IF(BV84="Less than 50% and Borrowings are increasing",-5,0)))))</f>
        <v/>
      </c>
      <c r="BX84" s="31" t="n"/>
      <c r="BY84" s="31">
        <f>IF(BX84="More than 1.2",-10,IF(BX84="Between 0.7 to 1.2",0,IF(BX84="Less than 0.7",10,0)))</f>
        <v/>
      </c>
      <c r="BZ84" s="31" t="n"/>
      <c r="CA84" s="31">
        <f>IF(BZ84="Yes",-10,0)</f>
        <v/>
      </c>
      <c r="CB84" s="31" t="n"/>
      <c r="CC84" s="31">
        <f>IF(CB84="More than 15%",-10,IF(CB84="Less than 15%",10,0))</f>
        <v/>
      </c>
      <c r="CD84" s="31" t="n"/>
      <c r="CE84" s="31">
        <f>IF(CD84="Yes, more than 10%",-10,IF(CD84="No",10,0))</f>
        <v/>
      </c>
      <c r="CF84" s="31" t="n"/>
      <c r="CG84" s="31">
        <f>IF(CF84&gt;20,10,IF(CF84&gt;=10,5,2))</f>
        <v/>
      </c>
    </row>
    <row r="85">
      <c r="A85" s="31">
        <f>IF(B85=0,"",RANK(B85,$B$2:$B$85,0))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OBSCP</t>
        </is>
      </c>
      <c r="D85" s="34" t="inlineStr">
        <is>
          <t>OBSC Perfection Ltd</t>
        </is>
      </c>
      <c r="E85" s="31" t="inlineStr">
        <is>
          <t>unknown</t>
        </is>
      </c>
      <c r="F85" s="31" t="inlineStr">
        <is>
          <t>Auto Ancillaries - Diversified</t>
        </is>
      </c>
      <c r="G85" s="31" t="inlineStr">
        <is>
          <t>smallcap</t>
        </is>
      </c>
      <c r="H85" s="32" t="n">
        <v>1712.27</v>
      </c>
      <c r="I85" s="32" t="n">
        <v>662.5</v>
      </c>
      <c r="J85" s="32" t="n">
        <v>12.45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inlineStr"/>
      <c r="P85" s="32" t="inlineStr"/>
      <c r="Q85" s="32" t="inlineStr"/>
      <c r="R85" s="31" t="inlineStr"/>
      <c r="S85" s="31" t="inlineStr"/>
      <c r="T85" s="32" t="inlineStr"/>
      <c r="U85" s="32" t="inlineStr"/>
      <c r="V85" s="32" t="inlineStr"/>
      <c r="W85" s="32" t="inlineStr"/>
      <c r="X85" s="31" t="n"/>
      <c r="Y85" s="31">
        <f>IF(X85="Growing Industry",10,IF(X85="Cyclical in an Upturn",5,0))</f>
        <v/>
      </c>
      <c r="Z85" s="31" t="n"/>
      <c r="AA85" s="31">
        <f>IF(Z85="Monopoly",10,IF(Z85="Oligopoly",5,IF(Z85="Duopoly that cooperate",10,IF(Z85="Duopoly that compete",5,IF(Z85="Too many players with High ROCE",5,0)))))</f>
        <v/>
      </c>
      <c r="AB85" s="31" t="n"/>
      <c r="AC85" s="31">
        <f>IF(AB85="No",5,0)</f>
        <v/>
      </c>
      <c r="AD85" s="31" t="n"/>
      <c r="AE85" s="31">
        <f>IF(AD85="Tailwind",10,0)</f>
        <v/>
      </c>
      <c r="AF85" s="31" t="n"/>
      <c r="AG85" s="31">
        <f>IF(AF85="Structural (10 Years Consistency)",10,IF(AF85="Shallow Cyclical (2 to 3 years growth)",5,0))</f>
        <v/>
      </c>
      <c r="AH85" s="31" t="n"/>
      <c r="AI85" s="31">
        <f>IF(AH85="Yes due to Product Mix change or Operating Leverage",10,IF(AH85="Yes, these are peak margins",-5,IF(AH85="No",5,0)))</f>
        <v/>
      </c>
      <c r="AJ85" s="31" t="n"/>
      <c r="AK85" s="31">
        <f>IF(AJ85="Stable",10,0)</f>
        <v/>
      </c>
      <c r="AL85" s="31" t="n"/>
      <c r="AM85" s="31">
        <f>IF(AL85="Yes",10,0)</f>
        <v/>
      </c>
      <c r="AN85" s="31" t="n"/>
      <c r="AO85" s="31">
        <f>IF(AN85="B2C",10,IF(AN85="B2B",5,0))</f>
        <v/>
      </c>
      <c r="AP85" s="31" t="n"/>
      <c r="AQ85" s="31">
        <f>IF(AP85="Yes",10,0)</f>
        <v/>
      </c>
      <c r="AR85" s="31" t="n"/>
      <c r="AS85" s="31">
        <f>IF(AR85="Fully Annuity",10,IF(AR85="Higher Annuity, Lower One Time",5,IF(AR85="Higher One Time, Lower Annuity",3,0)))</f>
        <v/>
      </c>
      <c r="AT85" s="31" t="n"/>
      <c r="AU85" s="31">
        <f>IF(AT85="Good",10,0)</f>
        <v/>
      </c>
      <c r="AV85" s="31" t="n"/>
      <c r="AW85" s="31">
        <f>IF(AV85="Yes for more than 2 years",10,IF(AV85="Yes only for next 1 to 2 years",5,0))</f>
        <v/>
      </c>
      <c r="AX85" s="31" t="n"/>
      <c r="AY85" s="31">
        <f>IF(AX85="Above 40",20,IF(AX85="20 to 40",10,IF(AX85="0 to 20",-5,0)))</f>
        <v/>
      </c>
      <c r="AZ85" s="31" t="n"/>
      <c r="BA85" s="31">
        <f>IF(AZ85="Between 50 to 75",10,IF(AZ85="Above 75",0,0))</f>
        <v/>
      </c>
      <c r="BB85" s="31" t="n"/>
      <c r="BC85" s="31">
        <f>IF(BB85="Stage 2",20,IF(BB85="Stage 1",0,IF(BB85="Stage 3",5,IF(BB85="Stage 4",-5,0))))</f>
        <v/>
      </c>
      <c r="BD85" s="31" t="n"/>
      <c r="BE85" s="31">
        <f>IF(BD85="Positive Trend",20,IF(BD85="Negative Trend",-10,0))</f>
        <v/>
      </c>
      <c r="BF85" s="31" t="n"/>
      <c r="BG85" s="31">
        <f>IF(BF85="Uptrend",10,IF(BF85="Sideways",5,0))</f>
        <v/>
      </c>
      <c r="BH85" s="31" t="n"/>
      <c r="BI85" s="31">
        <f>IF(BH85="Uptrend",10,IF(BH85="Sideways",5,0))</f>
        <v/>
      </c>
      <c r="BJ85" s="31" t="n"/>
      <c r="BK85" s="31">
        <f>IF(BJ85="Overhead supply in last 2 years in last 2 years",-5,IF(BJ85="Close to 52 week high or retracement",5,IF(BJ85="Blue sky scenario",10,IF(BJ85="Long term Downtrend",-10,0))))</f>
        <v/>
      </c>
      <c r="BL85" s="31" t="n"/>
      <c r="BM85" s="31">
        <f>IF(BL85="Yes",10,0)</f>
        <v/>
      </c>
      <c r="BN85" s="31" t="n"/>
      <c r="BO85" s="31">
        <f>IF(BN85="More than 20%",10,IF(BN85="Between 12 to 20%",5,IF(BN85="Less than 12%",0,0)))</f>
        <v/>
      </c>
      <c r="BP85" s="31" t="n"/>
      <c r="BQ85" s="31">
        <f>IF(BP85="No",10,0)</f>
        <v/>
      </c>
      <c r="BR85" s="31" t="n"/>
      <c r="BS85" s="31">
        <f>IF(BR85="NO",5,0)</f>
        <v/>
      </c>
      <c r="BT85" s="31" t="n"/>
      <c r="BU85" s="31">
        <f>IF(BT85="Above 2",0,IF(BT85="Between 1.5 to 2",5,IF(BT85="Less than 1.5",10,0)))</f>
        <v/>
      </c>
      <c r="BV85" s="31" t="n"/>
      <c r="BW85" s="31">
        <f>IF(BV85="Above 70%",10,IF(BV85="Between 50% to 70%",5,IF(BV85="Less than 50%",0,IF(BV85="Negative",-10,IF(BV85="Less than 50% and Borrowings are increasing",-5,0)))))</f>
        <v/>
      </c>
      <c r="BX85" s="31" t="n"/>
      <c r="BY85" s="31">
        <f>IF(BX85="More than 1.2",-10,IF(BX85="Between 0.7 to 1.2",0,IF(BX85="Less than 0.7",10,0)))</f>
        <v/>
      </c>
      <c r="BZ85" s="31" t="n"/>
      <c r="CA85" s="31">
        <f>IF(BZ85="Yes",-10,0)</f>
        <v/>
      </c>
      <c r="CB85" s="31" t="n"/>
      <c r="CC85" s="31">
        <f>IF(CB85="More than 15%",-10,IF(CB85="Less than 15%",10,0))</f>
        <v/>
      </c>
      <c r="CD85" s="31" t="n"/>
      <c r="CE85" s="31">
        <f>IF(CD85="Yes, more than 10%",-10,IF(CD85="No",10,0))</f>
        <v/>
      </c>
      <c r="CF85" s="31" t="n"/>
      <c r="CG85" s="31">
        <f>IF(CF85&gt;20,10,IF(CF85&gt;=10,5,2))</f>
        <v/>
      </c>
    </row>
    <row r="89">
      <c r="A89" s="25" t="inlineStr">
        <is>
          <t>❌ REMOVED SCAN MATCH STOCKS (THIS WEEK)</t>
        </is>
      </c>
    </row>
    <row r="90">
      <c r="A90" s="35" t="inlineStr">
        <is>
          <t>Symbol</t>
        </is>
      </c>
      <c r="B90" s="35" t="inlineStr">
        <is>
          <t>Company Name</t>
        </is>
      </c>
      <c r="C90" s="35" t="inlineStr">
        <is>
          <t>Sector</t>
        </is>
      </c>
      <c r="D90" s="35" t="inlineStr">
        <is>
          <t>Date of Removal</t>
        </is>
      </c>
    </row>
    <row r="91">
      <c r="A91" s="36" t="inlineStr">
        <is>
          <t>ABDL</t>
        </is>
      </c>
      <c r="B91" s="37" t="inlineStr">
        <is>
          <t>ABDL</t>
        </is>
      </c>
      <c r="C91" s="37" t="inlineStr">
        <is>
          <t>unknown</t>
        </is>
      </c>
      <c r="D91" s="38" t="inlineStr">
        <is>
          <t>2026-07-09</t>
        </is>
      </c>
    </row>
    <row r="92">
      <c r="A92" s="36" t="inlineStr">
        <is>
          <t>AEROENTER</t>
        </is>
      </c>
      <c r="B92" s="37" t="inlineStr">
        <is>
          <t>AEROENTER</t>
        </is>
      </c>
      <c r="C92" s="37" t="inlineStr">
        <is>
          <t>unknown</t>
        </is>
      </c>
      <c r="D92" s="38" t="inlineStr">
        <is>
          <t>2026-07-07</t>
        </is>
      </c>
    </row>
    <row r="93">
      <c r="A93" s="36" t="inlineStr">
        <is>
          <t>APOLLO</t>
        </is>
      </c>
      <c r="B93" s="37" t="inlineStr">
        <is>
          <t>APOLLO</t>
        </is>
      </c>
      <c r="C93" s="37" t="inlineStr">
        <is>
          <t>unknown</t>
        </is>
      </c>
      <c r="D93" s="38" t="inlineStr">
        <is>
          <t>2026-07-07</t>
        </is>
      </c>
    </row>
    <row r="94">
      <c r="A94" s="36" t="inlineStr">
        <is>
          <t>CEIGALL</t>
        </is>
      </c>
      <c r="B94" s="37" t="inlineStr">
        <is>
          <t>CEIGALL</t>
        </is>
      </c>
      <c r="C94" s="37" t="inlineStr">
        <is>
          <t>unknown</t>
        </is>
      </c>
      <c r="D94" s="38" t="inlineStr">
        <is>
          <t>2026-07-09</t>
        </is>
      </c>
    </row>
    <row r="95">
      <c r="A95" s="36" t="inlineStr">
        <is>
          <t>CFF</t>
        </is>
      </c>
      <c r="B95" s="37" t="inlineStr">
        <is>
          <t>CFF</t>
        </is>
      </c>
      <c r="C95" s="37" t="inlineStr">
        <is>
          <t>unknown</t>
        </is>
      </c>
      <c r="D95" s="38" t="inlineStr">
        <is>
          <t>2026-07-08</t>
        </is>
      </c>
    </row>
    <row r="96">
      <c r="A96" s="36" t="inlineStr">
        <is>
          <t>EBGNG</t>
        </is>
      </c>
      <c r="B96" s="37" t="inlineStr">
        <is>
          <t>EBGNG</t>
        </is>
      </c>
      <c r="C96" s="37" t="inlineStr">
        <is>
          <t>unknown</t>
        </is>
      </c>
      <c r="D96" s="38" t="inlineStr">
        <is>
          <t>2026-07-10</t>
        </is>
      </c>
    </row>
    <row r="97">
      <c r="A97" s="36" t="inlineStr">
        <is>
          <t>GLAND</t>
        </is>
      </c>
      <c r="B97" s="37" t="inlineStr">
        <is>
          <t>Gland Pharma Limited</t>
        </is>
      </c>
      <c r="C97" s="37" t="inlineStr">
        <is>
          <t>Healthcare</t>
        </is>
      </c>
      <c r="D97" s="38" t="inlineStr">
        <is>
          <t>2026-07-09</t>
        </is>
      </c>
    </row>
    <row r="98">
      <c r="A98" s="36" t="inlineStr">
        <is>
          <t>GMRAIRPORT</t>
        </is>
      </c>
      <c r="B98" s="37" t="inlineStr">
        <is>
          <t>GMR Airports Limited</t>
        </is>
      </c>
      <c r="C98" s="37" t="inlineStr">
        <is>
          <t>Industrials</t>
        </is>
      </c>
      <c r="D98" s="38" t="inlineStr">
        <is>
          <t>2026-07-10</t>
        </is>
      </c>
    </row>
    <row r="99">
      <c r="A99" s="36" t="inlineStr">
        <is>
          <t>HONASA</t>
        </is>
      </c>
      <c r="B99" s="37" t="inlineStr">
        <is>
          <t>Honasa Consumer Limited</t>
        </is>
      </c>
      <c r="C99" s="37" t="inlineStr">
        <is>
          <t>Consumer Defensive</t>
        </is>
      </c>
      <c r="D99" s="38" t="inlineStr">
        <is>
          <t>2026-07-09</t>
        </is>
      </c>
    </row>
    <row r="100">
      <c r="A100" s="36" t="inlineStr">
        <is>
          <t>IMPAL</t>
        </is>
      </c>
      <c r="B100" s="37" t="inlineStr">
        <is>
          <t>India Motor Parts &amp; Accessories Limited</t>
        </is>
      </c>
      <c r="C100" s="37" t="inlineStr">
        <is>
          <t>Consumer Cyclical</t>
        </is>
      </c>
      <c r="D100" s="38" t="inlineStr">
        <is>
          <t>2026-07-08</t>
        </is>
      </c>
    </row>
    <row r="101">
      <c r="A101" s="36" t="inlineStr">
        <is>
          <t>INDOBORAX</t>
        </is>
      </c>
      <c r="B101" s="37" t="inlineStr">
        <is>
          <t>Indo Borax &amp; Chemicals Limited</t>
        </is>
      </c>
      <c r="C101" s="37" t="inlineStr">
        <is>
          <t>Basic Materials</t>
        </is>
      </c>
      <c r="D101" s="38" t="inlineStr">
        <is>
          <t>2026-07-08</t>
        </is>
      </c>
    </row>
    <row r="102">
      <c r="A102" s="36" t="inlineStr">
        <is>
          <t>ITDC</t>
        </is>
      </c>
      <c r="B102" s="37" t="inlineStr">
        <is>
          <t>India Tourism Development Corporation Limited</t>
        </is>
      </c>
      <c r="C102" s="37" t="inlineStr">
        <is>
          <t>Consumer Cyclical</t>
        </is>
      </c>
      <c r="D102" s="38" t="inlineStr">
        <is>
          <t>2026-07-10</t>
        </is>
      </c>
    </row>
    <row r="103">
      <c r="A103" s="36" t="inlineStr">
        <is>
          <t>JTLIND</t>
        </is>
      </c>
      <c r="B103" s="37" t="inlineStr">
        <is>
          <t>JTLIND</t>
        </is>
      </c>
      <c r="C103" s="37" t="inlineStr">
        <is>
          <t>unknown</t>
        </is>
      </c>
      <c r="D103" s="38" t="inlineStr">
        <is>
          <t>2026-07-07</t>
        </is>
      </c>
    </row>
    <row r="104">
      <c r="A104" s="36" t="inlineStr">
        <is>
          <t>KERNEX</t>
        </is>
      </c>
      <c r="B104" s="37" t="inlineStr">
        <is>
          <t>Kernex Microsystems (India) Limited</t>
        </is>
      </c>
      <c r="C104" s="37" t="inlineStr">
        <is>
          <t>Technology</t>
        </is>
      </c>
      <c r="D104" s="38" t="inlineStr">
        <is>
          <t>2026-07-08</t>
        </is>
      </c>
    </row>
    <row r="105">
      <c r="A105" s="36" t="inlineStr">
        <is>
          <t>KOVAI</t>
        </is>
      </c>
      <c r="B105" s="37" t="inlineStr">
        <is>
          <t>Kovai Medical Center and Hospital Limited</t>
        </is>
      </c>
      <c r="C105" s="37" t="inlineStr">
        <is>
          <t>Healthcare</t>
        </is>
      </c>
      <c r="D105" s="38" t="inlineStr">
        <is>
          <t>2026-07-08</t>
        </is>
      </c>
    </row>
    <row r="106">
      <c r="A106" s="36" t="inlineStr">
        <is>
          <t>KRISHANA</t>
        </is>
      </c>
      <c r="B106" s="37" t="inlineStr">
        <is>
          <t>KRISHANA</t>
        </is>
      </c>
      <c r="C106" s="37" t="inlineStr">
        <is>
          <t>unknown</t>
        </is>
      </c>
      <c r="D106" s="38" t="inlineStr">
        <is>
          <t>2026-07-10</t>
        </is>
      </c>
    </row>
    <row r="107">
      <c r="A107" s="36" t="inlineStr">
        <is>
          <t>KRISHNADEF</t>
        </is>
      </c>
      <c r="B107" s="37" t="inlineStr">
        <is>
          <t>KRISHNADEF</t>
        </is>
      </c>
      <c r="C107" s="37" t="inlineStr">
        <is>
          <t>unknown</t>
        </is>
      </c>
      <c r="D107" s="38" t="inlineStr">
        <is>
          <t>2026-07-08</t>
        </is>
      </c>
    </row>
    <row r="108">
      <c r="A108" s="36" t="inlineStr">
        <is>
          <t>LAURUSLABS</t>
        </is>
      </c>
      <c r="B108" s="37" t="inlineStr">
        <is>
          <t>Laurus Labs Limited</t>
        </is>
      </c>
      <c r="C108" s="37" t="inlineStr">
        <is>
          <t>Healthcare</t>
        </is>
      </c>
      <c r="D108" s="38" t="inlineStr">
        <is>
          <t>2026-07-10</t>
        </is>
      </c>
    </row>
    <row r="109">
      <c r="A109" s="36" t="inlineStr">
        <is>
          <t>MACPOWER</t>
        </is>
      </c>
      <c r="B109" s="37" t="inlineStr">
        <is>
          <t>Macpower CNC Machines Limited</t>
        </is>
      </c>
      <c r="C109" s="37" t="inlineStr">
        <is>
          <t>Industrials</t>
        </is>
      </c>
      <c r="D109" s="38" t="inlineStr">
        <is>
          <t>2026-07-07</t>
        </is>
      </c>
    </row>
    <row r="110">
      <c r="A110" s="36" t="inlineStr">
        <is>
          <t>MAYURUNIQ</t>
        </is>
      </c>
      <c r="B110" s="37" t="inlineStr">
        <is>
          <t>Mayur Uniquoters Limited</t>
        </is>
      </c>
      <c r="C110" s="37" t="inlineStr">
        <is>
          <t>Consumer Cyclical</t>
        </is>
      </c>
      <c r="D110" s="38" t="inlineStr">
        <is>
          <t>2026-07-09</t>
        </is>
      </c>
    </row>
    <row r="111">
      <c r="A111" s="36" t="inlineStr">
        <is>
          <t>MBAPL</t>
        </is>
      </c>
      <c r="B111" s="37" t="inlineStr">
        <is>
          <t>MBAPL</t>
        </is>
      </c>
      <c r="C111" s="37" t="inlineStr">
        <is>
          <t>unknown</t>
        </is>
      </c>
      <c r="D111" s="38" t="inlineStr">
        <is>
          <t>2026-07-10</t>
        </is>
      </c>
    </row>
    <row r="112">
      <c r="A112" s="36" t="inlineStr">
        <is>
          <t>MINDACORP</t>
        </is>
      </c>
      <c r="B112" s="37" t="inlineStr">
        <is>
          <t>Minda Corporation Limited</t>
        </is>
      </c>
      <c r="C112" s="37" t="inlineStr">
        <is>
          <t>Consumer Cyclical</t>
        </is>
      </c>
      <c r="D112" s="38" t="inlineStr">
        <is>
          <t>2026-07-09</t>
        </is>
      </c>
    </row>
    <row r="113">
      <c r="A113" s="36" t="inlineStr">
        <is>
          <t>MRUTR</t>
        </is>
      </c>
      <c r="B113" s="37" t="inlineStr">
        <is>
          <t>MRUTR</t>
        </is>
      </c>
      <c r="C113" s="37" t="inlineStr">
        <is>
          <t>unknown</t>
        </is>
      </c>
      <c r="D113" s="38" t="inlineStr">
        <is>
          <t>2026-07-10</t>
        </is>
      </c>
    </row>
    <row r="114">
      <c r="A114" s="36" t="inlineStr">
        <is>
          <t>NEULANDLAB</t>
        </is>
      </c>
      <c r="B114" s="37" t="inlineStr">
        <is>
          <t>Neuland Laboratories Limited</t>
        </is>
      </c>
      <c r="C114" s="37" t="inlineStr">
        <is>
          <t>Healthcare</t>
        </is>
      </c>
      <c r="D114" s="38" t="inlineStr">
        <is>
          <t>2026-07-09</t>
        </is>
      </c>
    </row>
    <row r="115">
      <c r="A115" s="36" t="inlineStr">
        <is>
          <t>PGIL</t>
        </is>
      </c>
      <c r="B115" s="37" t="inlineStr">
        <is>
          <t>Pearl Global Industries Limited</t>
        </is>
      </c>
      <c r="C115" s="37" t="inlineStr">
        <is>
          <t>Consumer Cyclical</t>
        </is>
      </c>
      <c r="D115" s="38" t="inlineStr">
        <is>
          <t>2026-07-09</t>
        </is>
      </c>
    </row>
    <row r="116">
      <c r="A116" s="36" t="inlineStr">
        <is>
          <t>POCL</t>
        </is>
      </c>
      <c r="B116" s="37" t="inlineStr">
        <is>
          <t>Pondy Oxides And Chemicals Limited</t>
        </is>
      </c>
      <c r="C116" s="37" t="inlineStr">
        <is>
          <t>Basic Materials</t>
        </is>
      </c>
      <c r="D116" s="38" t="inlineStr">
        <is>
          <t>2026-07-10</t>
        </is>
      </c>
    </row>
    <row r="117">
      <c r="A117" s="36" t="inlineStr">
        <is>
          <t>PSPPROJECT</t>
        </is>
      </c>
      <c r="B117" s="37" t="inlineStr">
        <is>
          <t>PSP Projects Limited</t>
        </is>
      </c>
      <c r="C117" s="37" t="inlineStr">
        <is>
          <t>Industrials</t>
        </is>
      </c>
      <c r="D117" s="38" t="inlineStr">
        <is>
          <t>2026-07-10</t>
        </is>
      </c>
    </row>
    <row r="118">
      <c r="A118" s="36" t="inlineStr">
        <is>
          <t>RANEHOLDIN</t>
        </is>
      </c>
      <c r="B118" s="37" t="inlineStr">
        <is>
          <t>Rane Holdings Limited</t>
        </is>
      </c>
      <c r="C118" s="37" t="inlineStr">
        <is>
          <t>Consumer Cyclical</t>
        </is>
      </c>
      <c r="D118" s="38" t="inlineStr">
        <is>
          <t>2026-07-09</t>
        </is>
      </c>
    </row>
    <row r="119">
      <c r="A119" s="36" t="inlineStr">
        <is>
          <t>RELTD</t>
        </is>
      </c>
      <c r="B119" s="37" t="inlineStr">
        <is>
          <t>Ravindra Energy Limited</t>
        </is>
      </c>
      <c r="C119" s="37" t="inlineStr">
        <is>
          <t>Technology</t>
        </is>
      </c>
      <c r="D119" s="38" t="inlineStr">
        <is>
          <t>2026-07-10</t>
        </is>
      </c>
    </row>
    <row r="120">
      <c r="A120" s="36" t="inlineStr">
        <is>
          <t>SANGAMIND</t>
        </is>
      </c>
      <c r="B120" s="37" t="inlineStr">
        <is>
          <t>Sangam (India) Limited</t>
        </is>
      </c>
      <c r="C120" s="37" t="inlineStr">
        <is>
          <t>Consumer Cyclical</t>
        </is>
      </c>
      <c r="D120" s="38" t="inlineStr">
        <is>
          <t>2026-07-09</t>
        </is>
      </c>
    </row>
    <row r="121">
      <c r="A121" s="36" t="inlineStr">
        <is>
          <t>SANSERA</t>
        </is>
      </c>
      <c r="B121" s="37" t="inlineStr">
        <is>
          <t>Sansera Engineering Limited</t>
        </is>
      </c>
      <c r="C121" s="37" t="inlineStr">
        <is>
          <t>Consumer Cyclical</t>
        </is>
      </c>
      <c r="D121" s="38" t="inlineStr">
        <is>
          <t>2026-07-07</t>
        </is>
      </c>
    </row>
    <row r="122">
      <c r="A122" s="36" t="inlineStr">
        <is>
          <t>SBC</t>
        </is>
      </c>
      <c r="B122" s="37" t="inlineStr">
        <is>
          <t>SBC Exports Limited</t>
        </is>
      </c>
      <c r="C122" s="37" t="inlineStr">
        <is>
          <t>Industrials</t>
        </is>
      </c>
      <c r="D122" s="38" t="inlineStr">
        <is>
          <t>2026-07-08</t>
        </is>
      </c>
    </row>
    <row r="123">
      <c r="A123" s="36" t="inlineStr">
        <is>
          <t>SCHNEIDER</t>
        </is>
      </c>
      <c r="B123" s="37" t="inlineStr">
        <is>
          <t>SCHNEIDER</t>
        </is>
      </c>
      <c r="C123" s="37" t="inlineStr">
        <is>
          <t>unknown</t>
        </is>
      </c>
      <c r="D123" s="38" t="inlineStr">
        <is>
          <t>2026-07-10</t>
        </is>
      </c>
    </row>
    <row r="124">
      <c r="A124" s="36" t="inlineStr">
        <is>
          <t>SENORES</t>
        </is>
      </c>
      <c r="B124" s="37" t="inlineStr">
        <is>
          <t>SENORES</t>
        </is>
      </c>
      <c r="C124" s="37" t="inlineStr">
        <is>
          <t>Healthcare</t>
        </is>
      </c>
      <c r="D124" s="38" t="inlineStr">
        <is>
          <t>2026-07-10</t>
        </is>
      </c>
    </row>
    <row r="125">
      <c r="A125" s="36" t="inlineStr">
        <is>
          <t>SGMART</t>
        </is>
      </c>
      <c r="B125" s="37" t="inlineStr">
        <is>
          <t>SGMART</t>
        </is>
      </c>
      <c r="C125" s="37" t="inlineStr">
        <is>
          <t>unknown</t>
        </is>
      </c>
      <c r="D125" s="38" t="inlineStr">
        <is>
          <t>2026-07-10</t>
        </is>
      </c>
    </row>
    <row r="126">
      <c r="A126" s="36" t="inlineStr">
        <is>
          <t>SHILPAMED</t>
        </is>
      </c>
      <c r="B126" s="37" t="inlineStr">
        <is>
          <t>Shilpa Medicare Limited</t>
        </is>
      </c>
      <c r="C126" s="37" t="inlineStr">
        <is>
          <t>Healthcare</t>
        </is>
      </c>
      <c r="D126" s="38" t="inlineStr">
        <is>
          <t>2026-07-08</t>
        </is>
      </c>
    </row>
    <row r="127">
      <c r="A127" s="36" t="inlineStr">
        <is>
          <t>SIS</t>
        </is>
      </c>
      <c r="B127" s="37" t="inlineStr">
        <is>
          <t>SIS Limited</t>
        </is>
      </c>
      <c r="C127" s="37" t="inlineStr">
        <is>
          <t>Industrials</t>
        </is>
      </c>
      <c r="D127" s="38" t="inlineStr">
        <is>
          <t>2026-07-09</t>
        </is>
      </c>
    </row>
    <row r="128">
      <c r="A128" s="36" t="inlineStr">
        <is>
          <t>SJS</t>
        </is>
      </c>
      <c r="B128" s="37" t="inlineStr">
        <is>
          <t>S.J.S. Enterprises Limited</t>
        </is>
      </c>
      <c r="C128" s="37" t="inlineStr">
        <is>
          <t>Consumer Cyclical</t>
        </is>
      </c>
      <c r="D128" s="38" t="inlineStr">
        <is>
          <t>2026-07-08</t>
        </is>
      </c>
    </row>
    <row r="129">
      <c r="A129" s="36" t="inlineStr">
        <is>
          <t>SPAL</t>
        </is>
      </c>
      <c r="B129" s="37" t="inlineStr">
        <is>
          <t>S.P. Apparels Limited</t>
        </is>
      </c>
      <c r="C129" s="37" t="inlineStr">
        <is>
          <t>Consumer Cyclical</t>
        </is>
      </c>
      <c r="D129" s="38" t="inlineStr">
        <is>
          <t>2026-07-09</t>
        </is>
      </c>
    </row>
    <row r="130">
      <c r="A130" s="36" t="inlineStr">
        <is>
          <t>SPECTRUM</t>
        </is>
      </c>
      <c r="B130" s="37" t="inlineStr">
        <is>
          <t>SPECTRUM</t>
        </is>
      </c>
      <c r="C130" s="37" t="inlineStr">
        <is>
          <t>Industrials</t>
        </is>
      </c>
      <c r="D130" s="38" t="inlineStr">
        <is>
          <t>2026-07-07</t>
        </is>
      </c>
    </row>
    <row r="131">
      <c r="A131" s="36" t="inlineStr">
        <is>
          <t>TAALTECH</t>
        </is>
      </c>
      <c r="B131" s="37" t="inlineStr">
        <is>
          <t>TAALTECH</t>
        </is>
      </c>
      <c r="C131" s="37" t="inlineStr">
        <is>
          <t>unknown</t>
        </is>
      </c>
      <c r="D131" s="38" t="inlineStr">
        <is>
          <t>2026-07-09</t>
        </is>
      </c>
    </row>
    <row r="132">
      <c r="A132" s="36" t="inlineStr">
        <is>
          <t>VARROC</t>
        </is>
      </c>
      <c r="B132" s="37" t="inlineStr">
        <is>
          <t>Varroc Engineering Limited</t>
        </is>
      </c>
      <c r="C132" s="37" t="inlineStr">
        <is>
          <t>Consumer Cyclical</t>
        </is>
      </c>
      <c r="D132" s="38" t="inlineStr">
        <is>
          <t>2026-07-07</t>
        </is>
      </c>
    </row>
    <row r="133">
      <c r="A133" s="36" t="inlineStr">
        <is>
          <t>VIYASH</t>
        </is>
      </c>
      <c r="B133" s="37" t="inlineStr">
        <is>
          <t>Viyash Scientific Limited</t>
        </is>
      </c>
      <c r="C133" s="37" t="inlineStr">
        <is>
          <t>Healthcare</t>
        </is>
      </c>
      <c r="D133" s="38" t="inlineStr">
        <is>
          <t>2026-07-09</t>
        </is>
      </c>
    </row>
    <row r="134">
      <c r="A134" s="36" t="inlineStr">
        <is>
          <t>ZSARACOM</t>
        </is>
      </c>
      <c r="B134" s="37" t="inlineStr">
        <is>
          <t>ZSARACOM</t>
        </is>
      </c>
      <c r="C134" s="37" t="inlineStr">
        <is>
          <t>unknown</t>
        </is>
      </c>
      <c r="D134" s="38" t="inlineStr">
        <is>
          <t>2026-07-09</t>
        </is>
      </c>
    </row>
  </sheetData>
  <autoFilter ref="A1:CG85"/>
  <conditionalFormatting sqref="B2:B8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5">
    <cfRule type="cellIs" priority="37" operator="equal" dxfId="3" stopIfTrue="1">
      <formula>"Underperforming"</formula>
    </cfRule>
  </conditionalFormatting>
  <conditionalFormatting sqref="N2:N85">
    <cfRule type="cellIs" priority="38" operator="equal" dxfId="3" stopIfTrue="1">
      <formula>-5</formula>
    </cfRule>
  </conditionalFormatting>
  <conditionalFormatting sqref="Q2:Q8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5" showDropDown="0" showInputMessage="0" showErrorMessage="0" allowBlank="1" type="list">
      <formula1>"Growing Industry,Stagnant Industry,Cyclical in an Upturn"</formula1>
    </dataValidation>
    <dataValidation sqref="Z2:Z8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5" showDropDown="0" showInputMessage="0" showErrorMessage="0" allowBlank="1" type="list">
      <formula1>"Yes,No"</formula1>
    </dataValidation>
    <dataValidation sqref="AD2:AD85" showDropDown="0" showInputMessage="0" showErrorMessage="0" allowBlank="1" type="list">
      <formula1>"Tailwind,Headwind"</formula1>
    </dataValidation>
    <dataValidation sqref="AF2:AF85" showDropDown="0" showInputMessage="0" showErrorMessage="0" allowBlank="1" type="list">
      <formula1>"Structural (10 Years Consistency),Shallow Cyclical (2 to 3 Years Growth),Cyclical"</formula1>
    </dataValidation>
    <dataValidation sqref="AH2:AH85" showDropDown="0" showInputMessage="0" showErrorMessage="0" allowBlank="1" type="list">
      <formula1>"Yes due to Product Mix change or Operating Leverage,Yes, these are peak margins,No"</formula1>
    </dataValidation>
    <dataValidation sqref="AJ2:AJ85" showDropDown="0" showInputMessage="0" showErrorMessage="0" allowBlank="1" type="list">
      <formula1>"Stable,Volatile"</formula1>
    </dataValidation>
    <dataValidation sqref="AL2:AL85" showDropDown="0" showInputMessage="0" showErrorMessage="0" allowBlank="1" type="list">
      <formula1>"Yes,No"</formula1>
    </dataValidation>
    <dataValidation sqref="AN2:AN85" showDropDown="0" showInputMessage="0" showErrorMessage="0" allowBlank="1" type="list">
      <formula1>"B2C,B2B,B2G"</formula1>
    </dataValidation>
    <dataValidation sqref="AP2:AP85" showDropDown="0" showInputMessage="0" showErrorMessage="0" allowBlank="1" type="list">
      <formula1>"Yes,No"</formula1>
    </dataValidation>
    <dataValidation sqref="AR2:AR85" showDropDown="0" showInputMessage="0" showErrorMessage="0" allowBlank="1" type="list">
      <formula1>"Fully Annuity,Higher Annuity, Lower One time,Higher One Time, Lower Annuity,Fully One Time"</formula1>
    </dataValidation>
    <dataValidation sqref="AT2:AT85" showDropDown="0" showInputMessage="0" showErrorMessage="0" allowBlank="1" type="list">
      <formula1>"Good,Allocated capital in Non-core Areas"</formula1>
    </dataValidation>
    <dataValidation sqref="AV2:AV85" showDropDown="0" showInputMessage="0" showErrorMessage="0" allowBlank="1" type="list">
      <formula1>"Yes for more than 2 years,Yes only for next 1 to 2 years,No"</formula1>
    </dataValidation>
    <dataValidation sqref="AX2:AX85" showDropDown="0" showInputMessage="0" showErrorMessage="0" allowBlank="1" type="list">
      <formula1>"Above 40,20 to 40,0 to 20"</formula1>
    </dataValidation>
    <dataValidation sqref="AZ2:AZ85" showDropDown="0" showInputMessage="0" showErrorMessage="0" allowBlank="1" type="list">
      <formula1>"Between 50 to 75,Above 75,Below 45"</formula1>
    </dataValidation>
    <dataValidation sqref="BB2:BB85" showDropDown="0" showInputMessage="0" showErrorMessage="0" allowBlank="1" type="list">
      <formula1>"Stage 1,Stage 2,Stage 3,Stage 4"</formula1>
    </dataValidation>
    <dataValidation sqref="BD2:BD85" showDropDown="0" showInputMessage="0" showErrorMessage="0" allowBlank="1" type="list">
      <formula1>"Positive Trend,Negative Trend"</formula1>
    </dataValidation>
    <dataValidation sqref="BF2:BF85" showDropDown="0" showInputMessage="0" showErrorMessage="0" allowBlank="1" type="list">
      <formula1>"Uptrend,Sideways,Downtrend"</formula1>
    </dataValidation>
    <dataValidation sqref="BH2:BH85" showDropDown="0" showInputMessage="0" showErrorMessage="0" allowBlank="1" type="list">
      <formula1>"Uptrend,Sideways,Downtrend"</formula1>
    </dataValidation>
    <dataValidation sqref="BJ2:BJ8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5" showDropDown="0" showInputMessage="0" showErrorMessage="0" allowBlank="1" type="list">
      <formula1>"Yes,No"</formula1>
    </dataValidation>
    <dataValidation sqref="BN2:BN85" showDropDown="0" showInputMessage="0" showErrorMessage="0" allowBlank="1" type="list">
      <formula1>"More than 20%,Between 12 to 20%,Less than 12%"</formula1>
    </dataValidation>
    <dataValidation sqref="BP2:BP85" showDropDown="0" showInputMessage="0" showErrorMessage="0" allowBlank="1" type="list">
      <formula1>"Yes,No"</formula1>
    </dataValidation>
    <dataValidation sqref="BR2:BR85" showDropDown="0" showInputMessage="0" showErrorMessage="0" allowBlank="1" type="list">
      <formula1>"Yes,No"</formula1>
    </dataValidation>
    <dataValidation sqref="BT2:BT85" showDropDown="0" showInputMessage="0" showErrorMessage="0" allowBlank="1" type="list">
      <formula1>"Above 2,Between 1.5 to 2,Less than 1.5"</formula1>
    </dataValidation>
    <dataValidation sqref="BV2:BV85" showDropDown="0" showInputMessage="0" showErrorMessage="0" allowBlank="1" type="list">
      <formula1>"Above 70%,Between 50% to 70%,Less than 50%,Less than 50% and Borrowings are increasing,Negative"</formula1>
    </dataValidation>
    <dataValidation sqref="BX2:BX85" showDropDown="0" showInputMessage="0" showErrorMessage="0" allowBlank="1" type="list">
      <formula1>"More than 1.2,Between 0.7 to 1.2,Less than 0.7"</formula1>
    </dataValidation>
    <dataValidation sqref="BZ2:BZ85" showDropDown="0" showInputMessage="0" showErrorMessage="0" allowBlank="1" type="list">
      <formula1>"Yes,No"</formula1>
    </dataValidation>
    <dataValidation sqref="CB2:CB85" showDropDown="0" showInputMessage="0" showErrorMessage="0" allowBlank="1" type="list">
      <formula1>"More than 15%,Less than 15%"</formula1>
    </dataValidation>
    <dataValidation sqref="CD2:CD8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IF(B2=0,"",RANK(B2,$B$2:$B$17,0))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2830.27</v>
      </c>
      <c r="I2" s="32" t="n">
        <v>256.2</v>
      </c>
      <c r="J2" s="32" t="n">
        <v>0.42</v>
      </c>
      <c r="K2" s="32" t="n">
        <v>0</v>
      </c>
      <c r="L2" s="31" t="n">
        <v>84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73.90000000000001</v>
      </c>
      <c r="P2" s="32" t="n">
        <v>60.81</v>
      </c>
      <c r="Q2" s="32" t="n">
        <v>199.46</v>
      </c>
      <c r="R2" s="31" t="inlineStr">
        <is>
          <t>Near 52W High Breakout</t>
        </is>
      </c>
      <c r="S2" s="31" t="inlineStr">
        <is>
          <t>Nifty Bank</t>
        </is>
      </c>
      <c r="T2" s="32" t="n">
        <v>2.28</v>
      </c>
      <c r="U2" s="32" t="n">
        <v>58.81</v>
      </c>
      <c r="V2" s="32" t="n">
        <v>55.27</v>
      </c>
      <c r="W2" s="32" t="n">
        <v>24.23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19</t>
        </is>
      </c>
      <c r="CC2" s="31">
        <f>IF(CB2&gt;20,10,IF(CB2&gt;=10,5,2))</f>
        <v/>
      </c>
    </row>
    <row r="3">
      <c r="A3" s="31">
        <f>IF(B3=0,"",RANK(B3,$B$2:$B$17,0))</f>
        <v/>
      </c>
      <c r="B3" s="32">
        <f>SUM(N3,Y3,AA3,AC3,AE3,AG3,AI3,AK3,AM3,AO3,AQ3,AS3,AU3,AW3,AY3,BA3,BC3,BE3,BG3,BI3,BK3,BM3,BO3,BQ3,BS3,BU3,BW3,BY3,CA3,CC3)</f>
        <v/>
      </c>
      <c r="C3" s="34" t="inlineStr">
        <is>
          <t>UJJIVANSFB</t>
        </is>
      </c>
      <c r="D3" s="34" t="inlineStr">
        <is>
          <t>Ujjivan Small Finance Bank Ltd</t>
        </is>
      </c>
      <c r="E3" s="31" t="inlineStr">
        <is>
          <t>bank</t>
        </is>
      </c>
      <c r="F3" s="31" t="inlineStr">
        <is>
          <t>Banks - Small Finance</t>
        </is>
      </c>
      <c r="G3" s="31" t="inlineStr">
        <is>
          <t>midcap</t>
        </is>
      </c>
      <c r="H3" s="32" t="n">
        <v>12712.1</v>
      </c>
      <c r="I3" s="32" t="n">
        <v>65.33</v>
      </c>
      <c r="J3" s="32" t="n">
        <v>4.39</v>
      </c>
      <c r="K3" s="32" t="n">
        <v>0</v>
      </c>
      <c r="L3" s="31" t="n">
        <v>43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63.09</v>
      </c>
      <c r="P3" s="32" t="n">
        <v>23.38</v>
      </c>
      <c r="Q3" s="32" t="n">
        <v>50.84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2.28</v>
      </c>
      <c r="U3" s="32" t="n">
        <v>37.29</v>
      </c>
      <c r="V3" s="32" t="n">
        <v>34.24</v>
      </c>
      <c r="W3" s="32" t="n">
        <v>8.470000000000001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18</t>
        </is>
      </c>
      <c r="CC3" s="31">
        <f>IF(CB3&gt;20,10,IF(CB3&gt;=10,5,2))</f>
        <v/>
      </c>
    </row>
    <row r="4">
      <c r="A4" s="31">
        <f>IF(B4=0,"",RANK(B4,$B$2:$B$17,0))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PAISALO</t>
        </is>
      </c>
      <c r="D4" s="31" t="inlineStr">
        <is>
          <t>Paisalo Digital Ltd</t>
        </is>
      </c>
      <c r="E4" s="31" t="inlineStr">
        <is>
          <t>financials</t>
        </is>
      </c>
      <c r="F4" s="31" t="inlineStr">
        <is>
          <t>Finance - Capital Markets - Brokers</t>
        </is>
      </c>
      <c r="G4" s="31" t="inlineStr">
        <is>
          <t>midcap</t>
        </is>
      </c>
      <c r="H4" s="32" t="n">
        <v>6612.22</v>
      </c>
      <c r="I4" s="32" t="n">
        <v>72.7</v>
      </c>
      <c r="J4" s="32" t="n">
        <v>0.41</v>
      </c>
      <c r="K4" s="32" t="n">
        <v>0</v>
      </c>
      <c r="L4" s="31" t="n">
        <v>94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84.59</v>
      </c>
      <c r="P4" s="32" t="n">
        <v>48.63</v>
      </c>
      <c r="Q4" s="32" t="n">
        <v>58.46</v>
      </c>
      <c r="R4" s="31" t="inlineStr">
        <is>
          <t>Near 52W High Breakout</t>
        </is>
      </c>
      <c r="S4" s="31" t="inlineStr">
        <is>
          <t>Nifty Bank</t>
        </is>
      </c>
      <c r="T4" s="32" t="n">
        <v>2.28</v>
      </c>
      <c r="U4" s="32" t="n">
        <v>139.02</v>
      </c>
      <c r="V4" s="32" t="n">
        <v>133.71</v>
      </c>
      <c r="W4" s="32" t="n">
        <v>40.53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21</t>
        </is>
      </c>
      <c r="CC4" s="31">
        <f>IF(CB4&gt;20,10,IF(CB4&gt;=10,5,2))</f>
        <v/>
      </c>
    </row>
    <row r="5">
      <c r="A5" s="31">
        <f>IF(B5=0,"",RANK(B5,$B$2:$B$17,0))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SURYODAY</t>
        </is>
      </c>
      <c r="D5" s="31" t="inlineStr">
        <is>
          <t>Suryoday Small Finance Bank Ltd</t>
        </is>
      </c>
      <c r="E5" s="31" t="inlineStr">
        <is>
          <t>bank</t>
        </is>
      </c>
      <c r="F5" s="31" t="inlineStr">
        <is>
          <t>Banks - Small Finance</t>
        </is>
      </c>
      <c r="G5" s="31" t="inlineStr">
        <is>
          <t>smallcap</t>
        </is>
      </c>
      <c r="H5" s="32" t="n">
        <v>1966.36</v>
      </c>
      <c r="I5" s="32" t="n">
        <v>185</v>
      </c>
      <c r="J5" s="32" t="n">
        <v>4.44</v>
      </c>
      <c r="K5" s="32" t="n">
        <v>0</v>
      </c>
      <c r="L5" s="31" t="n">
        <v>67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67.25</v>
      </c>
      <c r="P5" s="32" t="n">
        <v>35.57</v>
      </c>
      <c r="Q5" s="32" t="n">
        <v>142.96</v>
      </c>
      <c r="R5" s="31" t="inlineStr">
        <is>
          <t>Near 52W High Breakout</t>
        </is>
      </c>
      <c r="S5" s="31" t="inlineStr">
        <is>
          <t>Nifty Bank</t>
        </is>
      </c>
      <c r="T5" s="32" t="n">
        <v>2.28</v>
      </c>
      <c r="U5" s="32" t="n">
        <v>35.82</v>
      </c>
      <c r="V5" s="32" t="n">
        <v>32.8</v>
      </c>
      <c r="W5" s="32" t="n">
        <v>15.02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18</t>
        </is>
      </c>
      <c r="CC5" s="31">
        <f>IF(CB5&gt;20,10,IF(CB5&gt;=10,5,2))</f>
        <v/>
      </c>
    </row>
    <row r="6">
      <c r="A6" s="31">
        <f>IF(B6=0,"",RANK(B6,$B$2:$B$17,0))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FUSION</t>
        </is>
      </c>
      <c r="D6" s="31" t="inlineStr">
        <is>
          <t>Fusion Finance Ltd</t>
        </is>
      </c>
      <c r="E6" s="31" t="inlineStr">
        <is>
          <t>financials</t>
        </is>
      </c>
      <c r="F6" s="31" t="inlineStr">
        <is>
          <t>Finance &amp; Investments - Microfinance</t>
        </is>
      </c>
      <c r="G6" s="31" t="inlineStr">
        <is>
          <t>smallcap</t>
        </is>
      </c>
      <c r="H6" s="32" t="n">
        <v>3783.41</v>
      </c>
      <c r="I6" s="32" t="n">
        <v>234</v>
      </c>
      <c r="J6" s="32" t="n">
        <v>2.04</v>
      </c>
      <c r="K6" s="32" t="n">
        <v>0</v>
      </c>
      <c r="L6" s="31" t="n">
        <v>71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67.52</v>
      </c>
      <c r="P6" s="32" t="n">
        <v>23.48</v>
      </c>
      <c r="Q6" s="32" t="n">
        <v>171.9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2.28</v>
      </c>
      <c r="U6" s="32" t="n">
        <v>23.96</v>
      </c>
      <c r="V6" s="32" t="n">
        <v>21.2</v>
      </c>
      <c r="W6" s="32" t="n">
        <v>16.03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18</t>
        </is>
      </c>
      <c r="CC6" s="31">
        <f>IF(CB6&gt;20,10,IF(CB6&gt;=10,5,2))</f>
        <v/>
      </c>
    </row>
    <row r="7">
      <c r="A7" s="31">
        <f>IF(B7=0,"",RANK(B7,$B$2:$B$17,0))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DHANBANK</t>
        </is>
      </c>
      <c r="D7" s="31" t="inlineStr">
        <is>
          <t>Dhanlaxmi Bank Ltd</t>
        </is>
      </c>
      <c r="E7" s="31" t="inlineStr">
        <is>
          <t>bank</t>
        </is>
      </c>
      <c r="F7" s="31" t="inlineStr">
        <is>
          <t>Banks - Private</t>
        </is>
      </c>
      <c r="G7" s="31" t="inlineStr">
        <is>
          <t>smallcap</t>
        </is>
      </c>
      <c r="H7" s="32" t="n">
        <v>1373.55</v>
      </c>
      <c r="I7" s="32" t="n">
        <v>34.8</v>
      </c>
      <c r="J7" s="32" t="n">
        <v>2.69</v>
      </c>
      <c r="K7" s="32" t="n">
        <v>0</v>
      </c>
      <c r="L7" s="31" t="n">
        <v>52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66.98999999999999</v>
      </c>
      <c r="P7" s="32" t="n">
        <v>33.2</v>
      </c>
      <c r="Q7" s="32" t="n">
        <v>26.12</v>
      </c>
      <c r="R7" s="31" t="inlineStr">
        <is>
          <t>Volume Spike &amp; Near 52W High Breakout</t>
        </is>
      </c>
      <c r="S7" s="31" t="inlineStr">
        <is>
          <t>Nifty Bank</t>
        </is>
      </c>
      <c r="T7" s="32" t="n">
        <v>2.28</v>
      </c>
      <c r="U7" s="32" t="n">
        <v>18.12</v>
      </c>
      <c r="V7" s="32" t="n">
        <v>15.49</v>
      </c>
      <c r="W7" s="32" t="n">
        <v>10.71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18</t>
        </is>
      </c>
      <c r="CC7" s="31">
        <f>IF(CB7&gt;20,10,IF(CB7&gt;=10,5,2))</f>
        <v/>
      </c>
    </row>
    <row r="8">
      <c r="A8" s="31">
        <f>IF(B8=0,"",RANK(B8,$B$2:$B$17,0))</f>
        <v/>
      </c>
      <c r="B8" s="32">
        <f>SUM(N8,Y8,AA8,AC8,AE8,AG8,AI8,AK8,AM8,AO8,AQ8,AS8,AU8,AW8,AY8,BA8,BC8,BE8,BG8,BI8,BK8,BM8,BO8,BQ8,BS8,BU8,BW8,BY8,CA8,CC8)</f>
        <v/>
      </c>
      <c r="C8" s="34" t="inlineStr">
        <is>
          <t>GODREJIND</t>
        </is>
      </c>
      <c r="D8" s="34" t="inlineStr">
        <is>
          <t>Godrej Industries Ltd</t>
        </is>
      </c>
      <c r="E8" s="31" t="inlineStr">
        <is>
          <t>chemicals</t>
        </is>
      </c>
      <c r="F8" s="31" t="inlineStr">
        <is>
          <t>Finance - Holding Company</t>
        </is>
      </c>
      <c r="G8" s="31" t="inlineStr">
        <is>
          <t>largecap</t>
        </is>
      </c>
      <c r="H8" s="32" t="n">
        <v>46990.72</v>
      </c>
      <c r="I8" s="32" t="n">
        <v>1395</v>
      </c>
      <c r="J8" s="32" t="n">
        <v>14.42</v>
      </c>
      <c r="K8" s="32" t="n">
        <v>0</v>
      </c>
      <c r="L8" s="31" t="n">
        <v>78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71.31999999999999</v>
      </c>
      <c r="P8" s="32" t="n">
        <v>30.08</v>
      </c>
      <c r="Q8" s="32" t="n">
        <v>1094.58</v>
      </c>
      <c r="R8" s="31" t="inlineStr">
        <is>
          <t>Volume Spike &amp; Near 52W High Breakout</t>
        </is>
      </c>
      <c r="S8" s="31" t="inlineStr">
        <is>
          <t>Nifty 50</t>
        </is>
      </c>
      <c r="T8" s="32" t="n">
        <v>-3.75</v>
      </c>
      <c r="U8" s="32" t="n">
        <v>29.4</v>
      </c>
      <c r="V8" s="32" t="n">
        <v>34.44</v>
      </c>
      <c r="W8" s="32" t="n">
        <v>19.67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17</t>
        </is>
      </c>
      <c r="CC8" s="31">
        <f>IF(CB8&gt;20,10,IF(CB8&gt;=10,5,2))</f>
        <v/>
      </c>
    </row>
    <row r="9">
      <c r="A9" s="31">
        <f>IF(B9=0,"",RANK(B9,$B$2:$B$17,0))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AADHARHFC</t>
        </is>
      </c>
      <c r="D9" s="31" t="inlineStr">
        <is>
          <t>Aadhar Housing Finance Ltd</t>
        </is>
      </c>
      <c r="E9" s="31" t="inlineStr">
        <is>
          <t>financials</t>
        </is>
      </c>
      <c r="F9" s="31" t="inlineStr">
        <is>
          <t>Finance - Housing</t>
        </is>
      </c>
      <c r="G9" s="31" t="inlineStr">
        <is>
          <t>largecap</t>
        </is>
      </c>
      <c r="H9" s="32" t="n">
        <v>23408.47</v>
      </c>
      <c r="I9" s="32" t="n">
        <v>535.25</v>
      </c>
      <c r="J9" s="32" t="n">
        <v>0.6899999999999999</v>
      </c>
      <c r="K9" s="32" t="n">
        <v>0</v>
      </c>
      <c r="L9" s="31" t="n">
        <v>30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61.1</v>
      </c>
      <c r="P9" s="32" t="n">
        <v>26.26</v>
      </c>
      <c r="Q9" s="32" t="n">
        <v>449.47</v>
      </c>
      <c r="R9" s="31" t="inlineStr">
        <is>
          <t>Near 52W High Breakout</t>
        </is>
      </c>
      <c r="S9" s="31" t="inlineStr">
        <is>
          <t>Nifty Bank</t>
        </is>
      </c>
      <c r="T9" s="32" t="n">
        <v>2.28</v>
      </c>
      <c r="U9" s="32" t="n">
        <v>18.34</v>
      </c>
      <c r="V9" s="32" t="n">
        <v>15.71</v>
      </c>
      <c r="W9" s="32" t="n">
        <v>6.08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18</t>
        </is>
      </c>
      <c r="CC9" s="31">
        <f>IF(CB9&gt;20,10,IF(CB9&gt;=10,5,2))</f>
        <v/>
      </c>
    </row>
    <row r="10">
      <c r="A10" s="31">
        <f>IF(B10=0,"",RANK(B10,$B$2:$B$17,0))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LTF</t>
        </is>
      </c>
      <c r="D10" s="31" t="inlineStr">
        <is>
          <t>L&amp;T Finance Ltd</t>
        </is>
      </c>
      <c r="E10" s="31" t="inlineStr">
        <is>
          <t>financials</t>
        </is>
      </c>
      <c r="F10" s="31" t="inlineStr">
        <is>
          <t>Conglomerate Backed NBFC</t>
        </is>
      </c>
      <c r="G10" s="31" t="inlineStr">
        <is>
          <t>largecap</t>
        </is>
      </c>
      <c r="H10" s="32" t="n">
        <v>80682.25999999999</v>
      </c>
      <c r="I10" s="32" t="n">
        <v>322</v>
      </c>
      <c r="J10" s="32" t="n">
        <v>0.28</v>
      </c>
      <c r="K10" s="32" t="n">
        <v>0</v>
      </c>
      <c r="L10" s="31" t="n">
        <v>62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61.74</v>
      </c>
      <c r="P10" s="32" t="n">
        <v>20.56</v>
      </c>
      <c r="Q10" s="32" t="n">
        <v>259.51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2.28</v>
      </c>
      <c r="U10" s="32" t="n">
        <v>58.64</v>
      </c>
      <c r="V10" s="32" t="n">
        <v>55.11</v>
      </c>
      <c r="W10" s="32" t="n">
        <v>13.65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15</t>
        </is>
      </c>
      <c r="CC10" s="31">
        <f>IF(CB10&gt;20,10,IF(CB10&gt;=10,5,2))</f>
        <v/>
      </c>
    </row>
    <row r="11">
      <c r="A11" s="31">
        <f>IF(B11=0,"",RANK(B11,$B$2:$B$17,0))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SGFIN</t>
        </is>
      </c>
      <c r="D11" s="31" t="inlineStr">
        <is>
          <t>SG Finserve Ltd</t>
        </is>
      </c>
      <c r="E11" s="31" t="inlineStr">
        <is>
          <t>Financial Services</t>
        </is>
      </c>
      <c r="F11" s="31" t="inlineStr">
        <is>
          <t>Finance &amp; Investments - MSME Lending</t>
        </is>
      </c>
      <c r="G11" s="31" t="inlineStr">
        <is>
          <t>smallcap</t>
        </is>
      </c>
      <c r="H11" s="32" t="n">
        <v>4206.74</v>
      </c>
      <c r="I11" s="32" t="n">
        <v>638.4</v>
      </c>
      <c r="J11" s="32" t="n">
        <v>-2.78</v>
      </c>
      <c r="K11" s="32" t="n">
        <v>0</v>
      </c>
      <c r="L11" s="31" t="n">
        <v>72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68.01000000000001</v>
      </c>
      <c r="P11" s="32" t="n">
        <v>59.13</v>
      </c>
      <c r="Q11" s="32" t="n">
        <v>518.74</v>
      </c>
      <c r="R11" s="31" t="inlineStr">
        <is>
          <t>Earnings / Momentum Support</t>
        </is>
      </c>
      <c r="S11" s="31" t="inlineStr">
        <is>
          <t>Nifty Bank</t>
        </is>
      </c>
      <c r="T11" s="32" t="n">
        <v>5.53</v>
      </c>
      <c r="U11" s="32" t="n">
        <v>62.85</v>
      </c>
      <c r="V11" s="32" t="n">
        <v>54.32</v>
      </c>
      <c r="W11" s="32" t="n">
        <v>16.2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21</t>
        </is>
      </c>
      <c r="CC11" s="31">
        <f>IF(CB11&gt;20,10,IF(CB11&gt;=10,5,2))</f>
        <v/>
      </c>
    </row>
    <row r="12">
      <c r="A12" s="31">
        <f>IF(B12=0,"",RANK(B12,$B$2:$B$17,0))</f>
        <v/>
      </c>
      <c r="B12" s="32">
        <f>SUM(N12,Y12,AA12,AC12,AE12,AG12,AI12,AK12,AM12,AO12,AQ12,AS12,AU12,AW12,AY12,BA12,BC12,BE12,BG12,BI12,BK12,BM12,BO12,BQ12,BS12,BU12,BW12,BY12,CA12,CC12)</f>
        <v/>
      </c>
      <c r="C12" s="34" t="inlineStr">
        <is>
          <t>MUTHOOTMF</t>
        </is>
      </c>
      <c r="D12" s="34" t="inlineStr">
        <is>
          <t>Muthoot Microfin Ltd</t>
        </is>
      </c>
      <c r="E12" s="31" t="inlineStr">
        <is>
          <t>financials</t>
        </is>
      </c>
      <c r="F12" s="31" t="inlineStr">
        <is>
          <t>Finance &amp; Investments - Microfinance</t>
        </is>
      </c>
      <c r="G12" s="31" t="inlineStr">
        <is>
          <t>smallcap</t>
        </is>
      </c>
      <c r="H12" s="32" t="n">
        <v>4064.87</v>
      </c>
      <c r="I12" s="32" t="n">
        <v>238.42</v>
      </c>
      <c r="J12" s="32" t="n">
        <v>13.38</v>
      </c>
      <c r="K12" s="32" t="n">
        <v>0</v>
      </c>
      <c r="L12" s="31" t="n">
        <v>71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72.78</v>
      </c>
      <c r="P12" s="32" t="n">
        <v>33.66</v>
      </c>
      <c r="Q12" s="32" t="n">
        <v>177.49</v>
      </c>
      <c r="R12" s="31" t="inlineStr">
        <is>
          <t>Volume Spike &amp; Near 52W High Breakout</t>
        </is>
      </c>
      <c r="S12" s="31" t="inlineStr">
        <is>
          <t>Nifty Bank</t>
        </is>
      </c>
      <c r="T12" s="32" t="n">
        <v>2.28</v>
      </c>
      <c r="U12" s="32" t="n">
        <v>40.71</v>
      </c>
      <c r="V12" s="32" t="n">
        <v>37.58</v>
      </c>
      <c r="W12" s="32" t="n">
        <v>15.97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16</t>
        </is>
      </c>
      <c r="CC12" s="31">
        <f>IF(CB12&gt;20,10,IF(CB12&gt;=10,5,2))</f>
        <v/>
      </c>
    </row>
    <row r="13">
      <c r="A13" s="31">
        <f>IF(B13=0,"",RANK(B13,$B$2:$B$17,0))</f>
        <v/>
      </c>
      <c r="B13" s="32">
        <f>SUM(N13,Y13,AA13,AC13,AE13,AG13,AI13,AK13,AM13,AO13,AQ13,AS13,AU13,AW13,AY13,BA13,BC13,BE13,BG13,BI13,BK13,BM13,BO13,BQ13,BS13,BU13,BW13,BY13,CA13,CC13)</f>
        <v/>
      </c>
      <c r="C13" s="31" t="inlineStr">
        <is>
          <t>CGCL</t>
        </is>
      </c>
      <c r="D13" s="31" t="inlineStr">
        <is>
          <t>Capri Global Capital Ltd</t>
        </is>
      </c>
      <c r="E13" s="31" t="inlineStr">
        <is>
          <t>financials</t>
        </is>
      </c>
      <c r="F13" s="31" t="inlineStr">
        <is>
          <t>Finance &amp; Investments - Gold Loan</t>
        </is>
      </c>
      <c r="G13" s="31" t="inlineStr">
        <is>
          <t>largecap</t>
        </is>
      </c>
      <c r="H13" s="32" t="n">
        <v>24320.37</v>
      </c>
      <c r="I13" s="32" t="n">
        <v>252.77</v>
      </c>
      <c r="J13" s="32" t="n">
        <v>0.05</v>
      </c>
      <c r="K13" s="32" t="n">
        <v>0</v>
      </c>
      <c r="L13" s="31" t="n">
        <v>70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77.67</v>
      </c>
      <c r="P13" s="32" t="n">
        <v>27.23</v>
      </c>
      <c r="Q13" s="32" t="n">
        <v>207.18</v>
      </c>
      <c r="R13" s="31" t="inlineStr">
        <is>
          <t>Volume Spike &amp; Near 52W High Breakout</t>
        </is>
      </c>
      <c r="S13" s="31" t="inlineStr">
        <is>
          <t>Nifty Bank</t>
        </is>
      </c>
      <c r="T13" s="32" t="n">
        <v>2.28</v>
      </c>
      <c r="U13" s="32" t="n">
        <v>43.3</v>
      </c>
      <c r="V13" s="32" t="n">
        <v>40.11</v>
      </c>
      <c r="W13" s="32" t="n">
        <v>15.87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Above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25</t>
        </is>
      </c>
      <c r="CC13" s="31">
        <f>IF(CB13&gt;20,10,IF(CB13&gt;=10,5,2))</f>
        <v/>
      </c>
    </row>
    <row r="14">
      <c r="A14" s="31">
        <f>IF(B14=0,"",RANK(B14,$B$2:$B$17,0))</f>
        <v/>
      </c>
      <c r="B14" s="32">
        <f>SUM(N14,Y14,AA14,AC14,AE14,AG14,AI14,AK14,AM14,AO14,AQ14,AS14,AU14,AW14,AY14,BA14,BC14,BE14,BG14,BI14,BK14,BM14,BO14,BQ14,BS14,BU14,BW14,BY14,CA14,CC14)</f>
        <v/>
      </c>
      <c r="C14" s="34" t="inlineStr">
        <is>
          <t>BFINVEST</t>
        </is>
      </c>
      <c r="D14" s="34" t="inlineStr">
        <is>
          <t>BF Investment Ltd</t>
        </is>
      </c>
      <c r="E14" s="31" t="inlineStr">
        <is>
          <t>financials</t>
        </is>
      </c>
      <c r="F14" s="31" t="inlineStr">
        <is>
          <t>Finance &amp; Investments - Others</t>
        </is>
      </c>
      <c r="G14" s="31" t="inlineStr">
        <is>
          <t>smallcap</t>
        </is>
      </c>
      <c r="H14" s="32" t="n">
        <v>1864.55</v>
      </c>
      <c r="I14" s="32" t="n">
        <v>495</v>
      </c>
      <c r="J14" s="32" t="n">
        <v>11.29</v>
      </c>
      <c r="K14" s="32" t="n">
        <v>0</v>
      </c>
      <c r="L14" s="31" t="n">
        <v>32</v>
      </c>
      <c r="M14" s="31" t="inlineStr">
        <is>
          <t>Underperforming</t>
        </is>
      </c>
      <c r="N14" s="32">
        <f>IF(M14="Underperforming",-5,IF(L14&gt;=95,15,IF(L14&gt;=90,10,IF(L14&gt;=80,5,0))))</f>
        <v/>
      </c>
      <c r="O14" s="32" t="n">
        <v>66.79000000000001</v>
      </c>
      <c r="P14" s="32" t="n">
        <v>18.06</v>
      </c>
      <c r="Q14" s="32" t="n">
        <v>383.38</v>
      </c>
      <c r="R14" s="31" t="inlineStr">
        <is>
          <t>Volume Spike &amp; Near 52W High Breakout</t>
        </is>
      </c>
      <c r="S14" s="31" t="inlineStr">
        <is>
          <t>Nifty Bank</t>
        </is>
      </c>
      <c r="T14" s="32" t="n">
        <v>2.28</v>
      </c>
      <c r="U14" s="32" t="n">
        <v>0.98</v>
      </c>
      <c r="V14" s="32" t="n">
        <v>-1.27</v>
      </c>
      <c r="W14" s="32" t="n">
        <v>6.45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15</t>
        </is>
      </c>
      <c r="CC14" s="31">
        <f>IF(CB14&gt;20,10,IF(CB14&gt;=10,5,2))</f>
        <v/>
      </c>
    </row>
    <row r="15">
      <c r="A15" s="31">
        <f>IF(B15=0,"",RANK(B15,$B$2:$B$17,0))</f>
        <v/>
      </c>
      <c r="B15" s="32">
        <f>SUM(N15,Y15,AA15,AC15,AE15,AG15,AI15,AK15,AM15,AO15,AQ15,AS15,AU15,AW15,AY15,BA15,BC15,BE15,BG15,BI15,BK15,BM15,BO15,BQ15,BS15,BU15,BW15,BY15,CA15,CC15)</f>
        <v/>
      </c>
      <c r="C15" s="31" t="inlineStr">
        <is>
          <t>CHOLAFIN</t>
        </is>
      </c>
      <c r="D15" s="31" t="inlineStr">
        <is>
          <t>Cholamandalam Investment &amp; Finance Company Ltd</t>
        </is>
      </c>
      <c r="E15" s="31" t="inlineStr">
        <is>
          <t>financials</t>
        </is>
      </c>
      <c r="F15" s="31" t="inlineStr">
        <is>
          <t>Conglomerate Backed NBFC</t>
        </is>
      </c>
      <c r="G15" s="31" t="inlineStr">
        <is>
          <t>largecap</t>
        </is>
      </c>
      <c r="H15" s="32" t="n">
        <v>154343.76</v>
      </c>
      <c r="I15" s="32" t="n">
        <v>1810.3</v>
      </c>
      <c r="J15" s="32" t="n">
        <v>1.03</v>
      </c>
      <c r="K15" s="32" t="n">
        <v>0</v>
      </c>
      <c r="L15" s="31" t="n">
        <v>32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61.9</v>
      </c>
      <c r="P15" s="32" t="n">
        <v>10.75</v>
      </c>
      <c r="Q15" s="32" t="n">
        <v>1465.44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2.28</v>
      </c>
      <c r="U15" s="32" t="n">
        <v>18.11</v>
      </c>
      <c r="V15" s="32" t="n">
        <v>15.48</v>
      </c>
      <c r="W15" s="32" t="n">
        <v>6.51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16</t>
        </is>
      </c>
      <c r="CC15" s="31">
        <f>IF(CB15&gt;20,10,IF(CB15&gt;=10,5,2))</f>
        <v/>
      </c>
    </row>
    <row r="16">
      <c r="A16" s="31">
        <f>IF(B16=0,"",RANK(B16,$B$2:$B$17,0))</f>
        <v/>
      </c>
      <c r="B16" s="32">
        <f>SUM(N16,Y16,AA16,AC16,AE16,AG16,AI16,AK16,AM16,AO16,AQ16,AS16,AU16,AW16,AY16,BA16,BC16,BE16,BG16,BI16,BK16,BM16,BO16,BQ16,BS16,BU16,BW16,BY16,CA16,CC16)</f>
        <v/>
      </c>
      <c r="C16" s="34" t="inlineStr">
        <is>
          <t>CHOICEIN</t>
        </is>
      </c>
      <c r="D16" s="34" t="inlineStr">
        <is>
          <t>Choice International Ltd</t>
        </is>
      </c>
      <c r="E16" s="31" t="inlineStr">
        <is>
          <t>financials</t>
        </is>
      </c>
      <c r="F16" s="31" t="inlineStr">
        <is>
          <t>Finance - Capital Markets - Brokers</t>
        </is>
      </c>
      <c r="G16" s="31" t="inlineStr">
        <is>
          <t>midcap</t>
        </is>
      </c>
      <c r="H16" s="32" t="n">
        <v>18557.28</v>
      </c>
      <c r="I16" s="32" t="n">
        <v>833</v>
      </c>
      <c r="J16" s="32" t="n">
        <v>0.31</v>
      </c>
      <c r="K16" s="32" t="n">
        <v>0</v>
      </c>
      <c r="L16" s="31" t="inlineStr"/>
      <c r="M16" s="31" t="inlineStr"/>
      <c r="N16" s="32">
        <f>IF(M16="Underperforming",-5,IF(L16&gt;=95,15,IF(L16&gt;=90,10,IF(L16&gt;=80,5,0))))</f>
        <v/>
      </c>
      <c r="O16" s="32" t="inlineStr"/>
      <c r="P16" s="32" t="inlineStr"/>
      <c r="Q16" s="32" t="inlineStr"/>
      <c r="R16" s="31" t="inlineStr"/>
      <c r="S16" s="31" t="inlineStr"/>
      <c r="T16" s="32" t="inlineStr"/>
      <c r="U16" s="32" t="inlineStr"/>
      <c r="V16" s="32" t="inlineStr"/>
      <c r="W16" s="32" t="inlineStr"/>
      <c r="X16" s="31" t="n"/>
      <c r="Y16" s="31">
        <f>IF(X16="Growing Industry",10,IF(X16="Cyclical in an Upturn",5,0))</f>
        <v/>
      </c>
      <c r="Z16" s="31" t="n"/>
      <c r="AA16" s="31">
        <f>IF(Z16="Fragmented with Low ROE",-5,IF(Z16="Fragmented with High ROE",10,IF(Z16= "highly cyclical",5,0)))</f>
        <v/>
      </c>
      <c r="AB16" s="31" t="n"/>
      <c r="AC16" s="31">
        <f>IF(AB16="No",5,0)</f>
        <v/>
      </c>
      <c r="AD16" s="31" t="n"/>
      <c r="AE16" s="31">
        <f>IF(AD16="Tailwind",10,0)</f>
        <v/>
      </c>
      <c r="AF16" s="31" t="n"/>
      <c r="AG16" s="31">
        <f>IF(AF16="Structural (10 Years Consistency)",15,IF(AF16="Shallow Cyclical (2 to 3 years growth)",10,IF(AF16 = "Cyclical in an Uptick",5,IF(AF16 = "Cyclical in an Downtick",-10,0))))</f>
        <v/>
      </c>
      <c r="AH16" s="31" t="n"/>
      <c r="AI16" s="31">
        <f>IF(AH16="Yes",10,0)</f>
        <v/>
      </c>
      <c r="AJ16" s="31" t="n"/>
      <c r="AK16" s="31">
        <f>IF(AJ16="Yes",10,0)</f>
        <v/>
      </c>
      <c r="AL16" s="31" t="n"/>
      <c r="AM16" s="31">
        <f>IF(AL16="No",10,0)</f>
        <v/>
      </c>
      <c r="AN16" s="31" t="n"/>
      <c r="AO16" s="31">
        <f>IF(AN16="Yes",10,0)</f>
        <v/>
      </c>
      <c r="AP16" s="31" t="n"/>
      <c r="AQ16" s="31">
        <f>IF(AP16="Yes",10,0)</f>
        <v/>
      </c>
      <c r="AR16" s="31" t="n"/>
      <c r="AS16" s="31">
        <f>IF(AR16="Yes",5,0)</f>
        <v/>
      </c>
      <c r="AT16" s="31" t="n"/>
      <c r="AU16" s="31">
        <f>IF(AT16="No",10,IF(AT16="Yes",-10,0))</f>
        <v/>
      </c>
      <c r="AV16" s="31" t="n"/>
      <c r="AW16" s="31">
        <f>IF(AV16="No",10,0)</f>
        <v/>
      </c>
      <c r="AX16" s="31" t="n"/>
      <c r="AY16" s="31">
        <f>IF(AX16="No",10,IF(AX16= "Yes CEO Resignation",-5,0))</f>
        <v/>
      </c>
      <c r="AZ16" s="31" t="n"/>
      <c r="BA16" s="31">
        <f>IF(AZ16="No",10,IF(AZ16="Yes",-5,0))</f>
        <v/>
      </c>
      <c r="BB16" s="31" t="n"/>
      <c r="BC16" s="31">
        <f>IF(BB16="No",5,IF(BB16="Yes",-5,0))</f>
        <v/>
      </c>
      <c r="BD16" s="31" t="n"/>
      <c r="BE16" s="31">
        <f>IF(BD16="Yes",10,0)</f>
        <v/>
      </c>
      <c r="BF16" s="31" t="n"/>
      <c r="BG16" s="31">
        <f>IF(BF16="Yes",10,0)</f>
        <v/>
      </c>
      <c r="BH16" s="31" t="n"/>
      <c r="BI16" s="31">
        <f>IF(BH16="Yes",10,0)</f>
        <v/>
      </c>
      <c r="BJ16" s="31" t="n"/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n"/>
      <c r="BM16" s="31">
        <f>IF(BL16="Above 40",20,IF(BL16="20 to 40",10,IF(BL16="0 to 20",-5,0)))</f>
        <v/>
      </c>
      <c r="BN16" s="31" t="n"/>
      <c r="BO16" s="31">
        <f>IF(BN16="Between 50 to 75",10,IF(BN16="Above 75",0,0))</f>
        <v/>
      </c>
      <c r="BP16" s="31" t="n"/>
      <c r="BQ16" s="31">
        <f>IF(BP16="Stage 2",20,IF(BP16="Stage 1",0,IF(BP16="Stage 3",5,IF(BP16="Stage 4",-5,0))))</f>
        <v/>
      </c>
      <c r="BR16" s="31" t="n"/>
      <c r="BS16" s="31">
        <f>IF(BR16="Positive Trend",20,IF(BR16="Negative Trend",-10,0))</f>
        <v/>
      </c>
      <c r="BT16" s="31" t="n"/>
      <c r="BU16" s="31">
        <f>IF(BT16="Uptrend",10,IF(BT16="Sideways",5,0))</f>
        <v/>
      </c>
      <c r="BV16" s="31" t="n"/>
      <c r="BW16" s="31">
        <f>IF(BV16="Uptrend",10,IF(BV16="Sideways",5,0))</f>
        <v/>
      </c>
      <c r="BX16" s="31" t="n"/>
      <c r="BY16" s="31">
        <f>IF(BX16="Overhead supply in last 2 years in last 2 years",-5,IF(BX16="Close to 52 week high or retracement",5,IF(BX16="Blue sky scenario",10,IF(BX16="Long term Downtrend",-10,0))))</f>
        <v/>
      </c>
      <c r="BZ16" s="31" t="n"/>
      <c r="CA16" s="31">
        <f>IF(BZ16="Yes",10,0)</f>
        <v/>
      </c>
      <c r="CB16" s="31" t="n"/>
      <c r="CC16" s="31">
        <f>IF(CB16&gt;20,10,IF(CB16&gt;=10,5,2))</f>
        <v/>
      </c>
    </row>
    <row r="17">
      <c r="A17" s="31">
        <f>IF(B17=0,"",RANK(B17,$B$2:$B$17,0))</f>
        <v/>
      </c>
      <c r="B17" s="32">
        <f>SUM(N17,Y17,AA17,AC17,AE17,AG17,AI17,AK17,AM17,AO17,AQ17,AS17,AU17,AW17,AY17,BA17,BC17,BE17,BG17,BI17,BK17,BM17,BO17,BQ17,BS17,BU17,BW17,BY17,CA17,CC17)</f>
        <v/>
      </c>
      <c r="C17" s="31" t="inlineStr">
        <is>
          <t>ANANDRATHI</t>
        </is>
      </c>
      <c r="D17" s="31" t="inlineStr">
        <is>
          <t>Anand Rathi Wealth Ltd</t>
        </is>
      </c>
      <c r="E17" s="31" t="inlineStr">
        <is>
          <t>financials</t>
        </is>
      </c>
      <c r="F17" s="31" t="inlineStr">
        <is>
          <t>Finance - Capital Markets - Wealth Management</t>
        </is>
      </c>
      <c r="G17" s="31" t="inlineStr">
        <is>
          <t>largecap</t>
        </is>
      </c>
      <c r="H17" s="32" t="n">
        <v>35516.23</v>
      </c>
      <c r="I17" s="32" t="n">
        <v>2139</v>
      </c>
      <c r="J17" s="32" t="n">
        <v>2.07</v>
      </c>
      <c r="K17" s="32" t="n">
        <v>0</v>
      </c>
      <c r="L17" s="31" t="inlineStr"/>
      <c r="M17" s="31" t="inlineStr"/>
      <c r="N17" s="32">
        <f>IF(M17="Underperforming",-5,IF(L17&gt;=95,15,IF(L17&gt;=90,10,IF(L17&gt;=80,5,0))))</f>
        <v/>
      </c>
      <c r="O17" s="32" t="inlineStr"/>
      <c r="P17" s="32" t="inlineStr"/>
      <c r="Q17" s="32" t="inlineStr"/>
      <c r="R17" s="31" t="inlineStr"/>
      <c r="S17" s="31" t="inlineStr"/>
      <c r="T17" s="32" t="inlineStr"/>
      <c r="U17" s="32" t="inlineStr"/>
      <c r="V17" s="32" t="inlineStr"/>
      <c r="W17" s="32" t="inlineStr"/>
      <c r="X17" s="31" t="n"/>
      <c r="Y17" s="31">
        <f>IF(X17="Growing Industry",10,IF(X17="Cyclical in an Upturn",5,0))</f>
        <v/>
      </c>
      <c r="Z17" s="31" t="n"/>
      <c r="AA17" s="31">
        <f>IF(Z17="Fragmented with Low ROE",-5,IF(Z17="Fragmented with High ROE",10,IF(Z17= "highly cyclical",5,0)))</f>
        <v/>
      </c>
      <c r="AB17" s="31" t="n"/>
      <c r="AC17" s="31">
        <f>IF(AB17="No",5,0)</f>
        <v/>
      </c>
      <c r="AD17" s="31" t="n"/>
      <c r="AE17" s="31">
        <f>IF(AD17="Tailwind",10,0)</f>
        <v/>
      </c>
      <c r="AF17" s="31" t="n"/>
      <c r="AG17" s="31">
        <f>IF(AF17="Structural (10 Years Consistency)",15,IF(AF17="Shallow Cyclical (2 to 3 years growth)",10,IF(AF17 = "Cyclical in an Uptick",5,IF(AF17 = "Cyclical in an Downtick",-10,0))))</f>
        <v/>
      </c>
      <c r="AH17" s="31" t="n"/>
      <c r="AI17" s="31">
        <f>IF(AH17="Yes",10,0)</f>
        <v/>
      </c>
      <c r="AJ17" s="31" t="n"/>
      <c r="AK17" s="31">
        <f>IF(AJ17="Yes",10,0)</f>
        <v/>
      </c>
      <c r="AL17" s="31" t="n"/>
      <c r="AM17" s="31">
        <f>IF(AL17="No",10,0)</f>
        <v/>
      </c>
      <c r="AN17" s="31" t="n"/>
      <c r="AO17" s="31">
        <f>IF(AN17="Yes",10,0)</f>
        <v/>
      </c>
      <c r="AP17" s="31" t="n"/>
      <c r="AQ17" s="31">
        <f>IF(AP17="Yes",10,0)</f>
        <v/>
      </c>
      <c r="AR17" s="31" t="n"/>
      <c r="AS17" s="31">
        <f>IF(AR17="Yes",5,0)</f>
        <v/>
      </c>
      <c r="AT17" s="31" t="n"/>
      <c r="AU17" s="31">
        <f>IF(AT17="No",10,IF(AT17="Yes",-10,0))</f>
        <v/>
      </c>
      <c r="AV17" s="31" t="n"/>
      <c r="AW17" s="31">
        <f>IF(AV17="No",10,0)</f>
        <v/>
      </c>
      <c r="AX17" s="31" t="n"/>
      <c r="AY17" s="31">
        <f>IF(AX17="No",10,IF(AX17= "Yes CEO Resignation",-5,0))</f>
        <v/>
      </c>
      <c r="AZ17" s="31" t="n"/>
      <c r="BA17" s="31">
        <f>IF(AZ17="No",10,IF(AZ17="Yes",-5,0))</f>
        <v/>
      </c>
      <c r="BB17" s="31" t="n"/>
      <c r="BC17" s="31">
        <f>IF(BB17="No",5,IF(BB17="Yes",-5,0))</f>
        <v/>
      </c>
      <c r="BD17" s="31" t="n"/>
      <c r="BE17" s="31">
        <f>IF(BD17="Yes",10,0)</f>
        <v/>
      </c>
      <c r="BF17" s="31" t="n"/>
      <c r="BG17" s="31">
        <f>IF(BF17="Yes",10,0)</f>
        <v/>
      </c>
      <c r="BH17" s="31" t="n"/>
      <c r="BI17" s="31">
        <f>IF(BH17="Yes",10,0)</f>
        <v/>
      </c>
      <c r="BJ17" s="31" t="n"/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n"/>
      <c r="BM17" s="31">
        <f>IF(BL17="Above 40",20,IF(BL17="20 to 40",10,IF(BL17="0 to 20",-5,0)))</f>
        <v/>
      </c>
      <c r="BN17" s="31" t="n"/>
      <c r="BO17" s="31">
        <f>IF(BN17="Between 50 to 75",10,IF(BN17="Above 75",0,0))</f>
        <v/>
      </c>
      <c r="BP17" s="31" t="n"/>
      <c r="BQ17" s="31">
        <f>IF(BP17="Stage 2",20,IF(BP17="Stage 1",0,IF(BP17="Stage 3",5,IF(BP17="Stage 4",-5,0))))</f>
        <v/>
      </c>
      <c r="BR17" s="31" t="n"/>
      <c r="BS17" s="31">
        <f>IF(BR17="Positive Trend",20,IF(BR17="Negative Trend",-10,0))</f>
        <v/>
      </c>
      <c r="BT17" s="31" t="n"/>
      <c r="BU17" s="31">
        <f>IF(BT17="Uptrend",10,IF(BT17="Sideways",5,0))</f>
        <v/>
      </c>
      <c r="BV17" s="31" t="n"/>
      <c r="BW17" s="31">
        <f>IF(BV17="Uptrend",10,IF(BV17="Sideways",5,0))</f>
        <v/>
      </c>
      <c r="BX17" s="31" t="n"/>
      <c r="BY17" s="31">
        <f>IF(BX17="Overhead supply in last 2 years in last 2 years",-5,IF(BX17="Close to 52 week high or retracement",5,IF(BX17="Blue sky scenario",10,IF(BX17="Long term Downtrend",-10,0))))</f>
        <v/>
      </c>
      <c r="BZ17" s="31" t="n"/>
      <c r="CA17" s="31">
        <f>IF(BZ17="Yes",10,0)</f>
        <v/>
      </c>
      <c r="CB17" s="31" t="n"/>
      <c r="CC17" s="31">
        <f>IF(CB17&gt;20,10,IF(CB17&gt;=10,5,2))</f>
        <v/>
      </c>
    </row>
    <row r="21">
      <c r="A21" s="25" t="inlineStr">
        <is>
          <t>❌ REMOVED SCAN MATCH STOCKS (THIS WEEK)</t>
        </is>
      </c>
    </row>
    <row r="22">
      <c r="A22" s="35" t="inlineStr">
        <is>
          <t>Symbol</t>
        </is>
      </c>
      <c r="B22" s="35" t="inlineStr">
        <is>
          <t>Company Name</t>
        </is>
      </c>
      <c r="C22" s="35" t="inlineStr">
        <is>
          <t>Sector</t>
        </is>
      </c>
      <c r="D22" s="35" t="inlineStr">
        <is>
          <t>Date of Removal</t>
        </is>
      </c>
    </row>
    <row r="23">
      <c r="A23" s="36" t="inlineStr">
        <is>
          <t>CANFINHOME</t>
        </is>
      </c>
      <c r="B23" s="37" t="inlineStr">
        <is>
          <t>Can Fin Homes Limited</t>
        </is>
      </c>
      <c r="C23" s="37" t="inlineStr">
        <is>
          <t>Financial Services</t>
        </is>
      </c>
      <c r="D23" s="38" t="inlineStr">
        <is>
          <t>2026-07-07</t>
        </is>
      </c>
    </row>
    <row r="24">
      <c r="A24" s="36" t="inlineStr">
        <is>
          <t>CREDITACC</t>
        </is>
      </c>
      <c r="B24" s="37" t="inlineStr">
        <is>
          <t>CreditAccess Grameen Limited</t>
        </is>
      </c>
      <c r="C24" s="37" t="inlineStr">
        <is>
          <t>Financial Services</t>
        </is>
      </c>
      <c r="D24" s="38" t="inlineStr">
        <is>
          <t>2026-07-09</t>
        </is>
      </c>
    </row>
    <row r="25">
      <c r="A25" s="36" t="inlineStr">
        <is>
          <t>LTF</t>
        </is>
      </c>
      <c r="B25" s="37" t="inlineStr">
        <is>
          <t>L&amp;T Finance Limited</t>
        </is>
      </c>
      <c r="C25" s="37" t="inlineStr">
        <is>
          <t>Financial Services</t>
        </is>
      </c>
      <c r="D25" s="38" t="inlineStr">
        <is>
          <t>2026-07-08</t>
        </is>
      </c>
    </row>
    <row r="26">
      <c r="A26" s="36" t="inlineStr">
        <is>
          <t>MAHABANK</t>
        </is>
      </c>
      <c r="B26" s="37" t="inlineStr">
        <is>
          <t>MAHABANK</t>
        </is>
      </c>
      <c r="C26" s="37" t="inlineStr">
        <is>
          <t>unknown</t>
        </is>
      </c>
      <c r="D26" s="38" t="inlineStr">
        <is>
          <t>2026-07-07</t>
        </is>
      </c>
    </row>
    <row r="27">
      <c r="A27" s="36" t="inlineStr">
        <is>
          <t>NAM-INDIA</t>
        </is>
      </c>
      <c r="B27" s="37" t="inlineStr">
        <is>
          <t>Nippon Life India Asset Management Limited</t>
        </is>
      </c>
      <c r="C27" s="37" t="inlineStr">
        <is>
          <t>Financial Services</t>
        </is>
      </c>
      <c r="D27" s="38" t="inlineStr">
        <is>
          <t>2026-07-09</t>
        </is>
      </c>
    </row>
  </sheetData>
  <autoFilter ref="A1:CC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7">
    <cfRule type="cellIs" priority="35" operator="equal" dxfId="3" stopIfTrue="1">
      <formula>"Underperforming"</formula>
    </cfRule>
  </conditionalFormatting>
  <conditionalFormatting sqref="N2:N17">
    <cfRule type="cellIs" priority="36" operator="equal" dxfId="3" stopIfTrue="1">
      <formula>-5</formula>
    </cfRule>
  </conditionalFormatting>
  <conditionalFormatting sqref="Q2:Q1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7" showDropDown="0" showInputMessage="0" showErrorMessage="0" allowBlank="1" type="list">
      <formula1>"Growing Industry,Stagnant Industry,Cyclical in an Upturn"</formula1>
    </dataValidation>
    <dataValidation sqref="Z2:Z17" showDropDown="0" showInputMessage="0" showErrorMessage="0" allowBlank="1" type="list">
      <formula1>"Fragmented with Low ROE,Fragmented with High ROE,Highly Cyclical"</formula1>
    </dataValidation>
    <dataValidation sqref="AB2:AB17" showDropDown="0" showInputMessage="0" showErrorMessage="0" allowBlank="1" type="list">
      <formula1>"Yes,No"</formula1>
    </dataValidation>
    <dataValidation sqref="AD2:AD17" showDropDown="0" showInputMessage="0" showErrorMessage="0" allowBlank="1" type="list">
      <formula1>"Tailwind,Headwind"</formula1>
    </dataValidation>
    <dataValidation sqref="AF2:AF1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7" showDropDown="0" showInputMessage="0" showErrorMessage="0" allowBlank="1" type="list">
      <formula1>"Yes,No"</formula1>
    </dataValidation>
    <dataValidation sqref="AJ2:AJ17" showDropDown="0" showInputMessage="0" showErrorMessage="0" allowBlank="1" type="list">
      <formula1>"Yes,No,Not Applicable"</formula1>
    </dataValidation>
    <dataValidation sqref="AL2:AL17" showDropDown="0" showInputMessage="0" showErrorMessage="0" allowBlank="1" type="list">
      <formula1>"Yes,No"</formula1>
    </dataValidation>
    <dataValidation sqref="AN2:AN17" showDropDown="0" showInputMessage="0" showErrorMessage="0" allowBlank="1" type="list">
      <formula1>"Yes,No"</formula1>
    </dataValidation>
    <dataValidation sqref="AP2:AP17" showDropDown="0" showInputMessage="0" showErrorMessage="0" allowBlank="1" type="list">
      <formula1>"Yes,No"</formula1>
    </dataValidation>
    <dataValidation sqref="AR2:AR17" showDropDown="0" showInputMessage="0" showErrorMessage="0" allowBlank="1" type="list">
      <formula1>"Yes,No"</formula1>
    </dataValidation>
    <dataValidation sqref="AT2:AT17" showDropDown="0" showInputMessage="0" showErrorMessage="0" allowBlank="1" type="list">
      <formula1>"No,Yes"</formula1>
    </dataValidation>
    <dataValidation sqref="AV2:AV17" showDropDown="0" showInputMessage="0" showErrorMessage="0" allowBlank="1" type="list">
      <formula1>"No,Yes"</formula1>
    </dataValidation>
    <dataValidation sqref="AX2:AX17" showDropDown="0" showInputMessage="0" showErrorMessage="0" allowBlank="1" type="list">
      <formula1>"No,Yes CEO Resignation,Yes CEO Retirement"</formula1>
    </dataValidation>
    <dataValidation sqref="AZ2:AZ17" showDropDown="0" showInputMessage="0" showErrorMessage="0" allowBlank="1" type="list">
      <formula1>"No,Yes"</formula1>
    </dataValidation>
    <dataValidation sqref="BB2:BB17" showDropDown="0" showInputMessage="0" showErrorMessage="0" allowBlank="1" type="list">
      <formula1>"No,Yes"</formula1>
    </dataValidation>
    <dataValidation sqref="BD2:BD17" showDropDown="0" showInputMessage="0" showErrorMessage="0" allowBlank="1" type="list">
      <formula1>"Yes,No"</formula1>
    </dataValidation>
    <dataValidation sqref="BF2:BF17" showDropDown="0" showInputMessage="0" showErrorMessage="0" allowBlank="1" type="list">
      <formula1>"Yes,No"</formula1>
    </dataValidation>
    <dataValidation sqref="BH2:BH17" showDropDown="0" showInputMessage="0" showErrorMessage="0" allowBlank="1" type="list">
      <formula1>"Yes,No"</formula1>
    </dataValidation>
    <dataValidation sqref="BJ2:BJ1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7" showDropDown="0" showInputMessage="0" showErrorMessage="0" allowBlank="1" type="list">
      <formula1>"Above 40,20 to 40,0 to 20"</formula1>
    </dataValidation>
    <dataValidation sqref="BN2:BN17" showDropDown="0" showInputMessage="0" showErrorMessage="0" allowBlank="1" type="list">
      <formula1>"Between 50 to 75,Above 75,Below 45"</formula1>
    </dataValidation>
    <dataValidation sqref="BP2:BP17" showDropDown="0" showInputMessage="0" showErrorMessage="0" allowBlank="1" type="list">
      <formula1>"Stage 1,Stage 2,Stage 3,Stage 4"</formula1>
    </dataValidation>
    <dataValidation sqref="BR2:BR17" showDropDown="0" showInputMessage="0" showErrorMessage="0" allowBlank="1" type="list">
      <formula1>"Positive Trend,Negative Trend"</formula1>
    </dataValidation>
    <dataValidation sqref="BT2:BT17" showDropDown="0" showInputMessage="0" showErrorMessage="0" allowBlank="1" type="list">
      <formula1>"Uptrend,Sideways,Downtrend"</formula1>
    </dataValidation>
    <dataValidation sqref="BV2:BV17" showDropDown="0" showInputMessage="0" showErrorMessage="0" allowBlank="1" type="list">
      <formula1>"Uptrend,Sideways,Downtrend"</formula1>
    </dataValidation>
    <dataValidation sqref="BX2:BX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2026-07-10T12:40:04Z</dcterms:created>
  <dcterms:modified xmlns:dcterms="http://purl.org/dc/terms/" xmlns:xsi="http://www.w3.org/2001/XMLSchema-instance" xsi:type="dcterms:W3CDTF">2026-07-10T12:42:45Z</dcterms:modified>
</cp:coreProperties>
</file>