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Monit Non Financial" sheetId="4" state="visible" r:id="rId4"/>
    <sheet xmlns:r="http://schemas.openxmlformats.org/officeDocument/2006/relationships" name="Monit Banks NBFC" sheetId="5" state="visible" r:id="rId5"/>
    <sheet xmlns:r="http://schemas.openxmlformats.org/officeDocument/2006/relationships" name="Scanner Non Financial" sheetId="6" state="visible" r:id="rId6"/>
    <sheet xmlns:r="http://schemas.openxmlformats.org/officeDocument/2006/relationships" name="Scanner Banks NBFC" sheetId="7" state="visible" r:id="rId7"/>
    <sheet xmlns:r="http://schemas.openxmlformats.org/officeDocument/2006/relationships" name="Scan Match Non Financial" sheetId="8" state="visible" r:id="rId8"/>
    <sheet xmlns:r="http://schemas.openxmlformats.org/officeDocument/2006/relationships" name="Scan Match Banks NBFC" sheetId="9" state="visible" r:id="rId9"/>
    <sheet xmlns:r="http://schemas.openxmlformats.org/officeDocument/2006/relationships" name="Confluence Overlap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Universe'!$A$1:$J$339</definedName>
    <definedName name="_xlnm._FilterDatabase" localSheetId="3" hidden="1">'Monit Non Financial'!$A$1:$CE$306</definedName>
    <definedName name="_xlnm._FilterDatabase" localSheetId="4" hidden="1">'Monit Banks NBFC'!$A$1:$CA$34</definedName>
    <definedName name="_xlnm._FilterDatabase" localSheetId="5" hidden="1">'Scanner Non Financial'!$A$1:$CJ$22</definedName>
    <definedName name="_xlnm._FilterDatabase" localSheetId="6" hidden="1">'Scanner Banks NBFC'!$A$1:$CF$2</definedName>
    <definedName name="_xlnm._FilterDatabase" localSheetId="7" hidden="1">'Scan Match Non Financial'!$A$1:$CG$96</definedName>
    <definedName name="_xlnm._FilterDatabase" localSheetId="8" hidden="1">'Scan Match Banks NBFC'!$A$1:$CC$6</definedName>
    <definedName name="_xlnm._FilterDatabase" localSheetId="9" hidden="1">'Confluence Overlap'!$A$1:$J$93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Friday, 05 June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7" customWidth="1" min="2" max="2"/>
    <col width="25" customWidth="1" min="3" max="3"/>
    <col width="48" customWidth="1" min="4" max="4"/>
    <col width="21" customWidth="1" min="5" max="5"/>
    <col width="34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396</v>
      </c>
      <c r="C6" s="17" t="inlineStr">
        <is>
          <t>GRANULES</t>
        </is>
      </c>
      <c r="D6" s="18" t="inlineStr">
        <is>
          <t>Granules India Limited</t>
        </is>
      </c>
      <c r="E6" s="18" t="inlineStr">
        <is>
          <t>healthcare</t>
        </is>
      </c>
      <c r="F6" s="16" t="n">
        <v>51</v>
      </c>
      <c r="G6" s="19" t="n">
        <v>19609.41</v>
      </c>
      <c r="H6" s="18" t="inlineStr">
        <is>
          <t>Potential Leader</t>
        </is>
      </c>
      <c r="J6" s="18" t="inlineStr">
        <is>
          <t>services</t>
        </is>
      </c>
      <c r="K6" s="16" t="n">
        <v>45</v>
      </c>
      <c r="L6" s="16" t="n">
        <v>26</v>
      </c>
      <c r="M6" s="20" t="inlineStr">
        <is>
          <t>73.1%</t>
        </is>
      </c>
    </row>
    <row r="7">
      <c r="A7" s="16" t="n">
        <v>2</v>
      </c>
      <c r="B7" s="17" t="n">
        <v>384</v>
      </c>
      <c r="C7" s="17" t="inlineStr">
        <is>
          <t>HONASA</t>
        </is>
      </c>
      <c r="D7" s="18" t="inlineStr">
        <is>
          <t>Honasa Consumer Ltd</t>
        </is>
      </c>
      <c r="E7" s="18" t="inlineStr">
        <is>
          <t>services</t>
        </is>
      </c>
      <c r="F7" s="16" t="n">
        <v>49</v>
      </c>
      <c r="G7" s="19" t="n">
        <v>13569.55</v>
      </c>
      <c r="H7" s="18" t="inlineStr">
        <is>
          <t>Potential Leader</t>
        </is>
      </c>
      <c r="J7" s="18" t="inlineStr">
        <is>
          <t>building materials</t>
        </is>
      </c>
      <c r="K7" s="16" t="n">
        <v>36</v>
      </c>
      <c r="L7" s="16" t="n">
        <v>23</v>
      </c>
      <c r="M7" s="20" t="inlineStr">
        <is>
          <t>56.5%</t>
        </is>
      </c>
    </row>
    <row r="8">
      <c r="A8" s="16" t="n">
        <v>3</v>
      </c>
      <c r="B8" s="17" t="n">
        <v>372</v>
      </c>
      <c r="C8" s="17" t="inlineStr">
        <is>
          <t>ADANIPOWER</t>
        </is>
      </c>
      <c r="D8" s="18" t="inlineStr">
        <is>
          <t>Adani Power Limited</t>
        </is>
      </c>
      <c r="E8" s="18" t="inlineStr">
        <is>
          <t>power &amp; utilities</t>
        </is>
      </c>
      <c r="F8" s="16" t="n">
        <v>47</v>
      </c>
      <c r="G8" s="19" t="n">
        <v>443605.83</v>
      </c>
      <c r="H8" s="18" t="inlineStr">
        <is>
          <t>Potential Leader</t>
        </is>
      </c>
      <c r="J8" s="18" t="inlineStr">
        <is>
          <t>energy</t>
        </is>
      </c>
      <c r="K8" s="16" t="n">
        <v>45</v>
      </c>
      <c r="L8" s="16" t="n">
        <v>31</v>
      </c>
      <c r="M8" s="20" t="inlineStr">
        <is>
          <t>45.2%</t>
        </is>
      </c>
    </row>
    <row r="9">
      <c r="A9" s="16" t="n">
        <v>4</v>
      </c>
      <c r="B9" s="17" t="n">
        <v>372</v>
      </c>
      <c r="C9" s="17" t="inlineStr">
        <is>
          <t>BLISSGVS</t>
        </is>
      </c>
      <c r="D9" s="18" t="inlineStr">
        <is>
          <t>Bliss Gvs Pharma Limited</t>
        </is>
      </c>
      <c r="E9" s="18" t="inlineStr">
        <is>
          <t>healthcare</t>
        </is>
      </c>
      <c r="F9" s="16" t="n">
        <v>47</v>
      </c>
      <c r="G9" s="19" t="n">
        <v>4826.09</v>
      </c>
      <c r="H9" s="18" t="inlineStr">
        <is>
          <t>Potential Leader</t>
        </is>
      </c>
      <c r="J9" s="18" t="inlineStr">
        <is>
          <t>fmcg</t>
        </is>
      </c>
      <c r="K9" s="16" t="n">
        <v>73</v>
      </c>
      <c r="L9" s="16" t="n">
        <v>52</v>
      </c>
      <c r="M9" s="20" t="inlineStr">
        <is>
          <t>40.4%</t>
        </is>
      </c>
    </row>
    <row r="10">
      <c r="A10" s="16" t="n">
        <v>5</v>
      </c>
      <c r="B10" s="17" t="n">
        <v>372</v>
      </c>
      <c r="C10" s="17" t="inlineStr">
        <is>
          <t>DEEDEV</t>
        </is>
      </c>
      <c r="D10" s="18" t="inlineStr">
        <is>
          <t>DEE Development Engineers Ltd</t>
        </is>
      </c>
      <c r="E10" s="18" t="inlineStr">
        <is>
          <t>metals &amp; mining</t>
        </is>
      </c>
      <c r="F10" s="16" t="n">
        <v>47</v>
      </c>
      <c r="G10" s="19" t="n">
        <v>4427.31</v>
      </c>
      <c r="H10" s="18" t="inlineStr">
        <is>
          <t>Potential Leader</t>
        </is>
      </c>
      <c r="J10" s="18" t="inlineStr">
        <is>
          <t>media</t>
        </is>
      </c>
      <c r="K10" s="16" t="n">
        <v>11</v>
      </c>
      <c r="L10" s="16" t="n">
        <v>8</v>
      </c>
      <c r="M10" s="20" t="inlineStr">
        <is>
          <t>37.5%</t>
        </is>
      </c>
    </row>
    <row r="11">
      <c r="A11" s="16" t="n">
        <v>6</v>
      </c>
      <c r="B11" s="17" t="n">
        <v>366</v>
      </c>
      <c r="C11" s="17" t="inlineStr">
        <is>
          <t>ARVIND</t>
        </is>
      </c>
      <c r="D11" s="18" t="inlineStr">
        <is>
          <t>Arvind Limited</t>
        </is>
      </c>
      <c r="E11" s="18" t="inlineStr">
        <is>
          <t>textiles</t>
        </is>
      </c>
      <c r="F11" s="16" t="n">
        <v>46</v>
      </c>
      <c r="G11" s="19" t="n">
        <v>13133.25</v>
      </c>
      <c r="H11" s="18" t="inlineStr">
        <is>
          <t>Potential Leader</t>
        </is>
      </c>
      <c r="J11" s="18" t="inlineStr">
        <is>
          <t>consumer discretionary</t>
        </is>
      </c>
      <c r="K11" s="16" t="n">
        <v>111</v>
      </c>
      <c r="L11" s="16" t="n">
        <v>82</v>
      </c>
      <c r="M11" s="20" t="inlineStr">
        <is>
          <t>35.4%</t>
        </is>
      </c>
    </row>
    <row r="12">
      <c r="A12" s="16" t="n">
        <v>7</v>
      </c>
      <c r="B12" s="17" t="n">
        <v>366</v>
      </c>
      <c r="C12" s="17" t="inlineStr">
        <is>
          <t>NITINSPIN</t>
        </is>
      </c>
      <c r="D12" s="18" t="inlineStr">
        <is>
          <t>Nitin Spinners Limited</t>
        </is>
      </c>
      <c r="E12" s="18" t="inlineStr">
        <is>
          <t>textiles</t>
        </is>
      </c>
      <c r="F12" s="16" t="n">
        <v>46</v>
      </c>
      <c r="G12" s="19" t="n">
        <v>3044.59</v>
      </c>
      <c r="H12" s="18" t="inlineStr">
        <is>
          <t>Potential Leader</t>
        </is>
      </c>
      <c r="J12" s="18" t="inlineStr">
        <is>
          <t>textiles</t>
        </is>
      </c>
      <c r="K12" s="16" t="n">
        <v>92</v>
      </c>
      <c r="L12" s="16" t="n">
        <v>68</v>
      </c>
      <c r="M12" s="20" t="inlineStr">
        <is>
          <t>35.3%</t>
        </is>
      </c>
    </row>
    <row r="13">
      <c r="A13" s="16" t="n">
        <v>8</v>
      </c>
      <c r="B13" s="17" t="n">
        <v>366</v>
      </c>
      <c r="C13" s="17" t="inlineStr">
        <is>
          <t>RPTECH</t>
        </is>
      </c>
      <c r="D13" s="18" t="inlineStr">
        <is>
          <t>Rashi Peripherals Ltd</t>
        </is>
      </c>
      <c r="E13" s="18" t="inlineStr">
        <is>
          <t>services</t>
        </is>
      </c>
      <c r="F13" s="16" t="n">
        <v>46</v>
      </c>
      <c r="G13" s="19" t="n">
        <v>3553.64</v>
      </c>
      <c r="H13" s="18" t="inlineStr">
        <is>
          <t>Potential Leader</t>
        </is>
      </c>
      <c r="J13" s="18" t="inlineStr">
        <is>
          <t>transportation</t>
        </is>
      </c>
      <c r="K13" s="16" t="n">
        <v>17</v>
      </c>
      <c r="L13" s="16" t="n">
        <v>13</v>
      </c>
      <c r="M13" s="20" t="inlineStr">
        <is>
          <t>30.8%</t>
        </is>
      </c>
    </row>
    <row r="14">
      <c r="A14" s="16" t="n">
        <v>9</v>
      </c>
      <c r="B14" s="17" t="n">
        <v>366</v>
      </c>
      <c r="C14" s="17" t="inlineStr">
        <is>
          <t>WELCORP</t>
        </is>
      </c>
      <c r="D14" s="18" t="inlineStr">
        <is>
          <t>Welspun Corp Limited</t>
        </is>
      </c>
      <c r="E14" s="18" t="inlineStr">
        <is>
          <t>industrials</t>
        </is>
      </c>
      <c r="F14" s="16" t="n">
        <v>46</v>
      </c>
      <c r="G14" s="19" t="n">
        <v>37001.91</v>
      </c>
      <c r="H14" s="18" t="inlineStr">
        <is>
          <t>Potential Leader</t>
        </is>
      </c>
      <c r="J14" s="18" t="inlineStr">
        <is>
          <t>metals &amp; mining</t>
        </is>
      </c>
      <c r="K14" s="16" t="n">
        <v>115</v>
      </c>
      <c r="L14" s="16" t="n">
        <v>89</v>
      </c>
      <c r="M14" s="20" t="inlineStr">
        <is>
          <t>29.2%</t>
        </is>
      </c>
    </row>
    <row r="15">
      <c r="A15" s="16" t="n">
        <v>10</v>
      </c>
      <c r="B15" s="17" t="n">
        <v>360</v>
      </c>
      <c r="C15" s="17" t="inlineStr">
        <is>
          <t>BAJAJCON</t>
        </is>
      </c>
      <c r="D15" s="18" t="inlineStr">
        <is>
          <t>Bajaj Consumer Care Ltd</t>
        </is>
      </c>
      <c r="E15" s="18" t="inlineStr">
        <is>
          <t>fmcg</t>
        </is>
      </c>
      <c r="F15" s="16" t="n">
        <v>45</v>
      </c>
      <c r="G15" s="19" t="n">
        <v>7298.95</v>
      </c>
      <c r="H15" s="18" t="inlineStr">
        <is>
          <t>Potential Leader</t>
        </is>
      </c>
      <c r="J15" s="18" t="inlineStr">
        <is>
          <t>telecom-service</t>
        </is>
      </c>
      <c r="K15" s="16" t="n">
        <v>10</v>
      </c>
      <c r="L15" s="16" t="n">
        <v>8</v>
      </c>
      <c r="M15" s="20" t="inlineStr">
        <is>
          <t>25.0%</t>
        </is>
      </c>
    </row>
    <row r="16">
      <c r="A16" s="16" t="n">
        <v>11</v>
      </c>
      <c r="B16" s="17" t="n">
        <v>360</v>
      </c>
      <c r="C16" s="17" t="inlineStr">
        <is>
          <t>STLTECH</t>
        </is>
      </c>
      <c r="D16" s="18" t="inlineStr">
        <is>
          <t>Sterlite Technologies Limited</t>
        </is>
      </c>
      <c r="E16" s="18" t="inlineStr">
        <is>
          <t>industrials</t>
        </is>
      </c>
      <c r="F16" s="16" t="n">
        <v>45</v>
      </c>
      <c r="G16" s="19" t="n">
        <v>31806.72</v>
      </c>
      <c r="H16" s="18" t="inlineStr">
        <is>
          <t>Potential Leader</t>
        </is>
      </c>
      <c r="J16" s="18" t="inlineStr">
        <is>
          <t>bank</t>
        </is>
      </c>
      <c r="K16" s="16" t="n">
        <v>53</v>
      </c>
      <c r="L16" s="16" t="n">
        <v>45</v>
      </c>
      <c r="M16" s="20" t="inlineStr">
        <is>
          <t>17.8%</t>
        </is>
      </c>
    </row>
    <row r="17">
      <c r="A17" s="16" t="n">
        <v>12</v>
      </c>
      <c r="B17" s="17" t="n">
        <v>360</v>
      </c>
      <c r="C17" s="17" t="inlineStr">
        <is>
          <t>STYLAMIND</t>
        </is>
      </c>
      <c r="D17" s="18" t="inlineStr">
        <is>
          <t>Stylam Industries Ltd</t>
        </is>
      </c>
      <c r="E17" s="18" t="inlineStr">
        <is>
          <t>building materials</t>
        </is>
      </c>
      <c r="F17" s="16" t="n">
        <v>45</v>
      </c>
      <c r="G17" s="19" t="n">
        <v>5147.13</v>
      </c>
      <c r="H17" s="18" t="inlineStr">
        <is>
          <t>Potential Leader</t>
        </is>
      </c>
      <c r="J17" s="18" t="inlineStr">
        <is>
          <t>chemicals</t>
        </is>
      </c>
      <c r="K17" s="16" t="n">
        <v>59</v>
      </c>
      <c r="L17" s="16" t="n">
        <v>51</v>
      </c>
      <c r="M17" s="20" t="inlineStr">
        <is>
          <t>15.7%</t>
        </is>
      </c>
    </row>
    <row r="18">
      <c r="A18" s="16" t="n">
        <v>13</v>
      </c>
      <c r="B18" s="17" t="n">
        <v>354</v>
      </c>
      <c r="C18" s="17" t="inlineStr">
        <is>
          <t>POWERINDIA</t>
        </is>
      </c>
      <c r="D18" s="18" t="inlineStr">
        <is>
          <t>Hitachi Energy India Ltd</t>
        </is>
      </c>
      <c r="E18" s="18" t="inlineStr">
        <is>
          <t>industrials</t>
        </is>
      </c>
      <c r="F18" s="16" t="n">
        <v>44</v>
      </c>
      <c r="G18" s="19" t="n">
        <v>162800.56</v>
      </c>
      <c r="H18" s="18" t="inlineStr">
        <is>
          <t>Potential Leader</t>
        </is>
      </c>
      <c r="J18" s="18" t="inlineStr">
        <is>
          <t>auto</t>
        </is>
      </c>
      <c r="K18" s="16" t="n">
        <v>128</v>
      </c>
      <c r="L18" s="16" t="n">
        <v>111</v>
      </c>
      <c r="M18" s="20" t="inlineStr">
        <is>
          <t>15.3%</t>
        </is>
      </c>
    </row>
    <row r="19">
      <c r="A19" s="16" t="n">
        <v>14</v>
      </c>
      <c r="B19" s="17" t="n">
        <v>348</v>
      </c>
      <c r="C19" s="17" t="inlineStr">
        <is>
          <t>ADANIGREEN</t>
        </is>
      </c>
      <c r="D19" s="18" t="inlineStr">
        <is>
          <t>Adani Green Energy Ltd</t>
        </is>
      </c>
      <c r="E19" s="18" t="inlineStr">
        <is>
          <t>power &amp; utilities</t>
        </is>
      </c>
      <c r="F19" s="16" t="n">
        <v>43</v>
      </c>
      <c r="G19" s="19" t="n">
        <v>234442.58</v>
      </c>
      <c r="H19" s="18" t="inlineStr">
        <is>
          <t>Potential Leader</t>
        </is>
      </c>
      <c r="J19" s="18" t="inlineStr">
        <is>
          <t>aerospace &amp; defence</t>
        </is>
      </c>
      <c r="K19" s="16" t="n">
        <v>59</v>
      </c>
      <c r="L19" s="16" t="n">
        <v>52</v>
      </c>
      <c r="M19" s="20" t="inlineStr">
        <is>
          <t>13.5%</t>
        </is>
      </c>
    </row>
    <row r="20">
      <c r="A20" s="16" t="n">
        <v>15</v>
      </c>
      <c r="B20" s="17" t="n">
        <v>348</v>
      </c>
      <c r="C20" s="17" t="inlineStr">
        <is>
          <t>ADANIPORTS</t>
        </is>
      </c>
      <c r="D20" s="18" t="inlineStr">
        <is>
          <t>Adani Ports And Special Economic Zone Limited</t>
        </is>
      </c>
      <c r="E20" s="18" t="inlineStr">
        <is>
          <t>transportation</t>
        </is>
      </c>
      <c r="F20" s="16" t="n">
        <v>43</v>
      </c>
      <c r="G20" s="19" t="n">
        <v>412616.03</v>
      </c>
      <c r="H20" s="18" t="inlineStr">
        <is>
          <t>Potential Leader</t>
        </is>
      </c>
      <c r="J20" s="18" t="inlineStr">
        <is>
          <t>healthcare</t>
        </is>
      </c>
      <c r="K20" s="16" t="n">
        <v>219</v>
      </c>
      <c r="L20" s="16" t="n">
        <v>196</v>
      </c>
      <c r="M20" s="20" t="inlineStr">
        <is>
          <t>11.7%</t>
        </is>
      </c>
    </row>
    <row r="21">
      <c r="A21" s="16" t="n">
        <v>16</v>
      </c>
      <c r="B21" s="17" t="n">
        <v>348</v>
      </c>
      <c r="C21" s="17" t="inlineStr">
        <is>
          <t>APCOTEXIND</t>
        </is>
      </c>
      <c r="D21" s="18" t="inlineStr">
        <is>
          <t>Apcotex Industries Limited</t>
        </is>
      </c>
      <c r="E21" s="18" t="inlineStr">
        <is>
          <t>chemicals</t>
        </is>
      </c>
      <c r="F21" s="16" t="n">
        <v>43</v>
      </c>
      <c r="G21" s="19" t="n">
        <v>2791.07</v>
      </c>
      <c r="H21" s="18" t="inlineStr">
        <is>
          <t>Potential Leader</t>
        </is>
      </c>
    </row>
    <row r="22">
      <c r="A22" s="16" t="n">
        <v>17</v>
      </c>
      <c r="B22" s="17" t="n">
        <v>348</v>
      </c>
      <c r="C22" s="17" t="inlineStr">
        <is>
          <t>CRAFTSMAN</t>
        </is>
      </c>
      <c r="D22" s="18" t="inlineStr">
        <is>
          <t>Craftsman Automation Ltd</t>
        </is>
      </c>
      <c r="E22" s="18" t="inlineStr">
        <is>
          <t>auto</t>
        </is>
      </c>
      <c r="F22" s="16" t="n">
        <v>43</v>
      </c>
      <c r="G22" s="19" t="n">
        <v>21885.11</v>
      </c>
      <c r="H22" s="18" t="inlineStr">
        <is>
          <t>Potential Leader</t>
        </is>
      </c>
    </row>
    <row r="23">
      <c r="A23" s="16" t="n">
        <v>18</v>
      </c>
      <c r="B23" s="17" t="n">
        <v>348</v>
      </c>
      <c r="C23" s="17" t="inlineStr">
        <is>
          <t>HFCL</t>
        </is>
      </c>
      <c r="D23" s="18" t="inlineStr">
        <is>
          <t>HFCL Ltd</t>
        </is>
      </c>
      <c r="E23" s="18" t="inlineStr">
        <is>
          <t>telecom</t>
        </is>
      </c>
      <c r="F23" s="16" t="n">
        <v>43</v>
      </c>
      <c r="G23" s="19" t="n">
        <v>30165.11</v>
      </c>
      <c r="H23" s="18" t="inlineStr">
        <is>
          <t>Potential Leader</t>
        </is>
      </c>
    </row>
    <row r="24">
      <c r="A24" s="16" t="n">
        <v>19</v>
      </c>
      <c r="B24" s="17" t="n">
        <v>348</v>
      </c>
      <c r="C24" s="17" t="inlineStr">
        <is>
          <t>SATIN</t>
        </is>
      </c>
      <c r="D24" s="18" t="inlineStr">
        <is>
          <t>Satin Creditcare Network Limited</t>
        </is>
      </c>
      <c r="E24" s="18" t="inlineStr">
        <is>
          <t>financials</t>
        </is>
      </c>
      <c r="F24" s="16" t="n">
        <v>43</v>
      </c>
      <c r="G24" s="19" t="n">
        <v>2672.62</v>
      </c>
      <c r="H24" s="18" t="inlineStr">
        <is>
          <t>Potential Leader</t>
        </is>
      </c>
    </row>
    <row r="25">
      <c r="A25" s="16" t="n">
        <v>20</v>
      </c>
      <c r="B25" s="17" t="n">
        <v>348</v>
      </c>
      <c r="C25" s="17" t="inlineStr">
        <is>
          <t>SHILPAMED</t>
        </is>
      </c>
      <c r="D25" s="18" t="inlineStr">
        <is>
          <t>Shilpa Medicare Limited</t>
        </is>
      </c>
      <c r="E25" s="18" t="inlineStr">
        <is>
          <t>healthcare</t>
        </is>
      </c>
      <c r="F25" s="16" t="n">
        <v>43</v>
      </c>
      <c r="G25" s="19" t="n">
        <v>10283.69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DIAMONDYD</t>
        </is>
      </c>
      <c r="B30" s="18" t="inlineStr">
        <is>
          <t>Prataap Snacks Ltd</t>
        </is>
      </c>
      <c r="C30" s="18" t="inlineStr">
        <is>
          <t>fmcg</t>
        </is>
      </c>
      <c r="D30" s="16" t="n">
        <v>10</v>
      </c>
      <c r="E30" s="16" t="n">
        <v>1</v>
      </c>
      <c r="F30" s="19" t="n">
        <v>2786.68</v>
      </c>
      <c r="J30" s="17" t="inlineStr">
        <is>
          <t>BAJAJCON</t>
        </is>
      </c>
      <c r="K30" s="18" t="inlineStr">
        <is>
          <t>fmcg</t>
        </is>
      </c>
      <c r="L30" s="19" t="n">
        <v>297</v>
      </c>
      <c r="M30" s="19" t="n">
        <v>7298.95</v>
      </c>
      <c r="N30" s="16" t="n">
        <v>30</v>
      </c>
    </row>
    <row r="31">
      <c r="A31" s="17" t="inlineStr">
        <is>
          <t>TMPV</t>
        </is>
      </c>
      <c r="B31" s="18" t="inlineStr">
        <is>
          <t>Tata Motors Passenger Vehicles Ltd</t>
        </is>
      </c>
      <c r="C31" s="18" t="inlineStr">
        <is>
          <t>auto</t>
        </is>
      </c>
      <c r="D31" s="16" t="n">
        <v>10</v>
      </c>
      <c r="E31" s="16" t="n">
        <v>2</v>
      </c>
      <c r="F31" s="19" t="n">
        <v>147184.63</v>
      </c>
      <c r="J31" s="17" t="inlineStr">
        <is>
          <t>OMAXAUTO</t>
        </is>
      </c>
      <c r="K31" s="18" t="inlineStr">
        <is>
          <t>auto</t>
        </is>
      </c>
      <c r="L31" s="19" t="n">
        <v>293</v>
      </c>
      <c r="M31" s="19" t="n">
        <v>506.86</v>
      </c>
      <c r="N31" s="16" t="n">
        <v>27</v>
      </c>
    </row>
    <row r="32">
      <c r="A32" s="17" t="inlineStr">
        <is>
          <t>SPECTRUM</t>
        </is>
      </c>
      <c r="B32" s="18" t="inlineStr">
        <is>
          <t>Spectrum Electrical Industries Ltd</t>
        </is>
      </c>
      <c r="C32" s="18" t="inlineStr">
        <is>
          <t>industrials</t>
        </is>
      </c>
      <c r="D32" s="16" t="n">
        <v>10</v>
      </c>
      <c r="E32" s="16" t="n">
        <v>1</v>
      </c>
      <c r="F32" s="19" t="n">
        <v>2616.04</v>
      </c>
      <c r="J32" s="17" t="inlineStr">
        <is>
          <t>IBULLSLTD</t>
        </is>
      </c>
      <c r="K32" s="18" t="inlineStr">
        <is>
          <t>miscellaneous</t>
        </is>
      </c>
      <c r="L32" s="19" t="n">
        <v>290</v>
      </c>
      <c r="M32" s="19" t="n">
        <v>5480.89</v>
      </c>
      <c r="N32" s="16" t="n">
        <v>25</v>
      </c>
    </row>
    <row r="33">
      <c r="A33" s="17" t="inlineStr">
        <is>
          <t>ASAHIINDIA</t>
        </is>
      </c>
      <c r="B33" s="18" t="inlineStr">
        <is>
          <t>Asahi India Glass Limited</t>
        </is>
      </c>
      <c r="C33" s="18" t="inlineStr">
        <is>
          <t>building materials</t>
        </is>
      </c>
      <c r="D33" s="16" t="n">
        <v>10</v>
      </c>
      <c r="E33" s="16" t="n">
        <v>1</v>
      </c>
      <c r="F33" s="19" t="n">
        <v>22724.21</v>
      </c>
      <c r="J33" s="17" t="inlineStr">
        <is>
          <t>CONFIPET</t>
        </is>
      </c>
      <c r="K33" s="18" t="inlineStr">
        <is>
          <t>miscellaneous</t>
        </is>
      </c>
      <c r="L33" s="19" t="n">
        <v>288</v>
      </c>
      <c r="M33" s="19" t="n">
        <v>2554.6</v>
      </c>
      <c r="N33" s="16" t="n">
        <v>28</v>
      </c>
    </row>
    <row r="34">
      <c r="A34" s="17" t="inlineStr">
        <is>
          <t>VINCOFE</t>
        </is>
      </c>
      <c r="B34" s="18" t="inlineStr">
        <is>
          <t>Vintage Coffee &amp; Beverages Ltd</t>
        </is>
      </c>
      <c r="C34" s="18" t="inlineStr">
        <is>
          <t>consumer discretionary</t>
        </is>
      </c>
      <c r="D34" s="16" t="n">
        <v>9</v>
      </c>
      <c r="E34" s="16" t="n">
        <v>1</v>
      </c>
      <c r="F34" s="19" t="n">
        <v>2190.13</v>
      </c>
      <c r="J34" s="17" t="inlineStr">
        <is>
          <t>GAYAPROJ</t>
        </is>
      </c>
      <c r="K34" s="18" t="inlineStr">
        <is>
          <t>realty</t>
        </is>
      </c>
      <c r="L34" s="19" t="n">
        <v>288</v>
      </c>
      <c r="M34" s="19" t="n">
        <v>619.0599999999999</v>
      </c>
      <c r="N34" s="16" t="n">
        <v>23</v>
      </c>
    </row>
    <row r="35">
      <c r="A35" s="17" t="inlineStr">
        <is>
          <t>AVANTEL</t>
        </is>
      </c>
      <c r="B35" s="18" t="inlineStr">
        <is>
          <t>AVANTEL</t>
        </is>
      </c>
      <c r="C35" s="18" t="inlineStr">
        <is>
          <t>unknown</t>
        </is>
      </c>
      <c r="D35" s="16" t="n">
        <v>9</v>
      </c>
      <c r="E35" s="16" t="n">
        <v>1</v>
      </c>
      <c r="F35" s="19" t="n">
        <v>0</v>
      </c>
      <c r="J35" s="17" t="inlineStr">
        <is>
          <t>INDOBORAX</t>
        </is>
      </c>
      <c r="K35" s="18" t="inlineStr">
        <is>
          <t>chemicals</t>
        </is>
      </c>
      <c r="L35" s="19" t="n">
        <v>285</v>
      </c>
      <c r="M35" s="19" t="n">
        <v>1151.07</v>
      </c>
      <c r="N35" s="16" t="n">
        <v>29</v>
      </c>
    </row>
    <row r="36">
      <c r="A36" s="17" t="inlineStr">
        <is>
          <t>AJAXENGG</t>
        </is>
      </c>
      <c r="B36" s="18" t="inlineStr">
        <is>
          <t>Ajax Engineering Ltd</t>
        </is>
      </c>
      <c r="C36" s="18" t="inlineStr">
        <is>
          <t>industrials</t>
        </is>
      </c>
      <c r="D36" s="16" t="n">
        <v>8</v>
      </c>
      <c r="E36" s="16" t="n">
        <v>0</v>
      </c>
      <c r="F36" s="19" t="n">
        <v>6874.13</v>
      </c>
      <c r="J36" s="17" t="inlineStr">
        <is>
          <t>FEDFINA</t>
        </is>
      </c>
      <c r="K36" s="18" t="inlineStr">
        <is>
          <t>financials</t>
        </is>
      </c>
      <c r="L36" s="19" t="n">
        <v>285</v>
      </c>
      <c r="M36" s="19" t="n">
        <v>6064.01</v>
      </c>
      <c r="N36" s="16" t="n">
        <v>24</v>
      </c>
    </row>
    <row r="37">
      <c r="A37" s="17" t="inlineStr">
        <is>
          <t>GUFICBIO</t>
        </is>
      </c>
      <c r="B37" s="18" t="inlineStr">
        <is>
          <t>Gufic Biosciences Limited</t>
        </is>
      </c>
      <c r="C37" s="18" t="inlineStr">
        <is>
          <t>healthcare</t>
        </is>
      </c>
      <c r="D37" s="16" t="n">
        <v>8</v>
      </c>
      <c r="E37" s="16" t="n">
        <v>0</v>
      </c>
      <c r="F37" s="19" t="n">
        <v>3553.51</v>
      </c>
      <c r="J37" s="17" t="inlineStr">
        <is>
          <t>NORTHARC</t>
        </is>
      </c>
      <c r="K37" s="18" t="inlineStr">
        <is>
          <t>financials</t>
        </is>
      </c>
      <c r="L37" s="19" t="n">
        <v>285</v>
      </c>
      <c r="M37" s="19" t="n">
        <v>4690.43</v>
      </c>
      <c r="N37" s="16" t="n">
        <v>26</v>
      </c>
    </row>
    <row r="38">
      <c r="A38" s="17" t="inlineStr">
        <is>
          <t>BFINVEST</t>
        </is>
      </c>
      <c r="B38" s="18" t="inlineStr">
        <is>
          <t>Bf Investment Limited</t>
        </is>
      </c>
      <c r="C38" s="18" t="inlineStr">
        <is>
          <t>financials</t>
        </is>
      </c>
      <c r="D38" s="16" t="n">
        <v>8</v>
      </c>
      <c r="E38" s="16" t="n">
        <v>0</v>
      </c>
      <c r="F38" s="19" t="n">
        <v>1688.45</v>
      </c>
      <c r="J38" s="17" t="inlineStr">
        <is>
          <t>RBLBANK</t>
        </is>
      </c>
      <c r="K38" s="18" t="inlineStr">
        <is>
          <t>bank</t>
        </is>
      </c>
      <c r="L38" s="19" t="n">
        <v>285</v>
      </c>
      <c r="M38" s="19" t="n">
        <v>21865.69</v>
      </c>
      <c r="N38" s="16" t="n">
        <v>23</v>
      </c>
    </row>
    <row r="39">
      <c r="A39" s="17" t="inlineStr">
        <is>
          <t>TEGA</t>
        </is>
      </c>
      <c r="B39" s="18" t="inlineStr">
        <is>
          <t>Tega Industries Ltd</t>
        </is>
      </c>
      <c r="C39" s="18" t="inlineStr">
        <is>
          <t>industrials</t>
        </is>
      </c>
      <c r="D39" s="16" t="n">
        <v>8</v>
      </c>
      <c r="E39" s="16" t="n">
        <v>1</v>
      </c>
      <c r="F39" s="19" t="n">
        <v>14065.41</v>
      </c>
      <c r="J39" s="17" t="inlineStr">
        <is>
          <t>TMB</t>
        </is>
      </c>
      <c r="K39" s="18" t="inlineStr">
        <is>
          <t>bank</t>
        </is>
      </c>
      <c r="L39" s="19" t="n">
        <v>285</v>
      </c>
      <c r="M39" s="19" t="n">
        <v>11846.27</v>
      </c>
      <c r="N39" s="16" t="n">
        <v>13</v>
      </c>
    </row>
    <row r="40">
      <c r="A40" s="17" t="inlineStr">
        <is>
          <t>INDNIPPON</t>
        </is>
      </c>
      <c r="B40" s="18" t="inlineStr">
        <is>
          <t>India Nippon Electricals Limited</t>
        </is>
      </c>
      <c r="C40" s="18" t="inlineStr">
        <is>
          <t>auto</t>
        </is>
      </c>
      <c r="D40" s="16" t="n">
        <v>8</v>
      </c>
      <c r="E40" s="16" t="n">
        <v>0</v>
      </c>
      <c r="F40" s="19" t="n">
        <v>2072.01</v>
      </c>
      <c r="J40" s="17" t="inlineStr">
        <is>
          <t>BLISSGVS</t>
        </is>
      </c>
      <c r="K40" s="18" t="inlineStr">
        <is>
          <t>healthcare</t>
        </is>
      </c>
      <c r="L40" s="19" t="n">
        <v>282</v>
      </c>
      <c r="M40" s="19" t="n">
        <v>4826.09</v>
      </c>
      <c r="N40" s="16" t="n">
        <v>30</v>
      </c>
    </row>
    <row r="41">
      <c r="A41" s="17" t="inlineStr">
        <is>
          <t>NOVARTIND</t>
        </is>
      </c>
      <c r="B41" s="18" t="inlineStr">
        <is>
          <t>Novartis India Ltd</t>
        </is>
      </c>
      <c r="C41" s="18" t="inlineStr">
        <is>
          <t>healthcare</t>
        </is>
      </c>
      <c r="D41" s="16" t="n">
        <v>6</v>
      </c>
      <c r="E41" s="16" t="n">
        <v>0</v>
      </c>
      <c r="F41" s="19" t="n">
        <v>3340.66</v>
      </c>
      <c r="J41" s="17" t="inlineStr">
        <is>
          <t>VENUSREM</t>
        </is>
      </c>
      <c r="K41" s="18" t="inlineStr">
        <is>
          <t>healthcare</t>
        </is>
      </c>
      <c r="L41" s="19" t="n">
        <v>282</v>
      </c>
      <c r="M41" s="19" t="n">
        <v>2079.64</v>
      </c>
      <c r="N41" s="16" t="n">
        <v>18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120.28</v>
      </c>
      <c r="D47" s="27" t="n">
        <v>263</v>
      </c>
      <c r="E47" s="17" t="inlineStr">
        <is>
          <t>STLTECH</t>
        </is>
      </c>
      <c r="F47" s="18" t="inlineStr">
        <is>
          <t>Sterlite Technologies Limited</t>
        </is>
      </c>
      <c r="G47" s="18" t="inlineStr">
        <is>
          <t>industrials</t>
        </is>
      </c>
      <c r="H47" s="19" t="n">
        <v>31806.72</v>
      </c>
    </row>
    <row r="48">
      <c r="A48" s="16" t="n">
        <v>2</v>
      </c>
      <c r="B48" s="26" t="n">
        <v>99</v>
      </c>
      <c r="C48" s="27" t="n">
        <v>83.69</v>
      </c>
      <c r="D48" s="27" t="n">
        <v>255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8084.12</v>
      </c>
    </row>
    <row r="49">
      <c r="A49" s="16" t="n">
        <v>3</v>
      </c>
      <c r="B49" s="26" t="n">
        <v>98</v>
      </c>
      <c r="C49" s="27" t="n">
        <v>67.47</v>
      </c>
      <c r="D49" s="27" t="n">
        <v>270</v>
      </c>
      <c r="E49" s="17" t="inlineStr">
        <is>
          <t>MODISONLTD</t>
        </is>
      </c>
      <c r="F49" s="18" t="inlineStr">
        <is>
          <t>Modison Ltd</t>
        </is>
      </c>
      <c r="G49" s="18" t="inlineStr">
        <is>
          <t>industrials</t>
        </is>
      </c>
      <c r="H49" s="19" t="n">
        <v>1120.99</v>
      </c>
    </row>
    <row r="50">
      <c r="A50" s="16" t="n">
        <v>4</v>
      </c>
      <c r="B50" s="26" t="n">
        <v>98</v>
      </c>
      <c r="C50" s="27" t="n">
        <v>65.73</v>
      </c>
      <c r="D50" s="27" t="n">
        <v>285</v>
      </c>
      <c r="E50" s="17" t="inlineStr">
        <is>
          <t>VMARCIND</t>
        </is>
      </c>
      <c r="F50" s="18" t="inlineStr">
        <is>
          <t>VMARCIND</t>
        </is>
      </c>
      <c r="G50" s="18" t="inlineStr">
        <is>
          <t>unknown</t>
        </is>
      </c>
      <c r="H50" s="19" t="n">
        <v>441.28</v>
      </c>
    </row>
    <row r="51">
      <c r="A51" s="16" t="n">
        <v>5</v>
      </c>
      <c r="B51" s="26" t="n">
        <v>98</v>
      </c>
      <c r="C51" s="27" t="n">
        <v>65.43000000000001</v>
      </c>
      <c r="D51" s="27" t="n">
        <v>282</v>
      </c>
      <c r="E51" s="17" t="inlineStr">
        <is>
          <t>VENUSREM</t>
        </is>
      </c>
      <c r="F51" s="18" t="inlineStr">
        <is>
          <t>Venus Remedies Limited</t>
        </is>
      </c>
      <c r="G51" s="18" t="inlineStr">
        <is>
          <t>healthcare</t>
        </is>
      </c>
      <c r="H51" s="19" t="n">
        <v>2079.64</v>
      </c>
    </row>
    <row r="52">
      <c r="A52" s="16" t="n">
        <v>6</v>
      </c>
      <c r="B52" s="26" t="n">
        <v>98</v>
      </c>
      <c r="C52" s="27" t="n">
        <v>64.33</v>
      </c>
      <c r="D52" s="27" t="n">
        <v>277</v>
      </c>
      <c r="E52" s="17" t="inlineStr">
        <is>
          <t>CUPID</t>
        </is>
      </c>
      <c r="F52" s="18" t="inlineStr">
        <is>
          <t>Cupid Limited</t>
        </is>
      </c>
      <c r="G52" s="18" t="inlineStr">
        <is>
          <t>fmcg</t>
        </is>
      </c>
      <c r="H52" s="19" t="n">
        <v>17896.09</v>
      </c>
    </row>
    <row r="53">
      <c r="A53" s="16" t="n">
        <v>7</v>
      </c>
      <c r="B53" s="26" t="n">
        <v>97</v>
      </c>
      <c r="C53" s="27" t="n">
        <v>62.79</v>
      </c>
      <c r="D53" s="27" t="n">
        <v>255</v>
      </c>
      <c r="E53" s="17" t="inlineStr">
        <is>
          <t>HFCL</t>
        </is>
      </c>
      <c r="F53" s="18" t="inlineStr">
        <is>
          <t>HFCL Ltd</t>
        </is>
      </c>
      <c r="G53" s="18" t="inlineStr">
        <is>
          <t>telecom</t>
        </is>
      </c>
      <c r="H53" s="19" t="n">
        <v>30165.11</v>
      </c>
    </row>
    <row r="54">
      <c r="A54" s="16" t="n">
        <v>8</v>
      </c>
      <c r="B54" s="26" t="n">
        <v>97</v>
      </c>
      <c r="C54" s="27" t="n">
        <v>61.19</v>
      </c>
      <c r="D54" s="27" t="n">
        <v>265</v>
      </c>
      <c r="E54" s="17" t="inlineStr">
        <is>
          <t>MTARTECH</t>
        </is>
      </c>
      <c r="F54" s="18" t="inlineStr">
        <is>
          <t>MTAR Technologies Ltd</t>
        </is>
      </c>
      <c r="G54" s="18" t="inlineStr">
        <is>
          <t>aerospace &amp; defence</t>
        </is>
      </c>
      <c r="H54" s="19" t="n">
        <v>23855.6</v>
      </c>
    </row>
    <row r="55">
      <c r="A55" s="16" t="n">
        <v>9</v>
      </c>
      <c r="B55" s="26" t="n">
        <v>97</v>
      </c>
      <c r="C55" s="27" t="n">
        <v>59.28</v>
      </c>
      <c r="D55" s="27" t="n">
        <v>293</v>
      </c>
      <c r="E55" s="17" t="inlineStr">
        <is>
          <t>OMAXAUTO</t>
        </is>
      </c>
      <c r="F55" s="18" t="inlineStr">
        <is>
          <t>Omax Autos Limited</t>
        </is>
      </c>
      <c r="G55" s="18" t="inlineStr">
        <is>
          <t>auto</t>
        </is>
      </c>
      <c r="H55" s="19" t="n">
        <v>506.86</v>
      </c>
    </row>
    <row r="56">
      <c r="A56" s="16" t="n">
        <v>10</v>
      </c>
      <c r="B56" s="26" t="n">
        <v>96</v>
      </c>
      <c r="C56" s="27" t="n">
        <v>57.67</v>
      </c>
      <c r="D56" s="27" t="n">
        <v>223</v>
      </c>
      <c r="E56" s="17" t="inlineStr">
        <is>
          <t>DEEDEV</t>
        </is>
      </c>
      <c r="F56" s="18" t="inlineStr">
        <is>
          <t>DEE Development Engineers Ltd</t>
        </is>
      </c>
      <c r="G56" s="18" t="inlineStr">
        <is>
          <t>metals &amp; mining</t>
        </is>
      </c>
      <c r="H56" s="19" t="n">
        <v>4427.31</v>
      </c>
    </row>
    <row r="57">
      <c r="A57" s="16" t="n">
        <v>11</v>
      </c>
      <c r="B57" s="26" t="n">
        <v>96</v>
      </c>
      <c r="C57" s="27" t="n">
        <v>52.8</v>
      </c>
      <c r="D57" s="27" t="n">
        <v>248</v>
      </c>
      <c r="E57" s="17" t="inlineStr">
        <is>
          <t>BHAGYANGR</t>
        </is>
      </c>
      <c r="F57" s="18" t="inlineStr">
        <is>
          <t>Bhagyanagar India</t>
        </is>
      </c>
      <c r="G57" s="18" t="inlineStr">
        <is>
          <t>power &amp; utilities</t>
        </is>
      </c>
      <c r="H57" s="19" t="n">
        <v>1032.64</v>
      </c>
    </row>
    <row r="58">
      <c r="A58" s="16" t="n">
        <v>12</v>
      </c>
      <c r="B58" s="26" t="n">
        <v>96</v>
      </c>
      <c r="C58" s="27" t="n">
        <v>52.64</v>
      </c>
      <c r="D58" s="27" t="n">
        <v>263</v>
      </c>
      <c r="E58" s="17" t="inlineStr">
        <is>
          <t>HITECHCORP</t>
        </is>
      </c>
      <c r="F58" s="18" t="inlineStr">
        <is>
          <t>Hitech Corporation</t>
        </is>
      </c>
      <c r="G58" s="18" t="inlineStr">
        <is>
          <t>industrials</t>
        </is>
      </c>
      <c r="H58" s="19" t="n">
        <v>529.63</v>
      </c>
    </row>
    <row r="59">
      <c r="A59" s="16" t="n">
        <v>13</v>
      </c>
      <c r="B59" s="26" t="n">
        <v>96</v>
      </c>
      <c r="C59" s="27" t="n">
        <v>52.08</v>
      </c>
      <c r="D59" s="27" t="n">
        <v>288</v>
      </c>
      <c r="E59" s="17" t="inlineStr">
        <is>
          <t>CONFIPET</t>
        </is>
      </c>
      <c r="F59" s="18" t="inlineStr">
        <is>
          <t>Confidence Petroleum India Ltd</t>
        </is>
      </c>
      <c r="G59" s="18" t="inlineStr">
        <is>
          <t>miscellaneous</t>
        </is>
      </c>
      <c r="H59" s="19" t="n">
        <v>2554.6</v>
      </c>
    </row>
    <row r="60">
      <c r="A60" s="16" t="n">
        <v>14</v>
      </c>
      <c r="B60" s="26" t="n">
        <v>95</v>
      </c>
      <c r="C60" s="27" t="n">
        <v>51.9</v>
      </c>
      <c r="D60" s="27" t="n">
        <v>282</v>
      </c>
      <c r="E60" s="17" t="inlineStr">
        <is>
          <t>BLISSGVS</t>
        </is>
      </c>
      <c r="F60" s="18" t="inlineStr">
        <is>
          <t>Bliss Gvs Pharma Limited</t>
        </is>
      </c>
      <c r="G60" s="18" t="inlineStr">
        <is>
          <t>healthcare</t>
        </is>
      </c>
      <c r="H60" s="19" t="n">
        <v>4826.09</v>
      </c>
    </row>
    <row r="61">
      <c r="A61" s="16" t="n">
        <v>15</v>
      </c>
      <c r="B61" s="26" t="n">
        <v>95</v>
      </c>
      <c r="C61" s="27" t="n">
        <v>51.77</v>
      </c>
      <c r="D61" s="27" t="n">
        <v>290</v>
      </c>
      <c r="E61" s="17" t="inlineStr">
        <is>
          <t>IBULLSLTD</t>
        </is>
      </c>
      <c r="F61" s="18" t="inlineStr">
        <is>
          <t>Indiabulls Limited</t>
        </is>
      </c>
      <c r="G61" s="18" t="inlineStr">
        <is>
          <t>miscellaneous</t>
        </is>
      </c>
      <c r="H61" s="19" t="n">
        <v>5480.89</v>
      </c>
    </row>
    <row r="62">
      <c r="A62" s="16" t="n">
        <v>16</v>
      </c>
      <c r="B62" s="26" t="n">
        <v>95</v>
      </c>
      <c r="C62" s="27" t="n">
        <v>50.6</v>
      </c>
      <c r="D62" s="27" t="n">
        <v>272</v>
      </c>
      <c r="E62" s="17" t="inlineStr">
        <is>
          <t>GVPIL</t>
        </is>
      </c>
      <c r="F62" s="18" t="inlineStr">
        <is>
          <t>GE Power India Ltd</t>
        </is>
      </c>
      <c r="G62" s="18" t="inlineStr">
        <is>
          <t>realty</t>
        </is>
      </c>
      <c r="H62" s="19" t="n">
        <v>6101.23</v>
      </c>
    </row>
    <row r="63">
      <c r="A63" s="16" t="n">
        <v>17</v>
      </c>
      <c r="B63" s="26" t="n">
        <v>95</v>
      </c>
      <c r="C63" s="27" t="n">
        <v>48.15</v>
      </c>
      <c r="D63" s="27" t="n">
        <v>270</v>
      </c>
      <c r="E63" s="17" t="inlineStr">
        <is>
          <t>NINSYS</t>
        </is>
      </c>
      <c r="F63" s="18" t="inlineStr">
        <is>
          <t>NINtec Systems Ltd</t>
        </is>
      </c>
      <c r="G63" s="18" t="inlineStr">
        <is>
          <t>i.t</t>
        </is>
      </c>
      <c r="H63" s="19" t="n">
        <v>1329.21</v>
      </c>
    </row>
    <row r="64">
      <c r="A64" s="16" t="n">
        <v>18</v>
      </c>
      <c r="B64" s="28" t="n">
        <v>94</v>
      </c>
      <c r="C64" s="27" t="n">
        <v>45.05</v>
      </c>
      <c r="D64" s="27" t="n">
        <v>255</v>
      </c>
      <c r="E64" s="17" t="inlineStr">
        <is>
          <t>NITTAGELA</t>
        </is>
      </c>
      <c r="F64" s="18" t="inlineStr">
        <is>
          <t>Nitta Gelatin India Limited</t>
        </is>
      </c>
      <c r="G64" s="18" t="inlineStr">
        <is>
          <t>Basic Materials</t>
        </is>
      </c>
      <c r="H64" s="19" t="n">
        <v>1582.95</v>
      </c>
    </row>
    <row r="65">
      <c r="A65" s="16" t="n">
        <v>19</v>
      </c>
      <c r="B65" s="28" t="n">
        <v>94</v>
      </c>
      <c r="C65" s="27" t="n">
        <v>42.89</v>
      </c>
      <c r="D65" s="27" t="n">
        <v>230</v>
      </c>
      <c r="E65" s="17" t="inlineStr">
        <is>
          <t>AEROFLEX</t>
        </is>
      </c>
      <c r="F65" s="18" t="inlineStr">
        <is>
          <t>Aeroflex Industries Ltd</t>
        </is>
      </c>
      <c r="G65" s="18" t="inlineStr">
        <is>
          <t>metals &amp; mining</t>
        </is>
      </c>
      <c r="H65" s="19" t="n">
        <v>5814.61</v>
      </c>
    </row>
    <row r="66">
      <c r="A66" s="16" t="n">
        <v>20</v>
      </c>
      <c r="B66" s="28" t="n">
        <v>94</v>
      </c>
      <c r="C66" s="27" t="n">
        <v>42.85</v>
      </c>
      <c r="D66" s="27" t="n">
        <v>235</v>
      </c>
      <c r="E66" s="17" t="inlineStr">
        <is>
          <t>BBOX</t>
        </is>
      </c>
      <c r="F66" s="18" t="inlineStr">
        <is>
          <t>Black Box Ltd</t>
        </is>
      </c>
      <c r="G66" s="18" t="inlineStr">
        <is>
          <t>i.t</t>
        </is>
      </c>
      <c r="H66" s="19" t="n">
        <v>19137.54</v>
      </c>
    </row>
    <row r="67">
      <c r="A67" s="16" t="n">
        <v>21</v>
      </c>
      <c r="B67" s="28" t="n">
        <v>93</v>
      </c>
      <c r="C67" s="27" t="n">
        <v>42.07</v>
      </c>
      <c r="D67" s="27" t="n">
        <v>243</v>
      </c>
      <c r="E67" s="17" t="inlineStr">
        <is>
          <t>UFBL</t>
        </is>
      </c>
      <c r="F67" s="18" t="inlineStr">
        <is>
          <t>United Foodbrands Ltd</t>
        </is>
      </c>
      <c r="G67" s="18" t="inlineStr">
        <is>
          <t>consumer discretionary</t>
        </is>
      </c>
      <c r="H67" s="19" t="n">
        <v>1797.97</v>
      </c>
    </row>
    <row r="68">
      <c r="A68" s="16" t="n">
        <v>22</v>
      </c>
      <c r="B68" s="28" t="n">
        <v>93</v>
      </c>
      <c r="C68" s="27" t="n">
        <v>41.34</v>
      </c>
      <c r="D68" s="27" t="n">
        <v>260</v>
      </c>
      <c r="E68" s="17" t="inlineStr">
        <is>
          <t>COCKERILL</t>
        </is>
      </c>
      <c r="F68" s="18" t="inlineStr">
        <is>
          <t>John Cockerill India Ltd</t>
        </is>
      </c>
      <c r="G68" s="18" t="inlineStr">
        <is>
          <t>Industrials</t>
        </is>
      </c>
      <c r="H68" s="19" t="n">
        <v>4524.32</v>
      </c>
    </row>
    <row r="69">
      <c r="A69" s="16" t="n">
        <v>23</v>
      </c>
      <c r="B69" s="28" t="n">
        <v>93</v>
      </c>
      <c r="C69" s="27" t="n">
        <v>40.67</v>
      </c>
      <c r="D69" s="27" t="n">
        <v>280</v>
      </c>
      <c r="E69" s="17" t="inlineStr">
        <is>
          <t>ATHERENERG</t>
        </is>
      </c>
      <c r="F69" s="18" t="inlineStr">
        <is>
          <t>Ather Energy Ltd</t>
        </is>
      </c>
      <c r="G69" s="18" t="inlineStr">
        <is>
          <t>auto</t>
        </is>
      </c>
      <c r="H69" s="19" t="n">
        <v>37813.85</v>
      </c>
    </row>
    <row r="70">
      <c r="A70" s="16" t="n">
        <v>24</v>
      </c>
      <c r="B70" s="28" t="n">
        <v>93</v>
      </c>
      <c r="C70" s="27" t="n">
        <v>40.27</v>
      </c>
      <c r="D70" s="27" t="n">
        <v>252</v>
      </c>
      <c r="E70" s="17" t="inlineStr">
        <is>
          <t>APOLLO</t>
        </is>
      </c>
      <c r="F70" s="18" t="inlineStr">
        <is>
          <t>Apollo Micro Systems Ltd</t>
        </is>
      </c>
      <c r="G70" s="18" t="inlineStr">
        <is>
          <t>aerospace &amp; defence</t>
        </is>
      </c>
      <c r="H70" s="19" t="n">
        <v>14977.7</v>
      </c>
    </row>
    <row r="71">
      <c r="A71" s="16" t="n">
        <v>25</v>
      </c>
      <c r="B71" s="28" t="n">
        <v>92</v>
      </c>
      <c r="C71" s="27" t="n">
        <v>40.21</v>
      </c>
      <c r="D71" s="27" t="n">
        <v>250</v>
      </c>
      <c r="E71" s="17" t="inlineStr">
        <is>
          <t>IDEAFORGE</t>
        </is>
      </c>
      <c r="F71" s="18" t="inlineStr">
        <is>
          <t>Ideaforge Technology Ltd</t>
        </is>
      </c>
      <c r="G71" s="18" t="inlineStr">
        <is>
          <t>aerospace &amp; defence</t>
        </is>
      </c>
      <c r="H71" s="19" t="n">
        <v>3894.83</v>
      </c>
    </row>
    <row r="72">
      <c r="A72" s="16" t="n">
        <v>26</v>
      </c>
      <c r="B72" s="28" t="n">
        <v>92</v>
      </c>
      <c r="C72" s="27" t="n">
        <v>37.93</v>
      </c>
      <c r="D72" s="27" t="n">
        <v>223</v>
      </c>
      <c r="E72" s="17" t="inlineStr">
        <is>
          <t>ROSSTECH</t>
        </is>
      </c>
      <c r="F72" s="18" t="inlineStr">
        <is>
          <t>Rossell Techsys Ltd</t>
        </is>
      </c>
      <c r="G72" s="18" t="inlineStr">
        <is>
          <t>aerospace &amp; defence</t>
        </is>
      </c>
      <c r="H72" s="19" t="n">
        <v>3977.73</v>
      </c>
    </row>
    <row r="73">
      <c r="A73" s="16" t="n">
        <v>27</v>
      </c>
      <c r="B73" s="28" t="n">
        <v>92</v>
      </c>
      <c r="C73" s="27" t="n">
        <v>37.04</v>
      </c>
      <c r="D73" s="27" t="n">
        <v>277</v>
      </c>
      <c r="E73" s="17" t="inlineStr">
        <is>
          <t>KPL</t>
        </is>
      </c>
      <c r="F73" s="18" t="inlineStr">
        <is>
          <t>Kwality Pharmaceuticals Limited</t>
        </is>
      </c>
      <c r="G73" s="18" t="inlineStr">
        <is>
          <t>Healthcare</t>
        </is>
      </c>
      <c r="H73" s="19" t="n">
        <v>2457.76</v>
      </c>
    </row>
    <row r="74">
      <c r="A74" s="16" t="n">
        <v>28</v>
      </c>
      <c r="B74" s="28" t="n">
        <v>91</v>
      </c>
      <c r="C74" s="27" t="n">
        <v>36.92</v>
      </c>
      <c r="D74" s="27" t="n">
        <v>260</v>
      </c>
      <c r="E74" s="17" t="inlineStr">
        <is>
          <t>MCLEODRUSS</t>
        </is>
      </c>
      <c r="F74" s="18" t="inlineStr">
        <is>
          <t>Mcleod Russel India Limited</t>
        </is>
      </c>
      <c r="G74" s="18" t="inlineStr">
        <is>
          <t>fmcg</t>
        </is>
      </c>
      <c r="H74" s="19" t="n">
        <v>755.74</v>
      </c>
    </row>
    <row r="75">
      <c r="A75" s="16" t="n">
        <v>29</v>
      </c>
      <c r="B75" s="28" t="n">
        <v>91</v>
      </c>
      <c r="C75" s="27" t="n">
        <v>36.8</v>
      </c>
      <c r="D75" s="27" t="n">
        <v>297</v>
      </c>
      <c r="E75" s="17" t="inlineStr">
        <is>
          <t>BAJAJCON</t>
        </is>
      </c>
      <c r="F75" s="18" t="inlineStr">
        <is>
          <t>Bajaj Consumer Care Ltd</t>
        </is>
      </c>
      <c r="G75" s="18" t="inlineStr">
        <is>
          <t>fmcg</t>
        </is>
      </c>
      <c r="H75" s="19" t="n">
        <v>7298.95</v>
      </c>
    </row>
    <row r="76">
      <c r="A76" s="16" t="n">
        <v>30</v>
      </c>
      <c r="B76" s="28" t="n">
        <v>91</v>
      </c>
      <c r="C76" s="27" t="n">
        <v>36.24</v>
      </c>
      <c r="D76" s="27" t="n">
        <v>255</v>
      </c>
      <c r="E76" s="17" t="inlineStr">
        <is>
          <t>UNIVCABLES</t>
        </is>
      </c>
      <c r="F76" s="18" t="inlineStr">
        <is>
          <t>Universal Cables Limited</t>
        </is>
      </c>
      <c r="G76" s="18" t="inlineStr">
        <is>
          <t>industrials</t>
        </is>
      </c>
      <c r="H76" s="19" t="n">
        <v>4311.6</v>
      </c>
    </row>
    <row r="77">
      <c r="A77" s="16" t="n">
        <v>31</v>
      </c>
      <c r="B77" s="28" t="n">
        <v>91</v>
      </c>
      <c r="C77" s="27" t="n">
        <v>36.15</v>
      </c>
      <c r="D77" s="27" t="n">
        <v>243</v>
      </c>
      <c r="E77" s="17" t="inlineStr">
        <is>
          <t>SALSTEEL</t>
        </is>
      </c>
      <c r="F77" s="18" t="inlineStr">
        <is>
          <t>SAL Steel</t>
        </is>
      </c>
      <c r="G77" s="18" t="inlineStr">
        <is>
          <t>metals &amp; mining</t>
        </is>
      </c>
      <c r="H77" s="19" t="n">
        <v>910.29</v>
      </c>
    </row>
    <row r="78">
      <c r="A78" s="16" t="n">
        <v>32</v>
      </c>
      <c r="B78" s="28" t="n">
        <v>90</v>
      </c>
      <c r="C78" s="27" t="n">
        <v>34.56</v>
      </c>
      <c r="D78" s="27" t="n">
        <v>270</v>
      </c>
      <c r="E78" s="17" t="inlineStr">
        <is>
          <t>CEMPRO</t>
        </is>
      </c>
      <c r="F78" s="18" t="inlineStr">
        <is>
          <t>Cemindia Projects Ltd</t>
        </is>
      </c>
      <c r="G78" s="18" t="inlineStr">
        <is>
          <t>realty</t>
        </is>
      </c>
      <c r="H78" s="19" t="n">
        <v>19365.61</v>
      </c>
    </row>
    <row r="79">
      <c r="A79" s="16" t="n">
        <v>33</v>
      </c>
      <c r="B79" s="28" t="n">
        <v>90</v>
      </c>
      <c r="C79" s="27" t="n">
        <v>34.55</v>
      </c>
      <c r="D79" s="27" t="n">
        <v>267</v>
      </c>
      <c r="E79" s="17" t="inlineStr">
        <is>
          <t>ACUTAAS</t>
        </is>
      </c>
      <c r="F79" s="18" t="inlineStr">
        <is>
          <t>Acutaas Chemicals Ltd</t>
        </is>
      </c>
      <c r="G79" s="18" t="inlineStr">
        <is>
          <t>healthcare</t>
        </is>
      </c>
      <c r="H79" s="19" t="n">
        <v>25909.75</v>
      </c>
    </row>
    <row r="80">
      <c r="A80" s="16" t="n">
        <v>34</v>
      </c>
      <c r="B80" s="28" t="n">
        <v>90</v>
      </c>
      <c r="C80" s="27" t="n">
        <v>33.93</v>
      </c>
      <c r="D80" s="27" t="n">
        <v>275</v>
      </c>
      <c r="E80" s="17" t="inlineStr">
        <is>
          <t>SYRMA</t>
        </is>
      </c>
      <c r="F80" s="18" t="inlineStr">
        <is>
          <t>Syrma SGS Technology Ltd</t>
        </is>
      </c>
      <c r="G80" s="18" t="inlineStr">
        <is>
          <t>consumer discretionary</t>
        </is>
      </c>
      <c r="H80" s="19" t="n">
        <v>23556.17</v>
      </c>
    </row>
    <row r="81">
      <c r="A81" s="16" t="n">
        <v>35</v>
      </c>
      <c r="B81" s="28" t="n">
        <v>90</v>
      </c>
      <c r="C81" s="27" t="n">
        <v>33.77</v>
      </c>
      <c r="D81" s="27" t="n">
        <v>288</v>
      </c>
      <c r="E81" s="17" t="inlineStr">
        <is>
          <t>GAYAPROJ</t>
        </is>
      </c>
      <c r="F81" s="18" t="inlineStr">
        <is>
          <t>Gayatri Projects Limited</t>
        </is>
      </c>
      <c r="G81" s="18" t="inlineStr">
        <is>
          <t>realty</t>
        </is>
      </c>
      <c r="H81" s="19" t="n">
        <v>619.0599999999999</v>
      </c>
    </row>
    <row r="82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PRIMO</t>
        </is>
      </c>
      <c r="B2" s="30" t="inlineStr">
        <is>
          <t>Primo Chemicals Ltd</t>
        </is>
      </c>
      <c r="C2" s="30" t="inlineStr">
        <is>
          <t>chemicals</t>
        </is>
      </c>
      <c r="D2" s="30" t="inlineStr">
        <is>
          <t>chlor alkali / soda ash</t>
        </is>
      </c>
      <c r="E2" s="30" t="inlineStr">
        <is>
          <t>smallcap</t>
        </is>
      </c>
      <c r="F2" s="30" t="n">
        <v>532.4299999999999</v>
      </c>
      <c r="G2" s="30" t="n">
        <v>26.11</v>
      </c>
      <c r="H2" s="30" t="n">
        <v>18.84</v>
      </c>
      <c r="I2" s="30" t="n">
        <v>2989541</v>
      </c>
      <c r="J2" s="30" t="inlineStr">
        <is>
          <t>506852</t>
        </is>
      </c>
    </row>
    <row r="3">
      <c r="A3" s="30" t="inlineStr">
        <is>
          <t>RAMCOSYS</t>
        </is>
      </c>
      <c r="B3" s="30" t="inlineStr">
        <is>
          <t>Ramco Systems Limited</t>
        </is>
      </c>
      <c r="C3" s="30" t="inlineStr">
        <is>
          <t>i.t</t>
        </is>
      </c>
      <c r="D3" s="30" t="inlineStr">
        <is>
          <t>computers - software - medium / small</t>
        </is>
      </c>
      <c r="E3" s="30" t="inlineStr">
        <is>
          <t>smallcap</t>
        </is>
      </c>
      <c r="F3" s="30" t="n">
        <v>1783.24</v>
      </c>
      <c r="G3" s="30" t="n">
        <v>562.25</v>
      </c>
      <c r="H3" s="30" t="n">
        <v>17.96</v>
      </c>
      <c r="I3" s="30" t="n">
        <v>10906275</v>
      </c>
      <c r="J3" s="30" t="inlineStr">
        <is>
          <t>532370</t>
        </is>
      </c>
    </row>
    <row r="4">
      <c r="A4" s="30" t="inlineStr">
        <is>
          <t>BHAGERIA</t>
        </is>
      </c>
      <c r="B4" s="30" t="inlineStr">
        <is>
          <t>Bhageria Industries Limited</t>
        </is>
      </c>
      <c r="C4" s="30" t="inlineStr">
        <is>
          <t>chemicals</t>
        </is>
      </c>
      <c r="D4" s="30" t="inlineStr">
        <is>
          <t>dyes and pigments</t>
        </is>
      </c>
      <c r="E4" s="30" t="inlineStr">
        <is>
          <t>smallcap</t>
        </is>
      </c>
      <c r="F4" s="30" t="n">
        <v>787.86</v>
      </c>
      <c r="G4" s="30" t="n">
        <v>209.09</v>
      </c>
      <c r="H4" s="30" t="n">
        <v>15.83</v>
      </c>
      <c r="I4" s="30" t="n">
        <v>2265151</v>
      </c>
      <c r="J4" s="30" t="inlineStr">
        <is>
          <t>530803</t>
        </is>
      </c>
    </row>
    <row r="5">
      <c r="A5" s="30" t="inlineStr">
        <is>
          <t>ITDC</t>
        </is>
      </c>
      <c r="B5" s="30" t="inlineStr">
        <is>
          <t>India Tourism Development Corporation Ltd</t>
        </is>
      </c>
      <c r="C5" s="30" t="inlineStr">
        <is>
          <t>services</t>
        </is>
      </c>
      <c r="D5" s="30" t="inlineStr">
        <is>
          <t>hotels</t>
        </is>
      </c>
      <c r="E5" s="30" t="inlineStr">
        <is>
          <t>midcap</t>
        </is>
      </c>
      <c r="F5" s="30" t="n">
        <v>5053.1</v>
      </c>
      <c r="G5" s="30" t="n">
        <v>669.95</v>
      </c>
      <c r="H5" s="30" t="n">
        <v>13.71</v>
      </c>
      <c r="I5" s="30" t="n">
        <v>18236659</v>
      </c>
      <c r="J5" s="30" t="inlineStr">
        <is>
          <t>532189</t>
        </is>
      </c>
    </row>
    <row r="6">
      <c r="A6" s="30" t="inlineStr">
        <is>
          <t>RSWM</t>
        </is>
      </c>
      <c r="B6" s="30" t="inlineStr">
        <is>
          <t>Rswm Limited</t>
        </is>
      </c>
      <c r="C6" s="30" t="inlineStr">
        <is>
          <t>textiles</t>
        </is>
      </c>
      <c r="D6" s="30" t="inlineStr">
        <is>
          <t>textiles - cotton/blended</t>
        </is>
      </c>
      <c r="E6" s="30" t="inlineStr">
        <is>
          <t>smallcap</t>
        </is>
      </c>
      <c r="F6" s="30" t="n">
        <v>834.74</v>
      </c>
      <c r="G6" s="30" t="n">
        <v>197.1</v>
      </c>
      <c r="H6" s="30" t="n">
        <v>11.22</v>
      </c>
      <c r="I6" s="30" t="n">
        <v>3701180</v>
      </c>
      <c r="J6" s="30" t="inlineStr">
        <is>
          <t>500350</t>
        </is>
      </c>
    </row>
    <row r="7">
      <c r="A7" s="30" t="inlineStr">
        <is>
          <t>GANESHBE</t>
        </is>
      </c>
      <c r="B7" s="30" t="inlineStr">
        <is>
          <t>Ganesh Benzoplast Ltd</t>
        </is>
      </c>
      <c r="C7" s="30" t="inlineStr">
        <is>
          <t>miscellaneous</t>
        </is>
      </c>
      <c r="D7" s="30" t="inlineStr">
        <is>
          <t>miscellaneous</t>
        </is>
      </c>
      <c r="E7" s="30" t="inlineStr">
        <is>
          <t>smallcap</t>
        </is>
      </c>
      <c r="F7" s="30" t="n">
        <v>728.39</v>
      </c>
      <c r="G7" s="30" t="n">
        <v>111.95</v>
      </c>
      <c r="H7" s="30" t="n">
        <v>10.64</v>
      </c>
      <c r="I7" s="30" t="n">
        <v>5571472</v>
      </c>
      <c r="J7" s="30" t="inlineStr">
        <is>
          <t>500153</t>
        </is>
      </c>
    </row>
    <row r="8">
      <c r="A8" s="30" t="inlineStr">
        <is>
          <t>UFBL</t>
        </is>
      </c>
      <c r="B8" s="30" t="inlineStr">
        <is>
          <t>United Foodbrands Ltd</t>
        </is>
      </c>
      <c r="C8" s="30" t="inlineStr">
        <is>
          <t>consumer discretionary</t>
        </is>
      </c>
      <c r="D8" s="30" t="inlineStr">
        <is>
          <t>hotels</t>
        </is>
      </c>
      <c r="E8" s="30" t="inlineStr">
        <is>
          <t>smallcap</t>
        </is>
      </c>
      <c r="F8" s="30" t="n">
        <v>1797.97</v>
      </c>
      <c r="G8" s="30" t="n">
        <v>506</v>
      </c>
      <c r="H8" s="30" t="n">
        <v>10</v>
      </c>
      <c r="I8" s="30" t="n">
        <v>432012</v>
      </c>
      <c r="J8" s="30" t="inlineStr">
        <is>
          <t>543283</t>
        </is>
      </c>
    </row>
    <row r="9">
      <c r="A9" s="30" t="inlineStr">
        <is>
          <t>RPEL</t>
        </is>
      </c>
      <c r="B9" s="30" t="inlineStr">
        <is>
          <t>Raghav Productivity Enhancers Ltd</t>
        </is>
      </c>
      <c r="C9" s="30" t="inlineStr">
        <is>
          <t>building materials</t>
        </is>
      </c>
      <c r="D9" s="30" t="inlineStr">
        <is>
          <t>refractories / intermediates</t>
        </is>
      </c>
      <c r="E9" s="30" t="inlineStr">
        <is>
          <t>smallcap</t>
        </is>
      </c>
      <c r="F9" s="30" t="n">
        <v>4638.03</v>
      </c>
      <c r="G9" s="30" t="n">
        <v>1110.15</v>
      </c>
      <c r="H9" s="30" t="n">
        <v>9.890000000000001</v>
      </c>
      <c r="I9" s="30" t="n">
        <v>594955</v>
      </c>
      <c r="J9" s="30" t="inlineStr">
        <is>
          <t>539837</t>
        </is>
      </c>
    </row>
    <row r="10">
      <c r="A10" s="30" t="inlineStr">
        <is>
          <t>MUNJALAU</t>
        </is>
      </c>
      <c r="B10" s="30" t="inlineStr">
        <is>
          <t>Munjal Auto Industries Limited</t>
        </is>
      </c>
      <c r="C10" s="30" t="inlineStr">
        <is>
          <t>auto</t>
        </is>
      </c>
      <c r="D10" s="30" t="inlineStr">
        <is>
          <t>auto ancillaries</t>
        </is>
      </c>
      <c r="E10" s="30" t="inlineStr">
        <is>
          <t>smallcap</t>
        </is>
      </c>
      <c r="F10" s="30" t="n">
        <v>881.7</v>
      </c>
      <c r="G10" s="30" t="n">
        <v>96.28</v>
      </c>
      <c r="H10" s="30" t="n">
        <v>9.199999999999999</v>
      </c>
      <c r="I10" s="30" t="n">
        <v>2122594</v>
      </c>
      <c r="J10" s="30" t="inlineStr">
        <is>
          <t>520059</t>
        </is>
      </c>
    </row>
    <row r="11">
      <c r="A11" s="30" t="inlineStr">
        <is>
          <t>PASUPTAC</t>
        </is>
      </c>
      <c r="B11" s="30" t="inlineStr">
        <is>
          <t>Pasupati Acrylon Ltd</t>
        </is>
      </c>
      <c r="C11" s="30" t="inlineStr">
        <is>
          <t>textiles</t>
        </is>
      </c>
      <c r="D11" s="30" t="inlineStr">
        <is>
          <t>textiles - manmade</t>
        </is>
      </c>
      <c r="E11" s="30" t="inlineStr">
        <is>
          <t>smallcap</t>
        </is>
      </c>
      <c r="F11" s="30" t="n">
        <v>607.09</v>
      </c>
      <c r="G11" s="30" t="n">
        <v>74.20999999999999</v>
      </c>
      <c r="H11" s="30" t="n">
        <v>8.960000000000001</v>
      </c>
      <c r="I11" s="30" t="n">
        <v>2905211</v>
      </c>
      <c r="J11" s="30" t="inlineStr">
        <is>
          <t>500456</t>
        </is>
      </c>
    </row>
    <row r="12">
      <c r="A12" s="30" t="inlineStr">
        <is>
          <t>PARAS</t>
        </is>
      </c>
      <c r="B12" s="30" t="inlineStr">
        <is>
          <t>Paras Defence and Space Technologies Ltd</t>
        </is>
      </c>
      <c r="C12" s="30" t="inlineStr">
        <is>
          <t>aerospace &amp; defence</t>
        </is>
      </c>
      <c r="D12" s="30" t="inlineStr">
        <is>
          <t>engineering</t>
        </is>
      </c>
      <c r="E12" s="30" t="inlineStr">
        <is>
          <t>midcap</t>
        </is>
      </c>
      <c r="F12" s="30" t="n">
        <v>7202.9</v>
      </c>
      <c r="G12" s="30" t="n">
        <v>960.15</v>
      </c>
      <c r="H12" s="30" t="n">
        <v>7.42</v>
      </c>
      <c r="I12" s="30" t="n">
        <v>14940270</v>
      </c>
      <c r="J12" s="30" t="inlineStr">
        <is>
          <t>543367</t>
        </is>
      </c>
    </row>
    <row r="13">
      <c r="A13" s="30" t="inlineStr">
        <is>
          <t>ADANIGREEN</t>
        </is>
      </c>
      <c r="B13" s="30" t="inlineStr">
        <is>
          <t>Adani Green Energy Ltd</t>
        </is>
      </c>
      <c r="C13" s="30" t="inlineStr">
        <is>
          <t>power &amp; utilities</t>
        </is>
      </c>
      <c r="D13" s="30" t="inlineStr">
        <is>
          <t>power generation and supply</t>
        </is>
      </c>
      <c r="E13" s="30" t="inlineStr">
        <is>
          <t>largecap</t>
        </is>
      </c>
      <c r="F13" s="30" t="n">
        <v>234442.58</v>
      </c>
      <c r="G13" s="30" t="n">
        <v>1525.7</v>
      </c>
      <c r="H13" s="30" t="n">
        <v>7.19</v>
      </c>
      <c r="I13" s="30" t="n">
        <v>10448500</v>
      </c>
      <c r="J13" s="30" t="inlineStr">
        <is>
          <t>541450</t>
        </is>
      </c>
    </row>
    <row r="14">
      <c r="A14" s="30" t="inlineStr">
        <is>
          <t>PRIMESECU</t>
        </is>
      </c>
      <c r="B14" s="30" t="inlineStr">
        <is>
          <t>Prime Securities Limited</t>
        </is>
      </c>
      <c r="C14" s="30" t="inlineStr">
        <is>
          <t>financials</t>
        </is>
      </c>
      <c r="D14" s="30" t="inlineStr">
        <is>
          <t>finance &amp; investments</t>
        </is>
      </c>
      <c r="E14" s="30" t="inlineStr">
        <is>
          <t>smallcap</t>
        </is>
      </c>
      <c r="F14" s="30" t="n">
        <v>954.46</v>
      </c>
      <c r="G14" s="30" t="n">
        <v>300.9</v>
      </c>
      <c r="H14" s="30" t="n">
        <v>6.87</v>
      </c>
      <c r="I14" s="30" t="n">
        <v>205529</v>
      </c>
      <c r="J14" s="30" t="inlineStr">
        <is>
          <t>500337</t>
        </is>
      </c>
    </row>
    <row r="15">
      <c r="A15" s="30" t="inlineStr">
        <is>
          <t>HSCL</t>
        </is>
      </c>
      <c r="B15" s="30" t="inlineStr">
        <is>
          <t>Himadri Speciality Chemical Limited</t>
        </is>
      </c>
      <c r="C15" s="30" t="inlineStr">
        <is>
          <t>chemicals</t>
        </is>
      </c>
      <c r="D15" s="30" t="inlineStr">
        <is>
          <t>chemicals</t>
        </is>
      </c>
      <c r="E15" s="30" t="inlineStr">
        <is>
          <t>largecap</t>
        </is>
      </c>
      <c r="F15" s="30" t="n">
        <v>32391.57</v>
      </c>
      <c r="G15" s="30" t="n">
        <v>685.05</v>
      </c>
      <c r="H15" s="30" t="n">
        <v>6.71</v>
      </c>
      <c r="I15" s="30" t="n">
        <v>24445679</v>
      </c>
      <c r="J15" s="30" t="inlineStr">
        <is>
          <t>500184</t>
        </is>
      </c>
    </row>
    <row r="16">
      <c r="A16" s="30" t="inlineStr">
        <is>
          <t>SPECTRUM</t>
        </is>
      </c>
      <c r="B16" s="30" t="inlineStr">
        <is>
          <t>Spectrum Electrical Industries Ltd</t>
        </is>
      </c>
      <c r="C16" s="30" t="inlineStr">
        <is>
          <t>industrials</t>
        </is>
      </c>
      <c r="D16" s="30" t="inlineStr">
        <is>
          <t>electric equipment</t>
        </is>
      </c>
      <c r="E16" s="30" t="inlineStr">
        <is>
          <t>smallcap</t>
        </is>
      </c>
      <c r="F16" s="30" t="n">
        <v>2616.04</v>
      </c>
      <c r="G16" s="30" t="n">
        <v>1769.1</v>
      </c>
      <c r="H16" s="30" t="n">
        <v>6.27</v>
      </c>
      <c r="I16" s="30" t="n">
        <v>86017</v>
      </c>
      <c r="J16" s="30" t="inlineStr">
        <is>
          <t>535112</t>
        </is>
      </c>
    </row>
    <row r="17">
      <c r="A17" s="30" t="inlineStr">
        <is>
          <t>NGLFINE</t>
        </is>
      </c>
      <c r="B17" s="30" t="inlineStr">
        <is>
          <t>NGL Fine Chem Ltd</t>
        </is>
      </c>
      <c r="C17" s="30" t="inlineStr">
        <is>
          <t>healthcare</t>
        </is>
      </c>
      <c r="D17" s="30" t="inlineStr">
        <is>
          <t>pharmaceuticals - indian - bulk drugs</t>
        </is>
      </c>
      <c r="E17" s="30" t="inlineStr">
        <is>
          <t>smallcap</t>
        </is>
      </c>
      <c r="F17" s="30" t="n">
        <v>1594.98</v>
      </c>
      <c r="G17" s="30" t="n">
        <v>2742.6</v>
      </c>
      <c r="H17" s="30" t="n">
        <v>6.23</v>
      </c>
      <c r="I17" s="30" t="n">
        <v>40222</v>
      </c>
      <c r="J17" s="30" t="inlineStr">
        <is>
          <t>524774</t>
        </is>
      </c>
    </row>
    <row r="18">
      <c r="A18" s="30" t="inlineStr">
        <is>
          <t>GREENPLY</t>
        </is>
      </c>
      <c r="B18" s="30" t="inlineStr">
        <is>
          <t>Greenply Industries Limited</t>
        </is>
      </c>
      <c r="C18" s="30" t="inlineStr">
        <is>
          <t>building materials</t>
        </is>
      </c>
      <c r="D18" s="30" t="inlineStr">
        <is>
          <t>miscellaneous</t>
        </is>
      </c>
      <c r="E18" s="30" t="inlineStr">
        <is>
          <t>smallcap</t>
        </is>
      </c>
      <c r="F18" s="30" t="n">
        <v>3441.05</v>
      </c>
      <c r="G18" s="30" t="n">
        <v>291.79</v>
      </c>
      <c r="H18" s="30" t="n">
        <v>5.91</v>
      </c>
      <c r="I18" s="30" t="n">
        <v>1161053</v>
      </c>
      <c r="J18" s="30" t="inlineStr">
        <is>
          <t>526797</t>
        </is>
      </c>
    </row>
    <row r="19">
      <c r="A19" s="30" t="inlineStr">
        <is>
          <t>TVSSCS</t>
        </is>
      </c>
      <c r="B19" s="30" t="inlineStr">
        <is>
          <t>TVS Supply Chain Solutions Ltd</t>
        </is>
      </c>
      <c r="C19" s="30" t="inlineStr">
        <is>
          <t>transportation</t>
        </is>
      </c>
      <c r="D19" s="30" t="inlineStr">
        <is>
          <t>miscellaneous</t>
        </is>
      </c>
      <c r="E19" s="30" t="inlineStr">
        <is>
          <t>midcap</t>
        </is>
      </c>
      <c r="F19" s="30" t="n">
        <v>5411.07</v>
      </c>
      <c r="G19" s="30" t="n">
        <v>129.67</v>
      </c>
      <c r="H19" s="30" t="n">
        <v>5.72</v>
      </c>
      <c r="I19" s="30" t="n">
        <v>3370879</v>
      </c>
      <c r="J19" s="30" t="inlineStr">
        <is>
          <t>543965</t>
        </is>
      </c>
    </row>
    <row r="20">
      <c r="A20" s="30" t="inlineStr">
        <is>
          <t>DIACABS</t>
        </is>
      </c>
      <c r="B20" s="30" t="inlineStr">
        <is>
          <t>Diamond Power Infrastructure Ltd</t>
        </is>
      </c>
      <c r="C20" s="30" t="inlineStr">
        <is>
          <t>industrials</t>
        </is>
      </c>
      <c r="D20" s="30" t="inlineStr">
        <is>
          <t>cables - power</t>
        </is>
      </c>
      <c r="E20" s="30" t="inlineStr">
        <is>
          <t>midcap</t>
        </is>
      </c>
      <c r="F20" s="30" t="n">
        <v>10154.21</v>
      </c>
      <c r="G20" s="30" t="n">
        <v>203.6</v>
      </c>
      <c r="H20" s="30" t="n">
        <v>5.66</v>
      </c>
      <c r="I20" s="30" t="n">
        <v>10037123</v>
      </c>
      <c r="J20" s="30" t="inlineStr">
        <is>
          <t>522163</t>
        </is>
      </c>
    </row>
    <row r="21">
      <c r="A21" s="30" t="inlineStr">
        <is>
          <t>VADILALIND</t>
        </is>
      </c>
      <c r="B21" s="30" t="inlineStr">
        <is>
          <t>Vadilal Industries Limited</t>
        </is>
      </c>
      <c r="C21" s="30" t="inlineStr">
        <is>
          <t>fmcg</t>
        </is>
      </c>
      <c r="D21" s="30" t="inlineStr">
        <is>
          <t>food - processing - indian</t>
        </is>
      </c>
      <c r="E21" s="30" t="inlineStr">
        <is>
          <t>smallcap</t>
        </is>
      </c>
      <c r="F21" s="30" t="n">
        <v>3948.28</v>
      </c>
      <c r="G21" s="30" t="n">
        <v>5780.7</v>
      </c>
      <c r="H21" s="30" t="n">
        <v>5.24</v>
      </c>
      <c r="I21" s="30" t="n">
        <v>121955</v>
      </c>
      <c r="J21" s="30" t="inlineStr">
        <is>
          <t>519156</t>
        </is>
      </c>
    </row>
    <row r="22">
      <c r="A22" s="30" t="inlineStr">
        <is>
          <t>SVLL</t>
        </is>
      </c>
      <c r="B22" s="30" t="inlineStr">
        <is>
          <t>Shree Vasu Logistics Ltd</t>
        </is>
      </c>
      <c r="C22" s="30" t="inlineStr">
        <is>
          <t>transportation</t>
        </is>
      </c>
      <c r="D22" s="30" t="inlineStr">
        <is>
          <t>miscellaneous</t>
        </is>
      </c>
      <c r="E22" s="30" t="inlineStr">
        <is>
          <t>smallcap</t>
        </is>
      </c>
      <c r="F22" s="30" t="n">
        <v>817.14</v>
      </c>
      <c r="G22" s="30" t="n">
        <v>747.9</v>
      </c>
      <c r="H22" s="30" t="n">
        <v>5.2</v>
      </c>
      <c r="I22" s="30" t="n">
        <v>2832</v>
      </c>
      <c r="J22" s="30" t="inlineStr">
        <is>
          <t>535084</t>
        </is>
      </c>
    </row>
    <row r="23">
      <c r="A23" s="30" t="inlineStr">
        <is>
          <t>ACUTAAS</t>
        </is>
      </c>
      <c r="B23" s="30" t="inlineStr">
        <is>
          <t>Acutaas Chemicals Ltd</t>
        </is>
      </c>
      <c r="C23" s="30" t="inlineStr">
        <is>
          <t>healthcare</t>
        </is>
      </c>
      <c r="D23" s="30" t="inlineStr">
        <is>
          <t>pharmaceuticals - indian - bulk drugs</t>
        </is>
      </c>
      <c r="E23" s="30" t="inlineStr">
        <is>
          <t>largecap</t>
        </is>
      </c>
      <c r="F23" s="30" t="n">
        <v>25909.75</v>
      </c>
      <c r="G23" s="30" t="n">
        <v>3328.3</v>
      </c>
      <c r="H23" s="30" t="n">
        <v>5.17</v>
      </c>
      <c r="I23" s="30" t="n">
        <v>1067585</v>
      </c>
      <c r="J23" s="30" t="inlineStr">
        <is>
          <t>543349</t>
        </is>
      </c>
    </row>
    <row r="24">
      <c r="A24" s="30" t="inlineStr">
        <is>
          <t>DEEDEV</t>
        </is>
      </c>
      <c r="B24" s="30" t="inlineStr">
        <is>
          <t>DEE Development Engineers Ltd</t>
        </is>
      </c>
      <c r="C24" s="30" t="inlineStr">
        <is>
          <t>metals &amp; mining</t>
        </is>
      </c>
      <c r="D24" s="30" t="inlineStr">
        <is>
          <t>steel - medium / small</t>
        </is>
      </c>
      <c r="E24" s="30" t="inlineStr">
        <is>
          <t>smallcap</t>
        </is>
      </c>
      <c r="F24" s="30" t="n">
        <v>4427.31</v>
      </c>
      <c r="G24" s="30" t="n">
        <v>671.15</v>
      </c>
      <c r="H24" s="30" t="n">
        <v>5</v>
      </c>
      <c r="I24" s="30" t="n">
        <v>185836</v>
      </c>
      <c r="J24" s="30" t="n"/>
    </row>
    <row r="25">
      <c r="A25" s="30" t="inlineStr">
        <is>
          <t>IDEAFORGE</t>
        </is>
      </c>
      <c r="B25" s="30" t="inlineStr">
        <is>
          <t>Ideaforge Technology Ltd</t>
        </is>
      </c>
      <c r="C25" s="30" t="inlineStr">
        <is>
          <t>aerospace &amp; defence</t>
        </is>
      </c>
      <c r="D25" s="30" t="inlineStr">
        <is>
          <t>engineering</t>
        </is>
      </c>
      <c r="E25" s="30" t="inlineStr">
        <is>
          <t>smallcap</t>
        </is>
      </c>
      <c r="F25" s="30" t="n">
        <v>3894.83</v>
      </c>
      <c r="G25" s="30" t="n">
        <v>945</v>
      </c>
      <c r="H25" s="30" t="n">
        <v>5</v>
      </c>
      <c r="I25" s="30" t="n">
        <v>221612</v>
      </c>
      <c r="J25" s="30" t="inlineStr">
        <is>
          <t>543932</t>
        </is>
      </c>
    </row>
    <row r="26">
      <c r="A26" s="30" t="inlineStr">
        <is>
          <t>MODISONLTD</t>
        </is>
      </c>
      <c r="B26" s="30" t="inlineStr">
        <is>
          <t>Modison Ltd</t>
        </is>
      </c>
      <c r="C26" s="30" t="inlineStr">
        <is>
          <t>industrials</t>
        </is>
      </c>
      <c r="D26" s="30" t="inlineStr">
        <is>
          <t>electric equipment</t>
        </is>
      </c>
      <c r="E26" s="30" t="inlineStr">
        <is>
          <t>smallcap</t>
        </is>
      </c>
      <c r="F26" s="30" t="n">
        <v>1120.99</v>
      </c>
      <c r="G26" s="30" t="n">
        <v>362.7</v>
      </c>
      <c r="H26" s="30" t="n">
        <v>4.99</v>
      </c>
      <c r="I26" s="30" t="n">
        <v>224859</v>
      </c>
      <c r="J26" s="30" t="inlineStr">
        <is>
          <t>506261</t>
        </is>
      </c>
    </row>
    <row r="27">
      <c r="A27" s="30" t="inlineStr">
        <is>
          <t>VENUSREM</t>
        </is>
      </c>
      <c r="B27" s="30" t="inlineStr">
        <is>
          <t>Venus Remedies Limited</t>
        </is>
      </c>
      <c r="C27" s="30" t="inlineStr">
        <is>
          <t>healthcare</t>
        </is>
      </c>
      <c r="D27" s="30" t="inlineStr">
        <is>
          <t>pharmaceuticals - indian - formulations</t>
        </is>
      </c>
      <c r="E27" s="30" t="inlineStr">
        <is>
          <t>smallcap</t>
        </is>
      </c>
      <c r="F27" s="30" t="n">
        <v>2079.64</v>
      </c>
      <c r="G27" s="30" t="n">
        <v>1633.5</v>
      </c>
      <c r="H27" s="30" t="n">
        <v>4.99</v>
      </c>
      <c r="I27" s="30" t="n">
        <v>177144</v>
      </c>
      <c r="J27" s="30" t="inlineStr">
        <is>
          <t>526953</t>
        </is>
      </c>
    </row>
    <row r="28">
      <c r="A28" s="30" t="inlineStr">
        <is>
          <t>CENTENKA</t>
        </is>
      </c>
      <c r="B28" s="30" t="inlineStr">
        <is>
          <t>Century Enka Limited</t>
        </is>
      </c>
      <c r="C28" s="30" t="inlineStr">
        <is>
          <t>textiles</t>
        </is>
      </c>
      <c r="D28" s="30" t="inlineStr">
        <is>
          <t>textiles - manmade</t>
        </is>
      </c>
      <c r="E28" s="30" t="inlineStr">
        <is>
          <t>smallcap</t>
        </is>
      </c>
      <c r="F28" s="30" t="n">
        <v>1080.84</v>
      </c>
      <c r="G28" s="30" t="n">
        <v>518.9</v>
      </c>
      <c r="H28" s="30" t="n">
        <v>4.9</v>
      </c>
      <c r="I28" s="30" t="n">
        <v>131157</v>
      </c>
      <c r="J28" s="30" t="inlineStr">
        <is>
          <t>500280</t>
        </is>
      </c>
    </row>
    <row r="29">
      <c r="A29" s="30" t="inlineStr">
        <is>
          <t>INOXINDIA</t>
        </is>
      </c>
      <c r="B29" s="30" t="inlineStr">
        <is>
          <t>Inox India Ltd</t>
        </is>
      </c>
      <c r="C29" s="30" t="inlineStr">
        <is>
          <t>industrials</t>
        </is>
      </c>
      <c r="D29" s="30" t="inlineStr">
        <is>
          <t>packaging</t>
        </is>
      </c>
      <c r="E29" s="30" t="inlineStr">
        <is>
          <t>midcap</t>
        </is>
      </c>
      <c r="F29" s="30" t="n">
        <v>13659.91</v>
      </c>
      <c r="G29" s="30" t="n">
        <v>1578.8</v>
      </c>
      <c r="H29" s="30" t="n">
        <v>4.9</v>
      </c>
      <c r="I29" s="30" t="n">
        <v>454358</v>
      </c>
      <c r="J29" s="30" t="inlineStr">
        <is>
          <t>544046</t>
        </is>
      </c>
    </row>
    <row r="30">
      <c r="A30" s="30" t="inlineStr">
        <is>
          <t>HMVL</t>
        </is>
      </c>
      <c r="B30" s="30" t="inlineStr">
        <is>
          <t>Hindustan Media Ventures Limited</t>
        </is>
      </c>
      <c r="C30" s="30" t="inlineStr">
        <is>
          <t>media</t>
        </is>
      </c>
      <c r="D30" s="30" t="inlineStr">
        <is>
          <t>entertainment / electronic media software</t>
        </is>
      </c>
      <c r="E30" s="30" t="inlineStr">
        <is>
          <t>smallcap</t>
        </is>
      </c>
      <c r="F30" s="30" t="n">
        <v>566.83</v>
      </c>
      <c r="G30" s="30" t="n">
        <v>80.63</v>
      </c>
      <c r="H30" s="30" t="n">
        <v>4.8</v>
      </c>
      <c r="I30" s="30" t="n">
        <v>87093</v>
      </c>
      <c r="J30" s="30" t="inlineStr">
        <is>
          <t>533217</t>
        </is>
      </c>
    </row>
    <row r="31">
      <c r="A31" s="30" t="inlineStr">
        <is>
          <t>ATHERENERG</t>
        </is>
      </c>
      <c r="B31" s="30" t="inlineStr">
        <is>
          <t>Ather Energy Ltd</t>
        </is>
      </c>
      <c r="C31" s="30" t="inlineStr">
        <is>
          <t>auto</t>
        </is>
      </c>
      <c r="D31" s="30" t="inlineStr">
        <is>
          <t>automobiles - scooters and 3 - wheelers</t>
        </is>
      </c>
      <c r="E31" s="30" t="inlineStr">
        <is>
          <t>largecap</t>
        </is>
      </c>
      <c r="F31" s="30" t="n">
        <v>37813.85</v>
      </c>
      <c r="G31" s="30" t="n">
        <v>1033.6</v>
      </c>
      <c r="H31" s="30" t="n">
        <v>4.6</v>
      </c>
      <c r="I31" s="30" t="n">
        <v>4325836</v>
      </c>
      <c r="J31" s="30" t="inlineStr">
        <is>
          <t>544397</t>
        </is>
      </c>
    </row>
    <row r="32">
      <c r="A32" s="30" t="inlineStr">
        <is>
          <t>PAISALO</t>
        </is>
      </c>
      <c r="B32" s="30" t="inlineStr">
        <is>
          <t>Paisalo Digital Ltd</t>
        </is>
      </c>
      <c r="C32" s="30" t="inlineStr">
        <is>
          <t>financials</t>
        </is>
      </c>
      <c r="D32" s="30" t="inlineStr">
        <is>
          <t>finance &amp; investments</t>
        </is>
      </c>
      <c r="E32" s="30" t="inlineStr">
        <is>
          <t>midcap</t>
        </is>
      </c>
      <c r="F32" s="30" t="n">
        <v>5036.02</v>
      </c>
      <c r="G32" s="30" t="n">
        <v>57.87</v>
      </c>
      <c r="H32" s="30" t="n">
        <v>4.52</v>
      </c>
      <c r="I32" s="30" t="n">
        <v>17932750</v>
      </c>
      <c r="J32" s="30" t="inlineStr">
        <is>
          <t>532900</t>
        </is>
      </c>
    </row>
    <row r="33">
      <c r="A33" s="30" t="inlineStr">
        <is>
          <t>GUFICBIO</t>
        </is>
      </c>
      <c r="B33" s="30" t="inlineStr">
        <is>
          <t>Gufic Biosciences Limited</t>
        </is>
      </c>
      <c r="C33" s="30" t="inlineStr">
        <is>
          <t>healthcare</t>
        </is>
      </c>
      <c r="D33" s="30" t="inlineStr">
        <is>
          <t>pharmaceuticals - indian - bulk drugs &amp; formln</t>
        </is>
      </c>
      <c r="E33" s="30" t="inlineStr">
        <is>
          <t>smallcap</t>
        </is>
      </c>
      <c r="F33" s="30" t="n">
        <v>3553.51</v>
      </c>
      <c r="G33" s="30" t="n">
        <v>369.95</v>
      </c>
      <c r="H33" s="30" t="n">
        <v>4.4</v>
      </c>
      <c r="I33" s="30" t="n">
        <v>243828</v>
      </c>
      <c r="J33" s="30" t="inlineStr">
        <is>
          <t>509079</t>
        </is>
      </c>
    </row>
    <row r="34">
      <c r="A34" s="30" t="inlineStr">
        <is>
          <t>HINDOILEXP</t>
        </is>
      </c>
      <c r="B34" s="30" t="inlineStr">
        <is>
          <t>Hindustan Oil Exploration Company Limited</t>
        </is>
      </c>
      <c r="C34" s="30" t="inlineStr">
        <is>
          <t>energy</t>
        </is>
      </c>
      <c r="D34" s="30" t="inlineStr">
        <is>
          <t>oil drilling / allied services</t>
        </is>
      </c>
      <c r="E34" s="30" t="inlineStr">
        <is>
          <t>smallcap</t>
        </is>
      </c>
      <c r="F34" s="30" t="n">
        <v>2214.28</v>
      </c>
      <c r="G34" s="30" t="n">
        <v>174.66</v>
      </c>
      <c r="H34" s="30" t="n">
        <v>4.31</v>
      </c>
      <c r="I34" s="30" t="n">
        <v>1131670</v>
      </c>
      <c r="J34" s="30" t="inlineStr">
        <is>
          <t>500186</t>
        </is>
      </c>
    </row>
    <row r="35">
      <c r="A35" s="30" t="inlineStr">
        <is>
          <t>RICOAUTO</t>
        </is>
      </c>
      <c r="B35" s="30" t="inlineStr">
        <is>
          <t>Rico Auto Industries Limited</t>
        </is>
      </c>
      <c r="C35" s="30" t="inlineStr">
        <is>
          <t>auto</t>
        </is>
      </c>
      <c r="D35" s="30" t="inlineStr">
        <is>
          <t>auto ancillaries</t>
        </is>
      </c>
      <c r="E35" s="30" t="inlineStr">
        <is>
          <t>smallcap</t>
        </is>
      </c>
      <c r="F35" s="30" t="n">
        <v>1777.24</v>
      </c>
      <c r="G35" s="30" t="n">
        <v>136.85</v>
      </c>
      <c r="H35" s="30" t="n">
        <v>4.17</v>
      </c>
      <c r="I35" s="30" t="n">
        <v>20107949</v>
      </c>
      <c r="J35" s="30" t="inlineStr">
        <is>
          <t>520008</t>
        </is>
      </c>
    </row>
    <row r="36">
      <c r="A36" s="30" t="inlineStr">
        <is>
          <t>ADANIENSOL</t>
        </is>
      </c>
      <c r="B36" s="30" t="inlineStr">
        <is>
          <t>Adani Energy Solutions Ltd</t>
        </is>
      </c>
      <c r="C36" s="30" t="inlineStr">
        <is>
          <t>power &amp; utilities</t>
        </is>
      </c>
      <c r="D36" s="30" t="inlineStr">
        <is>
          <t>power generation and supply</t>
        </is>
      </c>
      <c r="E36" s="30" t="inlineStr">
        <is>
          <t>largecap</t>
        </is>
      </c>
      <c r="F36" s="30" t="n">
        <v>182594.96</v>
      </c>
      <c r="G36" s="30" t="n">
        <v>1579</v>
      </c>
      <c r="H36" s="30" t="n">
        <v>3.88</v>
      </c>
      <c r="I36" s="30" t="n">
        <v>5528998</v>
      </c>
      <c r="J36" s="30" t="inlineStr">
        <is>
          <t>539254</t>
        </is>
      </c>
    </row>
    <row r="37">
      <c r="A37" s="30" t="inlineStr">
        <is>
          <t>PANACEABIO</t>
        </is>
      </c>
      <c r="B37" s="30" t="inlineStr">
        <is>
          <t>Panacea Biotec Limited</t>
        </is>
      </c>
      <c r="C37" s="30" t="inlineStr">
        <is>
          <t>healthcare</t>
        </is>
      </c>
      <c r="D37" s="30" t="inlineStr">
        <is>
          <t>pharmaceuticals - indian - bulk drugs &amp; formln</t>
        </is>
      </c>
      <c r="E37" s="30" t="inlineStr">
        <is>
          <t>smallcap</t>
        </is>
      </c>
      <c r="F37" s="30" t="n">
        <v>3186.88</v>
      </c>
      <c r="G37" s="30" t="n">
        <v>540.2</v>
      </c>
      <c r="H37" s="30" t="n">
        <v>3.82</v>
      </c>
      <c r="I37" s="30" t="n">
        <v>8876574</v>
      </c>
      <c r="J37" s="30" t="inlineStr">
        <is>
          <t>531349</t>
        </is>
      </c>
    </row>
    <row r="38">
      <c r="A38" s="30" t="inlineStr">
        <is>
          <t>NRBBEARING</t>
        </is>
      </c>
      <c r="B38" s="30" t="inlineStr">
        <is>
          <t>Nrb Bearing Limited</t>
        </is>
      </c>
      <c r="C38" s="30" t="inlineStr">
        <is>
          <t>industrials</t>
        </is>
      </c>
      <c r="D38" s="30" t="inlineStr">
        <is>
          <t>bearings</t>
        </is>
      </c>
      <c r="E38" s="30" t="inlineStr">
        <is>
          <t>smallcap</t>
        </is>
      </c>
      <c r="F38" s="30" t="n">
        <v>3601.64</v>
      </c>
      <c r="G38" s="30" t="n">
        <v>385.65</v>
      </c>
      <c r="H38" s="30" t="n">
        <v>3.78</v>
      </c>
      <c r="I38" s="30" t="n">
        <v>792877</v>
      </c>
      <c r="J38" s="30" t="inlineStr">
        <is>
          <t>530367</t>
        </is>
      </c>
    </row>
    <row r="39">
      <c r="A39" s="30" t="inlineStr">
        <is>
          <t>ASIANENE</t>
        </is>
      </c>
      <c r="B39" s="30" t="inlineStr">
        <is>
          <t>Asian Energy Services Ltd</t>
        </is>
      </c>
      <c r="C39" s="30" t="inlineStr">
        <is>
          <t>energy</t>
        </is>
      </c>
      <c r="D39" s="30" t="inlineStr">
        <is>
          <t>oil drilling / allied services</t>
        </is>
      </c>
      <c r="E39" s="30" t="inlineStr">
        <is>
          <t>smallcap</t>
        </is>
      </c>
      <c r="F39" s="30" t="n">
        <v>1794.72</v>
      </c>
      <c r="G39" s="30" t="n">
        <v>382.1</v>
      </c>
      <c r="H39" s="30" t="n">
        <v>3.49</v>
      </c>
      <c r="I39" s="30" t="n">
        <v>579691</v>
      </c>
      <c r="J39" s="30" t="inlineStr">
        <is>
          <t>530355</t>
        </is>
      </c>
    </row>
    <row r="40">
      <c r="A40" s="30" t="inlineStr">
        <is>
          <t>SILVERTUC</t>
        </is>
      </c>
      <c r="B40" s="30" t="inlineStr">
        <is>
          <t>Silver Touch Technologies Ltd</t>
        </is>
      </c>
      <c r="C40" s="30" t="inlineStr">
        <is>
          <t>i.t</t>
        </is>
      </c>
      <c r="D40" s="30" t="inlineStr">
        <is>
          <t>computers - software - medium / small</t>
        </is>
      </c>
      <c r="E40" s="30" t="inlineStr">
        <is>
          <t>smallcap</t>
        </is>
      </c>
      <c r="F40" s="30" t="n">
        <v>2194.83</v>
      </c>
      <c r="G40" s="30" t="n">
        <v>178.83</v>
      </c>
      <c r="H40" s="30" t="n">
        <v>3.32</v>
      </c>
      <c r="I40" s="30" t="n">
        <v>697573</v>
      </c>
      <c r="J40" s="30" t="inlineStr">
        <is>
          <t>535031</t>
        </is>
      </c>
    </row>
    <row r="41">
      <c r="A41" s="30" t="inlineStr">
        <is>
          <t>SFL</t>
        </is>
      </c>
      <c r="B41" s="30" t="inlineStr">
        <is>
          <t>Sheela Foam Limited</t>
        </is>
      </c>
      <c r="C41" s="30" t="inlineStr">
        <is>
          <t>consumer discretionary</t>
        </is>
      </c>
      <c r="D41" s="30" t="inlineStr">
        <is>
          <t>miscellaneous</t>
        </is>
      </c>
      <c r="E41" s="30" t="inlineStr">
        <is>
          <t>midcap</t>
        </is>
      </c>
      <c r="F41" s="30" t="n">
        <v>6774.31</v>
      </c>
      <c r="G41" s="30" t="n">
        <v>642.75</v>
      </c>
      <c r="H41" s="30" t="n">
        <v>3.15</v>
      </c>
      <c r="I41" s="30" t="n">
        <v>500842</v>
      </c>
      <c r="J41" s="30" t="inlineStr">
        <is>
          <t>540203</t>
        </is>
      </c>
    </row>
    <row r="42">
      <c r="A42" s="30" t="inlineStr">
        <is>
          <t>KIMS</t>
        </is>
      </c>
      <c r="B42" s="30" t="inlineStr">
        <is>
          <t>Krishna Institute of Medical Sciences Ltd</t>
        </is>
      </c>
      <c r="C42" s="30" t="inlineStr">
        <is>
          <t>healthcare</t>
        </is>
      </c>
      <c r="D42" s="30" t="inlineStr">
        <is>
          <t>healthcare</t>
        </is>
      </c>
      <c r="E42" s="30" t="inlineStr">
        <is>
          <t>largecap</t>
        </is>
      </c>
      <c r="F42" s="30" t="n">
        <v>30606.63</v>
      </c>
      <c r="G42" s="30" t="n">
        <v>788.95</v>
      </c>
      <c r="H42" s="30" t="n">
        <v>3.14</v>
      </c>
      <c r="I42" s="30" t="n">
        <v>2175866</v>
      </c>
      <c r="J42" s="30" t="inlineStr">
        <is>
          <t>543307</t>
        </is>
      </c>
    </row>
    <row r="43">
      <c r="A43" s="30" t="inlineStr">
        <is>
          <t>ACMESOLAR</t>
        </is>
      </c>
      <c r="B43" s="30" t="inlineStr">
        <is>
          <t>ACME Solar Holdings Ltd</t>
        </is>
      </c>
      <c r="C43" s="30" t="inlineStr">
        <is>
          <t>realty</t>
        </is>
      </c>
      <c r="D43" s="30" t="inlineStr">
        <is>
          <t>engineering - turnkey services</t>
        </is>
      </c>
      <c r="E43" s="30" t="inlineStr">
        <is>
          <t>largecap</t>
        </is>
      </c>
      <c r="F43" s="30" t="n">
        <v>20957.53</v>
      </c>
      <c r="G43" s="30" t="n">
        <v>356.65</v>
      </c>
      <c r="H43" s="30" t="n">
        <v>3.12</v>
      </c>
      <c r="I43" s="30" t="n">
        <v>6661042</v>
      </c>
      <c r="J43" s="30" t="inlineStr">
        <is>
          <t>544283</t>
        </is>
      </c>
    </row>
    <row r="44">
      <c r="A44" s="30" t="inlineStr">
        <is>
          <t>TATATECH</t>
        </is>
      </c>
      <c r="B44" s="30" t="inlineStr">
        <is>
          <t>Tata Technologies Ltd</t>
        </is>
      </c>
      <c r="C44" s="30" t="inlineStr">
        <is>
          <t>i.t</t>
        </is>
      </c>
      <c r="D44" s="30" t="inlineStr">
        <is>
          <t>computers - software - medium / small</t>
        </is>
      </c>
      <c r="E44" s="30" t="inlineStr">
        <is>
          <t>largecap</t>
        </is>
      </c>
      <c r="F44" s="30" t="n">
        <v>30381.46</v>
      </c>
      <c r="G44" s="30" t="n">
        <v>771.2</v>
      </c>
      <c r="H44" s="30" t="n">
        <v>3.05</v>
      </c>
      <c r="I44" s="30" t="n">
        <v>3001493</v>
      </c>
      <c r="J44" s="30" t="inlineStr">
        <is>
          <t>544028</t>
        </is>
      </c>
    </row>
    <row r="45">
      <c r="A45" s="30" t="inlineStr">
        <is>
          <t>ASTRAMICRO</t>
        </is>
      </c>
      <c r="B45" s="30" t="inlineStr">
        <is>
          <t>Astra Microwave Products Limited</t>
        </is>
      </c>
      <c r="C45" s="30" t="inlineStr">
        <is>
          <t>aerospace &amp; defence</t>
        </is>
      </c>
      <c r="D45" s="30" t="inlineStr">
        <is>
          <t>telecommunications - equipment</t>
        </is>
      </c>
      <c r="E45" s="30" t="inlineStr">
        <is>
          <t>midcap</t>
        </is>
      </c>
      <c r="F45" s="30" t="n">
        <v>13080.57</v>
      </c>
      <c r="G45" s="30" t="n">
        <v>1419.5</v>
      </c>
      <c r="H45" s="30" t="n">
        <v>3.03</v>
      </c>
      <c r="I45" s="30" t="n">
        <v>2195447</v>
      </c>
      <c r="J45" s="30" t="inlineStr">
        <is>
          <t>532493</t>
        </is>
      </c>
    </row>
    <row r="46">
      <c r="A46" s="30" t="inlineStr">
        <is>
          <t>CUPID</t>
        </is>
      </c>
      <c r="B46" s="30" t="inlineStr">
        <is>
          <t>Cupid Limited</t>
        </is>
      </c>
      <c r="C46" s="30" t="inlineStr">
        <is>
          <t>fmcg</t>
        </is>
      </c>
      <c r="D46" s="30" t="inlineStr">
        <is>
          <t>personal care - indian</t>
        </is>
      </c>
      <c r="E46" s="30" t="inlineStr">
        <is>
          <t>midcap</t>
        </is>
      </c>
      <c r="F46" s="30" t="n">
        <v>17896.09</v>
      </c>
      <c r="G46" s="30" t="n">
        <v>137.1</v>
      </c>
      <c r="H46" s="30" t="n">
        <v>3.01</v>
      </c>
      <c r="I46" s="30" t="n">
        <v>15150953</v>
      </c>
      <c r="J46" s="30" t="inlineStr">
        <is>
          <t>530843</t>
        </is>
      </c>
    </row>
    <row r="47">
      <c r="A47" s="30" t="inlineStr">
        <is>
          <t>FORTIS</t>
        </is>
      </c>
      <c r="B47" s="30" t="inlineStr">
        <is>
          <t>Fortis Healthcare Limited</t>
        </is>
      </c>
      <c r="C47" s="30" t="inlineStr">
        <is>
          <t>healthcare</t>
        </is>
      </c>
      <c r="D47" s="30" t="inlineStr">
        <is>
          <t>healthcare</t>
        </is>
      </c>
      <c r="E47" s="30" t="inlineStr">
        <is>
          <t>largecap</t>
        </is>
      </c>
      <c r="F47" s="30" t="n">
        <v>71015.14</v>
      </c>
      <c r="G47" s="30" t="n">
        <v>968.65</v>
      </c>
      <c r="H47" s="30" t="n">
        <v>2.98</v>
      </c>
      <c r="I47" s="30" t="n">
        <v>1545060</v>
      </c>
      <c r="J47" s="30" t="inlineStr">
        <is>
          <t>532843</t>
        </is>
      </c>
    </row>
    <row r="48">
      <c r="A48" s="30" t="inlineStr">
        <is>
          <t>HARSHA</t>
        </is>
      </c>
      <c r="B48" s="30" t="inlineStr">
        <is>
          <t>Harsha Engineers International Ltd</t>
        </is>
      </c>
      <c r="C48" s="30" t="inlineStr">
        <is>
          <t>industrials</t>
        </is>
      </c>
      <c r="D48" s="30" t="inlineStr">
        <is>
          <t>engineering</t>
        </is>
      </c>
      <c r="E48" s="30" t="inlineStr">
        <is>
          <t>smallcap</t>
        </is>
      </c>
      <c r="F48" s="30" t="n">
        <v>3583.95</v>
      </c>
      <c r="G48" s="30" t="n">
        <v>404.85</v>
      </c>
      <c r="H48" s="30" t="n">
        <v>2.85</v>
      </c>
      <c r="I48" s="30" t="n">
        <v>510135</v>
      </c>
      <c r="J48" s="30" t="inlineStr">
        <is>
          <t>543600</t>
        </is>
      </c>
    </row>
    <row r="49">
      <c r="A49" s="30" t="inlineStr">
        <is>
          <t>NOVARTIND</t>
        </is>
      </c>
      <c r="B49" s="30" t="inlineStr">
        <is>
          <t>Novartis India Ltd</t>
        </is>
      </c>
      <c r="C49" s="30" t="inlineStr">
        <is>
          <t>healthcare</t>
        </is>
      </c>
      <c r="D49" s="30" t="inlineStr">
        <is>
          <t>pharmaceuticals - multinational</t>
        </is>
      </c>
      <c r="E49" s="30" t="inlineStr">
        <is>
          <t>smallcap</t>
        </is>
      </c>
      <c r="F49" s="30" t="n">
        <v>3340.66</v>
      </c>
      <c r="G49" s="30" t="n">
        <v>1391.1</v>
      </c>
      <c r="H49" s="30" t="n">
        <v>2.82</v>
      </c>
      <c r="I49" s="30" t="n">
        <v>23113</v>
      </c>
      <c r="J49" s="30" t="inlineStr">
        <is>
          <t>500672</t>
        </is>
      </c>
    </row>
    <row r="50">
      <c r="A50" s="30" t="inlineStr">
        <is>
          <t>TIPSMUSIC</t>
        </is>
      </c>
      <c r="B50" s="30" t="inlineStr">
        <is>
          <t>Tips Music Ltd</t>
        </is>
      </c>
      <c r="C50" s="30" t="inlineStr">
        <is>
          <t>media</t>
        </is>
      </c>
      <c r="D50" s="30" t="inlineStr">
        <is>
          <t>entertainment / electronic media software</t>
        </is>
      </c>
      <c r="E50" s="30" t="inlineStr">
        <is>
          <t>midcap</t>
        </is>
      </c>
      <c r="F50" s="30" t="n">
        <v>8591.559999999999</v>
      </c>
      <c r="G50" s="30" t="n">
        <v>690.95</v>
      </c>
      <c r="H50" s="30" t="n">
        <v>2.8</v>
      </c>
      <c r="I50" s="30" t="n">
        <v>1683476</v>
      </c>
      <c r="J50" s="30" t="inlineStr">
        <is>
          <t>532375</t>
        </is>
      </c>
    </row>
    <row r="51">
      <c r="A51" s="30" t="inlineStr">
        <is>
          <t>SANSTAR</t>
        </is>
      </c>
      <c r="B51" s="30" t="inlineStr">
        <is>
          <t>Sanstar Ltd</t>
        </is>
      </c>
      <c r="C51" s="30" t="inlineStr">
        <is>
          <t>fmcg</t>
        </is>
      </c>
      <c r="D51" s="30" t="inlineStr">
        <is>
          <t>miscellaneous</t>
        </is>
      </c>
      <c r="E51" s="30" t="inlineStr">
        <is>
          <t>smallcap</t>
        </is>
      </c>
      <c r="F51" s="30" t="n">
        <v>2091.44</v>
      </c>
      <c r="G51" s="30" t="n">
        <v>117.96</v>
      </c>
      <c r="H51" s="30" t="n">
        <v>2.79</v>
      </c>
      <c r="I51" s="30" t="n">
        <v>1062832</v>
      </c>
      <c r="J51" s="30" t="inlineStr">
        <is>
          <t>544217</t>
        </is>
      </c>
    </row>
    <row r="52">
      <c r="A52" s="30" t="inlineStr">
        <is>
          <t>SKMEGGPROD</t>
        </is>
      </c>
      <c r="B52" s="30" t="inlineStr">
        <is>
          <t>Skm Egg Products Export (india) Limited</t>
        </is>
      </c>
      <c r="C52" s="30" t="inlineStr">
        <is>
          <t>fmcg</t>
        </is>
      </c>
      <c r="D52" s="30" t="inlineStr">
        <is>
          <t>food - processing - indian</t>
        </is>
      </c>
      <c r="E52" s="30" t="inlineStr">
        <is>
          <t>smallcap</t>
        </is>
      </c>
      <c r="F52" s="30" t="n">
        <v>1260.21</v>
      </c>
      <c r="G52" s="30" t="n">
        <v>245.84</v>
      </c>
      <c r="H52" s="30" t="n">
        <v>2.73</v>
      </c>
      <c r="I52" s="30" t="n">
        <v>1042696</v>
      </c>
      <c r="J52" s="30" t="inlineStr">
        <is>
          <t>532143</t>
        </is>
      </c>
    </row>
    <row r="53">
      <c r="A53" s="30" t="inlineStr">
        <is>
          <t>KOPRAN</t>
        </is>
      </c>
      <c r="B53" s="30" t="inlineStr">
        <is>
          <t>Kopran Limited</t>
        </is>
      </c>
      <c r="C53" s="30" t="inlineStr">
        <is>
          <t>healthcare</t>
        </is>
      </c>
      <c r="D53" s="30" t="inlineStr">
        <is>
          <t>pharmaceuticals - indian - bulk drugs &amp; formln</t>
        </is>
      </c>
      <c r="E53" s="30" t="inlineStr">
        <is>
          <t>smallcap</t>
        </is>
      </c>
      <c r="F53" s="30" t="n">
        <v>888.84</v>
      </c>
      <c r="G53" s="30" t="n">
        <v>189.08</v>
      </c>
      <c r="H53" s="30" t="n">
        <v>2.72</v>
      </c>
      <c r="I53" s="30" t="n">
        <v>174976</v>
      </c>
      <c r="J53" s="30" t="inlineStr">
        <is>
          <t>524280</t>
        </is>
      </c>
    </row>
    <row r="54">
      <c r="A54" s="30" t="inlineStr">
        <is>
          <t>AVL</t>
        </is>
      </c>
      <c r="B54" s="30" t="inlineStr">
        <is>
          <t>Aditya Vision Ltd</t>
        </is>
      </c>
      <c r="C54" s="30" t="inlineStr">
        <is>
          <t>consumer discretionary</t>
        </is>
      </c>
      <c r="D54" s="30" t="inlineStr">
        <is>
          <t>trading</t>
        </is>
      </c>
      <c r="E54" s="30" t="inlineStr">
        <is>
          <t>midcap</t>
        </is>
      </c>
      <c r="F54" s="30" t="n">
        <v>6931.48</v>
      </c>
      <c r="G54" s="30" t="n">
        <v>551.2</v>
      </c>
      <c r="H54" s="30" t="n">
        <v>2.69</v>
      </c>
      <c r="I54" s="30" t="n">
        <v>196519</v>
      </c>
      <c r="J54" s="30" t="inlineStr">
        <is>
          <t>540205</t>
        </is>
      </c>
    </row>
    <row r="55">
      <c r="A55" s="30" t="inlineStr">
        <is>
          <t>WABAG</t>
        </is>
      </c>
      <c r="B55" s="30" t="inlineStr">
        <is>
          <t>Va Tech Wabag Limited</t>
        </is>
      </c>
      <c r="C55" s="30" t="inlineStr">
        <is>
          <t>realty</t>
        </is>
      </c>
      <c r="D55" s="30" t="inlineStr">
        <is>
          <t>engineering - turnkey services</t>
        </is>
      </c>
      <c r="E55" s="30" t="inlineStr">
        <is>
          <t>midcap</t>
        </is>
      </c>
      <c r="F55" s="30" t="n">
        <v>9724.040000000001</v>
      </c>
      <c r="G55" s="30" t="n">
        <v>1600.4</v>
      </c>
      <c r="H55" s="30" t="n">
        <v>2.55</v>
      </c>
      <c r="I55" s="30" t="n">
        <v>438879</v>
      </c>
      <c r="J55" s="30" t="inlineStr">
        <is>
          <t>533269</t>
        </is>
      </c>
    </row>
    <row r="56">
      <c r="A56" s="30" t="inlineStr">
        <is>
          <t>GEOJITFSL</t>
        </is>
      </c>
      <c r="B56" s="30" t="inlineStr">
        <is>
          <t>Geojit Financial Services Ltd</t>
        </is>
      </c>
      <c r="C56" s="30" t="inlineStr">
        <is>
          <t>financials</t>
        </is>
      </c>
      <c r="D56" s="30" t="inlineStr">
        <is>
          <t>finance &amp; investments</t>
        </is>
      </c>
      <c r="E56" s="30" t="inlineStr">
        <is>
          <t>smallcap</t>
        </is>
      </c>
      <c r="F56" s="30" t="n">
        <v>2091.18</v>
      </c>
      <c r="G56" s="30" t="n">
        <v>76.81999999999999</v>
      </c>
      <c r="H56" s="30" t="n">
        <v>2.54</v>
      </c>
      <c r="I56" s="30" t="n">
        <v>850052</v>
      </c>
      <c r="J56" s="30" t="inlineStr">
        <is>
          <t>532285</t>
        </is>
      </c>
    </row>
    <row r="57">
      <c r="A57" s="30" t="inlineStr">
        <is>
          <t>ADANIENT</t>
        </is>
      </c>
      <c r="B57" s="30" t="inlineStr">
        <is>
          <t>Adani Enterprises Limited</t>
        </is>
      </c>
      <c r="C57" s="30" t="inlineStr">
        <is>
          <t>services</t>
        </is>
      </c>
      <c r="D57" s="30" t="inlineStr">
        <is>
          <t>trading</t>
        </is>
      </c>
      <c r="E57" s="30" t="inlineStr">
        <is>
          <t>largecap</t>
        </is>
      </c>
      <c r="F57" s="30" t="n">
        <v>384288.63</v>
      </c>
      <c r="G57" s="30" t="n">
        <v>3048.2</v>
      </c>
      <c r="H57" s="30" t="n">
        <v>2.54</v>
      </c>
      <c r="I57" s="30" t="n">
        <v>5617327</v>
      </c>
      <c r="J57" s="30" t="inlineStr">
        <is>
          <t>512599</t>
        </is>
      </c>
    </row>
    <row r="58">
      <c r="A58" s="30" t="inlineStr">
        <is>
          <t>GHCLTEXTIL</t>
        </is>
      </c>
      <c r="B58" s="30" t="inlineStr">
        <is>
          <t>GHCL Textiles Ltd</t>
        </is>
      </c>
      <c r="C58" s="30" t="inlineStr">
        <is>
          <t>textiles</t>
        </is>
      </c>
      <c r="D58" s="30" t="inlineStr">
        <is>
          <t>textiles - spinning - synthetic / blended</t>
        </is>
      </c>
      <c r="E58" s="30" t="inlineStr">
        <is>
          <t>smallcap</t>
        </is>
      </c>
      <c r="F58" s="30" t="n">
        <v>921.45</v>
      </c>
      <c r="G58" s="30" t="n">
        <v>98.77</v>
      </c>
      <c r="H58" s="30" t="n">
        <v>2.46</v>
      </c>
      <c r="I58" s="30" t="n">
        <v>707347</v>
      </c>
      <c r="J58" s="30" t="inlineStr">
        <is>
          <t>543918</t>
        </is>
      </c>
    </row>
    <row r="59">
      <c r="A59" s="30" t="inlineStr">
        <is>
          <t>VIYASH</t>
        </is>
      </c>
      <c r="B59" s="30" t="inlineStr">
        <is>
          <t>Viyash Scientific Ltd</t>
        </is>
      </c>
      <c r="C59" s="30" t="inlineStr">
        <is>
          <t>healthcare</t>
        </is>
      </c>
      <c r="D59" s="30" t="inlineStr">
        <is>
          <t>pharmaceuticals - indian - bulk drugs &amp; formln</t>
        </is>
      </c>
      <c r="E59" s="30" t="inlineStr">
        <is>
          <t>midcap</t>
        </is>
      </c>
      <c r="F59" s="30" t="n">
        <v>10884.14</v>
      </c>
      <c r="G59" s="30" t="n">
        <v>255.25</v>
      </c>
      <c r="H59" s="30" t="n">
        <v>2.45</v>
      </c>
      <c r="I59" s="30" t="n">
        <v>2949212</v>
      </c>
      <c r="J59" s="30" t="inlineStr">
        <is>
          <t>512529</t>
        </is>
      </c>
    </row>
    <row r="60">
      <c r="A60" s="30" t="inlineStr">
        <is>
          <t>ATGL</t>
        </is>
      </c>
      <c r="B60" s="30" t="inlineStr">
        <is>
          <t>Adani Total Gas Ltd</t>
        </is>
      </c>
      <c r="C60" s="30" t="inlineStr">
        <is>
          <t>energy</t>
        </is>
      </c>
      <c r="D60" s="30" t="inlineStr">
        <is>
          <t>miscellaneous</t>
        </is>
      </c>
      <c r="E60" s="30" t="inlineStr">
        <is>
          <t>largecap</t>
        </is>
      </c>
      <c r="F60" s="30" t="n">
        <v>81831.37</v>
      </c>
      <c r="G60" s="30" t="n">
        <v>762.25</v>
      </c>
      <c r="H60" s="30" t="n">
        <v>2.45</v>
      </c>
      <c r="I60" s="30" t="n">
        <v>10074052</v>
      </c>
      <c r="J60" s="30" t="inlineStr">
        <is>
          <t>542066</t>
        </is>
      </c>
    </row>
    <row r="61">
      <c r="A61" s="30" t="inlineStr">
        <is>
          <t>INDOBORAX</t>
        </is>
      </c>
      <c r="B61" s="30" t="inlineStr">
        <is>
          <t>Indo Borax &amp; Chemicals Ltd</t>
        </is>
      </c>
      <c r="C61" s="30" t="inlineStr">
        <is>
          <t>chemicals</t>
        </is>
      </c>
      <c r="D61" s="30" t="inlineStr">
        <is>
          <t>chemicals</t>
        </is>
      </c>
      <c r="E61" s="30" t="inlineStr">
        <is>
          <t>smallcap</t>
        </is>
      </c>
      <c r="F61" s="30" t="n">
        <v>1151.07</v>
      </c>
      <c r="G61" s="30" t="n">
        <v>367.4</v>
      </c>
      <c r="H61" s="30" t="n">
        <v>2.43</v>
      </c>
      <c r="I61" s="30" t="n">
        <v>113924</v>
      </c>
      <c r="J61" s="30" t="inlineStr">
        <is>
          <t>524342</t>
        </is>
      </c>
    </row>
    <row r="62">
      <c r="A62" s="30" t="inlineStr">
        <is>
          <t>GLAND</t>
        </is>
      </c>
      <c r="B62" s="30" t="inlineStr">
        <is>
          <t>Gland Pharma Ltd</t>
        </is>
      </c>
      <c r="C62" s="30" t="inlineStr">
        <is>
          <t>healthcare</t>
        </is>
      </c>
      <c r="D62" s="30" t="inlineStr">
        <is>
          <t>pharmaceuticals - indian - formulations</t>
        </is>
      </c>
      <c r="E62" s="30" t="inlineStr">
        <is>
          <t>largecap</t>
        </is>
      </c>
      <c r="F62" s="30" t="n">
        <v>36567.69</v>
      </c>
      <c r="G62" s="30" t="n">
        <v>2273</v>
      </c>
      <c r="H62" s="30" t="n">
        <v>2.41</v>
      </c>
      <c r="I62" s="30" t="n">
        <v>494431</v>
      </c>
      <c r="J62" s="30" t="inlineStr">
        <is>
          <t>543245</t>
        </is>
      </c>
    </row>
    <row r="63">
      <c r="A63" s="30" t="inlineStr">
        <is>
          <t>SAILIFE</t>
        </is>
      </c>
      <c r="B63" s="30" t="inlineStr">
        <is>
          <t>Sai Life Sciences Ltd</t>
        </is>
      </c>
      <c r="C63" s="30" t="inlineStr">
        <is>
          <t>healthcare</t>
        </is>
      </c>
      <c r="D63" s="30" t="inlineStr">
        <is>
          <t>pharmaceuticals - indian - bulk drugs &amp; formln</t>
        </is>
      </c>
      <c r="E63" s="30" t="inlineStr">
        <is>
          <t>largecap</t>
        </is>
      </c>
      <c r="F63" s="30" t="n">
        <v>24551.57</v>
      </c>
      <c r="G63" s="30" t="n">
        <v>1186.4</v>
      </c>
      <c r="H63" s="30" t="n">
        <v>2.34</v>
      </c>
      <c r="I63" s="30" t="n">
        <v>749906</v>
      </c>
      <c r="J63" s="30" t="inlineStr">
        <is>
          <t>544306</t>
        </is>
      </c>
    </row>
    <row r="64">
      <c r="A64" s="30" t="inlineStr">
        <is>
          <t>YESBANK</t>
        </is>
      </c>
      <c r="B64" s="30" t="inlineStr">
        <is>
          <t>Yes Bank Limited</t>
        </is>
      </c>
      <c r="C64" s="30" t="inlineStr">
        <is>
          <t>bank</t>
        </is>
      </c>
      <c r="D64" s="30" t="inlineStr">
        <is>
          <t>banks - private sector</t>
        </is>
      </c>
      <c r="E64" s="30" t="inlineStr">
        <is>
          <t>largecap</t>
        </is>
      </c>
      <c r="F64" s="30" t="n">
        <v>71448.72</v>
      </c>
      <c r="G64" s="30" t="n">
        <v>23.3</v>
      </c>
      <c r="H64" s="30" t="n">
        <v>2.33</v>
      </c>
      <c r="I64" s="30" t="n">
        <v>148106091</v>
      </c>
      <c r="J64" s="30" t="inlineStr">
        <is>
          <t>532648</t>
        </is>
      </c>
    </row>
    <row r="65">
      <c r="A65" s="30" t="inlineStr">
        <is>
          <t>SHILPAMED</t>
        </is>
      </c>
      <c r="B65" s="30" t="inlineStr">
        <is>
          <t>Shilpa Medicare Limited</t>
        </is>
      </c>
      <c r="C65" s="30" t="inlineStr">
        <is>
          <t>healthcare</t>
        </is>
      </c>
      <c r="D65" s="30" t="inlineStr">
        <is>
          <t>pharmaceuticals - indian - formulations</t>
        </is>
      </c>
      <c r="E65" s="30" t="inlineStr">
        <is>
          <t>midcap</t>
        </is>
      </c>
      <c r="F65" s="30" t="n">
        <v>10283.69</v>
      </c>
      <c r="G65" s="30" t="n">
        <v>538.05</v>
      </c>
      <c r="H65" s="30" t="n">
        <v>2.33</v>
      </c>
      <c r="I65" s="30" t="n">
        <v>1777281</v>
      </c>
      <c r="J65" s="30" t="inlineStr">
        <is>
          <t>530549</t>
        </is>
      </c>
    </row>
    <row r="66">
      <c r="A66" s="30" t="inlineStr">
        <is>
          <t>EQUITASBNK</t>
        </is>
      </c>
      <c r="B66" s="30" t="inlineStr">
        <is>
          <t>Equitas Small Finance Bank Ltd</t>
        </is>
      </c>
      <c r="C66" s="30" t="inlineStr">
        <is>
          <t>bank</t>
        </is>
      </c>
      <c r="D66" s="30" t="inlineStr">
        <is>
          <t>banks - private sector</t>
        </is>
      </c>
      <c r="E66" s="30" t="inlineStr">
        <is>
          <t>midcap</t>
        </is>
      </c>
      <c r="F66" s="30" t="n">
        <v>8249.74</v>
      </c>
      <c r="G66" s="30" t="n">
        <v>73.95</v>
      </c>
      <c r="H66" s="30" t="n">
        <v>2.28</v>
      </c>
      <c r="I66" s="30" t="n">
        <v>15166973</v>
      </c>
      <c r="J66" s="30" t="inlineStr">
        <is>
          <t>543243</t>
        </is>
      </c>
    </row>
    <row r="67">
      <c r="A67" s="30" t="inlineStr">
        <is>
          <t>NORTHARC</t>
        </is>
      </c>
      <c r="B67" s="30" t="inlineStr">
        <is>
          <t>Northern ARC Capital Ltd</t>
        </is>
      </c>
      <c r="C67" s="30" t="inlineStr">
        <is>
          <t>financials</t>
        </is>
      </c>
      <c r="D67" s="30" t="inlineStr">
        <is>
          <t>finance &amp; investments</t>
        </is>
      </c>
      <c r="E67" s="30" t="inlineStr">
        <is>
          <t>smallcap</t>
        </is>
      </c>
      <c r="F67" s="30" t="n">
        <v>4690.43</v>
      </c>
      <c r="G67" s="30" t="n">
        <v>296.85</v>
      </c>
      <c r="H67" s="30" t="n">
        <v>2.26</v>
      </c>
      <c r="I67" s="30" t="n">
        <v>1273858</v>
      </c>
      <c r="J67" s="30" t="n"/>
    </row>
    <row r="68">
      <c r="A68" s="30" t="inlineStr">
        <is>
          <t>NBCC</t>
        </is>
      </c>
      <c r="B68" s="30" t="inlineStr">
        <is>
          <t>Nbcc (india) Limited</t>
        </is>
      </c>
      <c r="C68" s="30" t="inlineStr">
        <is>
          <t>miscellaneous</t>
        </is>
      </c>
      <c r="D68" s="30" t="inlineStr">
        <is>
          <t>miscellaneous</t>
        </is>
      </c>
      <c r="E68" s="30" t="inlineStr">
        <is>
          <t>largecap</t>
        </is>
      </c>
      <c r="F68" s="30" t="n">
        <v>28101.6</v>
      </c>
      <c r="G68" s="30" t="n">
        <v>106.36</v>
      </c>
      <c r="H68" s="30" t="n">
        <v>2.19</v>
      </c>
      <c r="I68" s="30" t="n">
        <v>28253888</v>
      </c>
      <c r="J68" s="30" t="inlineStr">
        <is>
          <t>534309</t>
        </is>
      </c>
    </row>
    <row r="69">
      <c r="A69" s="30" t="inlineStr">
        <is>
          <t>ASTERDM</t>
        </is>
      </c>
      <c r="B69" s="30" t="inlineStr">
        <is>
          <t>Aster DM Healthcare Ltd</t>
        </is>
      </c>
      <c r="C69" s="30" t="inlineStr">
        <is>
          <t>healthcare</t>
        </is>
      </c>
      <c r="D69" s="30" t="inlineStr">
        <is>
          <t>healthcare</t>
        </is>
      </c>
      <c r="E69" s="30" t="inlineStr">
        <is>
          <t>largecap</t>
        </is>
      </c>
      <c r="F69" s="30" t="n">
        <v>38239.92</v>
      </c>
      <c r="G69" s="30" t="n">
        <v>754</v>
      </c>
      <c r="H69" s="30" t="n">
        <v>2.16</v>
      </c>
      <c r="I69" s="30" t="n">
        <v>233590</v>
      </c>
      <c r="J69" s="30" t="inlineStr">
        <is>
          <t>540975</t>
        </is>
      </c>
    </row>
    <row r="70">
      <c r="A70" s="30" t="inlineStr">
        <is>
          <t>PVP</t>
        </is>
      </c>
      <c r="B70" s="30" t="inlineStr">
        <is>
          <t>Pvp Ventures Limited</t>
        </is>
      </c>
      <c r="C70" s="30" t="inlineStr">
        <is>
          <t>realty</t>
        </is>
      </c>
      <c r="D70" s="30" t="inlineStr">
        <is>
          <t>construction</t>
        </is>
      </c>
      <c r="E70" s="30" t="inlineStr">
        <is>
          <t>smallcap</t>
        </is>
      </c>
      <c r="F70" s="30" t="n">
        <v>829.39</v>
      </c>
      <c r="G70" s="30" t="n">
        <v>32.52</v>
      </c>
      <c r="H70" s="30" t="n">
        <v>2.1</v>
      </c>
      <c r="I70" s="30" t="n">
        <v>809026</v>
      </c>
      <c r="J70" s="30" t="inlineStr">
        <is>
          <t>517556</t>
        </is>
      </c>
    </row>
    <row r="71">
      <c r="A71" s="30" t="inlineStr">
        <is>
          <t>HESTERBIO</t>
        </is>
      </c>
      <c r="B71" s="30" t="inlineStr">
        <is>
          <t>Hester Biosciences Limited</t>
        </is>
      </c>
      <c r="C71" s="30" t="inlineStr">
        <is>
          <t>healthcare</t>
        </is>
      </c>
      <c r="D71" s="30" t="inlineStr">
        <is>
          <t>pharmaceuticals - indian - formulations</t>
        </is>
      </c>
      <c r="E71" s="30" t="inlineStr">
        <is>
          <t>smallcap</t>
        </is>
      </c>
      <c r="F71" s="30" t="n">
        <v>1635.36</v>
      </c>
      <c r="G71" s="30" t="n">
        <v>1961.6</v>
      </c>
      <c r="H71" s="30" t="n">
        <v>2.04</v>
      </c>
      <c r="I71" s="30" t="n">
        <v>5164</v>
      </c>
      <c r="J71" s="30" t="inlineStr">
        <is>
          <t>524669</t>
        </is>
      </c>
    </row>
    <row r="72">
      <c r="A72" s="30" t="inlineStr">
        <is>
          <t>CANBK</t>
        </is>
      </c>
      <c r="B72" s="30" t="inlineStr">
        <is>
          <t>Canara Bank Ltd</t>
        </is>
      </c>
      <c r="C72" s="30" t="inlineStr">
        <is>
          <t>bank</t>
        </is>
      </c>
      <c r="D72" s="30" t="inlineStr">
        <is>
          <t>banks - public sector</t>
        </is>
      </c>
      <c r="E72" s="30" t="inlineStr">
        <is>
          <t>largecap</t>
        </is>
      </c>
      <c r="F72" s="30" t="n">
        <v>120748.51</v>
      </c>
      <c r="G72" s="30" t="n">
        <v>135.81</v>
      </c>
      <c r="H72" s="30" t="n">
        <v>2.02</v>
      </c>
      <c r="I72" s="30" t="n">
        <v>47139920</v>
      </c>
      <c r="J72" s="30" t="inlineStr">
        <is>
          <t>532483</t>
        </is>
      </c>
    </row>
    <row r="73">
      <c r="A73" s="30" t="inlineStr">
        <is>
          <t>TIMKEN</t>
        </is>
      </c>
      <c r="B73" s="30" t="inlineStr">
        <is>
          <t>Timken India Limited</t>
        </is>
      </c>
      <c r="C73" s="30" t="inlineStr">
        <is>
          <t>industrials</t>
        </is>
      </c>
      <c r="D73" s="30" t="inlineStr">
        <is>
          <t>bearings</t>
        </is>
      </c>
      <c r="E73" s="30" t="inlineStr">
        <is>
          <t>largecap</t>
        </is>
      </c>
      <c r="F73" s="30" t="n">
        <v>26862.87</v>
      </c>
      <c r="G73" s="30" t="n">
        <v>3643.6</v>
      </c>
      <c r="H73" s="30" t="n">
        <v>2.02</v>
      </c>
      <c r="I73" s="30" t="n">
        <v>81085</v>
      </c>
      <c r="J73" s="30" t="inlineStr">
        <is>
          <t>522113</t>
        </is>
      </c>
    </row>
    <row r="74">
      <c r="A74" s="30" t="inlineStr">
        <is>
          <t>BLSE</t>
        </is>
      </c>
      <c r="B74" s="30" t="inlineStr">
        <is>
          <t>BLS E-Services Ltd</t>
        </is>
      </c>
      <c r="C74" s="30" t="inlineStr">
        <is>
          <t>i.t</t>
        </is>
      </c>
      <c r="D74" s="30" t="inlineStr">
        <is>
          <t>computers - software - medium / small</t>
        </is>
      </c>
      <c r="E74" s="30" t="inlineStr">
        <is>
          <t>smallcap</t>
        </is>
      </c>
      <c r="F74" s="30" t="n">
        <v>2045.82</v>
      </c>
      <c r="G74" s="30" t="n">
        <v>229.68</v>
      </c>
      <c r="H74" s="30" t="n">
        <v>2</v>
      </c>
      <c r="I74" s="30" t="n">
        <v>385454</v>
      </c>
      <c r="J74" s="30" t="inlineStr">
        <is>
          <t>544107</t>
        </is>
      </c>
    </row>
    <row r="75">
      <c r="A75" s="30" t="inlineStr">
        <is>
          <t>HITECHCORP</t>
        </is>
      </c>
      <c r="B75" s="30" t="inlineStr">
        <is>
          <t>Hitech Corporation</t>
        </is>
      </c>
      <c r="C75" s="30" t="inlineStr">
        <is>
          <t>industrials</t>
        </is>
      </c>
      <c r="D75" s="30" t="inlineStr">
        <is>
          <t>packaging</t>
        </is>
      </c>
      <c r="E75" s="30" t="inlineStr">
        <is>
          <t>smallcap</t>
        </is>
      </c>
      <c r="F75" s="30" t="n">
        <v>529.63</v>
      </c>
      <c r="G75" s="30" t="n">
        <v>314.34</v>
      </c>
      <c r="H75" s="30" t="n">
        <v>1.94</v>
      </c>
      <c r="I75" s="30" t="n">
        <v>374046</v>
      </c>
      <c r="J75" s="30" t="inlineStr">
        <is>
          <t>526217</t>
        </is>
      </c>
    </row>
    <row r="76">
      <c r="A76" s="30" t="inlineStr">
        <is>
          <t>AEGISLOG</t>
        </is>
      </c>
      <c r="B76" s="30" t="inlineStr">
        <is>
          <t>Aegis Logistics Ltd</t>
        </is>
      </c>
      <c r="C76" s="30" t="inlineStr">
        <is>
          <t>services</t>
        </is>
      </c>
      <c r="D76" s="30" t="inlineStr">
        <is>
          <t>trading</t>
        </is>
      </c>
      <c r="E76" s="30" t="inlineStr">
        <is>
          <t>largecap</t>
        </is>
      </c>
      <c r="F76" s="30" t="n">
        <v>26528.58</v>
      </c>
      <c r="G76" s="30" t="n">
        <v>770.4</v>
      </c>
      <c r="H76" s="30" t="n">
        <v>1.93</v>
      </c>
      <c r="I76" s="30" t="n">
        <v>758298</v>
      </c>
      <c r="J76" s="30" t="inlineStr">
        <is>
          <t>500003</t>
        </is>
      </c>
    </row>
    <row r="77">
      <c r="A77" s="30" t="inlineStr">
        <is>
          <t>GRINDWELL</t>
        </is>
      </c>
      <c r="B77" s="30" t="inlineStr">
        <is>
          <t>Grindwell Norton Limited</t>
        </is>
      </c>
      <c r="C77" s="30" t="inlineStr">
        <is>
          <t>industrials</t>
        </is>
      </c>
      <c r="D77" s="30" t="inlineStr">
        <is>
          <t>abrasives and grinding wheels</t>
        </is>
      </c>
      <c r="E77" s="30" t="inlineStr">
        <is>
          <t>largecap</t>
        </is>
      </c>
      <c r="F77" s="30" t="n">
        <v>21273.74</v>
      </c>
      <c r="G77" s="30" t="n">
        <v>1958.2</v>
      </c>
      <c r="H77" s="30" t="n">
        <v>1.92</v>
      </c>
      <c r="I77" s="30" t="n">
        <v>76304</v>
      </c>
      <c r="J77" s="30" t="inlineStr">
        <is>
          <t>506076</t>
        </is>
      </c>
    </row>
    <row r="78">
      <c r="A78" s="30" t="inlineStr">
        <is>
          <t>ADANIPORTS</t>
        </is>
      </c>
      <c r="B78" s="30" t="inlineStr">
        <is>
          <t>Adani Ports And Special Economic Zone Limited</t>
        </is>
      </c>
      <c r="C78" s="30" t="inlineStr">
        <is>
          <t>transportation</t>
        </is>
      </c>
      <c r="D78" s="30" t="inlineStr">
        <is>
          <t>miscellaneous</t>
        </is>
      </c>
      <c r="E78" s="30" t="inlineStr">
        <is>
          <t>largecap</t>
        </is>
      </c>
      <c r="F78" s="30" t="n">
        <v>412616.03</v>
      </c>
      <c r="G78" s="30" t="n">
        <v>1824.2</v>
      </c>
      <c r="H78" s="30" t="n">
        <v>1.86</v>
      </c>
      <c r="I78" s="30" t="n">
        <v>1640762</v>
      </c>
      <c r="J78" s="30" t="inlineStr">
        <is>
          <t>532921</t>
        </is>
      </c>
    </row>
    <row r="79">
      <c r="A79" s="30" t="inlineStr">
        <is>
          <t>SENCO</t>
        </is>
      </c>
      <c r="B79" s="30" t="inlineStr">
        <is>
          <t>Senco Gold Ltd</t>
        </is>
      </c>
      <c r="C79" s="30" t="inlineStr">
        <is>
          <t>consumer discretionary</t>
        </is>
      </c>
      <c r="D79" s="30" t="inlineStr">
        <is>
          <t>diamond cutting / jewellery</t>
        </is>
      </c>
      <c r="E79" s="30" t="inlineStr">
        <is>
          <t>midcap</t>
        </is>
      </c>
      <c r="F79" s="30" t="n">
        <v>5643.14</v>
      </c>
      <c r="G79" s="30" t="n">
        <v>350.75</v>
      </c>
      <c r="H79" s="30" t="n">
        <v>1.81</v>
      </c>
      <c r="I79" s="30" t="n">
        <v>590460</v>
      </c>
      <c r="J79" s="30" t="inlineStr">
        <is>
          <t>543936</t>
        </is>
      </c>
    </row>
    <row r="80">
      <c r="A80" s="30" t="inlineStr">
        <is>
          <t>MGEL</t>
        </is>
      </c>
      <c r="B80" s="30" t="inlineStr">
        <is>
          <t>Mangalam Global Enterprise Ltd</t>
        </is>
      </c>
      <c r="C80" s="30" t="inlineStr">
        <is>
          <t>services</t>
        </is>
      </c>
      <c r="D80" s="30" t="inlineStr">
        <is>
          <t>trading</t>
        </is>
      </c>
      <c r="E80" s="30" t="inlineStr">
        <is>
          <t>smallcap</t>
        </is>
      </c>
      <c r="F80" s="30" t="n">
        <v>500.92</v>
      </c>
      <c r="G80" s="30" t="n">
        <v>15.47</v>
      </c>
      <c r="H80" s="30" t="n">
        <v>1.78</v>
      </c>
      <c r="I80" s="30" t="n">
        <v>324141</v>
      </c>
      <c r="J80" s="30" t="inlineStr">
        <is>
          <t>535349</t>
        </is>
      </c>
    </row>
    <row r="81">
      <c r="A81" s="30" t="inlineStr">
        <is>
          <t>IGIL</t>
        </is>
      </c>
      <c r="B81" s="30" t="inlineStr">
        <is>
          <t>International Gemmological Institute (India) Ltd</t>
        </is>
      </c>
      <c r="C81" s="30" t="inlineStr">
        <is>
          <t>miscellaneous</t>
        </is>
      </c>
      <c r="D81" s="30" t="inlineStr">
        <is>
          <t>miscellaneous</t>
        </is>
      </c>
      <c r="E81" s="30" t="inlineStr">
        <is>
          <t>midcap</t>
        </is>
      </c>
      <c r="F81" s="30" t="n">
        <v>15644.18</v>
      </c>
      <c r="G81" s="30" t="n">
        <v>368.4</v>
      </c>
      <c r="H81" s="30" t="n">
        <v>1.77</v>
      </c>
      <c r="I81" s="30" t="n">
        <v>835243</v>
      </c>
      <c r="J81" s="30" t="inlineStr">
        <is>
          <t>544311</t>
        </is>
      </c>
    </row>
    <row r="82">
      <c r="A82" s="30" t="inlineStr">
        <is>
          <t>SANGHVIMOV</t>
        </is>
      </c>
      <c r="B82" s="30" t="inlineStr">
        <is>
          <t>Sanghvi Movers Limited</t>
        </is>
      </c>
      <c r="C82" s="30" t="inlineStr">
        <is>
          <t>miscellaneous</t>
        </is>
      </c>
      <c r="D82" s="30" t="inlineStr">
        <is>
          <t>miscellaneous</t>
        </is>
      </c>
      <c r="E82" s="30" t="inlineStr">
        <is>
          <t>smallcap</t>
        </is>
      </c>
      <c r="F82" s="30" t="n">
        <v>3175.17</v>
      </c>
      <c r="G82" s="30" t="n">
        <v>373.15</v>
      </c>
      <c r="H82" s="30" t="n">
        <v>1.75</v>
      </c>
      <c r="I82" s="30" t="n">
        <v>292358</v>
      </c>
      <c r="J82" s="30" t="inlineStr">
        <is>
          <t>530073</t>
        </is>
      </c>
    </row>
    <row r="83">
      <c r="A83" s="30" t="inlineStr">
        <is>
          <t>IPCALAB</t>
        </is>
      </c>
      <c r="B83" s="30" t="inlineStr">
        <is>
          <t>Ipca Laboratories Limited</t>
        </is>
      </c>
      <c r="C83" s="30" t="inlineStr">
        <is>
          <t>healthcare</t>
        </is>
      </c>
      <c r="D83" s="30" t="inlineStr">
        <is>
          <t>pharmaceuticals - indian - bulk drugs &amp; formln</t>
        </is>
      </c>
      <c r="E83" s="30" t="inlineStr">
        <is>
          <t>largecap</t>
        </is>
      </c>
      <c r="F83" s="30" t="n">
        <v>40947.86</v>
      </c>
      <c r="G83" s="30" t="n">
        <v>1641.9</v>
      </c>
      <c r="H83" s="30" t="n">
        <v>1.73</v>
      </c>
      <c r="I83" s="30" t="n">
        <v>242278</v>
      </c>
      <c r="J83" s="30" t="inlineStr">
        <is>
          <t>524494</t>
        </is>
      </c>
    </row>
    <row r="84">
      <c r="A84" s="30" t="inlineStr">
        <is>
          <t>JBCHEPHARM</t>
        </is>
      </c>
      <c r="B84" s="30" t="inlineStr">
        <is>
          <t>Jb Chemicals &amp; Pharmaceuticals Limited</t>
        </is>
      </c>
      <c r="C84" s="30" t="inlineStr">
        <is>
          <t>healthcare</t>
        </is>
      </c>
      <c r="D84" s="30" t="inlineStr">
        <is>
          <t>pharmaceuticals - indian - bulk drugs &amp; formln</t>
        </is>
      </c>
      <c r="E84" s="30" t="inlineStr">
        <is>
          <t>largecap</t>
        </is>
      </c>
      <c r="F84" s="30" t="n">
        <v>34258.41</v>
      </c>
      <c r="G84" s="30" t="n">
        <v>2169.3</v>
      </c>
      <c r="H84" s="30" t="n">
        <v>1.67</v>
      </c>
      <c r="I84" s="30" t="n">
        <v>188786</v>
      </c>
      <c r="J84" s="30" t="inlineStr">
        <is>
          <t>506943</t>
        </is>
      </c>
    </row>
    <row r="85">
      <c r="A85" s="30" t="inlineStr">
        <is>
          <t>STEELXIND</t>
        </is>
      </c>
      <c r="B85" s="30" t="inlineStr">
        <is>
          <t>Steel Exchange India Ltd</t>
        </is>
      </c>
      <c r="C85" s="30" t="inlineStr">
        <is>
          <t>metals &amp; mining</t>
        </is>
      </c>
      <c r="D85" s="30" t="inlineStr">
        <is>
          <t>steel - medium / small</t>
        </is>
      </c>
      <c r="E85" s="30" t="inlineStr">
        <is>
          <t>smallcap</t>
        </is>
      </c>
      <c r="F85" s="30" t="n">
        <v>1548.48</v>
      </c>
      <c r="G85" s="30" t="n">
        <v>12.34</v>
      </c>
      <c r="H85" s="30" t="n">
        <v>1.65</v>
      </c>
      <c r="I85" s="30" t="n">
        <v>7044541</v>
      </c>
      <c r="J85" s="30" t="inlineStr">
        <is>
          <t>534748</t>
        </is>
      </c>
    </row>
    <row r="86">
      <c r="A86" s="30" t="inlineStr">
        <is>
          <t>LLOYDSENGG</t>
        </is>
      </c>
      <c r="B86" s="30" t="inlineStr">
        <is>
          <t>Lloyds Engineering Works Ltd</t>
        </is>
      </c>
      <c r="C86" s="30" t="inlineStr">
        <is>
          <t>industrials</t>
        </is>
      </c>
      <c r="D86" s="30" t="inlineStr">
        <is>
          <t>engineering</t>
        </is>
      </c>
      <c r="E86" s="30" t="inlineStr">
        <is>
          <t>midcap</t>
        </is>
      </c>
      <c r="F86" s="30" t="n">
        <v>10584.07</v>
      </c>
      <c r="G86" s="30" t="n">
        <v>72.69</v>
      </c>
      <c r="H86" s="30" t="n">
        <v>1.65</v>
      </c>
      <c r="I86" s="30" t="n">
        <v>10584987</v>
      </c>
      <c r="J86" s="30" t="inlineStr">
        <is>
          <t>539992</t>
        </is>
      </c>
    </row>
    <row r="87">
      <c r="A87" s="30" t="inlineStr">
        <is>
          <t>ABDL</t>
        </is>
      </c>
      <c r="B87" s="30" t="inlineStr">
        <is>
          <t>Allied Blenders &amp; Distillers Ltd</t>
        </is>
      </c>
      <c r="C87" s="30" t="inlineStr">
        <is>
          <t>fmcg</t>
        </is>
      </c>
      <c r="D87" s="30" t="inlineStr">
        <is>
          <t>breweries &amp; distilleries</t>
        </is>
      </c>
      <c r="E87" s="30" t="inlineStr">
        <is>
          <t>midcap</t>
        </is>
      </c>
      <c r="F87" s="30" t="n">
        <v>15995.23</v>
      </c>
      <c r="G87" s="30" t="n">
        <v>580.7</v>
      </c>
      <c r="H87" s="30" t="n">
        <v>1.55</v>
      </c>
      <c r="I87" s="30" t="n">
        <v>301894</v>
      </c>
      <c r="J87" s="30" t="inlineStr">
        <is>
          <t>544203</t>
        </is>
      </c>
    </row>
    <row r="88">
      <c r="A88" s="30" t="inlineStr">
        <is>
          <t>BBL</t>
        </is>
      </c>
      <c r="B88" s="30" t="inlineStr">
        <is>
          <t>Bharat Bijlee Limited</t>
        </is>
      </c>
      <c r="C88" s="30" t="inlineStr">
        <is>
          <t>industrials</t>
        </is>
      </c>
      <c r="D88" s="30" t="inlineStr">
        <is>
          <t>electric equipment</t>
        </is>
      </c>
      <c r="E88" s="30" t="inlineStr">
        <is>
          <t>smallcap</t>
        </is>
      </c>
      <c r="F88" s="30" t="n">
        <v>3165.78</v>
      </c>
      <c r="G88" s="30" t="n">
        <v>2841</v>
      </c>
      <c r="H88" s="30" t="n">
        <v>1.44</v>
      </c>
      <c r="I88" s="30" t="n">
        <v>29817</v>
      </c>
      <c r="J88" s="30" t="inlineStr">
        <is>
          <t>503960</t>
        </is>
      </c>
    </row>
    <row r="89">
      <c r="A89" s="30" t="inlineStr">
        <is>
          <t>UNIPARTS</t>
        </is>
      </c>
      <c r="B89" s="30" t="inlineStr">
        <is>
          <t>Uniparts India Ltd</t>
        </is>
      </c>
      <c r="C89" s="30" t="inlineStr">
        <is>
          <t>industrials</t>
        </is>
      </c>
      <c r="D89" s="30" t="inlineStr">
        <is>
          <t>engineering</t>
        </is>
      </c>
      <c r="E89" s="30" t="inlineStr">
        <is>
          <t>smallcap</t>
        </is>
      </c>
      <c r="F89" s="30" t="n">
        <v>2822.35</v>
      </c>
      <c r="G89" s="30" t="n">
        <v>633.95</v>
      </c>
      <c r="H89" s="30" t="n">
        <v>1.4</v>
      </c>
      <c r="I89" s="30" t="n">
        <v>200734</v>
      </c>
      <c r="J89" s="30" t="inlineStr">
        <is>
          <t>543689</t>
        </is>
      </c>
    </row>
    <row r="90">
      <c r="A90" s="30" t="inlineStr">
        <is>
          <t>FINEORG</t>
        </is>
      </c>
      <c r="B90" s="30" t="inlineStr">
        <is>
          <t>Fine Organic Industries Ltd</t>
        </is>
      </c>
      <c r="C90" s="30" t="inlineStr">
        <is>
          <t>chemicals</t>
        </is>
      </c>
      <c r="D90" s="30" t="inlineStr">
        <is>
          <t>chemicals</t>
        </is>
      </c>
      <c r="E90" s="30" t="inlineStr">
        <is>
          <t>midcap</t>
        </is>
      </c>
      <c r="F90" s="30" t="n">
        <v>14378.61</v>
      </c>
      <c r="G90" s="30" t="n">
        <v>4754.4</v>
      </c>
      <c r="H90" s="30" t="n">
        <v>1.38</v>
      </c>
      <c r="I90" s="30" t="n">
        <v>17984</v>
      </c>
      <c r="J90" s="30" t="inlineStr">
        <is>
          <t>541557</t>
        </is>
      </c>
    </row>
    <row r="91">
      <c r="A91" s="30" t="inlineStr">
        <is>
          <t>LAURUSLABS</t>
        </is>
      </c>
      <c r="B91" s="30" t="inlineStr">
        <is>
          <t>Laurus Labs Limited</t>
        </is>
      </c>
      <c r="C91" s="30" t="inlineStr">
        <is>
          <t>healthcare</t>
        </is>
      </c>
      <c r="D91" s="30" t="inlineStr">
        <is>
          <t>pharmaceuticals - indian - bulk drugs &amp; formln</t>
        </is>
      </c>
      <c r="E91" s="30" t="inlineStr">
        <is>
          <t>largecap</t>
        </is>
      </c>
      <c r="F91" s="30" t="n">
        <v>77048.33</v>
      </c>
      <c r="G91" s="30" t="n">
        <v>1446.8</v>
      </c>
      <c r="H91" s="30" t="n">
        <v>1.37</v>
      </c>
      <c r="I91" s="30" t="n">
        <v>1515580</v>
      </c>
      <c r="J91" s="30" t="inlineStr">
        <is>
          <t>540222</t>
        </is>
      </c>
    </row>
    <row r="92">
      <c r="A92" s="30" t="inlineStr">
        <is>
          <t>FEDERALBNK</t>
        </is>
      </c>
      <c r="B92" s="30" t="inlineStr">
        <is>
          <t>The Federal Bank  Limited</t>
        </is>
      </c>
      <c r="C92" s="30" t="inlineStr">
        <is>
          <t>bank</t>
        </is>
      </c>
      <c r="D92" s="30" t="inlineStr">
        <is>
          <t>banks - private sector</t>
        </is>
      </c>
      <c r="E92" s="30" t="inlineStr">
        <is>
          <t>largecap</t>
        </is>
      </c>
      <c r="F92" s="30" t="n">
        <v>73953.11</v>
      </c>
      <c r="G92" s="30" t="n">
        <v>304.15</v>
      </c>
      <c r="H92" s="30" t="n">
        <v>1.35</v>
      </c>
      <c r="I92" s="30" t="n">
        <v>9322801</v>
      </c>
      <c r="J92" s="30" t="inlineStr">
        <is>
          <t>500469</t>
        </is>
      </c>
    </row>
    <row r="93">
      <c r="A93" s="30" t="inlineStr">
        <is>
          <t>DEEPINDS</t>
        </is>
      </c>
      <c r="B93" s="30" t="inlineStr">
        <is>
          <t>Deep Industries Ltd</t>
        </is>
      </c>
      <c r="C93" s="30" t="inlineStr">
        <is>
          <t>energy</t>
        </is>
      </c>
      <c r="D93" s="30" t="inlineStr">
        <is>
          <t>oil drilling / allied services</t>
        </is>
      </c>
      <c r="E93" s="30" t="inlineStr">
        <is>
          <t>smallcap</t>
        </is>
      </c>
      <c r="F93" s="30" t="n">
        <v>3361.6</v>
      </c>
      <c r="G93" s="30" t="n">
        <v>532.3</v>
      </c>
      <c r="H93" s="30" t="n">
        <v>1.34</v>
      </c>
      <c r="I93" s="30" t="n">
        <v>432988</v>
      </c>
      <c r="J93" s="30" t="inlineStr">
        <is>
          <t>543288</t>
        </is>
      </c>
    </row>
    <row r="94">
      <c r="A94" s="30" t="inlineStr">
        <is>
          <t>IIFLCAPS</t>
        </is>
      </c>
      <c r="B94" s="30" t="inlineStr">
        <is>
          <t>IIFL Capital Services Ltd</t>
        </is>
      </c>
      <c r="C94" s="30" t="inlineStr">
        <is>
          <t>financials</t>
        </is>
      </c>
      <c r="D94" s="30" t="inlineStr">
        <is>
          <t>finance &amp; investments</t>
        </is>
      </c>
      <c r="E94" s="30" t="inlineStr">
        <is>
          <t>midcap</t>
        </is>
      </c>
      <c r="F94" s="30" t="n">
        <v>10537.39</v>
      </c>
      <c r="G94" s="30" t="n">
        <v>342.75</v>
      </c>
      <c r="H94" s="30" t="n">
        <v>1.3</v>
      </c>
      <c r="I94" s="30" t="n">
        <v>1117367</v>
      </c>
      <c r="J94" s="30" t="inlineStr">
        <is>
          <t>542773</t>
        </is>
      </c>
    </row>
    <row r="95">
      <c r="A95" s="30" t="inlineStr">
        <is>
          <t>RPTECH</t>
        </is>
      </c>
      <c r="B95" s="30" t="inlineStr">
        <is>
          <t>Rashi Peripherals Ltd</t>
        </is>
      </c>
      <c r="C95" s="30" t="inlineStr">
        <is>
          <t>services</t>
        </is>
      </c>
      <c r="D95" s="30" t="inlineStr">
        <is>
          <t>trading</t>
        </is>
      </c>
      <c r="E95" s="30" t="inlineStr">
        <is>
          <t>smallcap</t>
        </is>
      </c>
      <c r="F95" s="30" t="n">
        <v>3553.64</v>
      </c>
      <c r="G95" s="30" t="n">
        <v>546.25</v>
      </c>
      <c r="H95" s="30" t="n">
        <v>1.3</v>
      </c>
      <c r="I95" s="30" t="n">
        <v>119861</v>
      </c>
      <c r="J95" s="30" t="n"/>
    </row>
    <row r="96">
      <c r="A96" s="30" t="inlineStr">
        <is>
          <t>APARINDS</t>
        </is>
      </c>
      <c r="B96" s="30" t="inlineStr">
        <is>
          <t>Apar Industries Limited</t>
        </is>
      </c>
      <c r="C96" s="30" t="inlineStr">
        <is>
          <t>industrials</t>
        </is>
      </c>
      <c r="D96" s="30" t="inlineStr">
        <is>
          <t>electric equipment</t>
        </is>
      </c>
      <c r="E96" s="30" t="inlineStr">
        <is>
          <t>largecap</t>
        </is>
      </c>
      <c r="F96" s="30" t="n">
        <v>55066.74</v>
      </c>
      <c r="G96" s="30" t="n">
        <v>13878</v>
      </c>
      <c r="H96" s="30" t="n">
        <v>1.23</v>
      </c>
      <c r="I96" s="30" t="n">
        <v>100710</v>
      </c>
      <c r="J96" s="30" t="inlineStr">
        <is>
          <t>532259</t>
        </is>
      </c>
    </row>
    <row r="97">
      <c r="A97" s="30" t="inlineStr">
        <is>
          <t>NINSYS</t>
        </is>
      </c>
      <c r="B97" s="30" t="inlineStr">
        <is>
          <t>NINtec Systems Ltd</t>
        </is>
      </c>
      <c r="C97" s="30" t="inlineStr">
        <is>
          <t>i.t</t>
        </is>
      </c>
      <c r="D97" s="30" t="inlineStr">
        <is>
          <t>computers - software - medium / small</t>
        </is>
      </c>
      <c r="E97" s="30" t="inlineStr">
        <is>
          <t>smallcap</t>
        </is>
      </c>
      <c r="F97" s="30" t="n">
        <v>1329.21</v>
      </c>
      <c r="G97" s="30" t="n">
        <v>724.15</v>
      </c>
      <c r="H97" s="30" t="n">
        <v>1.2</v>
      </c>
      <c r="I97" s="30" t="n">
        <v>9657</v>
      </c>
      <c r="J97" s="30" t="inlineStr">
        <is>
          <t>539843</t>
        </is>
      </c>
    </row>
    <row r="98">
      <c r="A98" s="30" t="inlineStr">
        <is>
          <t>ASAHIINDIA</t>
        </is>
      </c>
      <c r="B98" s="30" t="inlineStr">
        <is>
          <t>Asahi India Glass Limited</t>
        </is>
      </c>
      <c r="C98" s="30" t="inlineStr">
        <is>
          <t>building materials</t>
        </is>
      </c>
      <c r="D98" s="30" t="inlineStr">
        <is>
          <t>glass &amp; glass products</t>
        </is>
      </c>
      <c r="E98" s="30" t="inlineStr">
        <is>
          <t>largecap</t>
        </is>
      </c>
      <c r="F98" s="30" t="n">
        <v>22724.21</v>
      </c>
      <c r="G98" s="30" t="n">
        <v>901.9</v>
      </c>
      <c r="H98" s="30" t="n">
        <v>1.18</v>
      </c>
      <c r="I98" s="30" t="n">
        <v>64779</v>
      </c>
      <c r="J98" s="30" t="inlineStr">
        <is>
          <t>515030</t>
        </is>
      </c>
    </row>
    <row r="99">
      <c r="A99" s="30" t="inlineStr">
        <is>
          <t>ORCHPHARMA</t>
        </is>
      </c>
      <c r="B99" s="30" t="inlineStr">
        <is>
          <t>Orchid Pharma Ltd</t>
        </is>
      </c>
      <c r="C99" s="30" t="inlineStr">
        <is>
          <t>healthcare</t>
        </is>
      </c>
      <c r="D99" s="30" t="inlineStr">
        <is>
          <t>pharmaceuticals - indian - bulk drugs &amp; formln</t>
        </is>
      </c>
      <c r="E99" s="30" t="inlineStr">
        <is>
          <t>smallcap</t>
        </is>
      </c>
      <c r="F99" s="30" t="n">
        <v>4234.28</v>
      </c>
      <c r="G99" s="30" t="n">
        <v>844.25</v>
      </c>
      <c r="H99" s="30" t="n">
        <v>1.13</v>
      </c>
      <c r="I99" s="30" t="n">
        <v>46242</v>
      </c>
      <c r="J99" s="30" t="inlineStr">
        <is>
          <t>524372</t>
        </is>
      </c>
    </row>
    <row r="100">
      <c r="A100" s="30" t="inlineStr">
        <is>
          <t>ADANIPOWER</t>
        </is>
      </c>
      <c r="B100" s="30" t="inlineStr">
        <is>
          <t>Adani Power Limited</t>
        </is>
      </c>
      <c r="C100" s="30" t="inlineStr">
        <is>
          <t>power &amp; utilities</t>
        </is>
      </c>
      <c r="D100" s="30" t="inlineStr">
        <is>
          <t>power generation and supply</t>
        </is>
      </c>
      <c r="E100" s="30" t="inlineStr">
        <is>
          <t>largecap</t>
        </is>
      </c>
      <c r="F100" s="30" t="n">
        <v>443605.83</v>
      </c>
      <c r="G100" s="30" t="n">
        <v>232.6</v>
      </c>
      <c r="H100" s="30" t="n">
        <v>1.12</v>
      </c>
      <c r="I100" s="30" t="n">
        <v>30846795</v>
      </c>
      <c r="J100" s="30" t="inlineStr">
        <is>
          <t>533096</t>
        </is>
      </c>
    </row>
    <row r="101">
      <c r="A101" s="30" t="inlineStr">
        <is>
          <t>ADOR</t>
        </is>
      </c>
      <c r="B101" s="30" t="inlineStr">
        <is>
          <t>Ador Welding Ltd</t>
        </is>
      </c>
      <c r="C101" s="30" t="inlineStr">
        <is>
          <t>industrials</t>
        </is>
      </c>
      <c r="D101" s="30" t="inlineStr">
        <is>
          <t>electrodes - welding equipment</t>
        </is>
      </c>
      <c r="E101" s="30" t="inlineStr">
        <is>
          <t>smallcap</t>
        </is>
      </c>
      <c r="F101" s="30" t="n">
        <v>1948.94</v>
      </c>
      <c r="G101" s="30" t="n">
        <v>1132.3</v>
      </c>
      <c r="H101" s="30" t="n">
        <v>1.11</v>
      </c>
      <c r="I101" s="30" t="n">
        <v>10906</v>
      </c>
      <c r="J101" s="30" t="inlineStr">
        <is>
          <t>517041</t>
        </is>
      </c>
    </row>
    <row r="102">
      <c r="A102" s="30" t="inlineStr">
        <is>
          <t>NEOGEN</t>
        </is>
      </c>
      <c r="B102" s="30" t="inlineStr">
        <is>
          <t>Neogen Chemicals Ltd</t>
        </is>
      </c>
      <c r="C102" s="30" t="inlineStr">
        <is>
          <t>chemicals</t>
        </is>
      </c>
      <c r="D102" s="30" t="inlineStr">
        <is>
          <t>chemicals</t>
        </is>
      </c>
      <c r="E102" s="30" t="inlineStr">
        <is>
          <t>midcap</t>
        </is>
      </c>
      <c r="F102" s="30" t="n">
        <v>5155.7</v>
      </c>
      <c r="G102" s="30" t="n">
        <v>1903.6</v>
      </c>
      <c r="H102" s="30" t="n">
        <v>1.1</v>
      </c>
      <c r="I102" s="30" t="n">
        <v>89441</v>
      </c>
      <c r="J102" s="30" t="inlineStr">
        <is>
          <t>542665</t>
        </is>
      </c>
    </row>
    <row r="103">
      <c r="A103" s="30" t="inlineStr">
        <is>
          <t>CARBORUNIV</t>
        </is>
      </c>
      <c r="B103" s="30" t="inlineStr">
        <is>
          <t>Carborundum Universal Limited</t>
        </is>
      </c>
      <c r="C103" s="30" t="inlineStr">
        <is>
          <t>industrials</t>
        </is>
      </c>
      <c r="D103" s="30" t="inlineStr">
        <is>
          <t>abrasives and grinding wheels</t>
        </is>
      </c>
      <c r="E103" s="30" t="inlineStr">
        <is>
          <t>midcap</t>
        </is>
      </c>
      <c r="F103" s="30" t="n">
        <v>19594.06</v>
      </c>
      <c r="G103" s="30" t="n">
        <v>1039.8</v>
      </c>
      <c r="H103" s="30" t="n">
        <v>1.09</v>
      </c>
      <c r="I103" s="30" t="n">
        <v>311452</v>
      </c>
      <c r="J103" s="30" t="inlineStr">
        <is>
          <t>513375</t>
        </is>
      </c>
    </row>
    <row r="104">
      <c r="A104" s="30" t="inlineStr">
        <is>
          <t>JAYBARMARU</t>
        </is>
      </c>
      <c r="B104" s="30" t="inlineStr">
        <is>
          <t>Jay Bharat Maruti Limited</t>
        </is>
      </c>
      <c r="C104" s="30" t="inlineStr">
        <is>
          <t>auto</t>
        </is>
      </c>
      <c r="D104" s="30" t="inlineStr">
        <is>
          <t>auto ancillaries</t>
        </is>
      </c>
      <c r="E104" s="30" t="inlineStr">
        <is>
          <t>smallcap</t>
        </is>
      </c>
      <c r="F104" s="30" t="n">
        <v>1370.45</v>
      </c>
      <c r="G104" s="30" t="n">
        <v>127.97</v>
      </c>
      <c r="H104" s="30" t="n">
        <v>1.08</v>
      </c>
      <c r="I104" s="30" t="n">
        <v>952101</v>
      </c>
      <c r="J104" s="30" t="inlineStr">
        <is>
          <t>520066</t>
        </is>
      </c>
    </row>
    <row r="105">
      <c r="A105" s="30" t="inlineStr">
        <is>
          <t>MANORAMA</t>
        </is>
      </c>
      <c r="B105" s="30" t="inlineStr">
        <is>
          <t>Manorama Industries Ltd</t>
        </is>
      </c>
      <c r="C105" s="30" t="inlineStr">
        <is>
          <t>fmcg</t>
        </is>
      </c>
      <c r="D105" s="30" t="inlineStr">
        <is>
          <t>food - processing - indian</t>
        </is>
      </c>
      <c r="E105" s="30" t="inlineStr">
        <is>
          <t>midcap</t>
        </is>
      </c>
      <c r="F105" s="30" t="n">
        <v>8720.43</v>
      </c>
      <c r="G105" s="30" t="n">
        <v>1476.1</v>
      </c>
      <c r="H105" s="30" t="n">
        <v>1.07</v>
      </c>
      <c r="I105" s="30" t="n">
        <v>101240</v>
      </c>
      <c r="J105" s="30" t="inlineStr">
        <is>
          <t>541974</t>
        </is>
      </c>
    </row>
    <row r="106">
      <c r="A106" s="30" t="inlineStr">
        <is>
          <t>SUPRAJIT</t>
        </is>
      </c>
      <c r="B106" s="30" t="inlineStr">
        <is>
          <t>Suprajit Engineering Limited</t>
        </is>
      </c>
      <c r="C106" s="30" t="inlineStr">
        <is>
          <t>auto</t>
        </is>
      </c>
      <c r="D106" s="30" t="inlineStr">
        <is>
          <t>auto ancillaries</t>
        </is>
      </c>
      <c r="E106" s="30" t="inlineStr">
        <is>
          <t>midcap</t>
        </is>
      </c>
      <c r="F106" s="30" t="n">
        <v>6456.65</v>
      </c>
      <c r="G106" s="30" t="n">
        <v>475.75</v>
      </c>
      <c r="H106" s="30" t="n">
        <v>1.07</v>
      </c>
      <c r="I106" s="30" t="n">
        <v>230617</v>
      </c>
      <c r="J106" s="30" t="inlineStr">
        <is>
          <t>532509</t>
        </is>
      </c>
    </row>
    <row r="107">
      <c r="A107" s="30" t="inlineStr">
        <is>
          <t>VSTIND</t>
        </is>
      </c>
      <c r="B107" s="30" t="inlineStr">
        <is>
          <t>Vst Industries Limited</t>
        </is>
      </c>
      <c r="C107" s="30" t="inlineStr">
        <is>
          <t>fmcg</t>
        </is>
      </c>
      <c r="D107" s="30" t="inlineStr">
        <is>
          <t>cigarettes</t>
        </is>
      </c>
      <c r="E107" s="30" t="inlineStr">
        <is>
          <t>smallcap</t>
        </is>
      </c>
      <c r="F107" s="30" t="n">
        <v>4338.25</v>
      </c>
      <c r="G107" s="30" t="n">
        <v>258.05</v>
      </c>
      <c r="H107" s="30" t="n">
        <v>1.04</v>
      </c>
      <c r="I107" s="30" t="n">
        <v>229053</v>
      </c>
      <c r="J107" s="30" t="inlineStr">
        <is>
          <t>509966</t>
        </is>
      </c>
    </row>
    <row r="108">
      <c r="A108" s="30" t="inlineStr">
        <is>
          <t>NH</t>
        </is>
      </c>
      <c r="B108" s="30" t="inlineStr">
        <is>
          <t>Narayana Hrudayalaya Ltd.</t>
        </is>
      </c>
      <c r="C108" s="30" t="inlineStr">
        <is>
          <t>healthcare</t>
        </is>
      </c>
      <c r="D108" s="30" t="inlineStr">
        <is>
          <t>healthcare</t>
        </is>
      </c>
      <c r="E108" s="30" t="inlineStr">
        <is>
          <t>largecap</t>
        </is>
      </c>
      <c r="F108" s="30" t="n">
        <v>39834.01</v>
      </c>
      <c r="G108" s="30" t="n">
        <v>1969.2</v>
      </c>
      <c r="H108" s="30" t="n">
        <v>1.03</v>
      </c>
      <c r="I108" s="30" t="n">
        <v>224931</v>
      </c>
      <c r="J108" s="30" t="inlineStr">
        <is>
          <t>539551</t>
        </is>
      </c>
    </row>
    <row r="109">
      <c r="A109" s="30" t="inlineStr">
        <is>
          <t>HTMEDIA</t>
        </is>
      </c>
      <c r="B109" s="30" t="inlineStr">
        <is>
          <t>Ht Media Limited</t>
        </is>
      </c>
      <c r="C109" s="30" t="inlineStr">
        <is>
          <t>media</t>
        </is>
      </c>
      <c r="D109" s="30" t="inlineStr">
        <is>
          <t>entertainment / electronic media software</t>
        </is>
      </c>
      <c r="E109" s="30" t="inlineStr">
        <is>
          <t>smallcap</t>
        </is>
      </c>
      <c r="F109" s="30" t="n">
        <v>531.42</v>
      </c>
      <c r="G109" s="30" t="n">
        <v>23.06</v>
      </c>
      <c r="H109" s="30" t="n">
        <v>1.01</v>
      </c>
      <c r="I109" s="30" t="n">
        <v>76565</v>
      </c>
      <c r="J109" s="30" t="inlineStr">
        <is>
          <t>532662</t>
        </is>
      </c>
    </row>
    <row r="110">
      <c r="A110" s="30" t="inlineStr">
        <is>
          <t>TIINDIA</t>
        </is>
      </c>
      <c r="B110" s="30" t="inlineStr">
        <is>
          <t>Tube Investments of India Ltd</t>
        </is>
      </c>
      <c r="C110" s="30" t="inlineStr">
        <is>
          <t>industrials</t>
        </is>
      </c>
      <c r="D110" s="30" t="inlineStr">
        <is>
          <t>steel - large</t>
        </is>
      </c>
      <c r="E110" s="30" t="inlineStr">
        <is>
          <t>largecap</t>
        </is>
      </c>
      <c r="F110" s="30" t="n">
        <v>59970.42</v>
      </c>
      <c r="G110" s="30" t="n">
        <v>3129</v>
      </c>
      <c r="H110" s="30" t="n">
        <v>0.99</v>
      </c>
      <c r="I110" s="30" t="n">
        <v>192369</v>
      </c>
      <c r="J110" s="30" t="inlineStr">
        <is>
          <t>540762</t>
        </is>
      </c>
    </row>
    <row r="111">
      <c r="A111" s="30" t="inlineStr">
        <is>
          <t>INDGN</t>
        </is>
      </c>
      <c r="B111" s="30" t="inlineStr">
        <is>
          <t>Indegene Ltd</t>
        </is>
      </c>
      <c r="C111" s="30" t="inlineStr">
        <is>
          <t>healthcare</t>
        </is>
      </c>
      <c r="D111" s="30" t="inlineStr">
        <is>
          <t>miscellaneous</t>
        </is>
      </c>
      <c r="E111" s="30" t="inlineStr">
        <is>
          <t>midcap</t>
        </is>
      </c>
      <c r="F111" s="30" t="n">
        <v>12449.63</v>
      </c>
      <c r="G111" s="30" t="n">
        <v>523</v>
      </c>
      <c r="H111" s="30" t="n">
        <v>0.96</v>
      </c>
      <c r="I111" s="30" t="n">
        <v>248735</v>
      </c>
      <c r="J111" s="30" t="inlineStr">
        <is>
          <t>544172</t>
        </is>
      </c>
    </row>
    <row r="112">
      <c r="A112" s="30" t="inlineStr">
        <is>
          <t>VIJAYA</t>
        </is>
      </c>
      <c r="B112" s="30" t="inlineStr">
        <is>
          <t>Vijaya Diagnostic Centre Ltd</t>
        </is>
      </c>
      <c r="C112" s="30" t="inlineStr">
        <is>
          <t>healthcare</t>
        </is>
      </c>
      <c r="D112" s="30" t="inlineStr">
        <is>
          <t>healthcare</t>
        </is>
      </c>
      <c r="E112" s="30" t="inlineStr">
        <is>
          <t>midcap</t>
        </is>
      </c>
      <c r="F112" s="30" t="n">
        <v>13987.78</v>
      </c>
      <c r="G112" s="30" t="n">
        <v>1372.4</v>
      </c>
      <c r="H112" s="30" t="n">
        <v>0.96</v>
      </c>
      <c r="I112" s="30" t="n">
        <v>546490</v>
      </c>
      <c r="J112" s="30" t="inlineStr">
        <is>
          <t>543350</t>
        </is>
      </c>
    </row>
    <row r="113">
      <c r="A113" s="30" t="inlineStr">
        <is>
          <t>POWERINDIA</t>
        </is>
      </c>
      <c r="B113" s="30" t="inlineStr">
        <is>
          <t>Hitachi Energy India Ltd</t>
        </is>
      </c>
      <c r="C113" s="30" t="inlineStr">
        <is>
          <t>industrials</t>
        </is>
      </c>
      <c r="D113" s="30" t="inlineStr">
        <is>
          <t>electric equipment</t>
        </is>
      </c>
      <c r="E113" s="30" t="inlineStr">
        <is>
          <t>largecap</t>
        </is>
      </c>
      <c r="F113" s="30" t="n">
        <v>162800.56</v>
      </c>
      <c r="G113" s="30" t="n">
        <v>36870</v>
      </c>
      <c r="H113" s="30" t="n">
        <v>0.9399999999999999</v>
      </c>
      <c r="I113" s="30" t="n">
        <v>109445</v>
      </c>
      <c r="J113" s="30" t="inlineStr">
        <is>
          <t>543187</t>
        </is>
      </c>
    </row>
    <row r="114">
      <c r="A114" s="30" t="inlineStr">
        <is>
          <t>ASIANPAINT</t>
        </is>
      </c>
      <c r="B114" s="30" t="inlineStr">
        <is>
          <t>Asian Paints Limited</t>
        </is>
      </c>
      <c r="C114" s="30" t="inlineStr">
        <is>
          <t>building materials</t>
        </is>
      </c>
      <c r="D114" s="30" t="inlineStr">
        <is>
          <t>paints / varnishes</t>
        </is>
      </c>
      <c r="E114" s="30" t="inlineStr">
        <is>
          <t>largecap</t>
        </is>
      </c>
      <c r="F114" s="30" t="n">
        <v>255300.08</v>
      </c>
      <c r="G114" s="30" t="n">
        <v>2686.7</v>
      </c>
      <c r="H114" s="30" t="n">
        <v>0.9399999999999999</v>
      </c>
      <c r="I114" s="30" t="n">
        <v>1615011</v>
      </c>
      <c r="J114" s="30" t="inlineStr">
        <is>
          <t>500820</t>
        </is>
      </c>
    </row>
    <row r="115">
      <c r="A115" s="30" t="inlineStr">
        <is>
          <t>CONFIPET</t>
        </is>
      </c>
      <c r="B115" s="30" t="inlineStr">
        <is>
          <t>Confidence Petroleum India Ltd</t>
        </is>
      </c>
      <c r="C115" s="30" t="inlineStr">
        <is>
          <t>miscellaneous</t>
        </is>
      </c>
      <c r="D115" s="30" t="inlineStr">
        <is>
          <t>miscellaneous</t>
        </is>
      </c>
      <c r="E115" s="30" t="inlineStr">
        <is>
          <t>smallcap</t>
        </is>
      </c>
      <c r="F115" s="30" t="n">
        <v>2554.6</v>
      </c>
      <c r="G115" s="30" t="n">
        <v>77.61</v>
      </c>
      <c r="H115" s="30" t="n">
        <v>0.9399999999999999</v>
      </c>
      <c r="I115" s="30" t="n">
        <v>3889694</v>
      </c>
      <c r="J115" s="30" t="inlineStr">
        <is>
          <t>526829</t>
        </is>
      </c>
    </row>
    <row r="116">
      <c r="A116" s="30" t="inlineStr">
        <is>
          <t>SOMANYCERA</t>
        </is>
      </c>
      <c r="B116" s="30" t="inlineStr">
        <is>
          <t>Somany Ceramics Limited</t>
        </is>
      </c>
      <c r="C116" s="30" t="inlineStr">
        <is>
          <t>building materials</t>
        </is>
      </c>
      <c r="D116" s="30" t="inlineStr">
        <is>
          <t>ceramics - tiles / sanitaryware</t>
        </is>
      </c>
      <c r="E116" s="30" t="inlineStr">
        <is>
          <t>smallcap</t>
        </is>
      </c>
      <c r="F116" s="30" t="n">
        <v>2081.61</v>
      </c>
      <c r="G116" s="30" t="n">
        <v>512.3</v>
      </c>
      <c r="H116" s="30" t="n">
        <v>0.9399999999999999</v>
      </c>
      <c r="I116" s="30" t="n">
        <v>48974</v>
      </c>
      <c r="J116" s="30" t="inlineStr">
        <is>
          <t>531548</t>
        </is>
      </c>
    </row>
    <row r="117">
      <c r="A117" s="30" t="inlineStr">
        <is>
          <t>RAJRATAN</t>
        </is>
      </c>
      <c r="B117" s="30" t="inlineStr">
        <is>
          <t>Rajratan Global Wire Ltd</t>
        </is>
      </c>
      <c r="C117" s="30" t="inlineStr">
        <is>
          <t>metals &amp; mining</t>
        </is>
      </c>
      <c r="D117" s="30" t="inlineStr">
        <is>
          <t>steel - medium / small</t>
        </is>
      </c>
      <c r="E117" s="30" t="inlineStr">
        <is>
          <t>smallcap</t>
        </is>
      </c>
      <c r="F117" s="30" t="n">
        <v>2173.76</v>
      </c>
      <c r="G117" s="30" t="n">
        <v>432.15</v>
      </c>
      <c r="H117" s="30" t="n">
        <v>0.93</v>
      </c>
      <c r="I117" s="30" t="n">
        <v>81406</v>
      </c>
      <c r="J117" s="30" t="inlineStr">
        <is>
          <t>517522</t>
        </is>
      </c>
    </row>
    <row r="118">
      <c r="A118" s="30" t="inlineStr">
        <is>
          <t>SASKEN</t>
        </is>
      </c>
      <c r="B118" s="30" t="inlineStr">
        <is>
          <t>Sasken Communication Technologies Limited</t>
        </is>
      </c>
      <c r="C118" s="30" t="inlineStr">
        <is>
          <t>i.t</t>
        </is>
      </c>
      <c r="D118" s="30" t="inlineStr">
        <is>
          <t>computers - software - medium / small</t>
        </is>
      </c>
      <c r="E118" s="30" t="inlineStr">
        <is>
          <t>smallcap</t>
        </is>
      </c>
      <c r="F118" s="30" t="n">
        <v>3281.8</v>
      </c>
      <c r="G118" s="30" t="n">
        <v>2181.2</v>
      </c>
      <c r="H118" s="30" t="n">
        <v>0.93</v>
      </c>
      <c r="I118" s="30" t="n">
        <v>45175</v>
      </c>
      <c r="J118" s="30" t="inlineStr">
        <is>
          <t>532663</t>
        </is>
      </c>
    </row>
    <row r="119">
      <c r="A119" s="30" t="inlineStr">
        <is>
          <t>INDSWFTLAB</t>
        </is>
      </c>
      <c r="B119" s="30" t="inlineStr">
        <is>
          <t>Ind-swift Laboratories Limited</t>
        </is>
      </c>
      <c r="C119" s="30" t="inlineStr">
        <is>
          <t>healthcare</t>
        </is>
      </c>
      <c r="D119" s="30" t="inlineStr">
        <is>
          <t>pharmaceuticals - indian - bulk drugs &amp; formln</t>
        </is>
      </c>
      <c r="E119" s="30" t="inlineStr">
        <is>
          <t>smallcap</t>
        </is>
      </c>
      <c r="F119" s="30" t="n">
        <v>1360.64</v>
      </c>
      <c r="G119" s="30" t="n">
        <v>158</v>
      </c>
      <c r="H119" s="30" t="n">
        <v>0.84</v>
      </c>
      <c r="I119" s="30" t="n">
        <v>1275663</v>
      </c>
      <c r="J119" s="30" t="inlineStr">
        <is>
          <t>532305</t>
        </is>
      </c>
    </row>
    <row r="120">
      <c r="A120" s="30" t="inlineStr">
        <is>
          <t>SOLARINDS</t>
        </is>
      </c>
      <c r="B120" s="30" t="inlineStr">
        <is>
          <t>Solar Industries India Limited</t>
        </is>
      </c>
      <c r="C120" s="30" t="inlineStr">
        <is>
          <t>aerospace &amp; defence</t>
        </is>
      </c>
      <c r="D120" s="30" t="inlineStr">
        <is>
          <t>chemicals</t>
        </is>
      </c>
      <c r="E120" s="30" t="inlineStr">
        <is>
          <t>largecap</t>
        </is>
      </c>
      <c r="F120" s="30" t="n">
        <v>165533.46</v>
      </c>
      <c r="G120" s="30" t="n">
        <v>18441</v>
      </c>
      <c r="H120" s="30" t="n">
        <v>0.8100000000000001</v>
      </c>
      <c r="I120" s="30" t="n">
        <v>102618</v>
      </c>
      <c r="J120" s="30" t="inlineStr">
        <is>
          <t>532725</t>
        </is>
      </c>
    </row>
    <row r="121">
      <c r="A121" s="30" t="inlineStr">
        <is>
          <t>RAIN</t>
        </is>
      </c>
      <c r="B121" s="30" t="inlineStr">
        <is>
          <t>Rain Industries Limited</t>
        </is>
      </c>
      <c r="C121" s="30" t="inlineStr">
        <is>
          <t>miscellaneous</t>
        </is>
      </c>
      <c r="D121" s="30" t="inlineStr">
        <is>
          <t>miscellaneous</t>
        </is>
      </c>
      <c r="E121" s="30" t="inlineStr">
        <is>
          <t>midcap</t>
        </is>
      </c>
      <c r="F121" s="30" t="n">
        <v>6575.89</v>
      </c>
      <c r="G121" s="30" t="n">
        <v>197.09</v>
      </c>
      <c r="H121" s="30" t="n">
        <v>0.8100000000000001</v>
      </c>
      <c r="I121" s="30" t="n">
        <v>4579100</v>
      </c>
      <c r="J121" s="30" t="inlineStr">
        <is>
          <t>500339</t>
        </is>
      </c>
    </row>
    <row r="122">
      <c r="A122" s="30" t="inlineStr">
        <is>
          <t>IRISDOREME</t>
        </is>
      </c>
      <c r="B122" s="30" t="inlineStr">
        <is>
          <t>Iris Clothings Ltd</t>
        </is>
      </c>
      <c r="C122" s="30" t="inlineStr">
        <is>
          <t>consumer discretionary</t>
        </is>
      </c>
      <c r="D122" s="30" t="inlineStr">
        <is>
          <t>textiles - products</t>
        </is>
      </c>
      <c r="E122" s="30" t="inlineStr">
        <is>
          <t>smallcap</t>
        </is>
      </c>
      <c r="F122" s="30" t="n">
        <v>694.14</v>
      </c>
      <c r="G122" s="30" t="n">
        <v>36.76</v>
      </c>
      <c r="H122" s="30" t="n">
        <v>0.8</v>
      </c>
      <c r="I122" s="30" t="n">
        <v>291849</v>
      </c>
      <c r="J122" s="30" t="inlineStr">
        <is>
          <t>535123</t>
        </is>
      </c>
    </row>
    <row r="123">
      <c r="A123" s="30" t="inlineStr">
        <is>
          <t>KEI</t>
        </is>
      </c>
      <c r="B123" s="30" t="inlineStr">
        <is>
          <t>Kei Industries Limited</t>
        </is>
      </c>
      <c r="C123" s="30" t="inlineStr">
        <is>
          <t>industrials</t>
        </is>
      </c>
      <c r="D123" s="30" t="inlineStr">
        <is>
          <t>cables - power</t>
        </is>
      </c>
      <c r="E123" s="30" t="inlineStr">
        <is>
          <t>largecap</t>
        </is>
      </c>
      <c r="F123" s="30" t="n">
        <v>50630.08</v>
      </c>
      <c r="G123" s="30" t="n">
        <v>5335.5</v>
      </c>
      <c r="H123" s="30" t="n">
        <v>0.75</v>
      </c>
      <c r="I123" s="30" t="n">
        <v>203971</v>
      </c>
      <c r="J123" s="30" t="inlineStr">
        <is>
          <t>517569</t>
        </is>
      </c>
    </row>
    <row r="124">
      <c r="A124" s="30" t="inlineStr">
        <is>
          <t>AIAENG</t>
        </is>
      </c>
      <c r="B124" s="30" t="inlineStr">
        <is>
          <t>Aia Engineering Limited</t>
        </is>
      </c>
      <c r="C124" s="30" t="inlineStr">
        <is>
          <t>industrials</t>
        </is>
      </c>
      <c r="D124" s="30" t="inlineStr">
        <is>
          <t>castings &amp; forgings</t>
        </is>
      </c>
      <c r="E124" s="30" t="inlineStr">
        <is>
          <t>largecap</t>
        </is>
      </c>
      <c r="F124" s="30" t="n">
        <v>42894.71</v>
      </c>
      <c r="G124" s="30" t="n">
        <v>4630.7</v>
      </c>
      <c r="H124" s="30" t="n">
        <v>0.74</v>
      </c>
      <c r="I124" s="30" t="n">
        <v>206638</v>
      </c>
      <c r="J124" s="30" t="inlineStr">
        <is>
          <t>532683</t>
        </is>
      </c>
    </row>
    <row r="125">
      <c r="A125" s="30" t="inlineStr">
        <is>
          <t>AURUM</t>
        </is>
      </c>
      <c r="B125" s="30" t="inlineStr">
        <is>
          <t>Aurum Proptech Ltd</t>
        </is>
      </c>
      <c r="C125" s="30" t="inlineStr">
        <is>
          <t>i.t</t>
        </is>
      </c>
      <c r="D125" s="30" t="inlineStr">
        <is>
          <t>computers - software - medium / small</t>
        </is>
      </c>
      <c r="E125" s="30" t="inlineStr">
        <is>
          <t>smallcap</t>
        </is>
      </c>
      <c r="F125" s="30" t="n">
        <v>1446.55</v>
      </c>
      <c r="G125" s="30" t="n">
        <v>190.08</v>
      </c>
      <c r="H125" s="30" t="n">
        <v>0.73</v>
      </c>
      <c r="I125" s="30" t="n">
        <v>247744</v>
      </c>
      <c r="J125" s="30" t="inlineStr">
        <is>
          <t>539289</t>
        </is>
      </c>
    </row>
    <row r="126">
      <c r="A126" s="30" t="inlineStr">
        <is>
          <t>SJS</t>
        </is>
      </c>
      <c r="B126" s="30" t="inlineStr">
        <is>
          <t>S J S Enterprises Ltd</t>
        </is>
      </c>
      <c r="C126" s="30" t="inlineStr">
        <is>
          <t>auto</t>
        </is>
      </c>
      <c r="D126" s="30" t="inlineStr">
        <is>
          <t>plastics products</t>
        </is>
      </c>
      <c r="E126" s="30" t="inlineStr">
        <is>
          <t>midcap</t>
        </is>
      </c>
      <c r="F126" s="30" t="n">
        <v>6366.72</v>
      </c>
      <c r="G126" s="30" t="n">
        <v>2003.8</v>
      </c>
      <c r="H126" s="30" t="n">
        <v>0.7</v>
      </c>
      <c r="I126" s="30" t="n">
        <v>49604</v>
      </c>
      <c r="J126" s="30" t="inlineStr">
        <is>
          <t>543387</t>
        </is>
      </c>
    </row>
    <row r="127">
      <c r="A127" s="30" t="inlineStr">
        <is>
          <t>TITAN</t>
        </is>
      </c>
      <c r="B127" s="30" t="inlineStr">
        <is>
          <t>Titan Company Limited</t>
        </is>
      </c>
      <c r="C127" s="30" t="inlineStr">
        <is>
          <t>consumer discretionary</t>
        </is>
      </c>
      <c r="D127" s="30" t="inlineStr">
        <is>
          <t>diamond cutting / jewellery</t>
        </is>
      </c>
      <c r="E127" s="30" t="inlineStr">
        <is>
          <t>largecap</t>
        </is>
      </c>
      <c r="F127" s="30" t="n">
        <v>375622.32</v>
      </c>
      <c r="G127" s="30" t="n">
        <v>4260.2</v>
      </c>
      <c r="H127" s="30" t="n">
        <v>0.6899999999999999</v>
      </c>
      <c r="I127" s="30" t="n">
        <v>1390200</v>
      </c>
      <c r="J127" s="30" t="inlineStr">
        <is>
          <t>500114</t>
        </is>
      </c>
    </row>
    <row r="128">
      <c r="A128" s="30" t="inlineStr">
        <is>
          <t>SOFTTECH</t>
        </is>
      </c>
      <c r="B128" s="30" t="inlineStr">
        <is>
          <t>Softtech Engineers Ltd</t>
        </is>
      </c>
      <c r="C128" s="30" t="inlineStr">
        <is>
          <t>i.t</t>
        </is>
      </c>
      <c r="D128" s="30" t="inlineStr">
        <is>
          <t>computers - software - medium / small</t>
        </is>
      </c>
      <c r="E128" s="30" t="inlineStr">
        <is>
          <t>smallcap</t>
        </is>
      </c>
      <c r="F128" s="30" t="n">
        <v>618.61</v>
      </c>
      <c r="G128" s="30" t="n">
        <v>450</v>
      </c>
      <c r="H128" s="30" t="n">
        <v>0.6899999999999999</v>
      </c>
      <c r="I128" s="30" t="n">
        <v>2609</v>
      </c>
      <c r="J128" s="30" t="inlineStr">
        <is>
          <t>535078</t>
        </is>
      </c>
    </row>
    <row r="129">
      <c r="A129" s="30" t="inlineStr">
        <is>
          <t>MEDANTA</t>
        </is>
      </c>
      <c r="B129" s="30" t="inlineStr">
        <is>
          <t>Global Health Ltd</t>
        </is>
      </c>
      <c r="C129" s="30" t="inlineStr">
        <is>
          <t>healthcare</t>
        </is>
      </c>
      <c r="D129" s="30" t="inlineStr">
        <is>
          <t>healthcare</t>
        </is>
      </c>
      <c r="E129" s="30" t="inlineStr">
        <is>
          <t>largecap</t>
        </is>
      </c>
      <c r="F129" s="30" t="n">
        <v>33109.6</v>
      </c>
      <c r="G129" s="30" t="n">
        <v>1240</v>
      </c>
      <c r="H129" s="30" t="n">
        <v>0.67</v>
      </c>
      <c r="I129" s="30" t="n">
        <v>310258</v>
      </c>
      <c r="J129" s="30" t="inlineStr">
        <is>
          <t>543654</t>
        </is>
      </c>
    </row>
    <row r="130">
      <c r="A130" s="30" t="inlineStr">
        <is>
          <t>APOLLOHOSP</t>
        </is>
      </c>
      <c r="B130" s="30" t="inlineStr">
        <is>
          <t>Apollo Hospitals Enterprise Limited</t>
        </is>
      </c>
      <c r="C130" s="30" t="inlineStr">
        <is>
          <t>healthcare</t>
        </is>
      </c>
      <c r="D130" s="30" t="inlineStr">
        <is>
          <t>healthcare</t>
        </is>
      </c>
      <c r="E130" s="30" t="inlineStr">
        <is>
          <t>largecap</t>
        </is>
      </c>
      <c r="F130" s="30" t="n">
        <v>118607.96</v>
      </c>
      <c r="G130" s="30" t="n">
        <v>8304.5</v>
      </c>
      <c r="H130" s="30" t="n">
        <v>0.67</v>
      </c>
      <c r="I130" s="30" t="n">
        <v>187969</v>
      </c>
      <c r="J130" s="30" t="inlineStr">
        <is>
          <t>508869</t>
        </is>
      </c>
    </row>
    <row r="131">
      <c r="A131" s="30" t="inlineStr">
        <is>
          <t>SANSERA</t>
        </is>
      </c>
      <c r="B131" s="30" t="inlineStr">
        <is>
          <t>Sansera Engineering Ltd</t>
        </is>
      </c>
      <c r="C131" s="30" t="inlineStr">
        <is>
          <t>auto</t>
        </is>
      </c>
      <c r="D131" s="30" t="inlineStr">
        <is>
          <t>auto ancillaries</t>
        </is>
      </c>
      <c r="E131" s="30" t="inlineStr">
        <is>
          <t>midcap</t>
        </is>
      </c>
      <c r="F131" s="30" t="n">
        <v>18237.11</v>
      </c>
      <c r="G131" s="30" t="n">
        <v>2945.1</v>
      </c>
      <c r="H131" s="30" t="n">
        <v>0.66</v>
      </c>
      <c r="I131" s="30" t="n">
        <v>178995</v>
      </c>
      <c r="J131" s="30" t="inlineStr">
        <is>
          <t>543358</t>
        </is>
      </c>
    </row>
    <row r="132">
      <c r="A132" s="30" t="inlineStr">
        <is>
          <t>EMCURE</t>
        </is>
      </c>
      <c r="B132" s="30" t="inlineStr">
        <is>
          <t>Emcure Pharmaceuticals Ltd</t>
        </is>
      </c>
      <c r="C132" s="30" t="inlineStr">
        <is>
          <t>healthcare</t>
        </is>
      </c>
      <c r="D132" s="30" t="inlineStr">
        <is>
          <t>pharmaceuticals - indian - bulk drugs &amp; formln</t>
        </is>
      </c>
      <c r="E132" s="30" t="inlineStr">
        <is>
          <t>largecap</t>
        </is>
      </c>
      <c r="F132" s="30" t="n">
        <v>33087.17</v>
      </c>
      <c r="G132" s="30" t="n">
        <v>1756.8</v>
      </c>
      <c r="H132" s="30" t="n">
        <v>0.66</v>
      </c>
      <c r="I132" s="30" t="n">
        <v>117449</v>
      </c>
      <c r="J132" s="30" t="inlineStr">
        <is>
          <t>544210</t>
        </is>
      </c>
    </row>
    <row r="133">
      <c r="A133" s="30" t="inlineStr">
        <is>
          <t>HEALTHX</t>
        </is>
      </c>
      <c r="B133" s="30" t="inlineStr">
        <is>
          <t>Health X Platform Ltd</t>
        </is>
      </c>
      <c r="C133" s="30" t="inlineStr">
        <is>
          <t>financials</t>
        </is>
      </c>
      <c r="D133" s="30" t="inlineStr">
        <is>
          <t>finance &amp; investments</t>
        </is>
      </c>
      <c r="E133" s="30" t="inlineStr">
        <is>
          <t>smallcap</t>
        </is>
      </c>
      <c r="F133" s="30" t="n">
        <v>963.86</v>
      </c>
      <c r="G133" s="30" t="n">
        <v>305</v>
      </c>
      <c r="H133" s="30" t="n">
        <v>0.66</v>
      </c>
      <c r="I133" s="30" t="n">
        <v>5958</v>
      </c>
      <c r="J133" s="30" t="inlineStr">
        <is>
          <t>533259</t>
        </is>
      </c>
    </row>
    <row r="134">
      <c r="A134" s="30" t="inlineStr">
        <is>
          <t>CAPLIPOINT</t>
        </is>
      </c>
      <c r="B134" s="30" t="inlineStr">
        <is>
          <t>Caplin Point Laboratories Limited</t>
        </is>
      </c>
      <c r="C134" s="30" t="inlineStr">
        <is>
          <t>healthcare</t>
        </is>
      </c>
      <c r="D134" s="30" t="inlineStr">
        <is>
          <t>pharmaceuticals - indian - formulations</t>
        </is>
      </c>
      <c r="E134" s="30" t="inlineStr">
        <is>
          <t>midcap</t>
        </is>
      </c>
      <c r="F134" s="30" t="n">
        <v>15352.08</v>
      </c>
      <c r="G134" s="30" t="n">
        <v>2033.1</v>
      </c>
      <c r="H134" s="30" t="n">
        <v>0.66</v>
      </c>
      <c r="I134" s="30" t="n">
        <v>84426</v>
      </c>
      <c r="J134" s="30" t="inlineStr">
        <is>
          <t>524742</t>
        </is>
      </c>
    </row>
    <row r="135">
      <c r="A135" s="30" t="inlineStr">
        <is>
          <t>GLOBAL</t>
        </is>
      </c>
      <c r="B135" s="30" t="inlineStr">
        <is>
          <t>Global Education Ltd</t>
        </is>
      </c>
      <c r="C135" s="30" t="inlineStr">
        <is>
          <t>services</t>
        </is>
      </c>
      <c r="D135" s="30" t="inlineStr">
        <is>
          <t>miscellaneous</t>
        </is>
      </c>
      <c r="E135" s="30" t="inlineStr">
        <is>
          <t>smallcap</t>
        </is>
      </c>
      <c r="F135" s="30" t="n">
        <v>549.84</v>
      </c>
      <c r="G135" s="30" t="n">
        <v>108.72</v>
      </c>
      <c r="H135" s="30" t="n">
        <v>0.65</v>
      </c>
      <c r="I135" s="30" t="n">
        <v>98296</v>
      </c>
      <c r="J135" s="30" t="inlineStr">
        <is>
          <t>538406</t>
        </is>
      </c>
    </row>
    <row r="136">
      <c r="A136" s="30" t="inlineStr">
        <is>
          <t>SAMMAANCAP</t>
        </is>
      </c>
      <c r="B136" s="30" t="inlineStr">
        <is>
          <t>Sammaan Capital Ltd</t>
        </is>
      </c>
      <c r="C136" s="30" t="inlineStr">
        <is>
          <t>financials</t>
        </is>
      </c>
      <c r="D136" s="30" t="inlineStr">
        <is>
          <t>finance - housing</t>
        </is>
      </c>
      <c r="E136" s="30" t="inlineStr">
        <is>
          <t>largecap</t>
        </is>
      </c>
      <c r="F136" s="30" t="n">
        <v>21272.76</v>
      </c>
      <c r="G136" s="30" t="n">
        <v>184.28</v>
      </c>
      <c r="H136" s="30" t="n">
        <v>0.63</v>
      </c>
      <c r="I136" s="30" t="n">
        <v>25603657</v>
      </c>
      <c r="J136" s="30" t="inlineStr">
        <is>
          <t>535789</t>
        </is>
      </c>
    </row>
    <row r="137">
      <c r="A137" s="30" t="inlineStr">
        <is>
          <t>CARYSIL</t>
        </is>
      </c>
      <c r="B137" s="30" t="inlineStr">
        <is>
          <t>Carysil Ltd</t>
        </is>
      </c>
      <c r="C137" s="30" t="inlineStr">
        <is>
          <t>consumer discretionary</t>
        </is>
      </c>
      <c r="D137" s="30" t="inlineStr">
        <is>
          <t>domestic appliances</t>
        </is>
      </c>
      <c r="E137" s="30" t="inlineStr">
        <is>
          <t>smallcap</t>
        </is>
      </c>
      <c r="F137" s="30" t="n">
        <v>3115.03</v>
      </c>
      <c r="G137" s="30" t="n">
        <v>1102</v>
      </c>
      <c r="H137" s="30" t="n">
        <v>0.62</v>
      </c>
      <c r="I137" s="30" t="n">
        <v>82441</v>
      </c>
      <c r="J137" s="30" t="inlineStr">
        <is>
          <t>524091</t>
        </is>
      </c>
    </row>
    <row r="138">
      <c r="A138" s="30" t="inlineStr">
        <is>
          <t>HONAUT</t>
        </is>
      </c>
      <c r="B138" s="30" t="inlineStr">
        <is>
          <t>Honeywell Automation India Limited</t>
        </is>
      </c>
      <c r="C138" s="30" t="inlineStr">
        <is>
          <t>consumer discretionary</t>
        </is>
      </c>
      <c r="D138" s="30" t="inlineStr">
        <is>
          <t>electronics - components</t>
        </is>
      </c>
      <c r="E138" s="30" t="inlineStr">
        <is>
          <t>largecap</t>
        </is>
      </c>
      <c r="F138" s="30" t="n">
        <v>30489.99</v>
      </c>
      <c r="G138" s="30" t="n">
        <v>34700</v>
      </c>
      <c r="H138" s="30" t="n">
        <v>0.62</v>
      </c>
      <c r="I138" s="30" t="n">
        <v>4364</v>
      </c>
      <c r="J138" s="30" t="inlineStr">
        <is>
          <t>517174</t>
        </is>
      </c>
    </row>
    <row r="139">
      <c r="A139" s="30" t="inlineStr">
        <is>
          <t>STYLAMIND</t>
        </is>
      </c>
      <c r="B139" s="30" t="inlineStr">
        <is>
          <t>Stylam Industries Ltd</t>
        </is>
      </c>
      <c r="C139" s="30" t="inlineStr">
        <is>
          <t>building materials</t>
        </is>
      </c>
      <c r="D139" s="30" t="inlineStr">
        <is>
          <t>miscellaneous</t>
        </is>
      </c>
      <c r="E139" s="30" t="inlineStr">
        <is>
          <t>midcap</t>
        </is>
      </c>
      <c r="F139" s="30" t="n">
        <v>5147.13</v>
      </c>
      <c r="G139" s="30" t="n">
        <v>3053.5</v>
      </c>
      <c r="H139" s="30" t="n">
        <v>0.54</v>
      </c>
      <c r="I139" s="30" t="n">
        <v>19378</v>
      </c>
      <c r="J139" s="30" t="inlineStr">
        <is>
          <t>526951</t>
        </is>
      </c>
    </row>
    <row r="140">
      <c r="A140" s="30" t="inlineStr">
        <is>
          <t>UNIDT</t>
        </is>
      </c>
      <c r="B140" s="30" t="inlineStr">
        <is>
          <t>United Drilling Tools Ltd</t>
        </is>
      </c>
      <c r="C140" s="30" t="inlineStr">
        <is>
          <t>industrials</t>
        </is>
      </c>
      <c r="D140" s="30" t="inlineStr">
        <is>
          <t>engineering</t>
        </is>
      </c>
      <c r="E140" s="30" t="inlineStr">
        <is>
          <t>smallcap</t>
        </is>
      </c>
      <c r="F140" s="30" t="n">
        <v>503.92</v>
      </c>
      <c r="G140" s="30" t="n">
        <v>249.51</v>
      </c>
      <c r="H140" s="30" t="n">
        <v>0.53</v>
      </c>
      <c r="I140" s="30" t="n">
        <v>18139</v>
      </c>
      <c r="J140" s="30" t="inlineStr">
        <is>
          <t>522014</t>
        </is>
      </c>
    </row>
    <row r="141">
      <c r="A141" s="30" t="inlineStr">
        <is>
          <t>APOLLO</t>
        </is>
      </c>
      <c r="B141" s="30" t="inlineStr">
        <is>
          <t>Apollo Micro Systems Ltd</t>
        </is>
      </c>
      <c r="C141" s="30" t="inlineStr">
        <is>
          <t>aerospace &amp; defence</t>
        </is>
      </c>
      <c r="D141" s="30" t="inlineStr">
        <is>
          <t>electronics - components</t>
        </is>
      </c>
      <c r="E141" s="30" t="inlineStr">
        <is>
          <t>midcap</t>
        </is>
      </c>
      <c r="F141" s="30" t="n">
        <v>14977.7</v>
      </c>
      <c r="G141" s="30" t="n">
        <v>421.35</v>
      </c>
      <c r="H141" s="30" t="n">
        <v>0.51</v>
      </c>
      <c r="I141" s="30" t="n">
        <v>27746500</v>
      </c>
      <c r="J141" s="30" t="inlineStr">
        <is>
          <t>540879</t>
        </is>
      </c>
    </row>
    <row r="142">
      <c r="A142" s="30" t="inlineStr">
        <is>
          <t>NUVAMA</t>
        </is>
      </c>
      <c r="B142" s="30" t="inlineStr">
        <is>
          <t>Nuvama Wealth Management Ltd</t>
        </is>
      </c>
      <c r="C142" s="30" t="inlineStr">
        <is>
          <t>financials</t>
        </is>
      </c>
      <c r="D142" s="30" t="inlineStr">
        <is>
          <t>finance &amp; investments</t>
        </is>
      </c>
      <c r="E142" s="30" t="inlineStr">
        <is>
          <t>largecap</t>
        </is>
      </c>
      <c r="F142" s="30" t="n">
        <v>28518.62</v>
      </c>
      <c r="G142" s="30" t="n">
        <v>1574.4</v>
      </c>
      <c r="H142" s="30" t="n">
        <v>0.5</v>
      </c>
      <c r="I142" s="30" t="n">
        <v>335047</v>
      </c>
      <c r="J142" s="30" t="inlineStr">
        <is>
          <t>543988</t>
        </is>
      </c>
    </row>
    <row r="143">
      <c r="A143" s="30" t="inlineStr">
        <is>
          <t>GRWRHITECH</t>
        </is>
      </c>
      <c r="B143" s="30" t="inlineStr">
        <is>
          <t>Garware Hi Tech Films Ltd</t>
        </is>
      </c>
      <c r="C143" s="30" t="inlineStr">
        <is>
          <t>industrials</t>
        </is>
      </c>
      <c r="D143" s="30" t="inlineStr">
        <is>
          <t>packaging</t>
        </is>
      </c>
      <c r="E143" s="30" t="inlineStr">
        <is>
          <t>midcap</t>
        </is>
      </c>
      <c r="F143" s="30" t="n">
        <v>13622.31</v>
      </c>
      <c r="G143" s="30" t="n">
        <v>5893</v>
      </c>
      <c r="H143" s="30" t="n">
        <v>0.5</v>
      </c>
      <c r="I143" s="30" t="n">
        <v>57041</v>
      </c>
      <c r="J143" s="30" t="inlineStr">
        <is>
          <t>500655</t>
        </is>
      </c>
    </row>
    <row r="144">
      <c r="A144" s="30" t="inlineStr">
        <is>
          <t>RUBYMILLS</t>
        </is>
      </c>
      <c r="B144" s="30" t="inlineStr">
        <is>
          <t>The Ruby Mills Limited</t>
        </is>
      </c>
      <c r="C144" s="30" t="inlineStr">
        <is>
          <t>textiles</t>
        </is>
      </c>
      <c r="D144" s="30" t="inlineStr">
        <is>
          <t>textiles - composite</t>
        </is>
      </c>
      <c r="E144" s="30" t="inlineStr">
        <is>
          <t>smallcap</t>
        </is>
      </c>
      <c r="F144" s="30" t="n">
        <v>1124.25</v>
      </c>
      <c r="G144" s="30" t="n">
        <v>337.85</v>
      </c>
      <c r="H144" s="30" t="n">
        <v>0.49</v>
      </c>
      <c r="I144" s="30" t="n">
        <v>127037</v>
      </c>
      <c r="J144" s="30" t="inlineStr">
        <is>
          <t>503169</t>
        </is>
      </c>
    </row>
    <row r="145">
      <c r="A145" s="30" t="inlineStr">
        <is>
          <t>DATAPATTNS</t>
        </is>
      </c>
      <c r="B145" s="30" t="inlineStr">
        <is>
          <t>Data Patterns (India) Ltd</t>
        </is>
      </c>
      <c r="C145" s="30" t="inlineStr">
        <is>
          <t>aerospace &amp; defence</t>
        </is>
      </c>
      <c r="D145" s="30" t="inlineStr">
        <is>
          <t>electronics - components</t>
        </is>
      </c>
      <c r="E145" s="30" t="inlineStr">
        <is>
          <t>largecap</t>
        </is>
      </c>
      <c r="F145" s="30" t="n">
        <v>23470.72</v>
      </c>
      <c r="G145" s="30" t="n">
        <v>4212.6</v>
      </c>
      <c r="H145" s="30" t="n">
        <v>0.48</v>
      </c>
      <c r="I145" s="30" t="n">
        <v>1177096</v>
      </c>
      <c r="J145" s="30" t="inlineStr">
        <is>
          <t>543428</t>
        </is>
      </c>
    </row>
    <row r="146">
      <c r="A146" s="30" t="inlineStr">
        <is>
          <t>GOKULAGRO</t>
        </is>
      </c>
      <c r="B146" s="30" t="inlineStr">
        <is>
          <t>Gokul Agro Resources Limited</t>
        </is>
      </c>
      <c r="C146" s="30" t="inlineStr">
        <is>
          <t>fmcg</t>
        </is>
      </c>
      <c r="D146" s="30" t="inlineStr">
        <is>
          <t>solvent extraction</t>
        </is>
      </c>
      <c r="E146" s="30" t="inlineStr">
        <is>
          <t>midcap</t>
        </is>
      </c>
      <c r="F146" s="30" t="n">
        <v>6840.11</v>
      </c>
      <c r="G146" s="30" t="n">
        <v>232.85</v>
      </c>
      <c r="H146" s="30" t="n">
        <v>0.45</v>
      </c>
      <c r="I146" s="30" t="n">
        <v>128711</v>
      </c>
      <c r="J146" s="30" t="inlineStr">
        <is>
          <t>539725</t>
        </is>
      </c>
    </row>
    <row r="147">
      <c r="A147" s="30" t="inlineStr">
        <is>
          <t>SYRMA</t>
        </is>
      </c>
      <c r="B147" s="30" t="inlineStr">
        <is>
          <t>Syrma SGS Technology Ltd</t>
        </is>
      </c>
      <c r="C147" s="30" t="inlineStr">
        <is>
          <t>consumer discretionary</t>
        </is>
      </c>
      <c r="D147" s="30" t="inlineStr">
        <is>
          <t>electronics - components</t>
        </is>
      </c>
      <c r="E147" s="30" t="inlineStr">
        <is>
          <t>largecap</t>
        </is>
      </c>
      <c r="F147" s="30" t="n">
        <v>23556.17</v>
      </c>
      <c r="G147" s="30" t="n">
        <v>1226.8</v>
      </c>
      <c r="H147" s="30" t="n">
        <v>0.43</v>
      </c>
      <c r="I147" s="30" t="n">
        <v>737121</v>
      </c>
      <c r="J147" s="30" t="inlineStr">
        <is>
          <t>543573</t>
        </is>
      </c>
    </row>
    <row r="148">
      <c r="A148" s="30" t="inlineStr">
        <is>
          <t>NAHARINDUS</t>
        </is>
      </c>
      <c r="B148" s="30" t="inlineStr">
        <is>
          <t>Nahar Industrial Enterprises Limited</t>
        </is>
      </c>
      <c r="C148" s="30" t="inlineStr">
        <is>
          <t>textiles</t>
        </is>
      </c>
      <c r="D148" s="30" t="inlineStr">
        <is>
          <t>textiles - cotton/blended</t>
        </is>
      </c>
      <c r="E148" s="30" t="inlineStr">
        <is>
          <t>smallcap</t>
        </is>
      </c>
      <c r="F148" s="30" t="n">
        <v>516.7</v>
      </c>
      <c r="G148" s="30" t="n">
        <v>120.09</v>
      </c>
      <c r="H148" s="30" t="n">
        <v>0.42</v>
      </c>
      <c r="I148" s="30" t="n">
        <v>22554</v>
      </c>
      <c r="J148" s="30" t="inlineStr">
        <is>
          <t>519136</t>
        </is>
      </c>
    </row>
    <row r="149">
      <c r="A149" s="30" t="inlineStr">
        <is>
          <t>ZYDUSLIFE</t>
        </is>
      </c>
      <c r="B149" s="30" t="inlineStr">
        <is>
          <t>Zydus Lifesciences Ltd</t>
        </is>
      </c>
      <c r="C149" s="30" t="inlineStr">
        <is>
          <t>healthcare</t>
        </is>
      </c>
      <c r="D149" s="30" t="inlineStr">
        <is>
          <t>pharmaceuticals - indian - bulk drugs &amp; formln</t>
        </is>
      </c>
      <c r="E149" s="30" t="inlineStr">
        <is>
          <t>largecap</t>
        </is>
      </c>
      <c r="F149" s="30" t="n">
        <v>109136.14</v>
      </c>
      <c r="G149" s="30" t="n">
        <v>1089</v>
      </c>
      <c r="H149" s="30" t="n">
        <v>0.41</v>
      </c>
      <c r="I149" s="30" t="n">
        <v>919205</v>
      </c>
      <c r="J149" s="30" t="inlineStr">
        <is>
          <t>532321</t>
        </is>
      </c>
    </row>
    <row r="150">
      <c r="A150" s="30" t="inlineStr">
        <is>
          <t>MSPL</t>
        </is>
      </c>
      <c r="B150" s="30" t="inlineStr">
        <is>
          <t>Msp Steel &amp; Power Limited</t>
        </is>
      </c>
      <c r="C150" s="30" t="inlineStr">
        <is>
          <t>metals &amp; mining</t>
        </is>
      </c>
      <c r="D150" s="30" t="inlineStr">
        <is>
          <t>steel - medium / small</t>
        </is>
      </c>
      <c r="E150" s="30" t="inlineStr">
        <is>
          <t>smallcap</t>
        </is>
      </c>
      <c r="F150" s="30" t="n">
        <v>2320.47</v>
      </c>
      <c r="G150" s="30" t="n">
        <v>41.1</v>
      </c>
      <c r="H150" s="30" t="n">
        <v>0.39</v>
      </c>
      <c r="I150" s="30" t="n">
        <v>4700435</v>
      </c>
      <c r="J150" s="30" t="inlineStr">
        <is>
          <t>532650</t>
        </is>
      </c>
    </row>
    <row r="151">
      <c r="A151" s="30" t="inlineStr">
        <is>
          <t>WSTCSTPAPR</t>
        </is>
      </c>
      <c r="B151" s="30" t="inlineStr">
        <is>
          <t>West Coast Paper Mills Limited</t>
        </is>
      </c>
      <c r="C151" s="30" t="inlineStr">
        <is>
          <t>building materials</t>
        </is>
      </c>
      <c r="D151" s="30" t="inlineStr">
        <is>
          <t>paper</t>
        </is>
      </c>
      <c r="E151" s="30" t="inlineStr">
        <is>
          <t>smallcap</t>
        </is>
      </c>
      <c r="F151" s="30" t="n">
        <v>3377.08</v>
      </c>
      <c r="G151" s="30" t="n">
        <v>513.25</v>
      </c>
      <c r="H151" s="30" t="n">
        <v>0.38</v>
      </c>
      <c r="I151" s="30" t="n">
        <v>120647</v>
      </c>
      <c r="J151" s="30" t="inlineStr">
        <is>
          <t>500444</t>
        </is>
      </c>
    </row>
    <row r="152">
      <c r="A152" s="30" t="inlineStr">
        <is>
          <t>NAHARSPING</t>
        </is>
      </c>
      <c r="B152" s="30" t="inlineStr">
        <is>
          <t>Nahar Spinning Mills Limited</t>
        </is>
      </c>
      <c r="C152" s="30" t="inlineStr">
        <is>
          <t>textiles</t>
        </is>
      </c>
      <c r="D152" s="30" t="inlineStr">
        <is>
          <t>textiles - cotton/blended</t>
        </is>
      </c>
      <c r="E152" s="30" t="inlineStr">
        <is>
          <t>smallcap</t>
        </is>
      </c>
      <c r="F152" s="30" t="n">
        <v>1006.22</v>
      </c>
      <c r="G152" s="30" t="n">
        <v>280.05</v>
      </c>
      <c r="H152" s="30" t="n">
        <v>0.38</v>
      </c>
      <c r="I152" s="30" t="n">
        <v>16759</v>
      </c>
      <c r="J152" s="30" t="inlineStr">
        <is>
          <t>500296</t>
        </is>
      </c>
    </row>
    <row r="153">
      <c r="A153" s="30" t="inlineStr">
        <is>
          <t>GUJTHEM</t>
        </is>
      </c>
      <c r="B153" s="30" t="inlineStr">
        <is>
          <t>Gujarat Themis Biosyn Ltd</t>
        </is>
      </c>
      <c r="C153" s="30" t="inlineStr">
        <is>
          <t>healthcare</t>
        </is>
      </c>
      <c r="D153" s="30" t="inlineStr">
        <is>
          <t>pharmaceuticals - indian - bulk drugs</t>
        </is>
      </c>
      <c r="E153" s="30" t="inlineStr">
        <is>
          <t>smallcap</t>
        </is>
      </c>
      <c r="F153" s="30" t="n">
        <v>4485.56</v>
      </c>
      <c r="G153" s="30" t="n">
        <v>413.2</v>
      </c>
      <c r="H153" s="30" t="n">
        <v>0.38</v>
      </c>
      <c r="I153" s="30" t="n">
        <v>137723</v>
      </c>
      <c r="J153" s="30" t="inlineStr">
        <is>
          <t>506879</t>
        </is>
      </c>
    </row>
    <row r="154">
      <c r="A154" s="30" t="inlineStr">
        <is>
          <t>PIDILITIND</t>
        </is>
      </c>
      <c r="B154" s="30" t="inlineStr">
        <is>
          <t>Pidilite Industries Limited</t>
        </is>
      </c>
      <c r="C154" s="30" t="inlineStr">
        <is>
          <t>chemicals</t>
        </is>
      </c>
      <c r="D154" s="30" t="inlineStr">
        <is>
          <t>chemicals</t>
        </is>
      </c>
      <c r="E154" s="30" t="inlineStr">
        <is>
          <t>largecap</t>
        </is>
      </c>
      <c r="F154" s="30" t="n">
        <v>149723.6</v>
      </c>
      <c r="G154" s="30" t="n">
        <v>1476.6</v>
      </c>
      <c r="H154" s="30" t="n">
        <v>0.37</v>
      </c>
      <c r="I154" s="30" t="n">
        <v>489330</v>
      </c>
      <c r="J154" s="30" t="inlineStr">
        <is>
          <t>500331</t>
        </is>
      </c>
    </row>
    <row r="155">
      <c r="A155" s="30" t="inlineStr">
        <is>
          <t>DEEPAKFERT</t>
        </is>
      </c>
      <c r="B155" s="30" t="inlineStr">
        <is>
          <t>Deepak Fertilizers And Petrochemicals Corporation Limited</t>
        </is>
      </c>
      <c r="C155" s="30" t="inlineStr">
        <is>
          <t>chemicals</t>
        </is>
      </c>
      <c r="D155" s="30" t="inlineStr">
        <is>
          <t>chemicals</t>
        </is>
      </c>
      <c r="E155" s="30" t="inlineStr">
        <is>
          <t>midcap</t>
        </is>
      </c>
      <c r="F155" s="30" t="n">
        <v>17933.35</v>
      </c>
      <c r="G155" s="30" t="n">
        <v>1425.8</v>
      </c>
      <c r="H155" s="30" t="n">
        <v>0.37</v>
      </c>
      <c r="I155" s="30" t="n">
        <v>112062</v>
      </c>
      <c r="J155" s="30" t="inlineStr">
        <is>
          <t>500645</t>
        </is>
      </c>
    </row>
    <row r="156">
      <c r="A156" s="30" t="inlineStr">
        <is>
          <t>MUFIN</t>
        </is>
      </c>
      <c r="B156" s="30" t="inlineStr">
        <is>
          <t>Mufin Green Finance Ltd</t>
        </is>
      </c>
      <c r="C156" s="30" t="inlineStr">
        <is>
          <t>financials</t>
        </is>
      </c>
      <c r="D156" s="30" t="inlineStr">
        <is>
          <t>finance &amp; investments</t>
        </is>
      </c>
      <c r="E156" s="30" t="inlineStr">
        <is>
          <t>smallcap</t>
        </is>
      </c>
      <c r="F156" s="30" t="n">
        <v>2418.57</v>
      </c>
      <c r="G156" s="30" t="n">
        <v>122.5</v>
      </c>
      <c r="H156" s="30" t="n">
        <v>0.37</v>
      </c>
      <c r="I156" s="30" t="n">
        <v>1450926</v>
      </c>
      <c r="J156" s="30" t="inlineStr">
        <is>
          <t>542774</t>
        </is>
      </c>
    </row>
    <row r="157">
      <c r="A157" s="30" t="inlineStr">
        <is>
          <t>WELINV</t>
        </is>
      </c>
      <c r="B157" s="30" t="inlineStr">
        <is>
          <t>Welspun Investments And Commercials Limited</t>
        </is>
      </c>
      <c r="C157" s="30" t="inlineStr">
        <is>
          <t>financials</t>
        </is>
      </c>
      <c r="D157" s="30" t="inlineStr">
        <is>
          <t>finance &amp; investments</t>
        </is>
      </c>
      <c r="E157" s="30" t="inlineStr">
        <is>
          <t>smallcap</t>
        </is>
      </c>
      <c r="F157" s="30" t="n">
        <v>648.23</v>
      </c>
      <c r="G157" s="30" t="n">
        <v>1780</v>
      </c>
      <c r="H157" s="30" t="n">
        <v>0.35</v>
      </c>
      <c r="I157" s="30" t="n">
        <v>105</v>
      </c>
      <c r="J157" s="30" t="inlineStr">
        <is>
          <t>533252</t>
        </is>
      </c>
    </row>
    <row r="158">
      <c r="A158" s="30" t="inlineStr">
        <is>
          <t>APCOTEXIND</t>
        </is>
      </c>
      <c r="B158" s="30" t="inlineStr">
        <is>
          <t>Apcotex Industries Limited</t>
        </is>
      </c>
      <c r="C158" s="30" t="inlineStr">
        <is>
          <t>chemicals</t>
        </is>
      </c>
      <c r="D158" s="30" t="inlineStr">
        <is>
          <t>miscellaneous</t>
        </is>
      </c>
      <c r="E158" s="30" t="inlineStr">
        <is>
          <t>smallcap</t>
        </is>
      </c>
      <c r="F158" s="30" t="n">
        <v>2791.07</v>
      </c>
      <c r="G158" s="30" t="n">
        <v>540.2</v>
      </c>
      <c r="H158" s="30" t="n">
        <v>0.34</v>
      </c>
      <c r="I158" s="30" t="n">
        <v>215905</v>
      </c>
      <c r="J158" s="30" t="inlineStr">
        <is>
          <t>523694</t>
        </is>
      </c>
    </row>
    <row r="159">
      <c r="A159" s="30" t="inlineStr">
        <is>
          <t>AZAD</t>
        </is>
      </c>
      <c r="B159" s="30" t="inlineStr">
        <is>
          <t>Azad Engineering Ltd</t>
        </is>
      </c>
      <c r="C159" s="30" t="inlineStr">
        <is>
          <t>aerospace &amp; defence</t>
        </is>
      </c>
      <c r="D159" s="30" t="inlineStr">
        <is>
          <t>engineering</t>
        </is>
      </c>
      <c r="E159" s="30" t="inlineStr">
        <is>
          <t>midcap</t>
        </is>
      </c>
      <c r="F159" s="30" t="n">
        <v>14211.21</v>
      </c>
      <c r="G159" s="30" t="n">
        <v>2207.7</v>
      </c>
      <c r="H159" s="30" t="n">
        <v>0.33</v>
      </c>
      <c r="I159" s="30" t="n">
        <v>387649</v>
      </c>
      <c r="J159" s="30" t="inlineStr">
        <is>
          <t>544061</t>
        </is>
      </c>
    </row>
    <row r="160">
      <c r="A160" s="30" t="inlineStr">
        <is>
          <t>ZENTEC</t>
        </is>
      </c>
      <c r="B160" s="30" t="inlineStr">
        <is>
          <t>Zen Technologies Limited</t>
        </is>
      </c>
      <c r="C160" s="30" t="inlineStr">
        <is>
          <t>aerospace &amp; defence</t>
        </is>
      </c>
      <c r="D160" s="30" t="inlineStr">
        <is>
          <t>miscellaneous</t>
        </is>
      </c>
      <c r="E160" s="30" t="inlineStr">
        <is>
          <t>midcap</t>
        </is>
      </c>
      <c r="F160" s="30" t="n">
        <v>16340.75</v>
      </c>
      <c r="G160" s="30" t="n">
        <v>1815.3</v>
      </c>
      <c r="H160" s="30" t="n">
        <v>0.3</v>
      </c>
      <c r="I160" s="30" t="n">
        <v>1598541</v>
      </c>
      <c r="J160" s="30" t="inlineStr">
        <is>
          <t>533339</t>
        </is>
      </c>
    </row>
    <row r="161">
      <c r="A161" s="30" t="inlineStr">
        <is>
          <t>PTL</t>
        </is>
      </c>
      <c r="B161" s="30" t="inlineStr">
        <is>
          <t>Ptl Enterprises Limited</t>
        </is>
      </c>
      <c r="C161" s="30" t="inlineStr">
        <is>
          <t>miscellaneous</t>
        </is>
      </c>
      <c r="D161" s="30" t="inlineStr">
        <is>
          <t>miscellaneous</t>
        </is>
      </c>
      <c r="E161" s="30" t="inlineStr">
        <is>
          <t>smallcap</t>
        </is>
      </c>
      <c r="F161" s="30" t="n">
        <v>527.92</v>
      </c>
      <c r="G161" s="30" t="n">
        <v>39.99</v>
      </c>
      <c r="H161" s="30" t="n">
        <v>0.28</v>
      </c>
      <c r="I161" s="30" t="n">
        <v>27103</v>
      </c>
      <c r="J161" s="30" t="inlineStr">
        <is>
          <t>509220</t>
        </is>
      </c>
    </row>
    <row r="162">
      <c r="A162" s="30" t="inlineStr">
        <is>
          <t>SURYODAY</t>
        </is>
      </c>
      <c r="B162" s="30" t="inlineStr">
        <is>
          <t>Suryoday Small Finance Bank Ltd</t>
        </is>
      </c>
      <c r="C162" s="30" t="inlineStr">
        <is>
          <t>bank</t>
        </is>
      </c>
      <c r="D162" s="30" t="inlineStr">
        <is>
          <t>banks - private sector</t>
        </is>
      </c>
      <c r="E162" s="30" t="inlineStr">
        <is>
          <t>smallcap</t>
        </is>
      </c>
      <c r="F162" s="30" t="n">
        <v>1821.7</v>
      </c>
      <c r="G162" s="30" t="n">
        <v>171.83</v>
      </c>
      <c r="H162" s="30" t="n">
        <v>0.26</v>
      </c>
      <c r="I162" s="30" t="n">
        <v>265733</v>
      </c>
      <c r="J162" s="30" t="inlineStr">
        <is>
          <t>543279</t>
        </is>
      </c>
    </row>
    <row r="163">
      <c r="A163" s="30" t="inlineStr">
        <is>
          <t>PREMIERENE</t>
        </is>
      </c>
      <c r="B163" s="30" t="inlineStr">
        <is>
          <t>Premier Energies Ltd</t>
        </is>
      </c>
      <c r="C163" s="30" t="inlineStr">
        <is>
          <t>services</t>
        </is>
      </c>
      <c r="D163" s="30" t="inlineStr">
        <is>
          <t>trading</t>
        </is>
      </c>
      <c r="E163" s="30" t="inlineStr">
        <is>
          <t>largecap</t>
        </is>
      </c>
      <c r="F163" s="30" t="n">
        <v>48823.73</v>
      </c>
      <c r="G163" s="30" t="n">
        <v>1080.1</v>
      </c>
      <c r="H163" s="30" t="n">
        <v>0.21</v>
      </c>
      <c r="I163" s="30" t="n">
        <v>1147886</v>
      </c>
      <c r="J163" s="30" t="n"/>
    </row>
    <row r="164">
      <c r="A164" s="30" t="inlineStr">
        <is>
          <t>BANDHANBNK</t>
        </is>
      </c>
      <c r="B164" s="30" t="inlineStr">
        <is>
          <t>Bandhan Bank Ltd</t>
        </is>
      </c>
      <c r="C164" s="30" t="inlineStr">
        <is>
          <t>bank</t>
        </is>
      </c>
      <c r="D164" s="30" t="inlineStr">
        <is>
          <t>banks - private sector</t>
        </is>
      </c>
      <c r="E164" s="30" t="inlineStr">
        <is>
          <t>largecap</t>
        </is>
      </c>
      <c r="F164" s="30" t="n">
        <v>33095.82</v>
      </c>
      <c r="G164" s="30" t="n">
        <v>205.87</v>
      </c>
      <c r="H164" s="30" t="n">
        <v>0.21</v>
      </c>
      <c r="I164" s="30" t="n">
        <v>6152884</v>
      </c>
      <c r="J164" s="30" t="inlineStr">
        <is>
          <t>541153</t>
        </is>
      </c>
    </row>
    <row r="165">
      <c r="A165" s="30" t="inlineStr">
        <is>
          <t>CIPLA</t>
        </is>
      </c>
      <c r="B165" s="30" t="inlineStr">
        <is>
          <t>Cipla Limited</t>
        </is>
      </c>
      <c r="C165" s="30" t="inlineStr">
        <is>
          <t>healthcare</t>
        </is>
      </c>
      <c r="D165" s="30" t="inlineStr">
        <is>
          <t>pharmaceuticals - indian - bulk drugs &amp; formln</t>
        </is>
      </c>
      <c r="E165" s="30" t="inlineStr">
        <is>
          <t>largecap</t>
        </is>
      </c>
      <c r="F165" s="30" t="n">
        <v>112984.56</v>
      </c>
      <c r="G165" s="30" t="n">
        <v>1401.3</v>
      </c>
      <c r="H165" s="30" t="n">
        <v>0.19</v>
      </c>
      <c r="I165" s="30" t="n">
        <v>1050391</v>
      </c>
      <c r="J165" s="30" t="inlineStr">
        <is>
          <t>500087</t>
        </is>
      </c>
    </row>
    <row r="166">
      <c r="A166" s="30" t="inlineStr">
        <is>
          <t>SONACOMS</t>
        </is>
      </c>
      <c r="B166" s="30" t="inlineStr">
        <is>
          <t>Sona BLW Precision Forgings Ltd</t>
        </is>
      </c>
      <c r="C166" s="30" t="inlineStr">
        <is>
          <t>auto</t>
        </is>
      </c>
      <c r="D166" s="30" t="inlineStr">
        <is>
          <t>auto ancillaries</t>
        </is>
      </c>
      <c r="E166" s="30" t="inlineStr">
        <is>
          <t>largecap</t>
        </is>
      </c>
      <c r="F166" s="30" t="n">
        <v>37382.33</v>
      </c>
      <c r="G166" s="30" t="n">
        <v>602.3</v>
      </c>
      <c r="H166" s="30" t="n">
        <v>0.19</v>
      </c>
      <c r="I166" s="30" t="n">
        <v>1525449</v>
      </c>
      <c r="J166" s="30" t="inlineStr">
        <is>
          <t>543300</t>
        </is>
      </c>
    </row>
    <row r="167">
      <c r="A167" s="30" t="inlineStr">
        <is>
          <t>PREMEXPLN</t>
        </is>
      </c>
      <c r="B167" s="30" t="inlineStr">
        <is>
          <t>Premier Explosives Limited</t>
        </is>
      </c>
      <c r="C167" s="30" t="inlineStr">
        <is>
          <t>aerospace &amp; defence</t>
        </is>
      </c>
      <c r="D167" s="30" t="inlineStr">
        <is>
          <t>chemicals</t>
        </is>
      </c>
      <c r="E167" s="30" t="inlineStr">
        <is>
          <t>smallcap</t>
        </is>
      </c>
      <c r="F167" s="30" t="n">
        <v>3679.42</v>
      </c>
      <c r="G167" s="30" t="n">
        <v>685.65</v>
      </c>
      <c r="H167" s="30" t="n">
        <v>0.18</v>
      </c>
      <c r="I167" s="30" t="n">
        <v>1518822</v>
      </c>
      <c r="J167" s="30" t="inlineStr">
        <is>
          <t>526247</t>
        </is>
      </c>
    </row>
    <row r="168">
      <c r="A168" s="30" t="inlineStr">
        <is>
          <t>KOVAI</t>
        </is>
      </c>
      <c r="B168" s="30" t="inlineStr">
        <is>
          <t>Kovai Medical Center &amp; Hospital Ltd</t>
        </is>
      </c>
      <c r="C168" s="30" t="inlineStr">
        <is>
          <t>healthcare</t>
        </is>
      </c>
      <c r="D168" s="30" t="inlineStr">
        <is>
          <t>healthcare</t>
        </is>
      </c>
      <c r="E168" s="30" t="inlineStr">
        <is>
          <t>midcap</t>
        </is>
      </c>
      <c r="F168" s="30" t="n">
        <v>5896.79</v>
      </c>
      <c r="G168" s="30" t="n">
        <v>5398</v>
      </c>
      <c r="H168" s="30" t="n">
        <v>0.17</v>
      </c>
      <c r="I168" s="30" t="n">
        <v>2202</v>
      </c>
      <c r="J168" s="30" t="inlineStr">
        <is>
          <t>523323</t>
        </is>
      </c>
    </row>
    <row r="169">
      <c r="A169" s="30" t="inlineStr">
        <is>
          <t>LLOYDSME</t>
        </is>
      </c>
      <c r="B169" s="30" t="inlineStr">
        <is>
          <t>Lloyds Metals &amp; Energy Ltd</t>
        </is>
      </c>
      <c r="C169" s="30" t="inlineStr">
        <is>
          <t>metals &amp; mining</t>
        </is>
      </c>
      <c r="D169" s="30" t="inlineStr">
        <is>
          <t>mining / minerals / metals</t>
        </is>
      </c>
      <c r="E169" s="30" t="inlineStr">
        <is>
          <t>largecap</t>
        </is>
      </c>
      <c r="F169" s="30" t="n">
        <v>99922.49000000001</v>
      </c>
      <c r="G169" s="30" t="n">
        <v>1778.6</v>
      </c>
      <c r="H169" s="30" t="n">
        <v>0.17</v>
      </c>
      <c r="I169" s="30" t="n">
        <v>486178</v>
      </c>
      <c r="J169" s="30" t="inlineStr">
        <is>
          <t>512455</t>
        </is>
      </c>
    </row>
    <row r="170">
      <c r="A170" s="30" t="inlineStr">
        <is>
          <t>ABB</t>
        </is>
      </c>
      <c r="B170" s="30" t="inlineStr">
        <is>
          <t>Abb India Limited</t>
        </is>
      </c>
      <c r="C170" s="30" t="inlineStr">
        <is>
          <t>industrials</t>
        </is>
      </c>
      <c r="D170" s="30" t="inlineStr">
        <is>
          <t>electric equipment</t>
        </is>
      </c>
      <c r="E170" s="30" t="inlineStr">
        <is>
          <t>largecap</t>
        </is>
      </c>
      <c r="F170" s="30" t="n">
        <v>151641.63</v>
      </c>
      <c r="G170" s="30" t="n">
        <v>7167.5</v>
      </c>
      <c r="H170" s="30" t="n">
        <v>0.16</v>
      </c>
      <c r="I170" s="30" t="n">
        <v>249982</v>
      </c>
      <c r="J170" s="30" t="inlineStr">
        <is>
          <t>500002</t>
        </is>
      </c>
    </row>
    <row r="171">
      <c r="A171" s="30" t="inlineStr">
        <is>
          <t>AJAXENGG</t>
        </is>
      </c>
      <c r="B171" s="30" t="inlineStr">
        <is>
          <t>Ajax Engineering Ltd</t>
        </is>
      </c>
      <c r="C171" s="30" t="inlineStr">
        <is>
          <t>industrials</t>
        </is>
      </c>
      <c r="D171" s="30" t="inlineStr">
        <is>
          <t>engineering</t>
        </is>
      </c>
      <c r="E171" s="30" t="inlineStr">
        <is>
          <t>midcap</t>
        </is>
      </c>
      <c r="F171" s="30" t="n">
        <v>6874.13</v>
      </c>
      <c r="G171" s="30" t="n">
        <v>601.75</v>
      </c>
      <c r="H171" s="30" t="n">
        <v>0.15</v>
      </c>
      <c r="I171" s="30" t="n">
        <v>41503</v>
      </c>
      <c r="J171" s="30" t="inlineStr">
        <is>
          <t>544356</t>
        </is>
      </c>
    </row>
    <row r="172">
      <c r="A172" s="30" t="inlineStr">
        <is>
          <t>PIXTRANS</t>
        </is>
      </c>
      <c r="B172" s="30" t="inlineStr">
        <is>
          <t>Pix Transmission Ltd</t>
        </is>
      </c>
      <c r="C172" s="30" t="inlineStr">
        <is>
          <t>fmcg</t>
        </is>
      </c>
      <c r="D172" s="30" t="inlineStr">
        <is>
          <t>miscellaneous</t>
        </is>
      </c>
      <c r="E172" s="30" t="inlineStr">
        <is>
          <t>smallcap</t>
        </is>
      </c>
      <c r="F172" s="30" t="n">
        <v>2189.02</v>
      </c>
      <c r="G172" s="30" t="n">
        <v>1608.9</v>
      </c>
      <c r="H172" s="30" t="n">
        <v>0.14</v>
      </c>
      <c r="I172" s="30" t="n">
        <v>28959</v>
      </c>
      <c r="J172" s="30" t="inlineStr">
        <is>
          <t>500333</t>
        </is>
      </c>
    </row>
    <row r="173">
      <c r="A173" s="30" t="inlineStr">
        <is>
          <t>RITCO</t>
        </is>
      </c>
      <c r="B173" s="30" t="inlineStr">
        <is>
          <t>Ritco Logistics Ltd</t>
        </is>
      </c>
      <c r="C173" s="30" t="inlineStr">
        <is>
          <t>transportation</t>
        </is>
      </c>
      <c r="D173" s="30" t="inlineStr">
        <is>
          <t>miscellaneous</t>
        </is>
      </c>
      <c r="E173" s="30" t="inlineStr">
        <is>
          <t>smallcap</t>
        </is>
      </c>
      <c r="F173" s="30" t="n">
        <v>741.47</v>
      </c>
      <c r="G173" s="30" t="n">
        <v>259.4</v>
      </c>
      <c r="H173" s="30" t="n">
        <v>0.14</v>
      </c>
      <c r="I173" s="30" t="n">
        <v>109176</v>
      </c>
      <c r="J173" s="30" t="inlineStr">
        <is>
          <t>542383</t>
        </is>
      </c>
    </row>
    <row r="174">
      <c r="A174" s="30" t="inlineStr">
        <is>
          <t>IDEA</t>
        </is>
      </c>
      <c r="B174" s="30" t="inlineStr">
        <is>
          <t>Vodafone Idea Ltd</t>
        </is>
      </c>
      <c r="C174" s="30" t="inlineStr">
        <is>
          <t>telecom-service</t>
        </is>
      </c>
      <c r="D174" s="30" t="inlineStr">
        <is>
          <t>telecommunications - service provider</t>
        </is>
      </c>
      <c r="E174" s="30" t="inlineStr">
        <is>
          <t>largecap</t>
        </is>
      </c>
      <c r="F174" s="30" t="n">
        <v>161756.15</v>
      </c>
      <c r="G174" s="30" t="n">
        <v>14.95</v>
      </c>
      <c r="H174" s="30" t="n">
        <v>0.13</v>
      </c>
      <c r="I174" s="30" t="n">
        <v>685576040</v>
      </c>
      <c r="J174" s="30" t="inlineStr">
        <is>
          <t>532822</t>
        </is>
      </c>
    </row>
    <row r="175">
      <c r="A175" s="30" t="inlineStr">
        <is>
          <t>CGCL</t>
        </is>
      </c>
      <c r="B175" s="30" t="inlineStr">
        <is>
          <t>Capri Global Capital Limited</t>
        </is>
      </c>
      <c r="C175" s="30" t="inlineStr">
        <is>
          <t>financials</t>
        </is>
      </c>
      <c r="D175" s="30" t="inlineStr">
        <is>
          <t>finance &amp; investments</t>
        </is>
      </c>
      <c r="E175" s="30" t="inlineStr">
        <is>
          <t>midcap</t>
        </is>
      </c>
      <c r="F175" s="30" t="n">
        <v>19486.5</v>
      </c>
      <c r="G175" s="30" t="n">
        <v>202.77</v>
      </c>
      <c r="H175" s="30" t="n">
        <v>0.12</v>
      </c>
      <c r="I175" s="30" t="n">
        <v>3384453</v>
      </c>
      <c r="J175" s="30" t="inlineStr">
        <is>
          <t>531595</t>
        </is>
      </c>
    </row>
    <row r="176">
      <c r="A176" s="30" t="inlineStr">
        <is>
          <t>WELENT</t>
        </is>
      </c>
      <c r="B176" s="30" t="inlineStr">
        <is>
          <t>Welspun Enterprises Limited</t>
        </is>
      </c>
      <c r="C176" s="30" t="inlineStr">
        <is>
          <t>realty</t>
        </is>
      </c>
      <c r="D176" s="30" t="inlineStr">
        <is>
          <t>construction</t>
        </is>
      </c>
      <c r="E176" s="30" t="inlineStr">
        <is>
          <t>midcap</t>
        </is>
      </c>
      <c r="F176" s="30" t="n">
        <v>7484.73</v>
      </c>
      <c r="G176" s="30" t="n">
        <v>541.4</v>
      </c>
      <c r="H176" s="30" t="n">
        <v>0.12</v>
      </c>
      <c r="I176" s="30" t="n">
        <v>245430</v>
      </c>
      <c r="J176" s="30" t="inlineStr">
        <is>
          <t>532553</t>
        </is>
      </c>
    </row>
    <row r="177">
      <c r="A177" s="30" t="inlineStr">
        <is>
          <t>ITI</t>
        </is>
      </c>
      <c r="B177" s="30" t="inlineStr">
        <is>
          <t>Iti Limited</t>
        </is>
      </c>
      <c r="C177" s="30" t="inlineStr">
        <is>
          <t>aerospace &amp; defence</t>
        </is>
      </c>
      <c r="D177" s="30" t="inlineStr">
        <is>
          <t>telecommunications - equipment</t>
        </is>
      </c>
      <c r="E177" s="30" t="inlineStr">
        <is>
          <t>largecap</t>
        </is>
      </c>
      <c r="F177" s="30" t="n">
        <v>29058.87</v>
      </c>
      <c r="G177" s="30" t="n">
        <v>302</v>
      </c>
      <c r="H177" s="30" t="n">
        <v>0.07000000000000001</v>
      </c>
      <c r="I177" s="30" t="n">
        <v>777791</v>
      </c>
      <c r="J177" s="30" t="inlineStr">
        <is>
          <t>523610</t>
        </is>
      </c>
    </row>
    <row r="178">
      <c r="A178" s="30" t="inlineStr">
        <is>
          <t>SPORTKING</t>
        </is>
      </c>
      <c r="B178" s="30" t="inlineStr">
        <is>
          <t>Sportking India Ltd</t>
        </is>
      </c>
      <c r="C178" s="30" t="inlineStr">
        <is>
          <t>textiles</t>
        </is>
      </c>
      <c r="D178" s="30" t="inlineStr">
        <is>
          <t>textiles - spinning - synthetic / blended</t>
        </is>
      </c>
      <c r="E178" s="30" t="inlineStr">
        <is>
          <t>smallcap</t>
        </is>
      </c>
      <c r="F178" s="30" t="n">
        <v>2290.73</v>
      </c>
      <c r="G178" s="30" t="n">
        <v>180.38</v>
      </c>
      <c r="H178" s="30" t="n">
        <v>0.06</v>
      </c>
      <c r="I178" s="30" t="n">
        <v>454052</v>
      </c>
      <c r="J178" s="30" t="inlineStr">
        <is>
          <t>539221</t>
        </is>
      </c>
    </row>
    <row r="179">
      <c r="A179" s="30" t="inlineStr">
        <is>
          <t>GMRAIRPORT</t>
        </is>
      </c>
      <c r="B179" s="30" t="inlineStr">
        <is>
          <t>GMR Airports Ltd</t>
        </is>
      </c>
      <c r="C179" s="30" t="inlineStr">
        <is>
          <t>miscellaneous</t>
        </is>
      </c>
      <c r="D179" s="30" t="inlineStr">
        <is>
          <t>miscellaneous</t>
        </is>
      </c>
      <c r="E179" s="30" t="inlineStr">
        <is>
          <t>largecap</t>
        </is>
      </c>
      <c r="F179" s="30" t="n">
        <v>107691</v>
      </c>
      <c r="G179" s="30" t="n">
        <v>102.03</v>
      </c>
      <c r="H179" s="30" t="n">
        <v>0.04</v>
      </c>
      <c r="I179" s="30" t="n">
        <v>21055639</v>
      </c>
      <c r="J179" s="30" t="inlineStr">
        <is>
          <t>532754</t>
        </is>
      </c>
    </row>
    <row r="180">
      <c r="A180" s="30" t="inlineStr">
        <is>
          <t>RRKABEL</t>
        </is>
      </c>
      <c r="B180" s="30" t="inlineStr">
        <is>
          <t>R R Kabel Ltd</t>
        </is>
      </c>
      <c r="C180" s="30" t="inlineStr">
        <is>
          <t>industrials</t>
        </is>
      </c>
      <c r="D180" s="30" t="inlineStr">
        <is>
          <t>cables - power</t>
        </is>
      </c>
      <c r="E180" s="30" t="inlineStr">
        <is>
          <t>largecap</t>
        </is>
      </c>
      <c r="F180" s="30" t="n">
        <v>25143.35</v>
      </c>
      <c r="G180" s="30" t="n">
        <v>2223.4</v>
      </c>
      <c r="H180" s="30" t="n">
        <v>0.02</v>
      </c>
      <c r="I180" s="30" t="n">
        <v>564015</v>
      </c>
      <c r="J180" s="30" t="inlineStr">
        <is>
          <t>543981</t>
        </is>
      </c>
    </row>
    <row r="181">
      <c r="A181" s="30" t="inlineStr">
        <is>
          <t>JINDRILL</t>
        </is>
      </c>
      <c r="B181" s="30" t="inlineStr">
        <is>
          <t>Jindal Drilling And Industries Limited</t>
        </is>
      </c>
      <c r="C181" s="30" t="inlineStr">
        <is>
          <t>energy</t>
        </is>
      </c>
      <c r="D181" s="30" t="inlineStr">
        <is>
          <t>oil drilling / allied services</t>
        </is>
      </c>
      <c r="E181" s="30" t="inlineStr">
        <is>
          <t>smallcap</t>
        </is>
      </c>
      <c r="F181" s="30" t="n">
        <v>1829</v>
      </c>
      <c r="G181" s="30" t="n">
        <v>631.2</v>
      </c>
      <c r="H181" s="30" t="n">
        <v>0.02</v>
      </c>
      <c r="I181" s="30" t="n">
        <v>460846</v>
      </c>
      <c r="J181" s="30" t="inlineStr">
        <is>
          <t>511034</t>
        </is>
      </c>
    </row>
    <row r="182">
      <c r="A182" s="30" t="inlineStr">
        <is>
          <t>DIAMONDYD</t>
        </is>
      </c>
      <c r="B182" s="30" t="inlineStr">
        <is>
          <t>Prataap Snacks Ltd</t>
        </is>
      </c>
      <c r="C182" s="30" t="inlineStr">
        <is>
          <t>fmcg</t>
        </is>
      </c>
      <c r="D182" s="30" t="inlineStr">
        <is>
          <t>food - processing - indian</t>
        </is>
      </c>
      <c r="E182" s="30" t="inlineStr">
        <is>
          <t>smallcap</t>
        </is>
      </c>
      <c r="F182" s="30" t="n">
        <v>2786.68</v>
      </c>
      <c r="G182" s="30" t="n">
        <v>1165.9</v>
      </c>
      <c r="H182" s="30" t="n">
        <v>0.01</v>
      </c>
      <c r="I182" s="30" t="n">
        <v>49264</v>
      </c>
      <c r="J182" s="30" t="inlineStr">
        <is>
          <t>540724</t>
        </is>
      </c>
    </row>
    <row r="183">
      <c r="A183" s="30" t="inlineStr">
        <is>
          <t>CEIGALL</t>
        </is>
      </c>
      <c r="B183" s="30" t="inlineStr">
        <is>
          <t>Ceigall India Ltd</t>
        </is>
      </c>
      <c r="C183" s="30" t="inlineStr">
        <is>
          <t>realty</t>
        </is>
      </c>
      <c r="D183" s="30" t="inlineStr">
        <is>
          <t>construction</t>
        </is>
      </c>
      <c r="E183" s="30" t="inlineStr">
        <is>
          <t>midcap</t>
        </is>
      </c>
      <c r="F183" s="30" t="n">
        <v>6245.24</v>
      </c>
      <c r="G183" s="30" t="n">
        <v>358.5</v>
      </c>
      <c r="H183" s="30" t="n">
        <v>0</v>
      </c>
      <c r="I183" s="30" t="n">
        <v>595015</v>
      </c>
      <c r="J183" s="30" t="inlineStr">
        <is>
          <t>544223</t>
        </is>
      </c>
    </row>
    <row r="184">
      <c r="A184" s="30" t="inlineStr">
        <is>
          <t>CGPOWER</t>
        </is>
      </c>
      <c r="B184" s="30" t="inlineStr">
        <is>
          <t>CG Power and Industrial Solutions Ltd</t>
        </is>
      </c>
      <c r="C184" s="30" t="inlineStr">
        <is>
          <t>industrials</t>
        </is>
      </c>
      <c r="D184" s="30" t="inlineStr">
        <is>
          <t>electric equipment</t>
        </is>
      </c>
      <c r="E184" s="30" t="inlineStr">
        <is>
          <t>largecap</t>
        </is>
      </c>
      <c r="F184" s="30" t="n">
        <v>147711.86</v>
      </c>
      <c r="G184" s="30" t="n">
        <v>937.85</v>
      </c>
      <c r="H184" s="30" t="n">
        <v>-0.01</v>
      </c>
      <c r="I184" s="30" t="n">
        <v>4645742</v>
      </c>
      <c r="J184" s="30" t="inlineStr">
        <is>
          <t>500093</t>
        </is>
      </c>
    </row>
    <row r="185">
      <c r="A185" s="30" t="inlineStr">
        <is>
          <t>PGHL</t>
        </is>
      </c>
      <c r="B185" s="30" t="inlineStr">
        <is>
          <t>Procter &amp; Gamble Health Ltd</t>
        </is>
      </c>
      <c r="C185" s="30" t="inlineStr">
        <is>
          <t>healthcare</t>
        </is>
      </c>
      <c r="D185" s="30" t="inlineStr">
        <is>
          <t>pharmaceuticals - multinational</t>
        </is>
      </c>
      <c r="E185" s="30" t="inlineStr">
        <is>
          <t>midcap</t>
        </is>
      </c>
      <c r="F185" s="30" t="n">
        <v>10293.28</v>
      </c>
      <c r="G185" s="30" t="n">
        <v>6200</v>
      </c>
      <c r="H185" s="30" t="n">
        <v>-0.02</v>
      </c>
      <c r="I185" s="30" t="n">
        <v>10201</v>
      </c>
      <c r="J185" s="30" t="inlineStr">
        <is>
          <t>500126</t>
        </is>
      </c>
    </row>
    <row r="186">
      <c r="A186" s="30" t="inlineStr">
        <is>
          <t>VTL</t>
        </is>
      </c>
      <c r="B186" s="30" t="inlineStr">
        <is>
          <t>Vardhman Textiles Limited</t>
        </is>
      </c>
      <c r="C186" s="30" t="inlineStr">
        <is>
          <t>textiles</t>
        </is>
      </c>
      <c r="D186" s="30" t="inlineStr">
        <is>
          <t>textiles - cotton/blended</t>
        </is>
      </c>
      <c r="E186" s="30" t="inlineStr">
        <is>
          <t>midcap</t>
        </is>
      </c>
      <c r="F186" s="30" t="n">
        <v>18271.04</v>
      </c>
      <c r="G186" s="30" t="n">
        <v>631.4</v>
      </c>
      <c r="H186" s="30" t="n">
        <v>-0.03</v>
      </c>
      <c r="I186" s="30" t="n">
        <v>349112</v>
      </c>
      <c r="J186" s="30" t="inlineStr">
        <is>
          <t>502986</t>
        </is>
      </c>
    </row>
    <row r="187">
      <c r="A187" s="30" t="inlineStr">
        <is>
          <t>STARHEALTH</t>
        </is>
      </c>
      <c r="B187" s="30" t="inlineStr">
        <is>
          <t>Star Health &amp; Allied Insurance Company Ltd</t>
        </is>
      </c>
      <c r="C187" s="30" t="inlineStr">
        <is>
          <t>financials</t>
        </is>
      </c>
      <c r="D187" s="30" t="inlineStr">
        <is>
          <t>finance &amp; investments</t>
        </is>
      </c>
      <c r="E187" s="30" t="inlineStr">
        <is>
          <t>largecap</t>
        </is>
      </c>
      <c r="F187" s="30" t="n">
        <v>30964.73</v>
      </c>
      <c r="G187" s="30" t="n">
        <v>526</v>
      </c>
      <c r="H187" s="30" t="n">
        <v>-0.05</v>
      </c>
      <c r="I187" s="30" t="n">
        <v>355643</v>
      </c>
      <c r="J187" s="30" t="inlineStr">
        <is>
          <t>543412</t>
        </is>
      </c>
    </row>
    <row r="188">
      <c r="A188" s="30" t="inlineStr">
        <is>
          <t>KINGFA</t>
        </is>
      </c>
      <c r="B188" s="30" t="inlineStr">
        <is>
          <t>Kingfa Science &amp; Technology (india) Limited</t>
        </is>
      </c>
      <c r="C188" s="30" t="inlineStr">
        <is>
          <t>plastic products</t>
        </is>
      </c>
      <c r="D188" s="30" t="inlineStr">
        <is>
          <t>plastics products</t>
        </is>
      </c>
      <c r="E188" s="30" t="inlineStr">
        <is>
          <t>midcap</t>
        </is>
      </c>
      <c r="F188" s="30" t="n">
        <v>7277.09</v>
      </c>
      <c r="G188" s="30" t="n">
        <v>5367</v>
      </c>
      <c r="H188" s="30" t="n">
        <v>-0.06</v>
      </c>
      <c r="I188" s="30" t="n">
        <v>3752</v>
      </c>
      <c r="J188" s="30" t="inlineStr">
        <is>
          <t>524019</t>
        </is>
      </c>
    </row>
    <row r="189">
      <c r="A189" s="30" t="inlineStr">
        <is>
          <t>CUMMINSIND</t>
        </is>
      </c>
      <c r="B189" s="30" t="inlineStr">
        <is>
          <t>Cummins India Limited</t>
        </is>
      </c>
      <c r="C189" s="30" t="inlineStr">
        <is>
          <t>industrials</t>
        </is>
      </c>
      <c r="D189" s="30" t="inlineStr">
        <is>
          <t>engines</t>
        </is>
      </c>
      <c r="E189" s="30" t="inlineStr">
        <is>
          <t>largecap</t>
        </is>
      </c>
      <c r="F189" s="30" t="n">
        <v>160429.5</v>
      </c>
      <c r="G189" s="30" t="n">
        <v>5784</v>
      </c>
      <c r="H189" s="30" t="n">
        <v>-0.06</v>
      </c>
      <c r="I189" s="30" t="n">
        <v>381090</v>
      </c>
      <c r="J189" s="30" t="inlineStr">
        <is>
          <t>500480</t>
        </is>
      </c>
    </row>
    <row r="190">
      <c r="A190" s="30" t="inlineStr">
        <is>
          <t>JNKINDIA</t>
        </is>
      </c>
      <c r="B190" s="30" t="inlineStr">
        <is>
          <t>JNK India Ltd</t>
        </is>
      </c>
      <c r="C190" s="30" t="inlineStr">
        <is>
          <t>realty</t>
        </is>
      </c>
      <c r="D190" s="30" t="inlineStr">
        <is>
          <t>engineering - turnkey services</t>
        </is>
      </c>
      <c r="E190" s="30" t="inlineStr">
        <is>
          <t>smallcap</t>
        </is>
      </c>
      <c r="F190" s="30" t="n">
        <v>2359.02</v>
      </c>
      <c r="G190" s="30" t="n">
        <v>421.3</v>
      </c>
      <c r="H190" s="30" t="n">
        <v>-0.07000000000000001</v>
      </c>
      <c r="I190" s="30" t="n">
        <v>1827501</v>
      </c>
      <c r="J190" s="30" t="inlineStr">
        <is>
          <t>544167</t>
        </is>
      </c>
    </row>
    <row r="191">
      <c r="A191" s="30" t="inlineStr">
        <is>
          <t>MONARCH</t>
        </is>
      </c>
      <c r="B191" s="30" t="inlineStr">
        <is>
          <t>Monarch Networth Capital Ltd</t>
        </is>
      </c>
      <c r="C191" s="30" t="inlineStr">
        <is>
          <t>financials</t>
        </is>
      </c>
      <c r="D191" s="30" t="inlineStr">
        <is>
          <t>finance &amp; investments</t>
        </is>
      </c>
      <c r="E191" s="30" t="inlineStr">
        <is>
          <t>smallcap</t>
        </is>
      </c>
      <c r="F191" s="30" t="n">
        <v>2688.39</v>
      </c>
      <c r="G191" s="30" t="n">
        <v>338.9</v>
      </c>
      <c r="H191" s="30" t="n">
        <v>-0.07000000000000001</v>
      </c>
      <c r="I191" s="30" t="n">
        <v>73443</v>
      </c>
      <c r="J191" s="30" t="inlineStr">
        <is>
          <t>511551</t>
        </is>
      </c>
    </row>
    <row r="192">
      <c r="A192" s="30" t="inlineStr">
        <is>
          <t>KRN</t>
        </is>
      </c>
      <c r="B192" s="30" t="inlineStr">
        <is>
          <t>KRN Heat Exchanger and Refrigeration Ltd</t>
        </is>
      </c>
      <c r="C192" s="30" t="inlineStr">
        <is>
          <t>industrials</t>
        </is>
      </c>
      <c r="D192" s="30" t="inlineStr">
        <is>
          <t>engineering</t>
        </is>
      </c>
      <c r="E192" s="30" t="inlineStr">
        <is>
          <t>midcap</t>
        </is>
      </c>
      <c r="F192" s="30" t="n">
        <v>7568.81</v>
      </c>
      <c r="G192" s="30" t="n">
        <v>1216.8</v>
      </c>
      <c r="H192" s="30" t="n">
        <v>-0.07000000000000001</v>
      </c>
      <c r="I192" s="30" t="n">
        <v>264459</v>
      </c>
      <c r="J192" s="30" t="inlineStr">
        <is>
          <t>544263</t>
        </is>
      </c>
    </row>
    <row r="193">
      <c r="A193" s="30" t="inlineStr">
        <is>
          <t>SPARC</t>
        </is>
      </c>
      <c r="B193" s="30" t="inlineStr">
        <is>
          <t>Sun Pharma Advanced Research Company Limited</t>
        </is>
      </c>
      <c r="C193" s="30" t="inlineStr">
        <is>
          <t>healthcare</t>
        </is>
      </c>
      <c r="D193" s="30" t="inlineStr">
        <is>
          <t>miscellaneous</t>
        </is>
      </c>
      <c r="E193" s="30" t="inlineStr">
        <is>
          <t>midcap</t>
        </is>
      </c>
      <c r="F193" s="30" t="n">
        <v>6911.34</v>
      </c>
      <c r="G193" s="30" t="n">
        <v>212.82</v>
      </c>
      <c r="H193" s="30" t="n">
        <v>-0.07000000000000001</v>
      </c>
      <c r="I193" s="30" t="n">
        <v>3607773</v>
      </c>
      <c r="J193" s="30" t="inlineStr">
        <is>
          <t>532872</t>
        </is>
      </c>
    </row>
    <row r="194">
      <c r="A194" s="30" t="inlineStr">
        <is>
          <t>SHYAMMETL</t>
        </is>
      </c>
      <c r="B194" s="30" t="inlineStr">
        <is>
          <t>Shyam Metalics &amp; Energy Ltd</t>
        </is>
      </c>
      <c r="C194" s="30" t="inlineStr">
        <is>
          <t>metals &amp; mining</t>
        </is>
      </c>
      <c r="D194" s="30" t="inlineStr">
        <is>
          <t>steel - large</t>
        </is>
      </c>
      <c r="E194" s="30" t="inlineStr">
        <is>
          <t>largecap</t>
        </is>
      </c>
      <c r="F194" s="30" t="n">
        <v>27969.01</v>
      </c>
      <c r="G194" s="30" t="n">
        <v>1001.3</v>
      </c>
      <c r="H194" s="30" t="n">
        <v>-0.07000000000000001</v>
      </c>
      <c r="I194" s="30" t="n">
        <v>663549</v>
      </c>
      <c r="J194" s="30" t="inlineStr">
        <is>
          <t>543299</t>
        </is>
      </c>
    </row>
    <row r="195">
      <c r="A195" s="30" t="inlineStr">
        <is>
          <t>KPIL</t>
        </is>
      </c>
      <c r="B195" s="30" t="inlineStr">
        <is>
          <t>Kalpataru Projects International Ltd</t>
        </is>
      </c>
      <c r="C195" s="30" t="inlineStr">
        <is>
          <t>realty</t>
        </is>
      </c>
      <c r="D195" s="30" t="inlineStr">
        <is>
          <t>transmisson line towers / equipment</t>
        </is>
      </c>
      <c r="E195" s="30" t="inlineStr">
        <is>
          <t>largecap</t>
        </is>
      </c>
      <c r="F195" s="30" t="n">
        <v>22050.15</v>
      </c>
      <c r="G195" s="30" t="n">
        <v>1290.3</v>
      </c>
      <c r="H195" s="30" t="n">
        <v>-0.07000000000000001</v>
      </c>
      <c r="I195" s="30" t="n">
        <v>193618</v>
      </c>
      <c r="J195" s="30" t="inlineStr">
        <is>
          <t>522287</t>
        </is>
      </c>
    </row>
    <row r="196">
      <c r="A196" s="30" t="inlineStr">
        <is>
          <t>GEECEE</t>
        </is>
      </c>
      <c r="B196" s="30" t="inlineStr">
        <is>
          <t>Geecee Ventures Limited</t>
        </is>
      </c>
      <c r="C196" s="30" t="inlineStr">
        <is>
          <t>financials</t>
        </is>
      </c>
      <c r="D196" s="30" t="inlineStr">
        <is>
          <t>finance &amp; investments</t>
        </is>
      </c>
      <c r="E196" s="30" t="inlineStr">
        <is>
          <t>smallcap</t>
        </is>
      </c>
      <c r="F196" s="30" t="n">
        <v>690.51</v>
      </c>
      <c r="G196" s="30" t="n">
        <v>329.95</v>
      </c>
      <c r="H196" s="30" t="n">
        <v>-0.08</v>
      </c>
      <c r="I196" s="30" t="n">
        <v>6000</v>
      </c>
      <c r="J196" s="30" t="inlineStr">
        <is>
          <t>532764</t>
        </is>
      </c>
    </row>
    <row r="197">
      <c r="A197" s="30" t="inlineStr">
        <is>
          <t>GAIL</t>
        </is>
      </c>
      <c r="B197" s="30" t="inlineStr">
        <is>
          <t>Gail (india) Limited</t>
        </is>
      </c>
      <c r="C197" s="30" t="inlineStr">
        <is>
          <t>energy</t>
        </is>
      </c>
      <c r="D197" s="30" t="inlineStr">
        <is>
          <t>miscellaneous</t>
        </is>
      </c>
      <c r="E197" s="30" t="inlineStr">
        <is>
          <t>largecap</t>
        </is>
      </c>
      <c r="F197" s="30" t="n">
        <v>110165.79</v>
      </c>
      <c r="G197" s="30" t="n">
        <v>167.4</v>
      </c>
      <c r="H197" s="30" t="n">
        <v>-0.09</v>
      </c>
      <c r="I197" s="30" t="n">
        <v>8047086</v>
      </c>
      <c r="J197" s="30" t="inlineStr">
        <is>
          <t>532155</t>
        </is>
      </c>
    </row>
    <row r="198">
      <c r="A198" s="30" t="inlineStr">
        <is>
          <t>MAYURUNIQ</t>
        </is>
      </c>
      <c r="B198" s="30" t="inlineStr">
        <is>
          <t>Mayur Uniquoters Ltd</t>
        </is>
      </c>
      <c r="C198" s="30" t="inlineStr">
        <is>
          <t>consumer discretionary</t>
        </is>
      </c>
      <c r="D198" s="30" t="inlineStr">
        <is>
          <t>leather / leather products</t>
        </is>
      </c>
      <c r="E198" s="30" t="inlineStr">
        <is>
          <t>smallcap</t>
        </is>
      </c>
      <c r="F198" s="30" t="n">
        <v>3191.16</v>
      </c>
      <c r="G198" s="30" t="n">
        <v>733.65</v>
      </c>
      <c r="H198" s="30" t="n">
        <v>-0.1</v>
      </c>
      <c r="I198" s="30" t="n">
        <v>88627</v>
      </c>
      <c r="J198" s="30" t="inlineStr">
        <is>
          <t>522249</t>
        </is>
      </c>
    </row>
    <row r="199">
      <c r="A199" s="30" t="inlineStr">
        <is>
          <t>J&amp;KBANK</t>
        </is>
      </c>
      <c r="B199" s="30" t="inlineStr">
        <is>
          <t>The Jammu &amp; Kashmir Bank Limited</t>
        </is>
      </c>
      <c r="C199" s="30" t="inlineStr">
        <is>
          <t>bank</t>
        </is>
      </c>
      <c r="D199" s="30" t="inlineStr">
        <is>
          <t>banks - private sector</t>
        </is>
      </c>
      <c r="E199" s="30" t="inlineStr">
        <is>
          <t>midcap</t>
        </is>
      </c>
      <c r="F199" s="30" t="n">
        <v>16262.26</v>
      </c>
      <c r="G199" s="30" t="n">
        <v>147.52</v>
      </c>
      <c r="H199" s="30" t="n">
        <v>-0.11</v>
      </c>
      <c r="I199" s="30" t="n">
        <v>2304188</v>
      </c>
      <c r="J199" s="30" t="inlineStr">
        <is>
          <t>532209</t>
        </is>
      </c>
    </row>
    <row r="200">
      <c r="A200" s="30" t="inlineStr">
        <is>
          <t>SHAILY</t>
        </is>
      </c>
      <c r="B200" s="30" t="inlineStr">
        <is>
          <t>Shaily Engineering Plastics Ltd</t>
        </is>
      </c>
      <c r="C200" s="30" t="inlineStr">
        <is>
          <t>plastic products</t>
        </is>
      </c>
      <c r="D200" s="30" t="inlineStr">
        <is>
          <t>plastics products</t>
        </is>
      </c>
      <c r="E200" s="30" t="inlineStr">
        <is>
          <t>midcap</t>
        </is>
      </c>
      <c r="F200" s="30" t="n">
        <v>14096.27</v>
      </c>
      <c r="G200" s="30" t="n">
        <v>3062.9</v>
      </c>
      <c r="H200" s="30" t="n">
        <v>-0.15</v>
      </c>
      <c r="I200" s="30" t="n">
        <v>227359</v>
      </c>
      <c r="J200" s="30" t="inlineStr">
        <is>
          <t>501423</t>
        </is>
      </c>
    </row>
    <row r="201">
      <c r="A201" s="30" t="inlineStr">
        <is>
          <t>SANGAMIND</t>
        </is>
      </c>
      <c r="B201" s="30" t="inlineStr">
        <is>
          <t>Sangam (india) Limited</t>
        </is>
      </c>
      <c r="C201" s="30" t="inlineStr">
        <is>
          <t>textiles</t>
        </is>
      </c>
      <c r="D201" s="30" t="inlineStr">
        <is>
          <t>textiles - spinning - synthetic / blended</t>
        </is>
      </c>
      <c r="E201" s="30" t="inlineStr">
        <is>
          <t>smallcap</t>
        </is>
      </c>
      <c r="F201" s="30" t="n">
        <v>2649.75</v>
      </c>
      <c r="G201" s="30" t="n">
        <v>526.4</v>
      </c>
      <c r="H201" s="30" t="n">
        <v>-0.18</v>
      </c>
      <c r="I201" s="30" t="n">
        <v>24596</v>
      </c>
      <c r="J201" s="30" t="inlineStr">
        <is>
          <t>514234</t>
        </is>
      </c>
    </row>
    <row r="202">
      <c r="A202" s="30" t="inlineStr">
        <is>
          <t>GRANULES</t>
        </is>
      </c>
      <c r="B202" s="30" t="inlineStr">
        <is>
          <t>Granules India Limited</t>
        </is>
      </c>
      <c r="C202" s="30" t="inlineStr">
        <is>
          <t>healthcare</t>
        </is>
      </c>
      <c r="D202" s="30" t="inlineStr">
        <is>
          <t>pharmaceuticals - indian - bulk drugs &amp; formln</t>
        </is>
      </c>
      <c r="E202" s="30" t="inlineStr">
        <is>
          <t>midcap</t>
        </is>
      </c>
      <c r="F202" s="30" t="n">
        <v>19609.41</v>
      </c>
      <c r="G202" s="30" t="n">
        <v>789.85</v>
      </c>
      <c r="H202" s="30" t="n">
        <v>-0.19</v>
      </c>
      <c r="I202" s="30" t="n">
        <v>591926</v>
      </c>
      <c r="J202" s="30" t="inlineStr">
        <is>
          <t>532482</t>
        </is>
      </c>
    </row>
    <row r="203">
      <c r="A203" s="30" t="inlineStr">
        <is>
          <t>POLYCAB</t>
        </is>
      </c>
      <c r="B203" s="30" t="inlineStr">
        <is>
          <t>Polycab India Ltd</t>
        </is>
      </c>
      <c r="C203" s="30" t="inlineStr">
        <is>
          <t>industrials</t>
        </is>
      </c>
      <c r="D203" s="30" t="inlineStr">
        <is>
          <t>cables - power</t>
        </is>
      </c>
      <c r="E203" s="30" t="inlineStr">
        <is>
          <t>largecap</t>
        </is>
      </c>
      <c r="F203" s="30" t="n">
        <v>146297.46</v>
      </c>
      <c r="G203" s="30" t="n">
        <v>9699</v>
      </c>
      <c r="H203" s="30" t="n">
        <v>-0.19</v>
      </c>
      <c r="I203" s="30" t="n">
        <v>256030</v>
      </c>
      <c r="J203" s="30" t="inlineStr">
        <is>
          <t>542652</t>
        </is>
      </c>
    </row>
    <row r="204">
      <c r="A204" s="30" t="inlineStr">
        <is>
          <t>YASHO</t>
        </is>
      </c>
      <c r="B204" s="30" t="inlineStr">
        <is>
          <t>Yasho Industries Ltd</t>
        </is>
      </c>
      <c r="C204" s="30" t="inlineStr">
        <is>
          <t>chemicals</t>
        </is>
      </c>
      <c r="D204" s="30" t="inlineStr">
        <is>
          <t>chemicals</t>
        </is>
      </c>
      <c r="E204" s="30" t="inlineStr">
        <is>
          <t>smallcap</t>
        </is>
      </c>
      <c r="F204" s="30" t="n">
        <v>2984.37</v>
      </c>
      <c r="G204" s="30" t="n">
        <v>2470.1</v>
      </c>
      <c r="H204" s="30" t="n">
        <v>-0.21</v>
      </c>
      <c r="I204" s="30" t="n">
        <v>70384</v>
      </c>
      <c r="J204" s="30" t="inlineStr">
        <is>
          <t>541167</t>
        </is>
      </c>
    </row>
    <row r="205">
      <c r="A205" s="30" t="inlineStr">
        <is>
          <t>SATIN</t>
        </is>
      </c>
      <c r="B205" s="30" t="inlineStr">
        <is>
          <t>Satin Creditcare Network Limited</t>
        </is>
      </c>
      <c r="C205" s="30" t="inlineStr">
        <is>
          <t>financials</t>
        </is>
      </c>
      <c r="D205" s="30" t="inlineStr">
        <is>
          <t>finance &amp; investments</t>
        </is>
      </c>
      <c r="E205" s="30" t="inlineStr">
        <is>
          <t>smallcap</t>
        </is>
      </c>
      <c r="F205" s="30" t="n">
        <v>2672.62</v>
      </c>
      <c r="G205" s="30" t="n">
        <v>241.39</v>
      </c>
      <c r="H205" s="30" t="n">
        <v>-0.22</v>
      </c>
      <c r="I205" s="30" t="n">
        <v>706024</v>
      </c>
      <c r="J205" s="30" t="inlineStr">
        <is>
          <t>539404</t>
        </is>
      </c>
    </row>
    <row r="206">
      <c r="A206" s="30" t="inlineStr">
        <is>
          <t>HONASA</t>
        </is>
      </c>
      <c r="B206" s="30" t="inlineStr">
        <is>
          <t>Honasa Consumer Ltd</t>
        </is>
      </c>
      <c r="C206" s="30" t="inlineStr">
        <is>
          <t>services</t>
        </is>
      </c>
      <c r="D206" s="30" t="inlineStr">
        <is>
          <t>trading</t>
        </is>
      </c>
      <c r="E206" s="30" t="inlineStr">
        <is>
          <t>midcap</t>
        </is>
      </c>
      <c r="F206" s="30" t="n">
        <v>13569.55</v>
      </c>
      <c r="G206" s="30" t="n">
        <v>416.1</v>
      </c>
      <c r="H206" s="30" t="n">
        <v>-0.23</v>
      </c>
      <c r="I206" s="30" t="n">
        <v>733175</v>
      </c>
      <c r="J206" s="30" t="inlineStr">
        <is>
          <t>544014</t>
        </is>
      </c>
    </row>
    <row r="207">
      <c r="A207" s="30" t="inlineStr">
        <is>
          <t>RAINBOW</t>
        </is>
      </c>
      <c r="B207" s="30" t="inlineStr">
        <is>
          <t>Rainbow Childrens Medicare Ltd</t>
        </is>
      </c>
      <c r="C207" s="30" t="inlineStr">
        <is>
          <t>healthcare</t>
        </is>
      </c>
      <c r="D207" s="30" t="inlineStr">
        <is>
          <t>healthcare</t>
        </is>
      </c>
      <c r="E207" s="30" t="inlineStr">
        <is>
          <t>midcap</t>
        </is>
      </c>
      <c r="F207" s="30" t="n">
        <v>13680.02</v>
      </c>
      <c r="G207" s="30" t="n">
        <v>1343.3</v>
      </c>
      <c r="H207" s="30" t="n">
        <v>-0.27</v>
      </c>
      <c r="I207" s="30" t="n">
        <v>76791</v>
      </c>
      <c r="J207" s="30" t="inlineStr">
        <is>
          <t>543524</t>
        </is>
      </c>
    </row>
    <row r="208">
      <c r="A208" s="30" t="inlineStr">
        <is>
          <t>ROSSTECH</t>
        </is>
      </c>
      <c r="B208" s="30" t="inlineStr">
        <is>
          <t>Rossell Techsys Ltd</t>
        </is>
      </c>
      <c r="C208" s="30" t="inlineStr">
        <is>
          <t>aerospace &amp; defence</t>
        </is>
      </c>
      <c r="D208" s="30" t="inlineStr">
        <is>
          <t>engineering</t>
        </is>
      </c>
      <c r="E208" s="30" t="inlineStr">
        <is>
          <t>smallcap</t>
        </is>
      </c>
      <c r="F208" s="30" t="n">
        <v>3977.73</v>
      </c>
      <c r="G208" s="30" t="n">
        <v>1052.2</v>
      </c>
      <c r="H208" s="30" t="n">
        <v>-0.28</v>
      </c>
      <c r="I208" s="30" t="n">
        <v>63314</v>
      </c>
      <c r="J208" s="30" t="inlineStr">
        <is>
          <t>544294</t>
        </is>
      </c>
    </row>
    <row r="209">
      <c r="A209" s="30" t="inlineStr">
        <is>
          <t>MINDACORP</t>
        </is>
      </c>
      <c r="B209" s="30" t="inlineStr">
        <is>
          <t>Minda Corporation Limited</t>
        </is>
      </c>
      <c r="C209" s="30" t="inlineStr">
        <is>
          <t>auto</t>
        </is>
      </c>
      <c r="D209" s="30" t="inlineStr">
        <is>
          <t>auto ancillaries</t>
        </is>
      </c>
      <c r="E209" s="30" t="inlineStr">
        <is>
          <t>midcap</t>
        </is>
      </c>
      <c r="F209" s="30" t="n">
        <v>15427.8</v>
      </c>
      <c r="G209" s="30" t="n">
        <v>643.4</v>
      </c>
      <c r="H209" s="30" t="n">
        <v>-0.29</v>
      </c>
      <c r="I209" s="30" t="n">
        <v>465038</v>
      </c>
      <c r="J209" s="30" t="inlineStr">
        <is>
          <t>538962</t>
        </is>
      </c>
    </row>
    <row r="210">
      <c r="A210" s="30" t="inlineStr">
        <is>
          <t>TMB</t>
        </is>
      </c>
      <c r="B210" s="30" t="inlineStr">
        <is>
          <t>Tamilnad Mercantile Bank Ltd</t>
        </is>
      </c>
      <c r="C210" s="30" t="inlineStr">
        <is>
          <t>bank</t>
        </is>
      </c>
      <c r="D210" s="30" t="inlineStr">
        <is>
          <t>banks - private sector</t>
        </is>
      </c>
      <c r="E210" s="30" t="inlineStr">
        <is>
          <t>midcap</t>
        </is>
      </c>
      <c r="F210" s="30" t="n">
        <v>11846.27</v>
      </c>
      <c r="G210" s="30" t="n">
        <v>745.9</v>
      </c>
      <c r="H210" s="30" t="n">
        <v>-0.29</v>
      </c>
      <c r="I210" s="30" t="n">
        <v>163724</v>
      </c>
      <c r="J210" s="30" t="inlineStr">
        <is>
          <t>543596</t>
        </is>
      </c>
    </row>
    <row r="211">
      <c r="A211" s="30" t="inlineStr">
        <is>
          <t>NEULANDLAB</t>
        </is>
      </c>
      <c r="B211" s="30" t="inlineStr">
        <is>
          <t>Neuland Laboratories Limited</t>
        </is>
      </c>
      <c r="C211" s="30" t="inlineStr">
        <is>
          <t>healthcare</t>
        </is>
      </c>
      <c r="D211" s="30" t="inlineStr">
        <is>
          <t>pharmaceuticals - indian - bulk drugs</t>
        </is>
      </c>
      <c r="E211" s="30" t="inlineStr">
        <is>
          <t>largecap</t>
        </is>
      </c>
      <c r="F211" s="30" t="n">
        <v>21631.19</v>
      </c>
      <c r="G211" s="30" t="n">
        <v>16811</v>
      </c>
      <c r="H211" s="30" t="n">
        <v>-0.29</v>
      </c>
      <c r="I211" s="30" t="n">
        <v>13332</v>
      </c>
      <c r="J211" s="30" t="inlineStr">
        <is>
          <t>524558</t>
        </is>
      </c>
    </row>
    <row r="212">
      <c r="A212" s="30" t="inlineStr">
        <is>
          <t>AEROENTER</t>
        </is>
      </c>
      <c r="B212" s="30" t="inlineStr">
        <is>
          <t>Aeroflex Enterprises Ltd</t>
        </is>
      </c>
      <c r="C212" s="30" t="inlineStr">
        <is>
          <t>metals &amp; mining</t>
        </is>
      </c>
      <c r="D212" s="30" t="inlineStr">
        <is>
          <t>steel - medium / small</t>
        </is>
      </c>
      <c r="E212" s="30" t="inlineStr">
        <is>
          <t>smallcap</t>
        </is>
      </c>
      <c r="F212" s="30" t="n">
        <v>1143.63</v>
      </c>
      <c r="G212" s="30" t="n">
        <v>100.83</v>
      </c>
      <c r="H212" s="30" t="n">
        <v>-0.3</v>
      </c>
      <c r="I212" s="30" t="n">
        <v>470133</v>
      </c>
      <c r="J212" s="30" t="inlineStr">
        <is>
          <t>511076</t>
        </is>
      </c>
    </row>
    <row r="213">
      <c r="A213" s="30" t="inlineStr">
        <is>
          <t>AKUMS</t>
        </is>
      </c>
      <c r="B213" s="30" t="inlineStr">
        <is>
          <t>Akums Drugs &amp; Pharmaceuticals Ltd</t>
        </is>
      </c>
      <c r="C213" s="30" t="inlineStr">
        <is>
          <t>healthcare</t>
        </is>
      </c>
      <c r="D213" s="30" t="inlineStr">
        <is>
          <t>pharmaceuticals - indian - bulk drugs &amp; formln</t>
        </is>
      </c>
      <c r="E213" s="30" t="inlineStr">
        <is>
          <t>midcap</t>
        </is>
      </c>
      <c r="F213" s="30" t="n">
        <v>8743.24</v>
      </c>
      <c r="G213" s="30" t="n">
        <v>553.8</v>
      </c>
      <c r="H213" s="30" t="n">
        <v>-0.31</v>
      </c>
      <c r="I213" s="30" t="n">
        <v>96120</v>
      </c>
      <c r="J213" s="30" t="inlineStr">
        <is>
          <t>544222</t>
        </is>
      </c>
    </row>
    <row r="214">
      <c r="A214" s="30" t="inlineStr">
        <is>
          <t>RADICO</t>
        </is>
      </c>
      <c r="B214" s="30" t="inlineStr">
        <is>
          <t>Radico Khaitan Limited</t>
        </is>
      </c>
      <c r="C214" s="30" t="inlineStr">
        <is>
          <t>fmcg</t>
        </is>
      </c>
      <c r="D214" s="30" t="inlineStr">
        <is>
          <t>breweries &amp; distilleries</t>
        </is>
      </c>
      <c r="E214" s="30" t="inlineStr">
        <is>
          <t>largecap</t>
        </is>
      </c>
      <c r="F214" s="30" t="n">
        <v>46896.41</v>
      </c>
      <c r="G214" s="30" t="n">
        <v>3490.7</v>
      </c>
      <c r="H214" s="30" t="n">
        <v>-0.33</v>
      </c>
      <c r="I214" s="30" t="n">
        <v>191865</v>
      </c>
      <c r="J214" s="30" t="inlineStr">
        <is>
          <t>532497</t>
        </is>
      </c>
    </row>
    <row r="215">
      <c r="A215" s="30" t="inlineStr">
        <is>
          <t>GVT&amp;D</t>
        </is>
      </c>
      <c r="B215" s="30" t="inlineStr">
        <is>
          <t>GE Vernova T&amp;D India Ltd</t>
        </is>
      </c>
      <c r="C215" s="30" t="inlineStr">
        <is>
          <t>industrials</t>
        </is>
      </c>
      <c r="D215" s="30" t="inlineStr">
        <is>
          <t>electric equipment</t>
        </is>
      </c>
      <c r="E215" s="30" t="inlineStr">
        <is>
          <t>largecap</t>
        </is>
      </c>
      <c r="F215" s="30" t="n">
        <v>130238.07</v>
      </c>
      <c r="G215" s="30" t="n">
        <v>5067</v>
      </c>
      <c r="H215" s="30" t="n">
        <v>-0.38</v>
      </c>
      <c r="I215" s="30" t="n">
        <v>888594</v>
      </c>
      <c r="J215" s="30" t="inlineStr">
        <is>
          <t>522275</t>
        </is>
      </c>
    </row>
    <row r="216">
      <c r="A216" s="30" t="inlineStr">
        <is>
          <t>ARVINDFASN</t>
        </is>
      </c>
      <c r="B216" s="30" t="inlineStr">
        <is>
          <t>Arvind Fashions Ltd</t>
        </is>
      </c>
      <c r="C216" s="30" t="inlineStr">
        <is>
          <t>consumer discretionary</t>
        </is>
      </c>
      <c r="D216" s="30" t="inlineStr">
        <is>
          <t>trading</t>
        </is>
      </c>
      <c r="E216" s="30" t="inlineStr">
        <is>
          <t>midcap</t>
        </is>
      </c>
      <c r="F216" s="30" t="n">
        <v>6296.49</v>
      </c>
      <c r="G216" s="30" t="n">
        <v>469.3</v>
      </c>
      <c r="H216" s="30" t="n">
        <v>-0.38</v>
      </c>
      <c r="I216" s="30" t="n">
        <v>131097</v>
      </c>
      <c r="J216" s="30" t="inlineStr">
        <is>
          <t>542484</t>
        </is>
      </c>
    </row>
    <row r="217">
      <c r="A217" s="30" t="inlineStr">
        <is>
          <t>CONSOFINVT</t>
        </is>
      </c>
      <c r="B217" s="30" t="inlineStr">
        <is>
          <t>Consolidated Finvest &amp; Holdings Limited</t>
        </is>
      </c>
      <c r="C217" s="30" t="inlineStr">
        <is>
          <t>financials</t>
        </is>
      </c>
      <c r="D217" s="30" t="inlineStr">
        <is>
          <t>finance &amp; investments</t>
        </is>
      </c>
      <c r="E217" s="30" t="inlineStr">
        <is>
          <t>smallcap</t>
        </is>
      </c>
      <c r="F217" s="30" t="n">
        <v>771.5700000000001</v>
      </c>
      <c r="G217" s="30" t="n">
        <v>237.69</v>
      </c>
      <c r="H217" s="30" t="n">
        <v>-0.41</v>
      </c>
      <c r="I217" s="30" t="n">
        <v>39910</v>
      </c>
      <c r="J217" s="30" t="inlineStr">
        <is>
          <t>500226</t>
        </is>
      </c>
    </row>
    <row r="218">
      <c r="A218" s="30" t="inlineStr">
        <is>
          <t>GALAPREC</t>
        </is>
      </c>
      <c r="B218" s="30" t="inlineStr">
        <is>
          <t>Gala Precision Engineering Ltd</t>
        </is>
      </c>
      <c r="C218" s="30" t="inlineStr">
        <is>
          <t>industrials</t>
        </is>
      </c>
      <c r="D218" s="30" t="inlineStr">
        <is>
          <t>fasteners</t>
        </is>
      </c>
      <c r="E218" s="30" t="inlineStr">
        <is>
          <t>smallcap</t>
        </is>
      </c>
      <c r="F218" s="30" t="n">
        <v>1165.95</v>
      </c>
      <c r="G218" s="30" t="n">
        <v>910.4</v>
      </c>
      <c r="H218" s="30" t="n">
        <v>-0.44</v>
      </c>
      <c r="I218" s="30" t="n">
        <v>15720</v>
      </c>
      <c r="J218" s="30" t="inlineStr">
        <is>
          <t>544244</t>
        </is>
      </c>
    </row>
    <row r="219">
      <c r="A219" s="30" t="inlineStr">
        <is>
          <t>SUPRIYA</t>
        </is>
      </c>
      <c r="B219" s="30" t="inlineStr">
        <is>
          <t>Supriya Lifescience Ltd</t>
        </is>
      </c>
      <c r="C219" s="30" t="inlineStr">
        <is>
          <t>healthcare</t>
        </is>
      </c>
      <c r="D219" s="30" t="inlineStr">
        <is>
          <t>pharmaceuticals - indian - bulk drugs &amp; formln</t>
        </is>
      </c>
      <c r="E219" s="30" t="inlineStr">
        <is>
          <t>midcap</t>
        </is>
      </c>
      <c r="F219" s="30" t="n">
        <v>7662.77</v>
      </c>
      <c r="G219" s="30" t="n">
        <v>947.95</v>
      </c>
      <c r="H219" s="30" t="n">
        <v>-0.44</v>
      </c>
      <c r="I219" s="30" t="n">
        <v>606961</v>
      </c>
      <c r="J219" s="30" t="inlineStr">
        <is>
          <t>543434</t>
        </is>
      </c>
    </row>
    <row r="220">
      <c r="A220" s="30" t="inlineStr">
        <is>
          <t>TMPV</t>
        </is>
      </c>
      <c r="B220" s="30" t="inlineStr">
        <is>
          <t>Tata Motors Passenger Vehicles Ltd</t>
        </is>
      </c>
      <c r="C220" s="30" t="inlineStr">
        <is>
          <t>auto</t>
        </is>
      </c>
      <c r="D220" s="30" t="inlineStr">
        <is>
          <t>automobiles - passenger cars</t>
        </is>
      </c>
      <c r="E220" s="30" t="inlineStr">
        <is>
          <t>largecap</t>
        </is>
      </c>
      <c r="F220" s="30" t="n">
        <v>147184.63</v>
      </c>
      <c r="G220" s="30" t="n">
        <v>397.8</v>
      </c>
      <c r="H220" s="30" t="n">
        <v>-0.48</v>
      </c>
      <c r="I220" s="30" t="n">
        <v>9554051</v>
      </c>
      <c r="J220" s="30" t="inlineStr">
        <is>
          <t>500570</t>
        </is>
      </c>
    </row>
    <row r="221">
      <c r="A221" s="30" t="inlineStr">
        <is>
          <t>BBOX</t>
        </is>
      </c>
      <c r="B221" s="30" t="inlineStr">
        <is>
          <t>Black Box Ltd</t>
        </is>
      </c>
      <c r="C221" s="30" t="inlineStr">
        <is>
          <t>i.t</t>
        </is>
      </c>
      <c r="D221" s="30" t="inlineStr">
        <is>
          <t>computers - software - medium / small</t>
        </is>
      </c>
      <c r="E221" s="30" t="inlineStr">
        <is>
          <t>midcap</t>
        </is>
      </c>
      <c r="F221" s="30" t="n">
        <v>19137.54</v>
      </c>
      <c r="G221" s="30" t="n">
        <v>1072.9</v>
      </c>
      <c r="H221" s="30" t="n">
        <v>-0.49</v>
      </c>
      <c r="I221" s="30" t="n">
        <v>616162</v>
      </c>
      <c r="J221" s="30" t="inlineStr">
        <is>
          <t>500463</t>
        </is>
      </c>
    </row>
    <row r="222">
      <c r="A222" s="30" t="inlineStr">
        <is>
          <t>DLINKINDIA</t>
        </is>
      </c>
      <c r="B222" s="30" t="inlineStr">
        <is>
          <t>D-link (india) Limited</t>
        </is>
      </c>
      <c r="C222" s="30" t="inlineStr">
        <is>
          <t>services</t>
        </is>
      </c>
      <c r="D222" s="30" t="inlineStr">
        <is>
          <t>trading</t>
        </is>
      </c>
      <c r="E222" s="30" t="inlineStr">
        <is>
          <t>smallcap</t>
        </is>
      </c>
      <c r="F222" s="30" t="n">
        <v>1704.06</v>
      </c>
      <c r="G222" s="30" t="n">
        <v>477.5</v>
      </c>
      <c r="H222" s="30" t="n">
        <v>-0.51</v>
      </c>
      <c r="I222" s="30" t="n">
        <v>114871</v>
      </c>
      <c r="J222" s="30" t="inlineStr">
        <is>
          <t>533146</t>
        </is>
      </c>
    </row>
    <row r="223">
      <c r="A223" s="30" t="inlineStr">
        <is>
          <t>GRASIM</t>
        </is>
      </c>
      <c r="B223" s="30" t="inlineStr">
        <is>
          <t>Grasim Industries Limited</t>
        </is>
      </c>
      <c r="C223" s="30" t="inlineStr">
        <is>
          <t>textiles</t>
        </is>
      </c>
      <c r="D223" s="30" t="inlineStr">
        <is>
          <t>textiles - manmade</t>
        </is>
      </c>
      <c r="E223" s="30" t="inlineStr">
        <is>
          <t>largecap</t>
        </is>
      </c>
      <c r="F223" s="30" t="n">
        <v>211218.18</v>
      </c>
      <c r="G223" s="30" t="n">
        <v>3087.7</v>
      </c>
      <c r="H223" s="30" t="n">
        <v>-0.51</v>
      </c>
      <c r="I223" s="30" t="n">
        <v>697168</v>
      </c>
      <c r="J223" s="30" t="inlineStr">
        <is>
          <t>500300</t>
        </is>
      </c>
    </row>
    <row r="224">
      <c r="A224" s="30" t="inlineStr">
        <is>
          <t>MARINE</t>
        </is>
      </c>
      <c r="B224" s="30" t="inlineStr">
        <is>
          <t>Marine Electricals (India) Ltd</t>
        </is>
      </c>
      <c r="C224" s="30" t="inlineStr">
        <is>
          <t>industrials</t>
        </is>
      </c>
      <c r="D224" s="30" t="inlineStr">
        <is>
          <t>electric equipment</t>
        </is>
      </c>
      <c r="E224" s="30" t="inlineStr">
        <is>
          <t>smallcap</t>
        </is>
      </c>
      <c r="F224" s="30" t="n">
        <v>613.6900000000001</v>
      </c>
      <c r="G224" s="30" t="n">
        <v>248.85</v>
      </c>
      <c r="H224" s="30" t="n">
        <v>-0.52</v>
      </c>
      <c r="I224" s="30" t="n">
        <v>560240</v>
      </c>
      <c r="J224" s="30" t="inlineStr">
        <is>
          <t>535119</t>
        </is>
      </c>
    </row>
    <row r="225">
      <c r="A225" s="30" t="inlineStr">
        <is>
          <t>MOTHERSON</t>
        </is>
      </c>
      <c r="B225" s="30" t="inlineStr">
        <is>
          <t>Samvardhana Motherson International Ltd</t>
        </is>
      </c>
      <c r="C225" s="30" t="inlineStr">
        <is>
          <t>auto</t>
        </is>
      </c>
      <c r="D225" s="30" t="inlineStr">
        <is>
          <t>auto ancillaries</t>
        </is>
      </c>
      <c r="E225" s="30" t="inlineStr">
        <is>
          <t>largecap</t>
        </is>
      </c>
      <c r="F225" s="30" t="n">
        <v>152311.16</v>
      </c>
      <c r="G225" s="30" t="n">
        <v>143.56</v>
      </c>
      <c r="H225" s="30" t="n">
        <v>-0.52</v>
      </c>
      <c r="I225" s="30" t="n">
        <v>13743288</v>
      </c>
      <c r="J225" s="30" t="inlineStr">
        <is>
          <t>517334</t>
        </is>
      </c>
    </row>
    <row r="226">
      <c r="A226" s="30" t="inlineStr">
        <is>
          <t>SSWL</t>
        </is>
      </c>
      <c r="B226" s="30" t="inlineStr">
        <is>
          <t>Steel Strips Wheels Limited</t>
        </is>
      </c>
      <c r="C226" s="30" t="inlineStr">
        <is>
          <t>auto</t>
        </is>
      </c>
      <c r="D226" s="30" t="inlineStr">
        <is>
          <t>auto ancillaries</t>
        </is>
      </c>
      <c r="E226" s="30" t="inlineStr">
        <is>
          <t>smallcap</t>
        </is>
      </c>
      <c r="F226" s="30" t="n">
        <v>3584.97</v>
      </c>
      <c r="G226" s="30" t="n">
        <v>226.89</v>
      </c>
      <c r="H226" s="30" t="n">
        <v>-0.52</v>
      </c>
      <c r="I226" s="30" t="n">
        <v>586948</v>
      </c>
      <c r="J226" s="30" t="inlineStr">
        <is>
          <t>513262</t>
        </is>
      </c>
    </row>
    <row r="227">
      <c r="A227" s="30" t="inlineStr">
        <is>
          <t>THYROCARE</t>
        </is>
      </c>
      <c r="B227" s="30" t="inlineStr">
        <is>
          <t>Thyrocare Technologies Limited</t>
        </is>
      </c>
      <c r="C227" s="30" t="inlineStr">
        <is>
          <t>healthcare</t>
        </is>
      </c>
      <c r="D227" s="30" t="inlineStr">
        <is>
          <t>healthcare</t>
        </is>
      </c>
      <c r="E227" s="30" t="inlineStr">
        <is>
          <t>midcap</t>
        </is>
      </c>
      <c r="F227" s="30" t="n">
        <v>8288.530000000001</v>
      </c>
      <c r="G227" s="30" t="n">
        <v>518</v>
      </c>
      <c r="H227" s="30" t="n">
        <v>-0.53</v>
      </c>
      <c r="I227" s="30" t="n">
        <v>89511</v>
      </c>
      <c r="J227" s="30" t="inlineStr">
        <is>
          <t>539871</t>
        </is>
      </c>
    </row>
    <row r="228">
      <c r="A228" s="30" t="inlineStr">
        <is>
          <t>SOUTHWEST</t>
        </is>
      </c>
      <c r="B228" s="30" t="inlineStr">
        <is>
          <t>South West Pinnacle Exploration Ltd</t>
        </is>
      </c>
      <c r="C228" s="30" t="inlineStr">
        <is>
          <t>metals &amp; mining</t>
        </is>
      </c>
      <c r="D228" s="30" t="inlineStr">
        <is>
          <t>mining / minerals / metals</t>
        </is>
      </c>
      <c r="E228" s="30" t="inlineStr">
        <is>
          <t>smallcap</t>
        </is>
      </c>
      <c r="F228" s="30" t="n">
        <v>788.26</v>
      </c>
      <c r="G228" s="30" t="n">
        <v>262.75</v>
      </c>
      <c r="H228" s="30" t="n">
        <v>-0.57</v>
      </c>
      <c r="I228" s="30" t="n">
        <v>227707</v>
      </c>
      <c r="J228" s="30" t="inlineStr">
        <is>
          <t>535049</t>
        </is>
      </c>
    </row>
    <row r="229">
      <c r="A229" s="30" t="inlineStr">
        <is>
          <t>INNOVACAP</t>
        </is>
      </c>
      <c r="B229" s="30" t="inlineStr">
        <is>
          <t>Innova Captab Ltd</t>
        </is>
      </c>
      <c r="C229" s="30" t="inlineStr">
        <is>
          <t>healthcare</t>
        </is>
      </c>
      <c r="D229" s="30" t="inlineStr">
        <is>
          <t>pharmaceuticals - indian - bulk drugs &amp; formln</t>
        </is>
      </c>
      <c r="E229" s="30" t="inlineStr">
        <is>
          <t>smallcap</t>
        </is>
      </c>
      <c r="F229" s="30" t="n">
        <v>4993.16</v>
      </c>
      <c r="G229" s="30" t="n">
        <v>867.5</v>
      </c>
      <c r="H229" s="30" t="n">
        <v>-0.58</v>
      </c>
      <c r="I229" s="30" t="n">
        <v>24354</v>
      </c>
      <c r="J229" s="30" t="inlineStr">
        <is>
          <t>544067</t>
        </is>
      </c>
    </row>
    <row r="230">
      <c r="A230" s="30" t="inlineStr">
        <is>
          <t>TVSSRICHAK</t>
        </is>
      </c>
      <c r="B230" s="30" t="inlineStr">
        <is>
          <t>Tvs Srichakra Limited</t>
        </is>
      </c>
      <c r="C230" s="30" t="inlineStr">
        <is>
          <t>auto</t>
        </is>
      </c>
      <c r="D230" s="30" t="inlineStr">
        <is>
          <t>tyres</t>
        </is>
      </c>
      <c r="E230" s="30" t="inlineStr">
        <is>
          <t>smallcap</t>
        </is>
      </c>
      <c r="F230" s="30" t="n">
        <v>3113.97</v>
      </c>
      <c r="G230" s="30" t="n">
        <v>4042.9</v>
      </c>
      <c r="H230" s="30" t="n">
        <v>-0.59</v>
      </c>
      <c r="I230" s="30" t="n">
        <v>3008</v>
      </c>
      <c r="J230" s="30" t="inlineStr">
        <is>
          <t>509243</t>
        </is>
      </c>
    </row>
    <row r="231">
      <c r="A231" s="30" t="inlineStr">
        <is>
          <t>CENTUM</t>
        </is>
      </c>
      <c r="B231" s="30" t="inlineStr">
        <is>
          <t>Centum Electronics Limited</t>
        </is>
      </c>
      <c r="C231" s="30" t="inlineStr">
        <is>
          <t>consumer discretionary</t>
        </is>
      </c>
      <c r="D231" s="30" t="inlineStr">
        <is>
          <t>electronics - components</t>
        </is>
      </c>
      <c r="E231" s="30" t="inlineStr">
        <is>
          <t>midcap</t>
        </is>
      </c>
      <c r="F231" s="30" t="n">
        <v>5133.69</v>
      </c>
      <c r="G231" s="30" t="n">
        <v>3459.9</v>
      </c>
      <c r="H231" s="30" t="n">
        <v>-0.65</v>
      </c>
      <c r="I231" s="30" t="n">
        <v>42803</v>
      </c>
      <c r="J231" s="30" t="inlineStr">
        <is>
          <t>517544</t>
        </is>
      </c>
    </row>
    <row r="232">
      <c r="A232" s="30" t="inlineStr">
        <is>
          <t>TATACOMM</t>
        </is>
      </c>
      <c r="B232" s="30" t="inlineStr">
        <is>
          <t>Tata Communications Limited</t>
        </is>
      </c>
      <c r="C232" s="30" t="inlineStr">
        <is>
          <t>telecom-service</t>
        </is>
      </c>
      <c r="D232" s="30" t="inlineStr">
        <is>
          <t>telecommunications - service provider</t>
        </is>
      </c>
      <c r="E232" s="30" t="inlineStr">
        <is>
          <t>largecap</t>
        </is>
      </c>
      <c r="F232" s="30" t="n">
        <v>56598.15</v>
      </c>
      <c r="G232" s="30" t="n">
        <v>1972.7</v>
      </c>
      <c r="H232" s="30" t="n">
        <v>-0.66</v>
      </c>
      <c r="I232" s="30" t="n">
        <v>951148</v>
      </c>
      <c r="J232" s="30" t="inlineStr">
        <is>
          <t>500483</t>
        </is>
      </c>
    </row>
    <row r="233">
      <c r="A233" s="30" t="inlineStr">
        <is>
          <t>SOTL</t>
        </is>
      </c>
      <c r="B233" s="30" t="inlineStr">
        <is>
          <t>Savita Oil Technologies Limited</t>
        </is>
      </c>
      <c r="C233" s="30" t="inlineStr">
        <is>
          <t>energy</t>
        </is>
      </c>
      <c r="D233" s="30" t="inlineStr">
        <is>
          <t>petrochemicals</t>
        </is>
      </c>
      <c r="E233" s="30" t="inlineStr">
        <is>
          <t>smallcap</t>
        </is>
      </c>
      <c r="F233" s="30" t="n">
        <v>3868.86</v>
      </c>
      <c r="G233" s="30" t="n">
        <v>560.5</v>
      </c>
      <c r="H233" s="30" t="n">
        <v>-0.67</v>
      </c>
      <c r="I233" s="30" t="n">
        <v>1747443</v>
      </c>
      <c r="J233" s="30" t="inlineStr">
        <is>
          <t>524667</t>
        </is>
      </c>
    </row>
    <row r="234">
      <c r="A234" s="30" t="inlineStr">
        <is>
          <t>RBLBANK</t>
        </is>
      </c>
      <c r="B234" s="30" t="inlineStr">
        <is>
          <t>Rbl Bank Limited</t>
        </is>
      </c>
      <c r="C234" s="30" t="inlineStr">
        <is>
          <t>bank</t>
        </is>
      </c>
      <c r="D234" s="30" t="inlineStr">
        <is>
          <t>banks - private sector</t>
        </is>
      </c>
      <c r="E234" s="30" t="inlineStr">
        <is>
          <t>largecap</t>
        </is>
      </c>
      <c r="F234" s="30" t="n">
        <v>21865.69</v>
      </c>
      <c r="G234" s="30" t="n">
        <v>351.35</v>
      </c>
      <c r="H234" s="30" t="n">
        <v>-0.68</v>
      </c>
      <c r="I234" s="30" t="n">
        <v>4035165</v>
      </c>
      <c r="J234" s="30" t="inlineStr">
        <is>
          <t>540065</t>
        </is>
      </c>
    </row>
    <row r="235">
      <c r="A235" s="30" t="inlineStr">
        <is>
          <t>GANDHAR</t>
        </is>
      </c>
      <c r="B235" s="30" t="inlineStr">
        <is>
          <t>Gandhar Oil Refinery (India) Ltd</t>
        </is>
      </c>
      <c r="C235" s="30" t="inlineStr">
        <is>
          <t>energy</t>
        </is>
      </c>
      <c r="D235" s="30" t="inlineStr">
        <is>
          <t>refineries</t>
        </is>
      </c>
      <c r="E235" s="30" t="inlineStr">
        <is>
          <t>smallcap</t>
        </is>
      </c>
      <c r="F235" s="30" t="n">
        <v>1584.18</v>
      </c>
      <c r="G235" s="30" t="n">
        <v>160.73</v>
      </c>
      <c r="H235" s="30" t="n">
        <v>-0.6899999999999999</v>
      </c>
      <c r="I235" s="30" t="n">
        <v>709636</v>
      </c>
      <c r="J235" s="30" t="inlineStr">
        <is>
          <t>544029</t>
        </is>
      </c>
    </row>
    <row r="236">
      <c r="A236" s="30" t="inlineStr">
        <is>
          <t>DIVGIITTS</t>
        </is>
      </c>
      <c r="B236" s="30" t="inlineStr">
        <is>
          <t>Divgi Torqtransfer Systems Ltd</t>
        </is>
      </c>
      <c r="C236" s="30" t="inlineStr">
        <is>
          <t>auto</t>
        </is>
      </c>
      <c r="D236" s="30" t="inlineStr">
        <is>
          <t>auto ancillaries</t>
        </is>
      </c>
      <c r="E236" s="30" t="inlineStr">
        <is>
          <t>smallcap</t>
        </is>
      </c>
      <c r="F236" s="30" t="n">
        <v>2404.74</v>
      </c>
      <c r="G236" s="30" t="n">
        <v>780.7</v>
      </c>
      <c r="H236" s="30" t="n">
        <v>-0.71</v>
      </c>
      <c r="I236" s="30" t="n">
        <v>37222</v>
      </c>
      <c r="J236" s="30" t="inlineStr">
        <is>
          <t>543812</t>
        </is>
      </c>
    </row>
    <row r="237">
      <c r="A237" s="30" t="inlineStr">
        <is>
          <t>FCL</t>
        </is>
      </c>
      <c r="B237" s="30" t="inlineStr">
        <is>
          <t>Fineotex Chemical Limited</t>
        </is>
      </c>
      <c r="C237" s="30" t="inlineStr">
        <is>
          <t>chemicals</t>
        </is>
      </c>
      <c r="D237" s="30" t="inlineStr">
        <is>
          <t>chemicals</t>
        </is>
      </c>
      <c r="E237" s="30" t="inlineStr">
        <is>
          <t>smallcap</t>
        </is>
      </c>
      <c r="F237" s="30" t="n">
        <v>4777.95</v>
      </c>
      <c r="G237" s="30" t="n">
        <v>40.73</v>
      </c>
      <c r="H237" s="30" t="n">
        <v>-0.73</v>
      </c>
      <c r="I237" s="30" t="n">
        <v>15341694</v>
      </c>
      <c r="J237" s="30" t="inlineStr">
        <is>
          <t>533333</t>
        </is>
      </c>
    </row>
    <row r="238">
      <c r="A238" s="30" t="inlineStr">
        <is>
          <t>LMW</t>
        </is>
      </c>
      <c r="B238" s="30" t="inlineStr">
        <is>
          <t>LMW Ltd</t>
        </is>
      </c>
      <c r="C238" s="30" t="inlineStr">
        <is>
          <t>industrials</t>
        </is>
      </c>
      <c r="D238" s="30" t="inlineStr">
        <is>
          <t>textile machinery</t>
        </is>
      </c>
      <c r="E238" s="30" t="inlineStr">
        <is>
          <t>midcap</t>
        </is>
      </c>
      <c r="F238" s="30" t="n">
        <v>16878.07</v>
      </c>
      <c r="G238" s="30" t="n">
        <v>15679</v>
      </c>
      <c r="H238" s="30" t="n">
        <v>-0.76</v>
      </c>
      <c r="I238" s="30" t="n">
        <v>1716</v>
      </c>
      <c r="J238" s="30" t="inlineStr">
        <is>
          <t>500252</t>
        </is>
      </c>
    </row>
    <row r="239">
      <c r="A239" s="30" t="inlineStr">
        <is>
          <t>CHENNPETRO</t>
        </is>
      </c>
      <c r="B239" s="30" t="inlineStr">
        <is>
          <t>Chennai Petroleum Corporation Limited</t>
        </is>
      </c>
      <c r="C239" s="30" t="inlineStr">
        <is>
          <t>energy</t>
        </is>
      </c>
      <c r="D239" s="30" t="inlineStr">
        <is>
          <t>refineries</t>
        </is>
      </c>
      <c r="E239" s="30" t="inlineStr">
        <is>
          <t>midcap</t>
        </is>
      </c>
      <c r="F239" s="30" t="n">
        <v>17729.39</v>
      </c>
      <c r="G239" s="30" t="n">
        <v>1181.4</v>
      </c>
      <c r="H239" s="30" t="n">
        <v>-0.77</v>
      </c>
      <c r="I239" s="30" t="n">
        <v>1196141</v>
      </c>
      <c r="J239" s="30" t="inlineStr">
        <is>
          <t>500110</t>
        </is>
      </c>
    </row>
    <row r="240">
      <c r="A240" s="30" t="inlineStr">
        <is>
          <t>PGIL</t>
        </is>
      </c>
      <c r="B240" s="30" t="inlineStr">
        <is>
          <t>Pearl Global Industries Limited</t>
        </is>
      </c>
      <c r="C240" s="30" t="inlineStr">
        <is>
          <t>consumer discretionary</t>
        </is>
      </c>
      <c r="D240" s="30" t="inlineStr">
        <is>
          <t>textiles - products</t>
        </is>
      </c>
      <c r="E240" s="30" t="inlineStr">
        <is>
          <t>midcap</t>
        </is>
      </c>
      <c r="F240" s="30" t="n">
        <v>7746.53</v>
      </c>
      <c r="G240" s="30" t="n">
        <v>1665.6</v>
      </c>
      <c r="H240" s="30" t="n">
        <v>-0.78</v>
      </c>
      <c r="I240" s="30" t="n">
        <v>20715</v>
      </c>
      <c r="J240" s="30" t="inlineStr">
        <is>
          <t>532808</t>
        </is>
      </c>
    </row>
    <row r="241">
      <c r="A241" s="30" t="inlineStr">
        <is>
          <t>WELSPUNLIV</t>
        </is>
      </c>
      <c r="B241" s="30" t="inlineStr">
        <is>
          <t>Welspun Living Ltd</t>
        </is>
      </c>
      <c r="C241" s="30" t="inlineStr">
        <is>
          <t>textiles</t>
        </is>
      </c>
      <c r="D241" s="30" t="inlineStr">
        <is>
          <t>textiles - products</t>
        </is>
      </c>
      <c r="E241" s="30" t="inlineStr">
        <is>
          <t>midcap</t>
        </is>
      </c>
      <c r="F241" s="30" t="n">
        <v>13838.65</v>
      </c>
      <c r="G241" s="30" t="n">
        <v>143.13</v>
      </c>
      <c r="H241" s="30" t="n">
        <v>-0.8</v>
      </c>
      <c r="I241" s="30" t="n">
        <v>637847</v>
      </c>
      <c r="J241" s="30" t="inlineStr">
        <is>
          <t>514162</t>
        </is>
      </c>
    </row>
    <row r="242">
      <c r="A242" s="30" t="inlineStr">
        <is>
          <t>HIRECT</t>
        </is>
      </c>
      <c r="B242" s="30" t="inlineStr">
        <is>
          <t>Hind Rectifiers Limited</t>
        </is>
      </c>
      <c r="C242" s="30" t="inlineStr">
        <is>
          <t>consumer discretionary</t>
        </is>
      </c>
      <c r="D242" s="30" t="inlineStr">
        <is>
          <t>electronics - components</t>
        </is>
      </c>
      <c r="E242" s="30" t="inlineStr">
        <is>
          <t>smallcap</t>
        </is>
      </c>
      <c r="F242" s="30" t="n">
        <v>3910.35</v>
      </c>
      <c r="G242" s="30" t="n">
        <v>1128.4</v>
      </c>
      <c r="H242" s="30" t="n">
        <v>-0.83</v>
      </c>
      <c r="I242" s="30" t="n">
        <v>137804</v>
      </c>
      <c r="J242" s="30" t="inlineStr">
        <is>
          <t>504036</t>
        </is>
      </c>
    </row>
    <row r="243">
      <c r="A243" s="30" t="inlineStr">
        <is>
          <t>VINCOFE</t>
        </is>
      </c>
      <c r="B243" s="30" t="inlineStr">
        <is>
          <t>Vintage Coffee &amp; Beverages Ltd</t>
        </is>
      </c>
      <c r="C243" s="30" t="inlineStr">
        <is>
          <t>consumer discretionary</t>
        </is>
      </c>
      <c r="D243" s="30" t="inlineStr">
        <is>
          <t>trading</t>
        </is>
      </c>
      <c r="E243" s="30" t="inlineStr">
        <is>
          <t>smallcap</t>
        </is>
      </c>
      <c r="F243" s="30" t="n">
        <v>2190.13</v>
      </c>
      <c r="G243" s="30" t="n">
        <v>149.07</v>
      </c>
      <c r="H243" s="30" t="n">
        <v>-0.84</v>
      </c>
      <c r="I243" s="30" t="n">
        <v>1110416</v>
      </c>
      <c r="J243" s="30" t="inlineStr">
        <is>
          <t>538920</t>
        </is>
      </c>
    </row>
    <row r="244">
      <c r="A244" s="30" t="inlineStr">
        <is>
          <t>PTCIL</t>
        </is>
      </c>
      <c r="B244" s="30" t="inlineStr">
        <is>
          <t>PTC Industries Ltd</t>
        </is>
      </c>
      <c r="C244" s="30" t="inlineStr">
        <is>
          <t>industrials</t>
        </is>
      </c>
      <c r="D244" s="30" t="inlineStr">
        <is>
          <t>castings &amp; forgings</t>
        </is>
      </c>
      <c r="E244" s="30" t="inlineStr">
        <is>
          <t>largecap</t>
        </is>
      </c>
      <c r="F244" s="30" t="n">
        <v>28018.08</v>
      </c>
      <c r="G244" s="30" t="n">
        <v>18523</v>
      </c>
      <c r="H244" s="30" t="n">
        <v>-0.88</v>
      </c>
      <c r="I244" s="30" t="n">
        <v>37505</v>
      </c>
      <c r="J244" s="30" t="inlineStr">
        <is>
          <t>539006</t>
        </is>
      </c>
    </row>
    <row r="245">
      <c r="A245" s="30" t="inlineStr">
        <is>
          <t>THERMAX</t>
        </is>
      </c>
      <c r="B245" s="30" t="inlineStr">
        <is>
          <t>Thermax Limited</t>
        </is>
      </c>
      <c r="C245" s="30" t="inlineStr">
        <is>
          <t>industrials</t>
        </is>
      </c>
      <c r="D245" s="30" t="inlineStr">
        <is>
          <t>electric equipment</t>
        </is>
      </c>
      <c r="E245" s="30" t="inlineStr">
        <is>
          <t>largecap</t>
        </is>
      </c>
      <c r="F245" s="30" t="n">
        <v>58099.42</v>
      </c>
      <c r="G245" s="30" t="n">
        <v>4832.1</v>
      </c>
      <c r="H245" s="30" t="n">
        <v>-0.9</v>
      </c>
      <c r="I245" s="30" t="n">
        <v>203060</v>
      </c>
      <c r="J245" s="30" t="inlineStr">
        <is>
          <t>500411</t>
        </is>
      </c>
    </row>
    <row r="246">
      <c r="A246" s="30" t="inlineStr">
        <is>
          <t>RANEHOLDIN</t>
        </is>
      </c>
      <c r="B246" s="30" t="inlineStr">
        <is>
          <t>Rane Holdings Limited</t>
        </is>
      </c>
      <c r="C246" s="30" t="inlineStr">
        <is>
          <t>financials</t>
        </is>
      </c>
      <c r="D246" s="30" t="inlineStr">
        <is>
          <t>finance &amp; investments</t>
        </is>
      </c>
      <c r="E246" s="30" t="inlineStr">
        <is>
          <t>smallcap</t>
        </is>
      </c>
      <c r="F246" s="30" t="n">
        <v>2083.7</v>
      </c>
      <c r="G246" s="30" t="n">
        <v>1446.2</v>
      </c>
      <c r="H246" s="30" t="n">
        <v>-0.9</v>
      </c>
      <c r="I246" s="30" t="n">
        <v>9054</v>
      </c>
      <c r="J246" s="30" t="inlineStr">
        <is>
          <t>505800</t>
        </is>
      </c>
    </row>
    <row r="247">
      <c r="A247" s="30" t="inlineStr">
        <is>
          <t>FEDFINA</t>
        </is>
      </c>
      <c r="B247" s="30" t="inlineStr">
        <is>
          <t>Fedbank Financial Services Ltd</t>
        </is>
      </c>
      <c r="C247" s="30" t="inlineStr">
        <is>
          <t>financials</t>
        </is>
      </c>
      <c r="D247" s="30" t="inlineStr">
        <is>
          <t>finance &amp; investments</t>
        </is>
      </c>
      <c r="E247" s="30" t="inlineStr">
        <is>
          <t>midcap</t>
        </is>
      </c>
      <c r="F247" s="30" t="n">
        <v>6064.01</v>
      </c>
      <c r="G247" s="30" t="n">
        <v>160.58</v>
      </c>
      <c r="H247" s="30" t="n">
        <v>-0.91</v>
      </c>
      <c r="I247" s="30" t="n">
        <v>790024</v>
      </c>
      <c r="J247" s="30" t="inlineStr">
        <is>
          <t>544027</t>
        </is>
      </c>
    </row>
    <row r="248">
      <c r="A248" s="30" t="inlineStr">
        <is>
          <t>TRITURBINE</t>
        </is>
      </c>
      <c r="B248" s="30" t="inlineStr">
        <is>
          <t>Triveni Turbine Limited</t>
        </is>
      </c>
      <c r="C248" s="30" t="inlineStr">
        <is>
          <t>industrials</t>
        </is>
      </c>
      <c r="D248" s="30" t="inlineStr">
        <is>
          <t>electric equipment</t>
        </is>
      </c>
      <c r="E248" s="30" t="inlineStr">
        <is>
          <t>largecap</t>
        </is>
      </c>
      <c r="F248" s="30" t="n">
        <v>22042.84</v>
      </c>
      <c r="G248" s="30" t="n">
        <v>686.9</v>
      </c>
      <c r="H248" s="30" t="n">
        <v>-0.9399999999999999</v>
      </c>
      <c r="I248" s="30" t="n">
        <v>664837</v>
      </c>
      <c r="J248" s="30" t="inlineStr">
        <is>
          <t>533655</t>
        </is>
      </c>
    </row>
    <row r="249">
      <c r="A249" s="30" t="inlineStr">
        <is>
          <t>OMAXAUTO</t>
        </is>
      </c>
      <c r="B249" s="30" t="inlineStr">
        <is>
          <t>Omax Autos Limited</t>
        </is>
      </c>
      <c r="C249" s="30" t="inlineStr">
        <is>
          <t>auto</t>
        </is>
      </c>
      <c r="D249" s="30" t="inlineStr">
        <is>
          <t>auto ancillaries</t>
        </is>
      </c>
      <c r="E249" s="30" t="inlineStr">
        <is>
          <t>smallcap</t>
        </is>
      </c>
      <c r="F249" s="30" t="n">
        <v>506.86</v>
      </c>
      <c r="G249" s="30" t="n">
        <v>234.72</v>
      </c>
      <c r="H249" s="30" t="n">
        <v>-0.95</v>
      </c>
      <c r="I249" s="30" t="n">
        <v>38331</v>
      </c>
      <c r="J249" s="30" t="inlineStr">
        <is>
          <t>520021</t>
        </is>
      </c>
    </row>
    <row r="250">
      <c r="A250" s="30" t="inlineStr">
        <is>
          <t>EXIDEIND</t>
        </is>
      </c>
      <c r="B250" s="30" t="inlineStr">
        <is>
          <t>Exide Industries Limited</t>
        </is>
      </c>
      <c r="C250" s="30" t="inlineStr">
        <is>
          <t>auto</t>
        </is>
      </c>
      <c r="D250" s="30" t="inlineStr">
        <is>
          <t>auto ancillaries</t>
        </is>
      </c>
      <c r="E250" s="30" t="inlineStr">
        <is>
          <t>largecap</t>
        </is>
      </c>
      <c r="F250" s="30" t="n">
        <v>34289</v>
      </c>
      <c r="G250" s="30" t="n">
        <v>399.55</v>
      </c>
      <c r="H250" s="30" t="n">
        <v>-0.95</v>
      </c>
      <c r="I250" s="30" t="n">
        <v>2825564</v>
      </c>
      <c r="J250" s="30" t="inlineStr">
        <is>
          <t>500086</t>
        </is>
      </c>
    </row>
    <row r="251">
      <c r="A251" s="30" t="inlineStr">
        <is>
          <t>CYIENTDLM</t>
        </is>
      </c>
      <c r="B251" s="30" t="inlineStr">
        <is>
          <t>Cyient DLM Ltd</t>
        </is>
      </c>
      <c r="C251" s="30" t="inlineStr">
        <is>
          <t>consumer discretionary</t>
        </is>
      </c>
      <c r="D251" s="30" t="inlineStr">
        <is>
          <t>electronics - components</t>
        </is>
      </c>
      <c r="E251" s="30" t="inlineStr">
        <is>
          <t>smallcap</t>
        </is>
      </c>
      <c r="F251" s="30" t="n">
        <v>3633.3</v>
      </c>
      <c r="G251" s="30" t="n">
        <v>453.4</v>
      </c>
      <c r="H251" s="30" t="n">
        <v>-0.96</v>
      </c>
      <c r="I251" s="30" t="n">
        <v>117332</v>
      </c>
      <c r="J251" s="30" t="inlineStr">
        <is>
          <t>543933</t>
        </is>
      </c>
    </row>
    <row r="252">
      <c r="A252" s="30" t="inlineStr">
        <is>
          <t>TDPOWERSYS</t>
        </is>
      </c>
      <c r="B252" s="30" t="inlineStr">
        <is>
          <t>Td Power Systems Limited</t>
        </is>
      </c>
      <c r="C252" s="30" t="inlineStr">
        <is>
          <t>industrials</t>
        </is>
      </c>
      <c r="D252" s="30" t="inlineStr">
        <is>
          <t>electric equipment</t>
        </is>
      </c>
      <c r="E252" s="30" t="inlineStr">
        <is>
          <t>largecap</t>
        </is>
      </c>
      <c r="F252" s="30" t="n">
        <v>20706.28</v>
      </c>
      <c r="G252" s="30" t="n">
        <v>1312.8</v>
      </c>
      <c r="H252" s="30" t="n">
        <v>-0.96</v>
      </c>
      <c r="I252" s="30" t="n">
        <v>686757</v>
      </c>
      <c r="J252" s="30" t="inlineStr">
        <is>
          <t>533553</t>
        </is>
      </c>
    </row>
    <row r="253">
      <c r="A253" s="30" t="inlineStr">
        <is>
          <t>PRECOT</t>
        </is>
      </c>
      <c r="B253" s="30" t="inlineStr">
        <is>
          <t>Precot Meridian Limited</t>
        </is>
      </c>
      <c r="C253" s="30" t="inlineStr">
        <is>
          <t>textiles</t>
        </is>
      </c>
      <c r="D253" s="30" t="inlineStr">
        <is>
          <t>textiles - cotton/blended</t>
        </is>
      </c>
      <c r="E253" s="30" t="inlineStr">
        <is>
          <t>smallcap</t>
        </is>
      </c>
      <c r="F253" s="30" t="n">
        <v>918.78</v>
      </c>
      <c r="G253" s="30" t="n">
        <v>758.25</v>
      </c>
      <c r="H253" s="30" t="n">
        <v>-0.97</v>
      </c>
      <c r="I253" s="30" t="n">
        <v>3619</v>
      </c>
      <c r="J253" s="30" t="inlineStr">
        <is>
          <t>521184</t>
        </is>
      </c>
    </row>
    <row r="254">
      <c r="A254" s="30" t="inlineStr">
        <is>
          <t>FIEMIND</t>
        </is>
      </c>
      <c r="B254" s="30" t="inlineStr">
        <is>
          <t>Fiem Industries Limited</t>
        </is>
      </c>
      <c r="C254" s="30" t="inlineStr">
        <is>
          <t>auto</t>
        </is>
      </c>
      <c r="D254" s="30" t="inlineStr">
        <is>
          <t>auto ancillaries</t>
        </is>
      </c>
      <c r="E254" s="30" t="inlineStr">
        <is>
          <t>midcap</t>
        </is>
      </c>
      <c r="F254" s="30" t="n">
        <v>6142.48</v>
      </c>
      <c r="G254" s="30" t="n">
        <v>2311.2</v>
      </c>
      <c r="H254" s="30" t="n">
        <v>-0.97</v>
      </c>
      <c r="I254" s="30" t="n">
        <v>95607</v>
      </c>
      <c r="J254" s="30" t="inlineStr">
        <is>
          <t>532768</t>
        </is>
      </c>
    </row>
    <row r="255">
      <c r="A255" s="30" t="inlineStr">
        <is>
          <t>VBL</t>
        </is>
      </c>
      <c r="B255" s="30" t="inlineStr">
        <is>
          <t>Varun Beverages Limited</t>
        </is>
      </c>
      <c r="C255" s="30" t="inlineStr">
        <is>
          <t>fmcg</t>
        </is>
      </c>
      <c r="D255" s="30" t="inlineStr">
        <is>
          <t>food - processing - indian</t>
        </is>
      </c>
      <c r="E255" s="30" t="inlineStr">
        <is>
          <t>largecap</t>
        </is>
      </c>
      <c r="F255" s="30" t="n">
        <v>178709.87</v>
      </c>
      <c r="G255" s="30" t="n">
        <v>523.3</v>
      </c>
      <c r="H255" s="30" t="n">
        <v>-0.97</v>
      </c>
      <c r="I255" s="30" t="n">
        <v>3217921</v>
      </c>
      <c r="J255" s="30" t="inlineStr">
        <is>
          <t>540180</t>
        </is>
      </c>
    </row>
    <row r="256">
      <c r="A256" s="30" t="inlineStr">
        <is>
          <t>JSWENERGY</t>
        </is>
      </c>
      <c r="B256" s="30" t="inlineStr">
        <is>
          <t>Jsw Energy Limited</t>
        </is>
      </c>
      <c r="C256" s="30" t="inlineStr">
        <is>
          <t>power &amp; utilities</t>
        </is>
      </c>
      <c r="D256" s="30" t="inlineStr">
        <is>
          <t>power generation and supply</t>
        </is>
      </c>
      <c r="E256" s="30" t="inlineStr">
        <is>
          <t>largecap</t>
        </is>
      </c>
      <c r="F256" s="30" t="n">
        <v>108184.65</v>
      </c>
      <c r="G256" s="30" t="n">
        <v>584.2</v>
      </c>
      <c r="H256" s="30" t="n">
        <v>-0.99</v>
      </c>
      <c r="I256" s="30" t="n">
        <v>1509598</v>
      </c>
      <c r="J256" s="30" t="inlineStr">
        <is>
          <t>533148</t>
        </is>
      </c>
    </row>
    <row r="257">
      <c r="A257" s="30" t="inlineStr">
        <is>
          <t>WELCORP</t>
        </is>
      </c>
      <c r="B257" s="30" t="inlineStr">
        <is>
          <t>Welspun Corp Limited</t>
        </is>
      </c>
      <c r="C257" s="30" t="inlineStr">
        <is>
          <t>industrials</t>
        </is>
      </c>
      <c r="D257" s="30" t="inlineStr">
        <is>
          <t>steel - large</t>
        </is>
      </c>
      <c r="E257" s="30" t="inlineStr">
        <is>
          <t>largecap</t>
        </is>
      </c>
      <c r="F257" s="30" t="n">
        <v>37001.91</v>
      </c>
      <c r="G257" s="30" t="n">
        <v>1388.8</v>
      </c>
      <c r="H257" s="30" t="n">
        <v>-0.99</v>
      </c>
      <c r="I257" s="30" t="n">
        <v>498958</v>
      </c>
      <c r="J257" s="30" t="inlineStr">
        <is>
          <t>532144</t>
        </is>
      </c>
    </row>
    <row r="258">
      <c r="A258" s="30" t="inlineStr">
        <is>
          <t>TALBROAUTO</t>
        </is>
      </c>
      <c r="B258" s="30" t="inlineStr">
        <is>
          <t>Talbros Automotive Components Limited</t>
        </is>
      </c>
      <c r="C258" s="30" t="inlineStr">
        <is>
          <t>auto</t>
        </is>
      </c>
      <c r="D258" s="30" t="inlineStr">
        <is>
          <t>auto ancillaries</t>
        </is>
      </c>
      <c r="E258" s="30" t="inlineStr">
        <is>
          <t>smallcap</t>
        </is>
      </c>
      <c r="F258" s="30" t="n">
        <v>2187.03</v>
      </c>
      <c r="G258" s="30" t="n">
        <v>350.75</v>
      </c>
      <c r="H258" s="30" t="n">
        <v>-1</v>
      </c>
      <c r="I258" s="30" t="n">
        <v>199616</v>
      </c>
      <c r="J258" s="30" t="inlineStr">
        <is>
          <t>505160</t>
        </is>
      </c>
    </row>
    <row r="259">
      <c r="A259" s="30" t="inlineStr">
        <is>
          <t>NITINSPIN</t>
        </is>
      </c>
      <c r="B259" s="30" t="inlineStr">
        <is>
          <t>Nitin Spinners Limited</t>
        </is>
      </c>
      <c r="C259" s="30" t="inlineStr">
        <is>
          <t>textiles</t>
        </is>
      </c>
      <c r="D259" s="30" t="inlineStr">
        <is>
          <t>textiles - cotton/blended</t>
        </is>
      </c>
      <c r="E259" s="30" t="inlineStr">
        <is>
          <t>smallcap</t>
        </is>
      </c>
      <c r="F259" s="30" t="n">
        <v>3044.59</v>
      </c>
      <c r="G259" s="30" t="n">
        <v>535.8</v>
      </c>
      <c r="H259" s="30" t="n">
        <v>-1.06</v>
      </c>
      <c r="I259" s="30" t="n">
        <v>342486</v>
      </c>
      <c r="J259" s="30" t="inlineStr">
        <is>
          <t>532698</t>
        </is>
      </c>
    </row>
    <row r="260">
      <c r="A260" s="30" t="inlineStr">
        <is>
          <t>SBC</t>
        </is>
      </c>
      <c r="B260" s="30" t="inlineStr">
        <is>
          <t>SBC Exports Ltd</t>
        </is>
      </c>
      <c r="C260" s="30" t="inlineStr">
        <is>
          <t>textiles</t>
        </is>
      </c>
      <c r="D260" s="30" t="inlineStr">
        <is>
          <t>textiles - products</t>
        </is>
      </c>
      <c r="E260" s="30" t="inlineStr">
        <is>
          <t>smallcap</t>
        </is>
      </c>
      <c r="F260" s="30" t="n">
        <v>1785.71</v>
      </c>
      <c r="G260" s="30" t="n">
        <v>37.1</v>
      </c>
      <c r="H260" s="30" t="n">
        <v>-1.07</v>
      </c>
      <c r="I260" s="30" t="n">
        <v>14817177</v>
      </c>
      <c r="J260" s="30" t="inlineStr">
        <is>
          <t>542725</t>
        </is>
      </c>
    </row>
    <row r="261">
      <c r="A261" s="30" t="inlineStr">
        <is>
          <t>INDNIPPON</t>
        </is>
      </c>
      <c r="B261" s="30" t="inlineStr">
        <is>
          <t>India Nippon Electricals Limited</t>
        </is>
      </c>
      <c r="C261" s="30" t="inlineStr">
        <is>
          <t>auto</t>
        </is>
      </c>
      <c r="D261" s="30" t="inlineStr">
        <is>
          <t>auto ancillaries</t>
        </is>
      </c>
      <c r="E261" s="30" t="inlineStr">
        <is>
          <t>smallcap</t>
        </is>
      </c>
      <c r="F261" s="30" t="n">
        <v>2072.01</v>
      </c>
      <c r="G261" s="30" t="n">
        <v>905.9</v>
      </c>
      <c r="H261" s="30" t="n">
        <v>-1.1</v>
      </c>
      <c r="I261" s="30" t="n">
        <v>34230</v>
      </c>
      <c r="J261" s="30" t="inlineStr">
        <is>
          <t>532240</t>
        </is>
      </c>
    </row>
    <row r="262">
      <c r="A262" s="30" t="inlineStr">
        <is>
          <t>CRAFTSMAN</t>
        </is>
      </c>
      <c r="B262" s="30" t="inlineStr">
        <is>
          <t>Craftsman Automation Ltd</t>
        </is>
      </c>
      <c r="C262" s="30" t="inlineStr">
        <is>
          <t>auto</t>
        </is>
      </c>
      <c r="D262" s="30" t="inlineStr">
        <is>
          <t>auto ancillaries</t>
        </is>
      </c>
      <c r="E262" s="30" t="inlineStr">
        <is>
          <t>largecap</t>
        </is>
      </c>
      <c r="F262" s="30" t="n">
        <v>21885.11</v>
      </c>
      <c r="G262" s="30" t="n">
        <v>9065</v>
      </c>
      <c r="H262" s="30" t="n">
        <v>-1.19</v>
      </c>
      <c r="I262" s="30" t="n">
        <v>37933</v>
      </c>
      <c r="J262" s="30" t="inlineStr">
        <is>
          <t>543276</t>
        </is>
      </c>
    </row>
    <row r="263">
      <c r="A263" s="30" t="inlineStr">
        <is>
          <t>BAJAJCON</t>
        </is>
      </c>
      <c r="B263" s="30" t="inlineStr">
        <is>
          <t>Bajaj Consumer Care Ltd</t>
        </is>
      </c>
      <c r="C263" s="30" t="inlineStr">
        <is>
          <t>fmcg</t>
        </is>
      </c>
      <c r="D263" s="30" t="inlineStr">
        <is>
          <t>personal care - indian</t>
        </is>
      </c>
      <c r="E263" s="30" t="inlineStr">
        <is>
          <t>midcap</t>
        </is>
      </c>
      <c r="F263" s="30" t="n">
        <v>7298.95</v>
      </c>
      <c r="G263" s="30" t="n">
        <v>552.05</v>
      </c>
      <c r="H263" s="30" t="n">
        <v>-1.21</v>
      </c>
      <c r="I263" s="30" t="n">
        <v>485590</v>
      </c>
      <c r="J263" s="30" t="inlineStr">
        <is>
          <t>533229</t>
        </is>
      </c>
    </row>
    <row r="264">
      <c r="A264" s="30" t="inlineStr">
        <is>
          <t>UNIVCABLES</t>
        </is>
      </c>
      <c r="B264" s="30" t="inlineStr">
        <is>
          <t>Universal Cables Limited</t>
        </is>
      </c>
      <c r="C264" s="30" t="inlineStr">
        <is>
          <t>industrials</t>
        </is>
      </c>
      <c r="D264" s="30" t="inlineStr">
        <is>
          <t>cables - power</t>
        </is>
      </c>
      <c r="E264" s="30" t="inlineStr">
        <is>
          <t>smallcap</t>
        </is>
      </c>
      <c r="F264" s="30" t="n">
        <v>4311.6</v>
      </c>
      <c r="G264" s="30" t="n">
        <v>1227.5</v>
      </c>
      <c r="H264" s="30" t="n">
        <v>-1.22</v>
      </c>
      <c r="I264" s="30" t="n">
        <v>278223</v>
      </c>
      <c r="J264" s="30" t="inlineStr">
        <is>
          <t>504212</t>
        </is>
      </c>
    </row>
    <row r="265">
      <c r="A265" s="30" t="inlineStr">
        <is>
          <t>SANDHAR</t>
        </is>
      </c>
      <c r="B265" s="30" t="inlineStr">
        <is>
          <t>Sandhar Technologies Limited</t>
        </is>
      </c>
      <c r="C265" s="30" t="inlineStr">
        <is>
          <t>auto</t>
        </is>
      </c>
      <c r="D265" s="30" t="inlineStr">
        <is>
          <t>auto ancillaries</t>
        </is>
      </c>
      <c r="E265" s="30" t="inlineStr">
        <is>
          <t>smallcap</t>
        </is>
      </c>
      <c r="F265" s="30" t="n">
        <v>4284.07</v>
      </c>
      <c r="G265" s="30" t="n">
        <v>703.1</v>
      </c>
      <c r="H265" s="30" t="n">
        <v>-1.22</v>
      </c>
      <c r="I265" s="30" t="n">
        <v>222897</v>
      </c>
      <c r="J265" s="30" t="inlineStr">
        <is>
          <t>541163</t>
        </is>
      </c>
    </row>
    <row r="266">
      <c r="A266" s="30" t="inlineStr">
        <is>
          <t>VENUSPIPES</t>
        </is>
      </c>
      <c r="B266" s="30" t="inlineStr">
        <is>
          <t>Venus Pipes &amp; Tubes Ltd</t>
        </is>
      </c>
      <c r="C266" s="30" t="inlineStr">
        <is>
          <t>metals &amp; mining</t>
        </is>
      </c>
      <c r="D266" s="30" t="inlineStr">
        <is>
          <t>steel - medium / small</t>
        </is>
      </c>
      <c r="E266" s="30" t="inlineStr">
        <is>
          <t>smallcap</t>
        </is>
      </c>
      <c r="F266" s="30" t="n">
        <v>3040.71</v>
      </c>
      <c r="G266" s="30" t="n">
        <v>1449</v>
      </c>
      <c r="H266" s="30" t="n">
        <v>-1.28</v>
      </c>
      <c r="I266" s="30" t="n">
        <v>54780</v>
      </c>
      <c r="J266" s="30" t="inlineStr">
        <is>
          <t>543528</t>
        </is>
      </c>
    </row>
    <row r="267">
      <c r="A267" s="30" t="inlineStr">
        <is>
          <t>XPROINDIA</t>
        </is>
      </c>
      <c r="B267" s="30" t="inlineStr">
        <is>
          <t>Xpro India Limited</t>
        </is>
      </c>
      <c r="C267" s="30" t="inlineStr">
        <is>
          <t>industrials</t>
        </is>
      </c>
      <c r="D267" s="30" t="inlineStr">
        <is>
          <t>packaging</t>
        </is>
      </c>
      <c r="E267" s="30" t="inlineStr">
        <is>
          <t>smallcap</t>
        </is>
      </c>
      <c r="F267" s="30" t="n">
        <v>2783.35</v>
      </c>
      <c r="G267" s="30" t="n">
        <v>1170.7</v>
      </c>
      <c r="H267" s="30" t="n">
        <v>-1.28</v>
      </c>
      <c r="I267" s="30" t="n">
        <v>35570</v>
      </c>
      <c r="J267" s="30" t="inlineStr">
        <is>
          <t>590013</t>
        </is>
      </c>
    </row>
    <row r="268">
      <c r="A268" s="30" t="inlineStr">
        <is>
          <t>USHAMART</t>
        </is>
      </c>
      <c r="B268" s="30" t="inlineStr">
        <is>
          <t>Usha Martin Limited</t>
        </is>
      </c>
      <c r="C268" s="30" t="inlineStr">
        <is>
          <t>metals &amp; mining</t>
        </is>
      </c>
      <c r="D268" s="30" t="inlineStr">
        <is>
          <t>steel - medium / small</t>
        </is>
      </c>
      <c r="E268" s="30" t="inlineStr">
        <is>
          <t>midcap</t>
        </is>
      </c>
      <c r="F268" s="30" t="n">
        <v>15840.49</v>
      </c>
      <c r="G268" s="30" t="n">
        <v>513.1</v>
      </c>
      <c r="H268" s="30" t="n">
        <v>-1.29</v>
      </c>
      <c r="I268" s="30" t="n">
        <v>550452</v>
      </c>
      <c r="J268" s="30" t="inlineStr">
        <is>
          <t>517146</t>
        </is>
      </c>
    </row>
    <row r="269">
      <c r="A269" s="30" t="inlineStr">
        <is>
          <t>CEMPRO</t>
        </is>
      </c>
      <c r="B269" s="30" t="inlineStr">
        <is>
          <t>Cemindia Projects Ltd</t>
        </is>
      </c>
      <c r="C269" s="30" t="inlineStr">
        <is>
          <t>realty</t>
        </is>
      </c>
      <c r="D269" s="30" t="inlineStr">
        <is>
          <t>construction</t>
        </is>
      </c>
      <c r="E269" s="30" t="inlineStr">
        <is>
          <t>midcap</t>
        </is>
      </c>
      <c r="F269" s="30" t="n">
        <v>19365.61</v>
      </c>
      <c r="G269" s="30" t="n">
        <v>1112.8</v>
      </c>
      <c r="H269" s="30" t="n">
        <v>-1.29</v>
      </c>
      <c r="I269" s="30" t="n">
        <v>1192068</v>
      </c>
      <c r="J269" s="30" t="inlineStr">
        <is>
          <t>509496</t>
        </is>
      </c>
    </row>
    <row r="270">
      <c r="A270" s="30" t="inlineStr">
        <is>
          <t>RML</t>
        </is>
      </c>
      <c r="B270" s="30" t="inlineStr">
        <is>
          <t>Rane (madras) Limited</t>
        </is>
      </c>
      <c r="C270" s="30" t="inlineStr">
        <is>
          <t>auto</t>
        </is>
      </c>
      <c r="D270" s="30" t="inlineStr">
        <is>
          <t>auto ancillaries</t>
        </is>
      </c>
      <c r="E270" s="30" t="inlineStr">
        <is>
          <t>smallcap</t>
        </is>
      </c>
      <c r="F270" s="30" t="n">
        <v>2524.24</v>
      </c>
      <c r="G270" s="30" t="n">
        <v>901.45</v>
      </c>
      <c r="H270" s="30" t="n">
        <v>-1.3</v>
      </c>
      <c r="I270" s="30" t="n">
        <v>8995</v>
      </c>
      <c r="J270" s="30" t="inlineStr">
        <is>
          <t>532661</t>
        </is>
      </c>
    </row>
    <row r="271">
      <c r="A271" s="30" t="inlineStr">
        <is>
          <t>TEGA</t>
        </is>
      </c>
      <c r="B271" s="30" t="inlineStr">
        <is>
          <t>Tega Industries Ltd</t>
        </is>
      </c>
      <c r="C271" s="30" t="inlineStr">
        <is>
          <t>industrials</t>
        </is>
      </c>
      <c r="D271" s="30" t="inlineStr">
        <is>
          <t>engineering</t>
        </is>
      </c>
      <c r="E271" s="30" t="inlineStr">
        <is>
          <t>midcap</t>
        </is>
      </c>
      <c r="F271" s="30" t="n">
        <v>14065.41</v>
      </c>
      <c r="G271" s="30" t="n">
        <v>1847.7</v>
      </c>
      <c r="H271" s="30" t="n">
        <v>-1.31</v>
      </c>
      <c r="I271" s="30" t="n">
        <v>75661</v>
      </c>
      <c r="J271" s="30" t="inlineStr">
        <is>
          <t>543413</t>
        </is>
      </c>
    </row>
    <row r="272">
      <c r="A272" s="30" t="inlineStr">
        <is>
          <t>ICIL</t>
        </is>
      </c>
      <c r="B272" s="30" t="inlineStr">
        <is>
          <t>Indo Count Industries Limited</t>
        </is>
      </c>
      <c r="C272" s="30" t="inlineStr">
        <is>
          <t>textiles</t>
        </is>
      </c>
      <c r="D272" s="30" t="inlineStr">
        <is>
          <t>textiles - cotton/blended</t>
        </is>
      </c>
      <c r="E272" s="30" t="inlineStr">
        <is>
          <t>midcap</t>
        </is>
      </c>
      <c r="F272" s="30" t="n">
        <v>6597.19</v>
      </c>
      <c r="G272" s="30" t="n">
        <v>328.6</v>
      </c>
      <c r="H272" s="30" t="n">
        <v>-1.35</v>
      </c>
      <c r="I272" s="30" t="n">
        <v>298662</v>
      </c>
      <c r="J272" s="30" t="inlineStr">
        <is>
          <t>521016</t>
        </is>
      </c>
    </row>
    <row r="273">
      <c r="A273" s="30" t="inlineStr">
        <is>
          <t>SOUTHBANK</t>
        </is>
      </c>
      <c r="B273" s="30" t="inlineStr">
        <is>
          <t>The South Indian Bank Limited</t>
        </is>
      </c>
      <c r="C273" s="30" t="inlineStr">
        <is>
          <t>bank</t>
        </is>
      </c>
      <c r="D273" s="30" t="inlineStr">
        <is>
          <t>banks - private sector</t>
        </is>
      </c>
      <c r="E273" s="30" t="inlineStr">
        <is>
          <t>midcap</t>
        </is>
      </c>
      <c r="F273" s="30" t="n">
        <v>11676.97</v>
      </c>
      <c r="G273" s="30" t="n">
        <v>44</v>
      </c>
      <c r="H273" s="30" t="n">
        <v>-1.37</v>
      </c>
      <c r="I273" s="30" t="n">
        <v>15745980</v>
      </c>
      <c r="J273" s="30" t="inlineStr">
        <is>
          <t>532218</t>
        </is>
      </c>
    </row>
    <row r="274">
      <c r="A274" s="30" t="inlineStr">
        <is>
          <t>PANAMAPET</t>
        </is>
      </c>
      <c r="B274" s="30" t="inlineStr">
        <is>
          <t>Panama Petrochem Limited</t>
        </is>
      </c>
      <c r="C274" s="30" t="inlineStr">
        <is>
          <t>energy</t>
        </is>
      </c>
      <c r="D274" s="30" t="inlineStr">
        <is>
          <t>petrochemicals</t>
        </is>
      </c>
      <c r="E274" s="30" t="inlineStr">
        <is>
          <t>smallcap</t>
        </is>
      </c>
      <c r="F274" s="30" t="n">
        <v>2114.86</v>
      </c>
      <c r="G274" s="30" t="n">
        <v>344.75</v>
      </c>
      <c r="H274" s="30" t="n">
        <v>-1.39</v>
      </c>
      <c r="I274" s="30" t="n">
        <v>104404</v>
      </c>
      <c r="J274" s="30" t="inlineStr">
        <is>
          <t>524820</t>
        </is>
      </c>
    </row>
    <row r="275">
      <c r="A275" s="30" t="inlineStr">
        <is>
          <t>KDDL</t>
        </is>
      </c>
      <c r="B275" s="30" t="inlineStr">
        <is>
          <t>Kddl Limited</t>
        </is>
      </c>
      <c r="C275" s="30" t="inlineStr">
        <is>
          <t>consumer discretionary</t>
        </is>
      </c>
      <c r="D275" s="30" t="inlineStr">
        <is>
          <t>miscellaneous</t>
        </is>
      </c>
      <c r="E275" s="30" t="inlineStr">
        <is>
          <t>smallcap</t>
        </is>
      </c>
      <c r="F275" s="30" t="n">
        <v>3623.49</v>
      </c>
      <c r="G275" s="30" t="n">
        <v>2904.7</v>
      </c>
      <c r="H275" s="30" t="n">
        <v>-1.41</v>
      </c>
      <c r="I275" s="30" t="n">
        <v>29820</v>
      </c>
      <c r="J275" s="30" t="inlineStr">
        <is>
          <t>532054</t>
        </is>
      </c>
    </row>
    <row r="276">
      <c r="A276" s="30" t="inlineStr">
        <is>
          <t>NAM-INDIA</t>
        </is>
      </c>
      <c r="B276" s="30" t="inlineStr">
        <is>
          <t>Nippon Life India Asset Management Ltd</t>
        </is>
      </c>
      <c r="C276" s="30" t="inlineStr">
        <is>
          <t>financials</t>
        </is>
      </c>
      <c r="D276" s="30" t="inlineStr">
        <is>
          <t>finance &amp; investments</t>
        </is>
      </c>
      <c r="E276" s="30" t="inlineStr">
        <is>
          <t>largecap</t>
        </is>
      </c>
      <c r="F276" s="30" t="n">
        <v>72049.67999999999</v>
      </c>
      <c r="G276" s="30" t="n">
        <v>1113.1</v>
      </c>
      <c r="H276" s="30" t="n">
        <v>-1.42</v>
      </c>
      <c r="I276" s="30" t="n">
        <v>765915</v>
      </c>
      <c r="J276" s="30" t="inlineStr">
        <is>
          <t>540767</t>
        </is>
      </c>
    </row>
    <row r="277">
      <c r="A277" s="30" t="inlineStr">
        <is>
          <t>IBULLSLTD</t>
        </is>
      </c>
      <c r="B277" s="30" t="inlineStr">
        <is>
          <t>Indiabulls Limited</t>
        </is>
      </c>
      <c r="C277" s="30" t="inlineStr">
        <is>
          <t>miscellaneous</t>
        </is>
      </c>
      <c r="D277" s="30" t="inlineStr">
        <is>
          <t>diversified - medium / small</t>
        </is>
      </c>
      <c r="E277" s="30" t="inlineStr">
        <is>
          <t>midcap</t>
        </is>
      </c>
      <c r="F277" s="30" t="n">
        <v>5480.89</v>
      </c>
      <c r="G277" s="30" t="n">
        <v>23.24</v>
      </c>
      <c r="H277" s="30" t="n">
        <v>-1.44</v>
      </c>
      <c r="I277" s="30" t="n">
        <v>5138206</v>
      </c>
      <c r="J277" s="30" t="inlineStr">
        <is>
          <t>533520</t>
        </is>
      </c>
    </row>
    <row r="278">
      <c r="A278" s="30" t="inlineStr">
        <is>
          <t>ARVIND</t>
        </is>
      </c>
      <c r="B278" s="30" t="inlineStr">
        <is>
          <t>Arvind Limited</t>
        </is>
      </c>
      <c r="C278" s="30" t="inlineStr">
        <is>
          <t>textiles</t>
        </is>
      </c>
      <c r="D278" s="30" t="inlineStr">
        <is>
          <t>textiles - cotton/blended</t>
        </is>
      </c>
      <c r="E278" s="30" t="inlineStr">
        <is>
          <t>midcap</t>
        </is>
      </c>
      <c r="F278" s="30" t="n">
        <v>13133.25</v>
      </c>
      <c r="G278" s="30" t="n">
        <v>493.7</v>
      </c>
      <c r="H278" s="30" t="n">
        <v>-1.47</v>
      </c>
      <c r="I278" s="30" t="n">
        <v>613084</v>
      </c>
      <c r="J278" s="30" t="inlineStr">
        <is>
          <t>500101</t>
        </is>
      </c>
    </row>
    <row r="279">
      <c r="A279" s="30" t="inlineStr">
        <is>
          <t>NSLNISP</t>
        </is>
      </c>
      <c r="B279" s="30" t="inlineStr">
        <is>
          <t>NMDC Steel Ltd</t>
        </is>
      </c>
      <c r="C279" s="30" t="inlineStr">
        <is>
          <t>metals &amp; mining</t>
        </is>
      </c>
      <c r="D279" s="30" t="inlineStr">
        <is>
          <t>steel - large</t>
        </is>
      </c>
      <c r="E279" s="30" t="inlineStr">
        <is>
          <t>midcap</t>
        </is>
      </c>
      <c r="F279" s="30" t="n">
        <v>14864.03</v>
      </c>
      <c r="G279" s="30" t="n">
        <v>49.96</v>
      </c>
      <c r="H279" s="30" t="n">
        <v>-1.5</v>
      </c>
      <c r="I279" s="30" t="n">
        <v>10292290</v>
      </c>
      <c r="J279" s="30" t="inlineStr">
        <is>
          <t>543768</t>
        </is>
      </c>
    </row>
    <row r="280">
      <c r="A280" s="30" t="inlineStr">
        <is>
          <t>ANGELONE</t>
        </is>
      </c>
      <c r="B280" s="30" t="inlineStr">
        <is>
          <t>Angel One Ltd</t>
        </is>
      </c>
      <c r="C280" s="30" t="inlineStr">
        <is>
          <t>financials</t>
        </is>
      </c>
      <c r="D280" s="30" t="inlineStr">
        <is>
          <t>finance &amp; investments</t>
        </is>
      </c>
      <c r="E280" s="30" t="inlineStr">
        <is>
          <t>largecap</t>
        </is>
      </c>
      <c r="F280" s="30" t="n">
        <v>30759.72</v>
      </c>
      <c r="G280" s="30" t="n">
        <v>332.6</v>
      </c>
      <c r="H280" s="30" t="n">
        <v>-1.51</v>
      </c>
      <c r="I280" s="30" t="n">
        <v>13273649</v>
      </c>
      <c r="J280" s="30" t="n"/>
    </row>
    <row r="281">
      <c r="A281" s="30" t="inlineStr">
        <is>
          <t>KPRMILL</t>
        </is>
      </c>
      <c r="B281" s="30" t="inlineStr">
        <is>
          <t>K.p.r. Mill Limited</t>
        </is>
      </c>
      <c r="C281" s="30" t="inlineStr">
        <is>
          <t>consumer discretionary</t>
        </is>
      </c>
      <c r="D281" s="30" t="inlineStr">
        <is>
          <t>textiles - products</t>
        </is>
      </c>
      <c r="E281" s="30" t="inlineStr">
        <is>
          <t>largecap</t>
        </is>
      </c>
      <c r="F281" s="30" t="n">
        <v>37708.92</v>
      </c>
      <c r="G281" s="30" t="n">
        <v>1086.55</v>
      </c>
      <c r="H281" s="30" t="n">
        <v>-1.51</v>
      </c>
      <c r="I281" s="30" t="n">
        <v>195566</v>
      </c>
      <c r="J281" s="30" t="inlineStr">
        <is>
          <t>532889</t>
        </is>
      </c>
    </row>
    <row r="282">
      <c r="A282" s="30" t="inlineStr">
        <is>
          <t>RATEGAIN</t>
        </is>
      </c>
      <c r="B282" s="30" t="inlineStr">
        <is>
          <t>Rategain Travel Technologies Ltd</t>
        </is>
      </c>
      <c r="C282" s="30" t="inlineStr">
        <is>
          <t>i.t</t>
        </is>
      </c>
      <c r="D282" s="30" t="inlineStr">
        <is>
          <t>computers - software - medium / small</t>
        </is>
      </c>
      <c r="E282" s="30" t="inlineStr">
        <is>
          <t>midcap</t>
        </is>
      </c>
      <c r="F282" s="30" t="n">
        <v>9110.549999999999</v>
      </c>
      <c r="G282" s="30" t="n">
        <v>758.7</v>
      </c>
      <c r="H282" s="30" t="n">
        <v>-1.6</v>
      </c>
      <c r="I282" s="30" t="n">
        <v>333958</v>
      </c>
      <c r="J282" s="30" t="inlineStr">
        <is>
          <t>543417</t>
        </is>
      </c>
    </row>
    <row r="283">
      <c r="A283" s="30" t="inlineStr">
        <is>
          <t>OFSS</t>
        </is>
      </c>
      <c r="B283" s="30" t="inlineStr">
        <is>
          <t>Oracle Financial Services Software Limited</t>
        </is>
      </c>
      <c r="C283" s="30" t="inlineStr">
        <is>
          <t>i.t</t>
        </is>
      </c>
      <c r="D283" s="30" t="inlineStr">
        <is>
          <t>computers - software - large</t>
        </is>
      </c>
      <c r="E283" s="30" t="inlineStr">
        <is>
          <t>largecap</t>
        </is>
      </c>
      <c r="F283" s="30" t="n">
        <v>87888.08</v>
      </c>
      <c r="G283" s="30" t="n">
        <v>9936.5</v>
      </c>
      <c r="H283" s="30" t="n">
        <v>-1.6</v>
      </c>
      <c r="I283" s="30" t="n">
        <v>197221</v>
      </c>
      <c r="J283" s="30" t="inlineStr">
        <is>
          <t>532466</t>
        </is>
      </c>
    </row>
    <row r="284">
      <c r="A284" s="30" t="inlineStr">
        <is>
          <t>SIS</t>
        </is>
      </c>
      <c r="B284" s="30" t="inlineStr">
        <is>
          <t>Security &amp; Intelligence Services India</t>
        </is>
      </c>
      <c r="C284" s="30" t="inlineStr">
        <is>
          <t>miscellaneous</t>
        </is>
      </c>
      <c r="D284" s="30" t="inlineStr">
        <is>
          <t>miscellaneous</t>
        </is>
      </c>
      <c r="E284" s="30" t="inlineStr">
        <is>
          <t>midcap</t>
        </is>
      </c>
      <c r="F284" s="30" t="n">
        <v>5989.94</v>
      </c>
      <c r="G284" s="30" t="n">
        <v>417.05</v>
      </c>
      <c r="H284" s="30" t="n">
        <v>-1.64</v>
      </c>
      <c r="I284" s="30" t="n">
        <v>493627</v>
      </c>
      <c r="J284" s="30" t="inlineStr">
        <is>
          <t>540673</t>
        </is>
      </c>
    </row>
    <row r="285">
      <c r="A285" s="30" t="inlineStr">
        <is>
          <t>KIRLPNU</t>
        </is>
      </c>
      <c r="B285" s="30" t="inlineStr">
        <is>
          <t>Kirloskar Pneumatic Company Ltd</t>
        </is>
      </c>
      <c r="C285" s="30" t="inlineStr">
        <is>
          <t>industrials</t>
        </is>
      </c>
      <c r="D285" s="30" t="inlineStr">
        <is>
          <t>compressors / drilling equipment</t>
        </is>
      </c>
      <c r="E285" s="30" t="inlineStr">
        <is>
          <t>midcap</t>
        </is>
      </c>
      <c r="F285" s="30" t="n">
        <v>10381.62</v>
      </c>
      <c r="G285" s="30" t="n">
        <v>1570.8</v>
      </c>
      <c r="H285" s="30" t="n">
        <v>-1.71</v>
      </c>
      <c r="I285" s="30" t="n">
        <v>69471</v>
      </c>
      <c r="J285" s="30" t="inlineStr">
        <is>
          <t>505283</t>
        </is>
      </c>
    </row>
    <row r="286">
      <c r="A286" s="30" t="inlineStr">
        <is>
          <t>MIDHANI</t>
        </is>
      </c>
      <c r="B286" s="30" t="inlineStr">
        <is>
          <t>Mishra Dhatu Nigam Ltd</t>
        </is>
      </c>
      <c r="C286" s="30" t="inlineStr">
        <is>
          <t>aerospace &amp; defence</t>
        </is>
      </c>
      <c r="D286" s="30" t="inlineStr">
        <is>
          <t>steel - medium / small</t>
        </is>
      </c>
      <c r="E286" s="30" t="inlineStr">
        <is>
          <t>midcap</t>
        </is>
      </c>
      <c r="F286" s="30" t="n">
        <v>8303.85</v>
      </c>
      <c r="G286" s="30" t="n">
        <v>435.55</v>
      </c>
      <c r="H286" s="30" t="n">
        <v>-1.74</v>
      </c>
      <c r="I286" s="30" t="n">
        <v>1581227</v>
      </c>
      <c r="J286" s="30" t="inlineStr">
        <is>
          <t>541195</t>
        </is>
      </c>
    </row>
    <row r="287">
      <c r="A287" s="30" t="inlineStr">
        <is>
          <t>ANTELOPUS</t>
        </is>
      </c>
      <c r="B287" s="30" t="inlineStr">
        <is>
          <t>Antelopus Selan Energy Ltd</t>
        </is>
      </c>
      <c r="C287" s="30" t="inlineStr">
        <is>
          <t>energy</t>
        </is>
      </c>
      <c r="D287" s="30" t="inlineStr">
        <is>
          <t>oil drilling / allied services</t>
        </is>
      </c>
      <c r="E287" s="30" t="inlineStr">
        <is>
          <t>smallcap</t>
        </is>
      </c>
      <c r="F287" s="30" t="n">
        <v>3218.59</v>
      </c>
      <c r="G287" s="30" t="n">
        <v>899.35</v>
      </c>
      <c r="H287" s="30" t="n">
        <v>-1.75</v>
      </c>
      <c r="I287" s="30" t="n">
        <v>218479</v>
      </c>
      <c r="J287" s="30" t="inlineStr">
        <is>
          <t>530075</t>
        </is>
      </c>
    </row>
    <row r="288">
      <c r="A288" s="30" t="inlineStr">
        <is>
          <t>GAYAPROJ</t>
        </is>
      </c>
      <c r="B288" s="30" t="inlineStr">
        <is>
          <t>Gayatri Projects Limited</t>
        </is>
      </c>
      <c r="C288" s="30" t="inlineStr">
        <is>
          <t>realty</t>
        </is>
      </c>
      <c r="D288" s="30" t="inlineStr">
        <is>
          <t>construction</t>
        </is>
      </c>
      <c r="E288" s="30" t="inlineStr">
        <is>
          <t>smallcap</t>
        </is>
      </c>
      <c r="F288" s="30" t="n">
        <v>619.0599999999999</v>
      </c>
      <c r="G288" s="30" t="n">
        <v>20.53</v>
      </c>
      <c r="H288" s="30" t="n">
        <v>-1.77</v>
      </c>
      <c r="I288" s="30" t="n">
        <v>580824</v>
      </c>
      <c r="J288" s="30" t="inlineStr">
        <is>
          <t>532767</t>
        </is>
      </c>
    </row>
    <row r="289">
      <c r="A289" s="30" t="inlineStr">
        <is>
          <t>AVALON</t>
        </is>
      </c>
      <c r="B289" s="30" t="inlineStr">
        <is>
          <t>Avalon Technologies Ltd</t>
        </is>
      </c>
      <c r="C289" s="30" t="inlineStr">
        <is>
          <t>consumer discretionary</t>
        </is>
      </c>
      <c r="D289" s="30" t="inlineStr">
        <is>
          <t>electronics - components</t>
        </is>
      </c>
      <c r="E289" s="30" t="inlineStr">
        <is>
          <t>midcap</t>
        </is>
      </c>
      <c r="F289" s="30" t="n">
        <v>10934.29</v>
      </c>
      <c r="G289" s="30" t="n">
        <v>1607.9</v>
      </c>
      <c r="H289" s="30" t="n">
        <v>-1.82</v>
      </c>
      <c r="I289" s="30" t="n">
        <v>406233</v>
      </c>
      <c r="J289" s="30" t="inlineStr">
        <is>
          <t>543896</t>
        </is>
      </c>
    </row>
    <row r="290">
      <c r="A290" s="30" t="inlineStr">
        <is>
          <t>GPTHEALTH</t>
        </is>
      </c>
      <c r="B290" s="30" t="inlineStr">
        <is>
          <t>GPT Healthcare Ltd</t>
        </is>
      </c>
      <c r="C290" s="30" t="inlineStr">
        <is>
          <t>healthcare</t>
        </is>
      </c>
      <c r="D290" s="30" t="inlineStr">
        <is>
          <t>healthcare</t>
        </is>
      </c>
      <c r="E290" s="30" t="inlineStr">
        <is>
          <t>smallcap</t>
        </is>
      </c>
      <c r="F290" s="30" t="n">
        <v>1250.76</v>
      </c>
      <c r="G290" s="30" t="n">
        <v>149.64</v>
      </c>
      <c r="H290" s="30" t="n">
        <v>-1.83</v>
      </c>
      <c r="I290" s="30" t="n">
        <v>128739</v>
      </c>
      <c r="J290" s="30" t="inlineStr">
        <is>
          <t>544131</t>
        </is>
      </c>
    </row>
    <row r="291">
      <c r="A291" s="30" t="inlineStr">
        <is>
          <t>KIRLOSENG</t>
        </is>
      </c>
      <c r="B291" s="30" t="inlineStr">
        <is>
          <t>Kirloskar Oil Engines Limited</t>
        </is>
      </c>
      <c r="C291" s="30" t="inlineStr">
        <is>
          <t>industrials</t>
        </is>
      </c>
      <c r="D291" s="30" t="inlineStr">
        <is>
          <t>engines</t>
        </is>
      </c>
      <c r="E291" s="30" t="inlineStr">
        <is>
          <t>largecap</t>
        </is>
      </c>
      <c r="F291" s="30" t="n">
        <v>28343.59</v>
      </c>
      <c r="G291" s="30" t="n">
        <v>1913.3</v>
      </c>
      <c r="H291" s="30" t="n">
        <v>-1.88</v>
      </c>
      <c r="I291" s="30" t="n">
        <v>248496</v>
      </c>
      <c r="J291" s="30" t="inlineStr">
        <is>
          <t>533293</t>
        </is>
      </c>
    </row>
    <row r="292">
      <c r="A292" s="30" t="inlineStr">
        <is>
          <t>JBMA</t>
        </is>
      </c>
      <c r="B292" s="30" t="inlineStr">
        <is>
          <t>Jbm Auto Limited</t>
        </is>
      </c>
      <c r="C292" s="30" t="inlineStr">
        <is>
          <t>auto</t>
        </is>
      </c>
      <c r="D292" s="30" t="inlineStr">
        <is>
          <t>auto ancillaries</t>
        </is>
      </c>
      <c r="E292" s="30" t="inlineStr">
        <is>
          <t>midcap</t>
        </is>
      </c>
      <c r="F292" s="30" t="n">
        <v>16384.32</v>
      </c>
      <c r="G292" s="30" t="n">
        <v>679.7</v>
      </c>
      <c r="H292" s="30" t="n">
        <v>-1.89</v>
      </c>
      <c r="I292" s="30" t="n">
        <v>1113860</v>
      </c>
      <c r="J292" s="30" t="inlineStr">
        <is>
          <t>532605</t>
        </is>
      </c>
    </row>
    <row r="293">
      <c r="A293" s="30" t="inlineStr">
        <is>
          <t>ELGIEQUIP</t>
        </is>
      </c>
      <c r="B293" s="30" t="inlineStr">
        <is>
          <t>Elgi Equipments Limited</t>
        </is>
      </c>
      <c r="C293" s="30" t="inlineStr">
        <is>
          <t>industrials</t>
        </is>
      </c>
      <c r="D293" s="30" t="inlineStr">
        <is>
          <t>compressors / drilling equipment</t>
        </is>
      </c>
      <c r="E293" s="30" t="inlineStr">
        <is>
          <t>midcap</t>
        </is>
      </c>
      <c r="F293" s="30" t="n">
        <v>19716.49</v>
      </c>
      <c r="G293" s="30" t="n">
        <v>610.3</v>
      </c>
      <c r="H293" s="30" t="n">
        <v>-1.9</v>
      </c>
      <c r="I293" s="30" t="n">
        <v>378367</v>
      </c>
      <c r="J293" s="30" t="inlineStr">
        <is>
          <t>522074</t>
        </is>
      </c>
    </row>
    <row r="294">
      <c r="A294" s="30" t="inlineStr">
        <is>
          <t>NMDC</t>
        </is>
      </c>
      <c r="B294" s="30" t="inlineStr">
        <is>
          <t>Nmdc Limited</t>
        </is>
      </c>
      <c r="C294" s="30" t="inlineStr">
        <is>
          <t>metals &amp; mining</t>
        </is>
      </c>
      <c r="D294" s="30" t="inlineStr">
        <is>
          <t>mining / minerals / metals</t>
        </is>
      </c>
      <c r="E294" s="30" t="inlineStr">
        <is>
          <t>largecap</t>
        </is>
      </c>
      <c r="F294" s="30" t="n">
        <v>83258.50999999999</v>
      </c>
      <c r="G294" s="30" t="n">
        <v>92.90000000000001</v>
      </c>
      <c r="H294" s="30" t="n">
        <v>-1.9</v>
      </c>
      <c r="I294" s="30" t="n">
        <v>40684291</v>
      </c>
      <c r="J294" s="30" t="inlineStr">
        <is>
          <t>526371</t>
        </is>
      </c>
    </row>
    <row r="295">
      <c r="A295" s="30" t="inlineStr">
        <is>
          <t>COALINDIA</t>
        </is>
      </c>
      <c r="B295" s="30" t="inlineStr">
        <is>
          <t>Coal India Limited</t>
        </is>
      </c>
      <c r="C295" s="30" t="inlineStr">
        <is>
          <t>metals &amp; mining</t>
        </is>
      </c>
      <c r="D295" s="30" t="inlineStr">
        <is>
          <t>mining / minerals / metals</t>
        </is>
      </c>
      <c r="E295" s="30" t="inlineStr">
        <is>
          <t>largecap</t>
        </is>
      </c>
      <c r="F295" s="30" t="n">
        <v>296827.81</v>
      </c>
      <c r="G295" s="30" t="n">
        <v>472.3</v>
      </c>
      <c r="H295" s="30" t="n">
        <v>-1.94</v>
      </c>
      <c r="I295" s="30" t="n">
        <v>9592529</v>
      </c>
      <c r="J295" s="30" t="inlineStr">
        <is>
          <t>533278</t>
        </is>
      </c>
    </row>
    <row r="296">
      <c r="A296" s="30" t="inlineStr">
        <is>
          <t>MCLEODRUSS</t>
        </is>
      </c>
      <c r="B296" s="30" t="inlineStr">
        <is>
          <t>Mcleod Russel India Limited</t>
        </is>
      </c>
      <c r="C296" s="30" t="inlineStr">
        <is>
          <t>fmcg</t>
        </is>
      </c>
      <c r="D296" s="30" t="inlineStr">
        <is>
          <t>tea</t>
        </is>
      </c>
      <c r="E296" s="30" t="inlineStr">
        <is>
          <t>smallcap</t>
        </is>
      </c>
      <c r="F296" s="30" t="n">
        <v>755.74</v>
      </c>
      <c r="G296" s="30" t="n">
        <v>70.91</v>
      </c>
      <c r="H296" s="30" t="n">
        <v>-1.99</v>
      </c>
      <c r="I296" s="30" t="n">
        <v>496879</v>
      </c>
      <c r="J296" s="30" t="inlineStr">
        <is>
          <t>532654</t>
        </is>
      </c>
    </row>
    <row r="297">
      <c r="A297" s="30" t="inlineStr">
        <is>
          <t>SBCL</t>
        </is>
      </c>
      <c r="B297" s="30" t="inlineStr">
        <is>
          <t>Shivalik Bimetal Controls Ltd</t>
        </is>
      </c>
      <c r="C297" s="30" t="inlineStr">
        <is>
          <t>metals &amp; mining</t>
        </is>
      </c>
      <c r="D297" s="30" t="inlineStr">
        <is>
          <t>mining / minerals / metals</t>
        </is>
      </c>
      <c r="E297" s="30" t="inlineStr">
        <is>
          <t>smallcap</t>
        </is>
      </c>
      <c r="F297" s="30" t="n">
        <v>4192.43</v>
      </c>
      <c r="G297" s="30" t="n">
        <v>712.7</v>
      </c>
      <c r="H297" s="30" t="n">
        <v>-2.07</v>
      </c>
      <c r="I297" s="30" t="n">
        <v>325013</v>
      </c>
      <c r="J297" s="30" t="inlineStr">
        <is>
          <t>513097</t>
        </is>
      </c>
    </row>
    <row r="298">
      <c r="A298" s="30" t="inlineStr">
        <is>
          <t>ADFFOODS</t>
        </is>
      </c>
      <c r="B298" s="30" t="inlineStr">
        <is>
          <t>Adf Foods Limited</t>
        </is>
      </c>
      <c r="C298" s="30" t="inlineStr">
        <is>
          <t>fmcg</t>
        </is>
      </c>
      <c r="D298" s="30" t="inlineStr">
        <is>
          <t>food - processing - indian</t>
        </is>
      </c>
      <c r="E298" s="30" t="inlineStr">
        <is>
          <t>smallcap</t>
        </is>
      </c>
      <c r="F298" s="30" t="n">
        <v>3172.86</v>
      </c>
      <c r="G298" s="30" t="n">
        <v>282.8</v>
      </c>
      <c r="H298" s="30" t="n">
        <v>-2.08</v>
      </c>
      <c r="I298" s="30" t="n">
        <v>164750</v>
      </c>
      <c r="J298" s="30" t="inlineStr">
        <is>
          <t>519183</t>
        </is>
      </c>
    </row>
    <row r="299">
      <c r="A299" s="30" t="inlineStr">
        <is>
          <t>DREDGECORP</t>
        </is>
      </c>
      <c r="B299" s="30" t="inlineStr">
        <is>
          <t>Dredging Corporation Of India Limited</t>
        </is>
      </c>
      <c r="C299" s="30" t="inlineStr">
        <is>
          <t>miscellaneous</t>
        </is>
      </c>
      <c r="D299" s="30" t="inlineStr">
        <is>
          <t>miscellaneous</t>
        </is>
      </c>
      <c r="E299" s="30" t="inlineStr">
        <is>
          <t>smallcap</t>
        </is>
      </c>
      <c r="F299" s="30" t="n">
        <v>3370.08</v>
      </c>
      <c r="G299" s="30" t="n">
        <v>1178.3</v>
      </c>
      <c r="H299" s="30" t="n">
        <v>-2.1</v>
      </c>
      <c r="I299" s="30" t="n">
        <v>261288</v>
      </c>
      <c r="J299" s="30" t="inlineStr">
        <is>
          <t>523618</t>
        </is>
      </c>
    </row>
    <row r="300">
      <c r="A300" s="30" t="inlineStr">
        <is>
          <t>AMBIKCO</t>
        </is>
      </c>
      <c r="B300" s="30" t="inlineStr">
        <is>
          <t>Ambika Cotton Mills Limited</t>
        </is>
      </c>
      <c r="C300" s="30" t="inlineStr">
        <is>
          <t>textiles</t>
        </is>
      </c>
      <c r="D300" s="30" t="inlineStr">
        <is>
          <t>textiles - cotton/blended</t>
        </is>
      </c>
      <c r="E300" s="30" t="inlineStr">
        <is>
          <t>smallcap</t>
        </is>
      </c>
      <c r="F300" s="30" t="n">
        <v>956.7</v>
      </c>
      <c r="G300" s="30" t="n">
        <v>1633.9</v>
      </c>
      <c r="H300" s="30" t="n">
        <v>-2.23</v>
      </c>
      <c r="I300" s="30" t="n">
        <v>11442</v>
      </c>
      <c r="J300" s="30" t="inlineStr">
        <is>
          <t>531978</t>
        </is>
      </c>
    </row>
    <row r="301">
      <c r="A301" s="30" t="inlineStr">
        <is>
          <t>SPAL</t>
        </is>
      </c>
      <c r="B301" s="30" t="inlineStr">
        <is>
          <t>S. P. Apparels Limited</t>
        </is>
      </c>
      <c r="C301" s="30" t="inlineStr">
        <is>
          <t>textiles</t>
        </is>
      </c>
      <c r="D301" s="30" t="inlineStr">
        <is>
          <t>textiles - products</t>
        </is>
      </c>
      <c r="E301" s="30" t="inlineStr">
        <is>
          <t>smallcap</t>
        </is>
      </c>
      <c r="F301" s="30" t="n">
        <v>2088.79</v>
      </c>
      <c r="G301" s="30" t="n">
        <v>812.2</v>
      </c>
      <c r="H301" s="30" t="n">
        <v>-2.25</v>
      </c>
      <c r="I301" s="30" t="n">
        <v>18047</v>
      </c>
      <c r="J301" s="30" t="inlineStr">
        <is>
          <t>540048</t>
        </is>
      </c>
    </row>
    <row r="302">
      <c r="A302" s="30" t="inlineStr">
        <is>
          <t>GOCLCORP</t>
        </is>
      </c>
      <c r="B302" s="30" t="inlineStr">
        <is>
          <t>Gocl Corporation Limited</t>
        </is>
      </c>
      <c r="C302" s="30" t="inlineStr">
        <is>
          <t>miscellaneous</t>
        </is>
      </c>
      <c r="D302" s="30" t="inlineStr">
        <is>
          <t>diversified - medium / small</t>
        </is>
      </c>
      <c r="E302" s="30" t="inlineStr">
        <is>
          <t>smallcap</t>
        </is>
      </c>
      <c r="F302" s="30" t="n">
        <v>2084.28</v>
      </c>
      <c r="G302" s="30" t="n">
        <v>410.85</v>
      </c>
      <c r="H302" s="30" t="n">
        <v>-2.28</v>
      </c>
      <c r="I302" s="30" t="n">
        <v>89413</v>
      </c>
      <c r="J302" s="30" t="inlineStr">
        <is>
          <t>506480</t>
        </is>
      </c>
    </row>
    <row r="303">
      <c r="A303" s="30" t="inlineStr">
        <is>
          <t>ZIMLAB</t>
        </is>
      </c>
      <c r="B303" s="30" t="inlineStr">
        <is>
          <t>Zim Laboratories Ltd</t>
        </is>
      </c>
      <c r="C303" s="30" t="inlineStr">
        <is>
          <t>healthcare</t>
        </is>
      </c>
      <c r="D303" s="30" t="inlineStr">
        <is>
          <t>pharmaceuticals - indian - bulk drugs &amp; formln</t>
        </is>
      </c>
      <c r="E303" s="30" t="inlineStr">
        <is>
          <t>smallcap</t>
        </is>
      </c>
      <c r="F303" s="30" t="n">
        <v>575.72</v>
      </c>
      <c r="G303" s="30" t="n">
        <v>105.12</v>
      </c>
      <c r="H303" s="30" t="n">
        <v>-2.31</v>
      </c>
      <c r="I303" s="30" t="n">
        <v>28513</v>
      </c>
      <c r="J303" s="30" t="inlineStr">
        <is>
          <t>541400</t>
        </is>
      </c>
    </row>
    <row r="304">
      <c r="A304" s="30" t="inlineStr">
        <is>
          <t>GOLDIAM</t>
        </is>
      </c>
      <c r="B304" s="30" t="inlineStr">
        <is>
          <t>Goldiam International Limited</t>
        </is>
      </c>
      <c r="C304" s="30" t="inlineStr">
        <is>
          <t>consumer discretionary</t>
        </is>
      </c>
      <c r="D304" s="30" t="inlineStr">
        <is>
          <t>diamond cutting / jewellery</t>
        </is>
      </c>
      <c r="E304" s="30" t="inlineStr">
        <is>
          <t>smallcap</t>
        </is>
      </c>
      <c r="F304" s="30" t="n">
        <v>4875.23</v>
      </c>
      <c r="G304" s="30" t="n">
        <v>421.6</v>
      </c>
      <c r="H304" s="30" t="n">
        <v>-2.35</v>
      </c>
      <c r="I304" s="30" t="n">
        <v>510424</v>
      </c>
      <c r="J304" s="30" t="inlineStr">
        <is>
          <t>526729</t>
        </is>
      </c>
    </row>
    <row r="305">
      <c r="A305" s="30" t="inlineStr">
        <is>
          <t>TINNARUBR</t>
        </is>
      </c>
      <c r="B305" s="30" t="inlineStr">
        <is>
          <t>Tinna Rubber &amp; Infrastructure Ltd</t>
        </is>
      </c>
      <c r="C305" s="30" t="inlineStr">
        <is>
          <t>fmcg</t>
        </is>
      </c>
      <c r="D305" s="30" t="inlineStr">
        <is>
          <t>miscellaneous</t>
        </is>
      </c>
      <c r="E305" s="30" t="inlineStr">
        <is>
          <t>smallcap</t>
        </is>
      </c>
      <c r="F305" s="30" t="n">
        <v>1605.65</v>
      </c>
      <c r="G305" s="30" t="n">
        <v>869.6</v>
      </c>
      <c r="H305" s="30" t="n">
        <v>-2.43</v>
      </c>
      <c r="I305" s="30" t="n">
        <v>98615</v>
      </c>
      <c r="J305" s="30" t="inlineStr">
        <is>
          <t>530475</t>
        </is>
      </c>
    </row>
    <row r="306">
      <c r="A306" s="30" t="inlineStr">
        <is>
          <t>BFINVEST</t>
        </is>
      </c>
      <c r="B306" s="30" t="inlineStr">
        <is>
          <t>Bf Investment Limited</t>
        </is>
      </c>
      <c r="C306" s="30" t="inlineStr">
        <is>
          <t>financials</t>
        </is>
      </c>
      <c r="D306" s="30" t="inlineStr">
        <is>
          <t>finance &amp; investments</t>
        </is>
      </c>
      <c r="E306" s="30" t="inlineStr">
        <is>
          <t>smallcap</t>
        </is>
      </c>
      <c r="F306" s="30" t="n">
        <v>1688.45</v>
      </c>
      <c r="G306" s="30" t="n">
        <v>437.1</v>
      </c>
      <c r="H306" s="30" t="n">
        <v>-2.49</v>
      </c>
      <c r="I306" s="30" t="n">
        <v>38932</v>
      </c>
      <c r="J306" s="30" t="inlineStr">
        <is>
          <t>533303</t>
        </is>
      </c>
    </row>
    <row r="307">
      <c r="A307" s="30" t="inlineStr">
        <is>
          <t>MARKSANS</t>
        </is>
      </c>
      <c r="B307" s="30" t="inlineStr">
        <is>
          <t>Marksans Pharma Limited</t>
        </is>
      </c>
      <c r="C307" s="30" t="inlineStr">
        <is>
          <t>healthcare</t>
        </is>
      </c>
      <c r="D307" s="30" t="inlineStr">
        <is>
          <t>pharmaceuticals - indian - formulations</t>
        </is>
      </c>
      <c r="E307" s="30" t="inlineStr">
        <is>
          <t>midcap</t>
        </is>
      </c>
      <c r="F307" s="30" t="n">
        <v>10836.96</v>
      </c>
      <c r="G307" s="30" t="n">
        <v>233.19</v>
      </c>
      <c r="H307" s="30" t="n">
        <v>-2.49</v>
      </c>
      <c r="I307" s="30" t="n">
        <v>1734226</v>
      </c>
      <c r="J307" s="30" t="inlineStr">
        <is>
          <t>524404</t>
        </is>
      </c>
    </row>
    <row r="308">
      <c r="A308" s="30" t="inlineStr">
        <is>
          <t>VARROC</t>
        </is>
      </c>
      <c r="B308" s="30" t="inlineStr">
        <is>
          <t>Varroc Engineering Ltd</t>
        </is>
      </c>
      <c r="C308" s="30" t="inlineStr">
        <is>
          <t>auto</t>
        </is>
      </c>
      <c r="D308" s="30" t="inlineStr">
        <is>
          <t>auto ancillaries</t>
        </is>
      </c>
      <c r="E308" s="30" t="inlineStr">
        <is>
          <t>midcap</t>
        </is>
      </c>
      <c r="F308" s="30" t="n">
        <v>9191.629999999999</v>
      </c>
      <c r="G308" s="30" t="n">
        <v>586.3</v>
      </c>
      <c r="H308" s="30" t="n">
        <v>-2.54</v>
      </c>
      <c r="I308" s="30" t="n">
        <v>176278</v>
      </c>
      <c r="J308" s="30" t="inlineStr">
        <is>
          <t>541578</t>
        </is>
      </c>
    </row>
    <row r="309">
      <c r="A309" s="30" t="inlineStr">
        <is>
          <t>GVPIL</t>
        </is>
      </c>
      <c r="B309" s="30" t="inlineStr">
        <is>
          <t>GE Power India Ltd</t>
        </is>
      </c>
      <c r="C309" s="30" t="inlineStr">
        <is>
          <t>realty</t>
        </is>
      </c>
      <c r="D309" s="30" t="inlineStr">
        <is>
          <t>engineering - turnkey services</t>
        </is>
      </c>
      <c r="E309" s="30" t="inlineStr">
        <is>
          <t>midcap</t>
        </is>
      </c>
      <c r="F309" s="30" t="n">
        <v>6101.23</v>
      </c>
      <c r="G309" s="30" t="n">
        <v>884.1</v>
      </c>
      <c r="H309" s="30" t="n">
        <v>-2.58</v>
      </c>
      <c r="I309" s="30" t="n">
        <v>583582</v>
      </c>
      <c r="J309" s="30" t="inlineStr">
        <is>
          <t>532309</t>
        </is>
      </c>
    </row>
    <row r="310">
      <c r="A310" s="30" t="inlineStr">
        <is>
          <t>WHEELS</t>
        </is>
      </c>
      <c r="B310" s="30" t="inlineStr">
        <is>
          <t>Wheels India Limited</t>
        </is>
      </c>
      <c r="C310" s="30" t="inlineStr">
        <is>
          <t>auto</t>
        </is>
      </c>
      <c r="D310" s="30" t="inlineStr">
        <is>
          <t>auto ancillaries</t>
        </is>
      </c>
      <c r="E310" s="30" t="inlineStr">
        <is>
          <t>smallcap</t>
        </is>
      </c>
      <c r="F310" s="30" t="n">
        <v>3735.07</v>
      </c>
      <c r="G310" s="30" t="n">
        <v>1487.7</v>
      </c>
      <c r="H310" s="30" t="n">
        <v>-2.68</v>
      </c>
      <c r="I310" s="30" t="n">
        <v>180561</v>
      </c>
      <c r="J310" s="30" t="inlineStr">
        <is>
          <t>590073</t>
        </is>
      </c>
    </row>
    <row r="311">
      <c r="A311" s="30" t="inlineStr">
        <is>
          <t>BALAMINES</t>
        </is>
      </c>
      <c r="B311" s="30" t="inlineStr">
        <is>
          <t>Balaji Amines Limited</t>
        </is>
      </c>
      <c r="C311" s="30" t="inlineStr">
        <is>
          <t>chemicals</t>
        </is>
      </c>
      <c r="D311" s="30" t="inlineStr">
        <is>
          <t>chemicals</t>
        </is>
      </c>
      <c r="E311" s="30" t="inlineStr">
        <is>
          <t>midcap</t>
        </is>
      </c>
      <c r="F311" s="30" t="n">
        <v>6803.89</v>
      </c>
      <c r="G311" s="30" t="n">
        <v>2043.3</v>
      </c>
      <c r="H311" s="30" t="n">
        <v>-2.7</v>
      </c>
      <c r="I311" s="30" t="n">
        <v>528900</v>
      </c>
      <c r="J311" s="30" t="inlineStr">
        <is>
          <t>530999</t>
        </is>
      </c>
    </row>
    <row r="312">
      <c r="A312" s="30" t="inlineStr">
        <is>
          <t>PSPPROJECT</t>
        </is>
      </c>
      <c r="B312" s="30" t="inlineStr">
        <is>
          <t>PSP Projects Ltd</t>
        </is>
      </c>
      <c r="C312" s="30" t="inlineStr">
        <is>
          <t>realty</t>
        </is>
      </c>
      <c r="D312" s="30" t="inlineStr">
        <is>
          <t>construction</t>
        </is>
      </c>
      <c r="E312" s="30" t="inlineStr">
        <is>
          <t>smallcap</t>
        </is>
      </c>
      <c r="F312" s="30" t="n">
        <v>3562.41</v>
      </c>
      <c r="G312" s="30" t="n">
        <v>873.45</v>
      </c>
      <c r="H312" s="30" t="n">
        <v>-2.8</v>
      </c>
      <c r="I312" s="30" t="n">
        <v>136987</v>
      </c>
      <c r="J312" s="30" t="inlineStr">
        <is>
          <t>540544</t>
        </is>
      </c>
    </row>
    <row r="313">
      <c r="A313" s="30" t="inlineStr">
        <is>
          <t>MTARTECH</t>
        </is>
      </c>
      <c r="B313" s="30" t="inlineStr">
        <is>
          <t>MTAR Technologies Ltd</t>
        </is>
      </c>
      <c r="C313" s="30" t="inlineStr">
        <is>
          <t>aerospace &amp; defence</t>
        </is>
      </c>
      <c r="D313" s="30" t="inlineStr">
        <is>
          <t>engineering</t>
        </is>
      </c>
      <c r="E313" s="30" t="inlineStr">
        <is>
          <t>largecap</t>
        </is>
      </c>
      <c r="F313" s="30" t="n">
        <v>23855.6</v>
      </c>
      <c r="G313" s="30" t="n">
        <v>7535.5</v>
      </c>
      <c r="H313" s="30" t="n">
        <v>-2.84</v>
      </c>
      <c r="I313" s="30" t="n">
        <v>1254939</v>
      </c>
      <c r="J313" s="30" t="inlineStr">
        <is>
          <t>543270</t>
        </is>
      </c>
    </row>
    <row r="314">
      <c r="A314" s="30" t="inlineStr">
        <is>
          <t>KERNEX</t>
        </is>
      </c>
      <c r="B314" s="30" t="inlineStr">
        <is>
          <t>Kernex Microsystems (india) Limited</t>
        </is>
      </c>
      <c r="C314" s="30" t="inlineStr">
        <is>
          <t>consumer discretionary</t>
        </is>
      </c>
      <c r="D314" s="30" t="inlineStr">
        <is>
          <t>electronics - components</t>
        </is>
      </c>
      <c r="E314" s="30" t="inlineStr">
        <is>
          <t>smallcap</t>
        </is>
      </c>
      <c r="F314" s="30" t="n">
        <v>3175.83</v>
      </c>
      <c r="G314" s="30" t="n">
        <v>1836.1</v>
      </c>
      <c r="H314" s="30" t="n">
        <v>-2.86</v>
      </c>
      <c r="I314" s="30" t="n">
        <v>214449</v>
      </c>
      <c r="J314" s="30" t="inlineStr">
        <is>
          <t>532686</t>
        </is>
      </c>
    </row>
    <row r="315">
      <c r="A315" s="30" t="inlineStr">
        <is>
          <t>IFCI</t>
        </is>
      </c>
      <c r="B315" s="30" t="inlineStr">
        <is>
          <t>Ifci Limited</t>
        </is>
      </c>
      <c r="C315" s="30" t="inlineStr">
        <is>
          <t>financials</t>
        </is>
      </c>
      <c r="D315" s="30" t="inlineStr">
        <is>
          <t>finance - term-lending institutions</t>
        </is>
      </c>
      <c r="E315" s="30" t="inlineStr">
        <is>
          <t>largecap</t>
        </is>
      </c>
      <c r="F315" s="30" t="n">
        <v>22087.99</v>
      </c>
      <c r="G315" s="30" t="n">
        <v>79.59999999999999</v>
      </c>
      <c r="H315" s="30" t="n">
        <v>-2.9</v>
      </c>
      <c r="I315" s="30" t="n">
        <v>69288318</v>
      </c>
      <c r="J315" s="30" t="inlineStr">
        <is>
          <t>500106</t>
        </is>
      </c>
    </row>
    <row r="316">
      <c r="A316" s="30" t="inlineStr">
        <is>
          <t>PARACABLES</t>
        </is>
      </c>
      <c r="B316" s="30" t="inlineStr">
        <is>
          <t>Paramount Communications Limited</t>
        </is>
      </c>
      <c r="C316" s="30" t="inlineStr">
        <is>
          <t>industrials</t>
        </is>
      </c>
      <c r="D316" s="30" t="inlineStr">
        <is>
          <t>cables - power</t>
        </is>
      </c>
      <c r="E316" s="30" t="inlineStr">
        <is>
          <t>smallcap</t>
        </is>
      </c>
      <c r="F316" s="30" t="n">
        <v>2116.94</v>
      </c>
      <c r="G316" s="30" t="n">
        <v>67.31999999999999</v>
      </c>
      <c r="H316" s="30" t="n">
        <v>-2.94</v>
      </c>
      <c r="I316" s="30" t="n">
        <v>5519490</v>
      </c>
      <c r="J316" s="30" t="inlineStr">
        <is>
          <t>530555</t>
        </is>
      </c>
    </row>
    <row r="317">
      <c r="A317" s="30" t="inlineStr">
        <is>
          <t>TITAGARH</t>
        </is>
      </c>
      <c r="B317" s="30" t="inlineStr">
        <is>
          <t>Titagarh Rail Systems Ltd</t>
        </is>
      </c>
      <c r="C317" s="30" t="inlineStr">
        <is>
          <t>industrials</t>
        </is>
      </c>
      <c r="D317" s="30" t="inlineStr">
        <is>
          <t>engineering</t>
        </is>
      </c>
      <c r="E317" s="30" t="inlineStr">
        <is>
          <t>midcap</t>
        </is>
      </c>
      <c r="F317" s="30" t="n">
        <v>11635.81</v>
      </c>
      <c r="G317" s="30" t="n">
        <v>837.9</v>
      </c>
      <c r="H317" s="30" t="n">
        <v>-3.02</v>
      </c>
      <c r="I317" s="30" t="n">
        <v>698650</v>
      </c>
      <c r="J317" s="30" t="inlineStr">
        <is>
          <t>532966</t>
        </is>
      </c>
    </row>
    <row r="318">
      <c r="A318" s="30" t="inlineStr">
        <is>
          <t>THANGAMAYL</t>
        </is>
      </c>
      <c r="B318" s="30" t="inlineStr">
        <is>
          <t>Thangamayil Jewellery Limited</t>
        </is>
      </c>
      <c r="C318" s="30" t="inlineStr">
        <is>
          <t>consumer discretionary</t>
        </is>
      </c>
      <c r="D318" s="30" t="inlineStr">
        <is>
          <t>diamond cutting / jewellery</t>
        </is>
      </c>
      <c r="E318" s="30" t="inlineStr">
        <is>
          <t>midcap</t>
        </is>
      </c>
      <c r="F318" s="30" t="n">
        <v>17159.14</v>
      </c>
      <c r="G318" s="30" t="n">
        <v>5351.9</v>
      </c>
      <c r="H318" s="30" t="n">
        <v>-3.06</v>
      </c>
      <c r="I318" s="30" t="n">
        <v>461288</v>
      </c>
      <c r="J318" s="30" t="inlineStr">
        <is>
          <t>533158</t>
        </is>
      </c>
    </row>
    <row r="319">
      <c r="A319" s="30" t="inlineStr">
        <is>
          <t>MAHASTEEL</t>
        </is>
      </c>
      <c r="B319" s="30" t="inlineStr">
        <is>
          <t>Mahamaya Steel Industries Limited</t>
        </is>
      </c>
      <c r="C319" s="30" t="inlineStr">
        <is>
          <t>metals &amp; mining</t>
        </is>
      </c>
      <c r="D319" s="30" t="inlineStr">
        <is>
          <t>steel - medium / small</t>
        </is>
      </c>
      <c r="E319" s="30" t="inlineStr">
        <is>
          <t>smallcap</t>
        </is>
      </c>
      <c r="F319" s="30" t="n">
        <v>1546.56</v>
      </c>
      <c r="G319" s="30" t="n">
        <v>911.95</v>
      </c>
      <c r="H319" s="30" t="n">
        <v>-3.09</v>
      </c>
      <c r="I319" s="30" t="n">
        <v>2299</v>
      </c>
      <c r="J319" s="30" t="inlineStr">
        <is>
          <t>513554</t>
        </is>
      </c>
    </row>
    <row r="320">
      <c r="A320" s="30" t="inlineStr">
        <is>
          <t>SKIPPER</t>
        </is>
      </c>
      <c r="B320" s="30" t="inlineStr">
        <is>
          <t>Skipper Limited</t>
        </is>
      </c>
      <c r="C320" s="30" t="inlineStr">
        <is>
          <t>industrials</t>
        </is>
      </c>
      <c r="D320" s="30" t="inlineStr">
        <is>
          <t>engineering</t>
        </is>
      </c>
      <c r="E320" s="30" t="inlineStr">
        <is>
          <t>midcap</t>
        </is>
      </c>
      <c r="F320" s="30" t="n">
        <v>6488.03</v>
      </c>
      <c r="G320" s="30" t="n">
        <v>556.6</v>
      </c>
      <c r="H320" s="30" t="n">
        <v>-3.14</v>
      </c>
      <c r="I320" s="30" t="n">
        <v>1219133</v>
      </c>
      <c r="J320" s="30" t="inlineStr">
        <is>
          <t>538562</t>
        </is>
      </c>
    </row>
    <row r="321">
      <c r="A321" s="30" t="inlineStr">
        <is>
          <t>V2RETAIL</t>
        </is>
      </c>
      <c r="B321" s="30" t="inlineStr">
        <is>
          <t>V2 Retail Limited</t>
        </is>
      </c>
      <c r="C321" s="30" t="inlineStr">
        <is>
          <t>consumer discretionary</t>
        </is>
      </c>
      <c r="D321" s="30" t="inlineStr">
        <is>
          <t>textiles - products</t>
        </is>
      </c>
      <c r="E321" s="30" t="inlineStr">
        <is>
          <t>midcap</t>
        </is>
      </c>
      <c r="F321" s="30" t="n">
        <v>9349.309999999999</v>
      </c>
      <c r="G321" s="30" t="n">
        <v>247.99</v>
      </c>
      <c r="H321" s="30" t="n">
        <v>-3.28</v>
      </c>
      <c r="I321" s="30" t="n">
        <v>1871365</v>
      </c>
      <c r="J321" s="30" t="inlineStr">
        <is>
          <t>532867</t>
        </is>
      </c>
    </row>
    <row r="322">
      <c r="A322" s="30" t="inlineStr">
        <is>
          <t>VERANDA</t>
        </is>
      </c>
      <c r="B322" s="30" t="inlineStr">
        <is>
          <t>Veranda Learning Solutions Ltd</t>
        </is>
      </c>
      <c r="C322" s="30" t="inlineStr">
        <is>
          <t>services</t>
        </is>
      </c>
      <c r="D322" s="30" t="inlineStr">
        <is>
          <t>miscellaneous</t>
        </is>
      </c>
      <c r="E322" s="30" t="inlineStr">
        <is>
          <t>smallcap</t>
        </is>
      </c>
      <c r="F322" s="30" t="n">
        <v>2284.51</v>
      </c>
      <c r="G322" s="30" t="n">
        <v>229.73</v>
      </c>
      <c r="H322" s="30" t="n">
        <v>-3.29</v>
      </c>
      <c r="I322" s="30" t="n">
        <v>242097</v>
      </c>
      <c r="J322" s="30" t="inlineStr">
        <is>
          <t>543514</t>
        </is>
      </c>
    </row>
    <row r="323">
      <c r="A323" s="30" t="inlineStr">
        <is>
          <t>IOLCP</t>
        </is>
      </c>
      <c r="B323" s="30" t="inlineStr">
        <is>
          <t>Iol Chemicals And Pharmaceuticals Limited</t>
        </is>
      </c>
      <c r="C323" s="30" t="inlineStr">
        <is>
          <t>healthcare</t>
        </is>
      </c>
      <c r="D323" s="30" t="inlineStr">
        <is>
          <t>pharmaceuticals - indian - bulk drugs &amp; formln</t>
        </is>
      </c>
      <c r="E323" s="30" t="inlineStr">
        <is>
          <t>smallcap</t>
        </is>
      </c>
      <c r="F323" s="30" t="n">
        <v>3996.67</v>
      </c>
      <c r="G323" s="30" t="n">
        <v>131.68</v>
      </c>
      <c r="H323" s="30" t="n">
        <v>-3.29</v>
      </c>
      <c r="I323" s="30" t="n">
        <v>2101130</v>
      </c>
      <c r="J323" s="30" t="inlineStr">
        <is>
          <t>524164</t>
        </is>
      </c>
    </row>
    <row r="324">
      <c r="A324" s="30" t="inlineStr">
        <is>
          <t>SALSTEEL</t>
        </is>
      </c>
      <c r="B324" s="30" t="inlineStr">
        <is>
          <t>SAL Steel</t>
        </is>
      </c>
      <c r="C324" s="30" t="inlineStr">
        <is>
          <t>metals &amp; mining</t>
        </is>
      </c>
      <c r="D324" s="30" t="inlineStr">
        <is>
          <t>steel - sponge iron</t>
        </is>
      </c>
      <c r="E324" s="30" t="inlineStr">
        <is>
          <t>smallcap</t>
        </is>
      </c>
      <c r="F324" s="30" t="n">
        <v>910.29</v>
      </c>
      <c r="G324" s="30" t="n">
        <v>60.77</v>
      </c>
      <c r="H324" s="30" t="n">
        <v>-3.36</v>
      </c>
      <c r="I324" s="30" t="n">
        <v>72126</v>
      </c>
      <c r="J324" s="30" t="inlineStr">
        <is>
          <t>532604</t>
        </is>
      </c>
    </row>
    <row r="325">
      <c r="A325" s="30" t="inlineStr">
        <is>
          <t>JINDALSAW</t>
        </is>
      </c>
      <c r="B325" s="30" t="inlineStr">
        <is>
          <t>Jindal Saw Limited</t>
        </is>
      </c>
      <c r="C325" s="30" t="inlineStr">
        <is>
          <t>industrials</t>
        </is>
      </c>
      <c r="D325" s="30" t="inlineStr">
        <is>
          <t>steel - large</t>
        </is>
      </c>
      <c r="E325" s="30" t="inlineStr">
        <is>
          <t>midcap</t>
        </is>
      </c>
      <c r="F325" s="30" t="n">
        <v>16627.21</v>
      </c>
      <c r="G325" s="30" t="n">
        <v>250.57</v>
      </c>
      <c r="H325" s="30" t="n">
        <v>-3.63</v>
      </c>
      <c r="I325" s="30" t="n">
        <v>2553060</v>
      </c>
      <c r="J325" s="30" t="inlineStr">
        <is>
          <t>500378</t>
        </is>
      </c>
    </row>
    <row r="326">
      <c r="A326" s="30" t="inlineStr">
        <is>
          <t>MSTCLTD</t>
        </is>
      </c>
      <c r="B326" s="30" t="inlineStr">
        <is>
          <t>MSTC Ltd</t>
        </is>
      </c>
      <c r="C326" s="30" t="inlineStr">
        <is>
          <t>i.t</t>
        </is>
      </c>
      <c r="D326" s="30" t="inlineStr">
        <is>
          <t>trading</t>
        </is>
      </c>
      <c r="E326" s="30" t="inlineStr">
        <is>
          <t>smallcap</t>
        </is>
      </c>
      <c r="F326" s="30" t="n">
        <v>3744.22</v>
      </c>
      <c r="G326" s="30" t="n">
        <v>512.35</v>
      </c>
      <c r="H326" s="30" t="n">
        <v>-3.67</v>
      </c>
      <c r="I326" s="30" t="n">
        <v>3416610</v>
      </c>
      <c r="J326" s="30" t="inlineStr">
        <is>
          <t>542597</t>
        </is>
      </c>
    </row>
    <row r="327">
      <c r="A327" s="30" t="inlineStr">
        <is>
          <t>SGIL</t>
        </is>
      </c>
      <c r="B327" s="30" t="inlineStr">
        <is>
          <t>Synergy Green Industries Ltd</t>
        </is>
      </c>
      <c r="C327" s="30" t="inlineStr">
        <is>
          <t>industrials</t>
        </is>
      </c>
      <c r="D327" s="30" t="inlineStr">
        <is>
          <t>castings &amp; forgings</t>
        </is>
      </c>
      <c r="E327" s="30" t="inlineStr">
        <is>
          <t>smallcap</t>
        </is>
      </c>
      <c r="F327" s="30" t="n">
        <v>923.1</v>
      </c>
      <c r="G327" s="30" t="n">
        <v>571.3</v>
      </c>
      <c r="H327" s="30" t="n">
        <v>-3.81</v>
      </c>
      <c r="I327" s="30" t="n">
        <v>10882</v>
      </c>
      <c r="J327" s="30" t="inlineStr">
        <is>
          <t>541929</t>
        </is>
      </c>
    </row>
    <row r="328">
      <c r="A328" s="30" t="inlineStr">
        <is>
          <t>BLISSGVS</t>
        </is>
      </c>
      <c r="B328" s="30" t="inlineStr">
        <is>
          <t>Bliss Gvs Pharma Limited</t>
        </is>
      </c>
      <c r="C328" s="30" t="inlineStr">
        <is>
          <t>healthcare</t>
        </is>
      </c>
      <c r="D328" s="30" t="inlineStr">
        <is>
          <t>pharmaceuticals - indian - formulations</t>
        </is>
      </c>
      <c r="E328" s="30" t="inlineStr">
        <is>
          <t>smallcap</t>
        </is>
      </c>
      <c r="F328" s="30" t="n">
        <v>4826.09</v>
      </c>
      <c r="G328" s="30" t="n">
        <v>438.35</v>
      </c>
      <c r="H328" s="30" t="n">
        <v>-3.91</v>
      </c>
      <c r="I328" s="30" t="n">
        <v>1239641</v>
      </c>
      <c r="J328" s="30" t="inlineStr">
        <is>
          <t>506197</t>
        </is>
      </c>
    </row>
    <row r="329">
      <c r="A329" s="30" t="inlineStr">
        <is>
          <t>AEROFLEX</t>
        </is>
      </c>
      <c r="B329" s="30" t="inlineStr">
        <is>
          <t>Aeroflex Industries Ltd</t>
        </is>
      </c>
      <c r="C329" s="30" t="inlineStr">
        <is>
          <t>metals &amp; mining</t>
        </is>
      </c>
      <c r="D329" s="30" t="inlineStr">
        <is>
          <t>steel - medium / small</t>
        </is>
      </c>
      <c r="E329" s="30" t="inlineStr">
        <is>
          <t>midcap</t>
        </is>
      </c>
      <c r="F329" s="30" t="n">
        <v>5814.61</v>
      </c>
      <c r="G329" s="30" t="n">
        <v>419.75</v>
      </c>
      <c r="H329" s="30" t="n">
        <v>-4.47</v>
      </c>
      <c r="I329" s="30" t="n">
        <v>1658836</v>
      </c>
      <c r="J329" s="30" t="inlineStr">
        <is>
          <t>543972</t>
        </is>
      </c>
    </row>
    <row r="330">
      <c r="A330" s="30" t="inlineStr">
        <is>
          <t>INDOTECH</t>
        </is>
      </c>
      <c r="B330" s="30" t="inlineStr">
        <is>
          <t>Indo Tech Transformers Limited</t>
        </is>
      </c>
      <c r="C330" s="30" t="inlineStr">
        <is>
          <t>industrials</t>
        </is>
      </c>
      <c r="D330" s="30" t="inlineStr">
        <is>
          <t>electric equipment</t>
        </is>
      </c>
      <c r="E330" s="30" t="inlineStr">
        <is>
          <t>smallcap</t>
        </is>
      </c>
      <c r="F330" s="30" t="n">
        <v>2955.33</v>
      </c>
      <c r="G330" s="30" t="n">
        <v>2657.6</v>
      </c>
      <c r="H330" s="30" t="n">
        <v>-4.5</v>
      </c>
      <c r="I330" s="30" t="n">
        <v>46926</v>
      </c>
      <c r="J330" s="30" t="inlineStr">
        <is>
          <t>532717</t>
        </is>
      </c>
    </row>
    <row r="331">
      <c r="A331" s="30" t="inlineStr">
        <is>
          <t>STLTECH</t>
        </is>
      </c>
      <c r="B331" s="30" t="inlineStr">
        <is>
          <t>Sterlite Technologies Limited</t>
        </is>
      </c>
      <c r="C331" s="30" t="inlineStr">
        <is>
          <t>industrials</t>
        </is>
      </c>
      <c r="D331" s="30" t="inlineStr">
        <is>
          <t>cables - telephone</t>
        </is>
      </c>
      <c r="E331" s="30" t="inlineStr">
        <is>
          <t>largecap</t>
        </is>
      </c>
      <c r="F331" s="30" t="n">
        <v>31806.72</v>
      </c>
      <c r="G331" s="30" t="n">
        <v>619.25</v>
      </c>
      <c r="H331" s="30" t="n">
        <v>-4.96</v>
      </c>
      <c r="I331" s="30" t="n">
        <v>8658536</v>
      </c>
      <c r="J331" s="30" t="inlineStr">
        <is>
          <t>532374</t>
        </is>
      </c>
    </row>
    <row r="332">
      <c r="A332" s="30" t="inlineStr">
        <is>
          <t>SIGMAADV</t>
        </is>
      </c>
      <c r="B332" s="30" t="inlineStr">
        <is>
          <t>Sigma Advanced System Ltd</t>
        </is>
      </c>
      <c r="C332" s="30" t="inlineStr">
        <is>
          <t>aerospace &amp; defence</t>
        </is>
      </c>
      <c r="D332" s="30" t="inlineStr">
        <is>
          <t>electronics - components</t>
        </is>
      </c>
      <c r="E332" s="30" t="inlineStr">
        <is>
          <t>midcap</t>
        </is>
      </c>
      <c r="F332" s="30" t="n">
        <v>8084.12</v>
      </c>
      <c r="G332" s="30" t="n">
        <v>435.8</v>
      </c>
      <c r="H332" s="30" t="n">
        <v>-4.99</v>
      </c>
      <c r="I332" s="30" t="n">
        <v>754289</v>
      </c>
      <c r="J332" s="30" t="inlineStr">
        <is>
          <t>532408</t>
        </is>
      </c>
    </row>
    <row r="333">
      <c r="A333" s="30" t="inlineStr">
        <is>
          <t>BHAGYANGR</t>
        </is>
      </c>
      <c r="B333" s="30" t="inlineStr">
        <is>
          <t>Bhagyanagar India</t>
        </is>
      </c>
      <c r="C333" s="30" t="inlineStr">
        <is>
          <t>power &amp; utilities</t>
        </is>
      </c>
      <c r="D333" s="30" t="inlineStr">
        <is>
          <t>power generation and supply</t>
        </is>
      </c>
      <c r="E333" s="30" t="inlineStr">
        <is>
          <t>smallcap</t>
        </is>
      </c>
      <c r="F333" s="30" t="n">
        <v>1032.64</v>
      </c>
      <c r="G333" s="30" t="n">
        <v>306.65</v>
      </c>
      <c r="H333" s="30" t="n">
        <v>-4.99</v>
      </c>
      <c r="I333" s="30" t="n">
        <v>101526</v>
      </c>
      <c r="J333" s="30" t="inlineStr">
        <is>
          <t>512296</t>
        </is>
      </c>
    </row>
    <row r="334">
      <c r="A334" s="30" t="inlineStr">
        <is>
          <t>BIRLACABLE</t>
        </is>
      </c>
      <c r="B334" s="30" t="inlineStr">
        <is>
          <t>Birla Cable Limited</t>
        </is>
      </c>
      <c r="C334" s="30" t="inlineStr">
        <is>
          <t>industrials</t>
        </is>
      </c>
      <c r="D334" s="30" t="inlineStr">
        <is>
          <t>cables - telephone</t>
        </is>
      </c>
      <c r="E334" s="30" t="inlineStr">
        <is>
          <t>smallcap</t>
        </is>
      </c>
      <c r="F334" s="30" t="n">
        <v>707.04</v>
      </c>
      <c r="G334" s="30" t="n">
        <v>223.9</v>
      </c>
      <c r="H334" s="30" t="n">
        <v>-5</v>
      </c>
      <c r="I334" s="30" t="n">
        <v>318293</v>
      </c>
      <c r="J334" s="30" t="inlineStr">
        <is>
          <t>500060</t>
        </is>
      </c>
    </row>
    <row r="335">
      <c r="A335" s="30" t="inlineStr">
        <is>
          <t>HFCL</t>
        </is>
      </c>
      <c r="B335" s="30" t="inlineStr">
        <is>
          <t>HFCL Ltd</t>
        </is>
      </c>
      <c r="C335" s="30" t="inlineStr">
        <is>
          <t>telecom</t>
        </is>
      </c>
      <c r="D335" s="30" t="inlineStr">
        <is>
          <t>cables - telephone</t>
        </is>
      </c>
      <c r="E335" s="30" t="inlineStr">
        <is>
          <t>largecap</t>
        </is>
      </c>
      <c r="F335" s="30" t="n">
        <v>30165.11</v>
      </c>
      <c r="G335" s="30" t="n">
        <v>187.23</v>
      </c>
      <c r="H335" s="30" t="n">
        <v>-5</v>
      </c>
      <c r="I335" s="30" t="n">
        <v>43262952</v>
      </c>
      <c r="J335" s="30" t="inlineStr">
        <is>
          <t>500183</t>
        </is>
      </c>
    </row>
    <row r="336">
      <c r="A336" s="30" t="inlineStr">
        <is>
          <t>SAKAR</t>
        </is>
      </c>
      <c r="B336" s="30" t="inlineStr">
        <is>
          <t>Sakar Healthcare Ltd</t>
        </is>
      </c>
      <c r="C336" s="30" t="inlineStr">
        <is>
          <t>healthcare</t>
        </is>
      </c>
      <c r="D336" s="30" t="inlineStr">
        <is>
          <t>pharmaceuticals - indian - bulk drugs &amp; formln</t>
        </is>
      </c>
      <c r="E336" s="30" t="inlineStr">
        <is>
          <t>smallcap</t>
        </is>
      </c>
      <c r="F336" s="30" t="n">
        <v>1813.03</v>
      </c>
      <c r="G336" s="30" t="n">
        <v>773.2</v>
      </c>
      <c r="H336" s="30" t="n">
        <v>-5.11</v>
      </c>
      <c r="I336" s="30" t="n">
        <v>134932</v>
      </c>
      <c r="J336" s="30" t="inlineStr">
        <is>
          <t>538377</t>
        </is>
      </c>
    </row>
    <row r="337">
      <c r="A337" s="30" t="inlineStr">
        <is>
          <t>NETWEB</t>
        </is>
      </c>
      <c r="B337" s="30" t="inlineStr">
        <is>
          <t>Netweb Technologies India Ltd</t>
        </is>
      </c>
      <c r="C337" s="30" t="inlineStr">
        <is>
          <t>i.t</t>
        </is>
      </c>
      <c r="D337" s="30" t="inlineStr">
        <is>
          <t>computers - hardware</t>
        </is>
      </c>
      <c r="E337" s="30" t="inlineStr">
        <is>
          <t>largecap</t>
        </is>
      </c>
      <c r="F337" s="30" t="n">
        <v>28095.67</v>
      </c>
      <c r="G337" s="30" t="n">
        <v>4666</v>
      </c>
      <c r="H337" s="30" t="n">
        <v>-5.44</v>
      </c>
      <c r="I337" s="30" t="n">
        <v>1931743</v>
      </c>
      <c r="J337" s="30" t="inlineStr">
        <is>
          <t>543945</t>
        </is>
      </c>
    </row>
    <row r="338">
      <c r="A338" s="30" t="inlineStr">
        <is>
          <t>SKYGOLD</t>
        </is>
      </c>
      <c r="B338" s="30" t="inlineStr">
        <is>
          <t>Sky Gold Ltd</t>
        </is>
      </c>
      <c r="C338" s="30" t="inlineStr">
        <is>
          <t>consumer discretionary</t>
        </is>
      </c>
      <c r="D338" s="30" t="inlineStr">
        <is>
          <t>diamond cutting / jewellery</t>
        </is>
      </c>
      <c r="E338" s="30" t="inlineStr">
        <is>
          <t>midcap</t>
        </is>
      </c>
      <c r="F338" s="30" t="n">
        <v>8849.49</v>
      </c>
      <c r="G338" s="30" t="n">
        <v>528.45</v>
      </c>
      <c r="H338" s="30" t="n">
        <v>-7.52</v>
      </c>
      <c r="I338" s="30" t="n">
        <v>2897297</v>
      </c>
      <c r="J338" s="30" t="inlineStr">
        <is>
          <t>541967</t>
        </is>
      </c>
    </row>
    <row r="339">
      <c r="A339" s="30" t="inlineStr">
        <is>
          <t>VINDHYATEL</t>
        </is>
      </c>
      <c r="B339" s="30" t="inlineStr">
        <is>
          <t>Vindhya Telelinks Limited</t>
        </is>
      </c>
      <c r="C339" s="30" t="inlineStr">
        <is>
          <t>realty</t>
        </is>
      </c>
      <c r="D339" s="30" t="inlineStr">
        <is>
          <t>construction</t>
        </is>
      </c>
      <c r="E339" s="30" t="inlineStr">
        <is>
          <t>smallcap</t>
        </is>
      </c>
      <c r="F339" s="30" t="n">
        <v>2562.28</v>
      </c>
      <c r="G339" s="30" t="n">
        <v>1993.3</v>
      </c>
      <c r="H339" s="30" t="n">
        <v>-7.81</v>
      </c>
      <c r="I339" s="30" t="n">
        <v>108244</v>
      </c>
      <c r="J339" s="30" t="inlineStr">
        <is>
          <t>517015</t>
        </is>
      </c>
    </row>
  </sheetData>
  <autoFilter ref="A1:J3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30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IF(B2=0,"",RANK(B2,$B$2:$B$306,0))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BAJAJCON</t>
        </is>
      </c>
      <c r="D2" s="30" t="inlineStr">
        <is>
          <t>Bajaj Consumer Care Ltd</t>
        </is>
      </c>
      <c r="E2" s="30" t="inlineStr">
        <is>
          <t>fmcg</t>
        </is>
      </c>
      <c r="F2" s="30" t="inlineStr">
        <is>
          <t>personal care - indian</t>
        </is>
      </c>
      <c r="G2" s="30" t="inlineStr">
        <is>
          <t>midcap</t>
        </is>
      </c>
      <c r="H2" s="31" t="n">
        <v>7298.95</v>
      </c>
      <c r="I2" s="31" t="n">
        <v>552.05</v>
      </c>
      <c r="J2" s="31" t="n">
        <v>-1.21</v>
      </c>
      <c r="K2" s="31" t="n">
        <v>485590</v>
      </c>
      <c r="L2" s="30" t="n">
        <v>91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74.25</v>
      </c>
      <c r="P2" s="31" t="n">
        <v>51.77</v>
      </c>
      <c r="Q2" s="31" t="n">
        <v>440.61</v>
      </c>
      <c r="R2" s="30" t="inlineStr">
        <is>
          <t>Near 52W High Breakout</t>
        </is>
      </c>
      <c r="S2" s="30" t="inlineStr">
        <is>
          <t>Nifty FMCG</t>
        </is>
      </c>
      <c r="T2" s="31" t="n">
        <v>-13.44</v>
      </c>
      <c r="U2" s="31" t="n">
        <v>217.18</v>
      </c>
      <c r="V2" s="31" t="n">
        <v>266.43</v>
      </c>
      <c r="W2" s="31" t="n">
        <v>36.8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B2C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Annuity, Lower One Time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Above 2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IF(B3=0,"",RANK(B3,$B$2:$B$306,0))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OMAXAUTO</t>
        </is>
      </c>
      <c r="D3" s="30" t="inlineStr">
        <is>
          <t>Omax Autos Limited</t>
        </is>
      </c>
      <c r="E3" s="30" t="inlineStr">
        <is>
          <t>auto</t>
        </is>
      </c>
      <c r="F3" s="30" t="inlineStr">
        <is>
          <t>auto ancillaries</t>
        </is>
      </c>
      <c r="G3" s="30" t="inlineStr">
        <is>
          <t>smallcap</t>
        </is>
      </c>
      <c r="H3" s="31" t="n">
        <v>506.86</v>
      </c>
      <c r="I3" s="31" t="n">
        <v>234.72</v>
      </c>
      <c r="J3" s="31" t="n">
        <v>-0.95</v>
      </c>
      <c r="K3" s="31" t="n">
        <v>38331</v>
      </c>
      <c r="L3" s="30" t="n">
        <v>97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73.31999999999999</v>
      </c>
      <c r="P3" s="31" t="n">
        <v>35.14</v>
      </c>
      <c r="Q3" s="31" t="n">
        <v>176.72</v>
      </c>
      <c r="R3" s="30" t="inlineStr">
        <is>
          <t>Near 52W High Breakout</t>
        </is>
      </c>
      <c r="S3" s="30" t="inlineStr">
        <is>
          <t>Nifty Auto</t>
        </is>
      </c>
      <c r="T3" s="31" t="n">
        <v>10.59</v>
      </c>
      <c r="U3" s="31" t="n">
        <v>163.09</v>
      </c>
      <c r="V3" s="31" t="n">
        <v>137.91</v>
      </c>
      <c r="W3" s="31" t="n">
        <v>59.28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20 to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IF(B4=0,"",RANK(B4,$B$2:$B$306,0))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CONFIPET</t>
        </is>
      </c>
      <c r="D4" s="30" t="inlineStr">
        <is>
          <t>Confidence Petroleum India Ltd</t>
        </is>
      </c>
      <c r="E4" s="30" t="inlineStr">
        <is>
          <t>miscellaneous</t>
        </is>
      </c>
      <c r="F4" s="30" t="inlineStr">
        <is>
          <t>miscellaneous</t>
        </is>
      </c>
      <c r="G4" s="30" t="inlineStr">
        <is>
          <t>smallcap</t>
        </is>
      </c>
      <c r="H4" s="31" t="n">
        <v>2554.6</v>
      </c>
      <c r="I4" s="31" t="n">
        <v>77.61</v>
      </c>
      <c r="J4" s="31" t="n">
        <v>0.9399999999999999</v>
      </c>
      <c r="K4" s="31" t="n">
        <v>3889694</v>
      </c>
      <c r="L4" s="30" t="n">
        <v>96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78.90000000000001</v>
      </c>
      <c r="P4" s="31" t="n">
        <v>46.05</v>
      </c>
      <c r="Q4" s="31" t="n">
        <v>52.82</v>
      </c>
      <c r="R4" s="30" t="inlineStr">
        <is>
          <t>Near 52W High Breakout</t>
        </is>
      </c>
      <c r="S4" s="30" t="inlineStr">
        <is>
          <t>Nifty 50</t>
        </is>
      </c>
      <c r="T4" s="31" t="n">
        <v>-6.54</v>
      </c>
      <c r="U4" s="31" t="n">
        <v>30.47</v>
      </c>
      <c r="V4" s="31" t="n">
        <v>39.61</v>
      </c>
      <c r="W4" s="31" t="n">
        <v>52.08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Close to 52 week high or retracement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IF(B5=0,"",RANK(B5,$B$2:$B$306,0))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IBULLSLTD</t>
        </is>
      </c>
      <c r="D5" s="30" t="inlineStr">
        <is>
          <t>Indiabulls Limited</t>
        </is>
      </c>
      <c r="E5" s="30" t="inlineStr">
        <is>
          <t>miscellaneous</t>
        </is>
      </c>
      <c r="F5" s="30" t="inlineStr">
        <is>
          <t>diversified - medium / small</t>
        </is>
      </c>
      <c r="G5" s="30" t="inlineStr">
        <is>
          <t>midcap</t>
        </is>
      </c>
      <c r="H5" s="31" t="n">
        <v>5480.89</v>
      </c>
      <c r="I5" s="31" t="n">
        <v>23.24</v>
      </c>
      <c r="J5" s="31" t="n">
        <v>-1.44</v>
      </c>
      <c r="K5" s="31" t="n">
        <v>5138206</v>
      </c>
      <c r="L5" s="30" t="n">
        <v>95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71.62</v>
      </c>
      <c r="P5" s="31" t="n">
        <v>35.91</v>
      </c>
      <c r="Q5" s="31" t="n">
        <v>16.2</v>
      </c>
      <c r="R5" s="30" t="inlineStr">
        <is>
          <t>Near 52W High Breakout</t>
        </is>
      </c>
      <c r="S5" s="30" t="inlineStr">
        <is>
          <t>Nifty 50</t>
        </is>
      </c>
      <c r="T5" s="31" t="n">
        <v>-6.54</v>
      </c>
      <c r="U5" s="31" t="n">
        <v>47.74</v>
      </c>
      <c r="V5" s="31" t="n">
        <v>58.09</v>
      </c>
      <c r="W5" s="31" t="n">
        <v>51.77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20 to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Between 50% to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IF(B6=0,"",RANK(B6,$B$2:$B$306,0))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GAYAPROJ</t>
        </is>
      </c>
      <c r="D6" s="30" t="inlineStr">
        <is>
          <t>Gayatri Projects Limited</t>
        </is>
      </c>
      <c r="E6" s="30" t="inlineStr">
        <is>
          <t>realty</t>
        </is>
      </c>
      <c r="F6" s="30" t="inlineStr">
        <is>
          <t>construction</t>
        </is>
      </c>
      <c r="G6" s="30" t="inlineStr">
        <is>
          <t>smallcap</t>
        </is>
      </c>
      <c r="H6" s="31" t="n">
        <v>619.0599999999999</v>
      </c>
      <c r="I6" s="31" t="n">
        <v>20.53</v>
      </c>
      <c r="J6" s="31" t="n">
        <v>-1.77</v>
      </c>
      <c r="K6" s="31" t="n">
        <v>580824</v>
      </c>
      <c r="L6" s="30" t="n">
        <v>90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72.84999999999999</v>
      </c>
      <c r="P6" s="31" t="n">
        <v>63.06</v>
      </c>
      <c r="Q6" s="31" t="n">
        <v>16.33</v>
      </c>
      <c r="R6" s="30" t="inlineStr">
        <is>
          <t>Volume Spike &amp; Near 52W High Breakout</t>
        </is>
      </c>
      <c r="S6" s="30" t="inlineStr">
        <is>
          <t>Nifty Realty</t>
        </is>
      </c>
      <c r="T6" s="31" t="n">
        <v>-26.04</v>
      </c>
      <c r="U6" s="31" t="n">
        <v>140.4</v>
      </c>
      <c r="V6" s="31" t="n">
        <v>225.03</v>
      </c>
      <c r="W6" s="31" t="n">
        <v>33.77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Above 2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IF(B7=0,"",RANK(B7,$B$2:$B$306,0))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INDOBORAX</t>
        </is>
      </c>
      <c r="D7" s="30" t="inlineStr">
        <is>
          <t>Indo Borax &amp; Chemicals Ltd</t>
        </is>
      </c>
      <c r="E7" s="30" t="inlineStr">
        <is>
          <t>chemicals</t>
        </is>
      </c>
      <c r="F7" s="30" t="inlineStr">
        <is>
          <t>chemicals</t>
        </is>
      </c>
      <c r="G7" s="30" t="inlineStr">
        <is>
          <t>smallcap</t>
        </is>
      </c>
      <c r="H7" s="31" t="n">
        <v>1151.07</v>
      </c>
      <c r="I7" s="31" t="n">
        <v>367.4</v>
      </c>
      <c r="J7" s="31" t="n">
        <v>2.43</v>
      </c>
      <c r="K7" s="31" t="n">
        <v>113924</v>
      </c>
      <c r="L7" s="30" t="n">
        <v>80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81.72</v>
      </c>
      <c r="P7" s="31" t="n">
        <v>45.82</v>
      </c>
      <c r="Q7" s="31" t="n">
        <v>291.76</v>
      </c>
      <c r="R7" s="30" t="inlineStr">
        <is>
          <t>Near 52W High Breakout</t>
        </is>
      </c>
      <c r="S7" s="30" t="inlineStr">
        <is>
          <t>Nifty 50</t>
        </is>
      </c>
      <c r="T7" s="31" t="n">
        <v>-6.54</v>
      </c>
      <c r="U7" s="31" t="n">
        <v>88.01000000000001</v>
      </c>
      <c r="V7" s="31" t="n">
        <v>101.18</v>
      </c>
      <c r="W7" s="31" t="n">
        <v>24.83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Above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IF(B8=0,"",RANK(B8,$B$2:$B$306,0))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ADANIPOWER</t>
        </is>
      </c>
      <c r="D8" s="30" t="inlineStr">
        <is>
          <t>Adani Power Limited</t>
        </is>
      </c>
      <c r="E8" s="30" t="inlineStr">
        <is>
          <t>power &amp; utilities</t>
        </is>
      </c>
      <c r="F8" s="30" t="inlineStr">
        <is>
          <t>power generation and supply</t>
        </is>
      </c>
      <c r="G8" s="30" t="inlineStr">
        <is>
          <t>largecap</t>
        </is>
      </c>
      <c r="H8" s="31" t="n">
        <v>443605.83</v>
      </c>
      <c r="I8" s="31" t="n">
        <v>232.6</v>
      </c>
      <c r="J8" s="31" t="n">
        <v>1.12</v>
      </c>
      <c r="K8" s="31" t="n">
        <v>30846795</v>
      </c>
      <c r="L8" s="30" t="n">
        <v>88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74.48999999999999</v>
      </c>
      <c r="P8" s="31" t="n">
        <v>44.77</v>
      </c>
      <c r="Q8" s="31" t="n">
        <v>196.96</v>
      </c>
      <c r="R8" s="30" t="inlineStr">
        <is>
          <t>Near 52W High Breakout</t>
        </is>
      </c>
      <c r="S8" s="30" t="inlineStr">
        <is>
          <t>Nifty IT</t>
        </is>
      </c>
      <c r="T8" s="31" t="n">
        <v>-22.21</v>
      </c>
      <c r="U8" s="31" t="n">
        <v>109.46</v>
      </c>
      <c r="V8" s="31" t="n">
        <v>169.27</v>
      </c>
      <c r="W8" s="31" t="n">
        <v>31.82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Between 0.7 to 1.2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IF(B9=0,"",RANK(B9,$B$2:$B$306,0))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VENUSREM</t>
        </is>
      </c>
      <c r="D9" s="30" t="inlineStr">
        <is>
          <t>Venus Remedies Limited</t>
        </is>
      </c>
      <c r="E9" s="30" t="inlineStr">
        <is>
          <t>healthcare</t>
        </is>
      </c>
      <c r="F9" s="30" t="inlineStr">
        <is>
          <t>pharmaceuticals - indian - formulations</t>
        </is>
      </c>
      <c r="G9" s="30" t="inlineStr">
        <is>
          <t>smallcap</t>
        </is>
      </c>
      <c r="H9" s="31" t="n">
        <v>2079.64</v>
      </c>
      <c r="I9" s="31" t="n">
        <v>1633.5</v>
      </c>
      <c r="J9" s="31" t="n">
        <v>4.99</v>
      </c>
      <c r="K9" s="31" t="n">
        <v>177144</v>
      </c>
      <c r="L9" s="30" t="n">
        <v>98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80.33</v>
      </c>
      <c r="P9" s="31" t="n">
        <v>45.77</v>
      </c>
      <c r="Q9" s="31" t="n">
        <v>1234.27</v>
      </c>
      <c r="R9" s="30" t="inlineStr">
        <is>
          <t>Volume Spike &amp; Near 52W High Breakout</t>
        </is>
      </c>
      <c r="S9" s="30" t="inlineStr">
        <is>
          <t>Nifty Pharma</t>
        </is>
      </c>
      <c r="T9" s="31" t="n">
        <v>11.82</v>
      </c>
      <c r="U9" s="31" t="n">
        <v>279.88</v>
      </c>
      <c r="V9" s="31" t="n">
        <v>239.72</v>
      </c>
      <c r="W9" s="31" t="n">
        <v>65.43000000000001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Annuity, Lower One Time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Above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Above 2</t>
        </is>
      </c>
      <c r="BU9" s="30">
        <f>IF(BT9="Above 2",0,IF(BT9="Between 1.5 to 2",5,IF(BT9="Less than 1.5",10,0)))</f>
        <v/>
      </c>
      <c r="BV9" s="30" t="inlineStr">
        <is>
          <t>Above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IF(B10=0,"",RANK(B10,$B$2:$B$306,0))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EMCURE</t>
        </is>
      </c>
      <c r="D10" s="30" t="inlineStr">
        <is>
          <t>Emcure Pharmaceuticals Ltd</t>
        </is>
      </c>
      <c r="E10" s="30" t="inlineStr">
        <is>
          <t>healthcare</t>
        </is>
      </c>
      <c r="F10" s="30" t="inlineStr">
        <is>
          <t>pharmaceuticals - indian - bulk drugs &amp; formln</t>
        </is>
      </c>
      <c r="G10" s="30" t="inlineStr">
        <is>
          <t>largecap</t>
        </is>
      </c>
      <c r="H10" s="31" t="n">
        <v>33087.17</v>
      </c>
      <c r="I10" s="31" t="n">
        <v>1756.8</v>
      </c>
      <c r="J10" s="31" t="n">
        <v>0.66</v>
      </c>
      <c r="K10" s="31" t="n">
        <v>117449</v>
      </c>
      <c r="L10" s="30" t="n">
        <v>42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65.66</v>
      </c>
      <c r="P10" s="31" t="n">
        <v>40.79</v>
      </c>
      <c r="Q10" s="31" t="n">
        <v>1368.98</v>
      </c>
      <c r="R10" s="30" t="inlineStr">
        <is>
          <t>Near 52W High Breakout</t>
        </is>
      </c>
      <c r="S10" s="30" t="inlineStr">
        <is>
          <t>Nifty Pharma</t>
        </is>
      </c>
      <c r="T10" s="31" t="n">
        <v>11.82</v>
      </c>
      <c r="U10" s="31" t="n">
        <v>32.62</v>
      </c>
      <c r="V10" s="31" t="n">
        <v>18.6</v>
      </c>
      <c r="W10" s="31" t="n">
        <v>10.98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Annuity, Lower One Time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Between 50% to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IF(B11=0,"",RANK(B11,$B$2:$B$306,0))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RADICO</t>
        </is>
      </c>
      <c r="D11" s="30" t="inlineStr">
        <is>
          <t>Radico Khaitan Limited</t>
        </is>
      </c>
      <c r="E11" s="30" t="inlineStr">
        <is>
          <t>fmcg</t>
        </is>
      </c>
      <c r="F11" s="30" t="inlineStr">
        <is>
          <t>breweries &amp; distilleries</t>
        </is>
      </c>
      <c r="G11" s="30" t="inlineStr">
        <is>
          <t>largecap</t>
        </is>
      </c>
      <c r="H11" s="31" t="n">
        <v>46896.41</v>
      </c>
      <c r="I11" s="31" t="n">
        <v>3490.7</v>
      </c>
      <c r="J11" s="31" t="n">
        <v>-0.33</v>
      </c>
      <c r="K11" s="31" t="n">
        <v>191865</v>
      </c>
      <c r="L11" s="30" t="n">
        <v>45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67.06</v>
      </c>
      <c r="P11" s="31" t="n">
        <v>30.24</v>
      </c>
      <c r="Q11" s="31" t="n">
        <v>2880.08</v>
      </c>
      <c r="R11" s="30" t="inlineStr">
        <is>
          <t>Near 52W High Breakout</t>
        </is>
      </c>
      <c r="S11" s="30" t="inlineStr">
        <is>
          <t>Nifty FMCG</t>
        </is>
      </c>
      <c r="T11" s="31" t="n">
        <v>-13.44</v>
      </c>
      <c r="U11" s="31" t="n">
        <v>32.9</v>
      </c>
      <c r="V11" s="31" t="n">
        <v>53.53</v>
      </c>
      <c r="W11" s="31" t="n">
        <v>11.95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B2C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Annuity, Lower One Time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20 to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Yes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IF(B12=0,"",RANK(B12,$B$2:$B$306,0))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BLISSGVS</t>
        </is>
      </c>
      <c r="D12" s="30" t="inlineStr">
        <is>
          <t>Bliss Gvs Pharma Limited</t>
        </is>
      </c>
      <c r="E12" s="30" t="inlineStr">
        <is>
          <t>healthcare</t>
        </is>
      </c>
      <c r="F12" s="30" t="inlineStr">
        <is>
          <t>pharmaceuticals - indian - formulations</t>
        </is>
      </c>
      <c r="G12" s="30" t="inlineStr">
        <is>
          <t>smallcap</t>
        </is>
      </c>
      <c r="H12" s="31" t="n">
        <v>4826.09</v>
      </c>
      <c r="I12" s="31" t="n">
        <v>438.35</v>
      </c>
      <c r="J12" s="31" t="n">
        <v>-3.91</v>
      </c>
      <c r="K12" s="31" t="n">
        <v>1239641</v>
      </c>
      <c r="L12" s="30" t="n">
        <v>95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88.44</v>
      </c>
      <c r="P12" s="31" t="n">
        <v>57.32</v>
      </c>
      <c r="Q12" s="31" t="n">
        <v>334.23</v>
      </c>
      <c r="R12" s="30" t="inlineStr">
        <is>
          <t>Near 52W High Breakout</t>
        </is>
      </c>
      <c r="S12" s="30" t="inlineStr">
        <is>
          <t>Nifty Pharma</t>
        </is>
      </c>
      <c r="T12" s="31" t="n">
        <v>11.82</v>
      </c>
      <c r="U12" s="31" t="n">
        <v>222.91</v>
      </c>
      <c r="V12" s="31" t="n">
        <v>188.77</v>
      </c>
      <c r="W12" s="31" t="n">
        <v>51.9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Annuity, Lower One Time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Above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Above 2</t>
        </is>
      </c>
      <c r="BU12" s="30">
        <f>IF(BT12="Above 2",0,IF(BT12="Between 1.5 to 2",5,IF(BT12="Less than 1.5",10,0)))</f>
        <v/>
      </c>
      <c r="BV12" s="30" t="inlineStr">
        <is>
          <t>Above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IF(B13=0,"",RANK(B13,$B$2:$B$306,0))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SAKAR</t>
        </is>
      </c>
      <c r="D13" s="30" t="inlineStr">
        <is>
          <t>Sakar Healthcare Ltd</t>
        </is>
      </c>
      <c r="E13" s="30" t="inlineStr">
        <is>
          <t>healthcare</t>
        </is>
      </c>
      <c r="F13" s="30" t="inlineStr">
        <is>
          <t>pharmaceuticals - indian - bulk drugs &amp; formln</t>
        </is>
      </c>
      <c r="G13" s="30" t="inlineStr">
        <is>
          <t>smallcap</t>
        </is>
      </c>
      <c r="H13" s="31" t="n">
        <v>1813.03</v>
      </c>
      <c r="I13" s="31" t="n">
        <v>773.2</v>
      </c>
      <c r="J13" s="31" t="n">
        <v>-5.11</v>
      </c>
      <c r="K13" s="31" t="n">
        <v>134932</v>
      </c>
      <c r="L13" s="30" t="n">
        <v>85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73.91</v>
      </c>
      <c r="P13" s="31" t="n">
        <v>52.59</v>
      </c>
      <c r="Q13" s="31" t="n">
        <v>561.83</v>
      </c>
      <c r="R13" s="30" t="inlineStr">
        <is>
          <t>Near 52W High Breakout</t>
        </is>
      </c>
      <c r="S13" s="30" t="inlineStr">
        <is>
          <t>Nifty Pharma</t>
        </is>
      </c>
      <c r="T13" s="31" t="n">
        <v>11.82</v>
      </c>
      <c r="U13" s="31" t="n">
        <v>142.92</v>
      </c>
      <c r="V13" s="31" t="n">
        <v>117.23</v>
      </c>
      <c r="W13" s="31" t="n">
        <v>30.17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Annuity, Lower One Time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Yes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Between 50% to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IF(B14=0,"",RANK(B14,$B$2:$B$306,0))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ATHERENERG</t>
        </is>
      </c>
      <c r="D14" s="30" t="inlineStr">
        <is>
          <t>Ather Energy Ltd</t>
        </is>
      </c>
      <c r="E14" s="30" t="inlineStr">
        <is>
          <t>auto</t>
        </is>
      </c>
      <c r="F14" s="30" t="inlineStr">
        <is>
          <t>automobiles - scooters and 3 - wheelers</t>
        </is>
      </c>
      <c r="G14" s="30" t="inlineStr">
        <is>
          <t>largecap</t>
        </is>
      </c>
      <c r="H14" s="31" t="n">
        <v>37813.85</v>
      </c>
      <c r="I14" s="31" t="n">
        <v>1033.6</v>
      </c>
      <c r="J14" s="31" t="n">
        <v>4.6</v>
      </c>
      <c r="K14" s="31" t="n">
        <v>4325836</v>
      </c>
      <c r="L14" s="30" t="n">
        <v>93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73.7</v>
      </c>
      <c r="P14" s="31" t="n">
        <v>45.08</v>
      </c>
      <c r="Q14" s="31" t="n">
        <v>780.66</v>
      </c>
      <c r="R14" s="30" t="inlineStr">
        <is>
          <t>Near 52W High Breakout</t>
        </is>
      </c>
      <c r="S14" s="30" t="inlineStr">
        <is>
          <t>Nifty Auto</t>
        </is>
      </c>
      <c r="T14" s="31" t="n">
        <v>10.59</v>
      </c>
      <c r="U14" s="31" t="n">
        <v>234.5</v>
      </c>
      <c r="V14" s="31" t="n">
        <v>202.48</v>
      </c>
      <c r="W14" s="31" t="n">
        <v>40.67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Between 50 to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Negative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IF(B15=0,"",RANK(B15,$B$2:$B$306,0))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STYLAMIND</t>
        </is>
      </c>
      <c r="D15" s="30" t="inlineStr">
        <is>
          <t>Stylam Industries Ltd</t>
        </is>
      </c>
      <c r="E15" s="30" t="inlineStr">
        <is>
          <t>building materials</t>
        </is>
      </c>
      <c r="F15" s="30" t="inlineStr">
        <is>
          <t>miscellaneous</t>
        </is>
      </c>
      <c r="G15" s="30" t="inlineStr">
        <is>
          <t>midcap</t>
        </is>
      </c>
      <c r="H15" s="31" t="n">
        <v>5147.13</v>
      </c>
      <c r="I15" s="31" t="n">
        <v>3053.5</v>
      </c>
      <c r="J15" s="31" t="n">
        <v>0.54</v>
      </c>
      <c r="K15" s="31" t="n">
        <v>19378</v>
      </c>
      <c r="L15" s="30" t="n">
        <v>72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88.92</v>
      </c>
      <c r="P15" s="31" t="n">
        <v>54.35</v>
      </c>
      <c r="Q15" s="31" t="n">
        <v>2599.24</v>
      </c>
      <c r="R15" s="30" t="inlineStr">
        <is>
          <t>Near 52W High Breakout</t>
        </is>
      </c>
      <c r="S15" s="30" t="inlineStr">
        <is>
          <t>Nifty Infra</t>
        </is>
      </c>
      <c r="T15" s="31" t="n">
        <v>1.11</v>
      </c>
      <c r="U15" s="31" t="n">
        <v>80.39</v>
      </c>
      <c r="V15" s="31" t="n">
        <v>78.41</v>
      </c>
      <c r="W15" s="31" t="n">
        <v>21.07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Above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IF(B16=0,"",RANK(B16,$B$2:$B$306,0))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GVT&amp;D</t>
        </is>
      </c>
      <c r="D16" s="30" t="inlineStr">
        <is>
          <t>GE Vernova T&amp;D India Ltd</t>
        </is>
      </c>
      <c r="E16" s="30" t="inlineStr">
        <is>
          <t>industrials</t>
        </is>
      </c>
      <c r="F16" s="30" t="inlineStr">
        <is>
          <t>electric equipment</t>
        </is>
      </c>
      <c r="G16" s="30" t="inlineStr">
        <is>
          <t>largecap</t>
        </is>
      </c>
      <c r="H16" s="31" t="n">
        <v>130238.07</v>
      </c>
      <c r="I16" s="31" t="n">
        <v>5067</v>
      </c>
      <c r="J16" s="31" t="n">
        <v>-0.38</v>
      </c>
      <c r="K16" s="31" t="n">
        <v>888594</v>
      </c>
      <c r="L16" s="30" t="n">
        <v>78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72.90000000000001</v>
      </c>
      <c r="P16" s="31" t="n">
        <v>49.15</v>
      </c>
      <c r="Q16" s="31" t="n">
        <v>3909.27</v>
      </c>
      <c r="R16" s="30" t="inlineStr">
        <is>
          <t>Near 52W High Breakout</t>
        </is>
      </c>
      <c r="S16" s="30" t="inlineStr">
        <is>
          <t>Nifty 500</t>
        </is>
      </c>
      <c r="T16" s="31" t="n">
        <v>-3.02</v>
      </c>
      <c r="U16" s="31" t="n">
        <v>119.21</v>
      </c>
      <c r="V16" s="31" t="n">
        <v>126.04</v>
      </c>
      <c r="W16" s="31" t="n">
        <v>24.26</v>
      </c>
      <c r="X16" s="30" t="inlineStr">
        <is>
          <t>Cyclical in an Upturn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Yes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IF(B17=0,"",RANK(B17,$B$2:$B$306,0))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NETWEB</t>
        </is>
      </c>
      <c r="D17" s="30" t="inlineStr">
        <is>
          <t>Netweb Technologies India Ltd</t>
        </is>
      </c>
      <c r="E17" s="30" t="inlineStr">
        <is>
          <t>i.t</t>
        </is>
      </c>
      <c r="F17" s="30" t="inlineStr">
        <is>
          <t>computers - hardware</t>
        </is>
      </c>
      <c r="G17" s="30" t="inlineStr">
        <is>
          <t>largecap</t>
        </is>
      </c>
      <c r="H17" s="31" t="n">
        <v>28095.67</v>
      </c>
      <c r="I17" s="31" t="n">
        <v>4666</v>
      </c>
      <c r="J17" s="31" t="n">
        <v>-5.44</v>
      </c>
      <c r="K17" s="31" t="n">
        <v>1931743</v>
      </c>
      <c r="L17" s="30" t="n">
        <v>85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66.13</v>
      </c>
      <c r="P17" s="31" t="n">
        <v>43.6</v>
      </c>
      <c r="Q17" s="31" t="n">
        <v>3260.08</v>
      </c>
      <c r="R17" s="30" t="inlineStr">
        <is>
          <t>Volume Spike &amp; Near 52W High Breakout</t>
        </is>
      </c>
      <c r="S17" s="30" t="inlineStr">
        <is>
          <t>Nifty IT</t>
        </is>
      </c>
      <c r="T17" s="31" t="n">
        <v>-22.21</v>
      </c>
      <c r="U17" s="31" t="n">
        <v>136.35</v>
      </c>
      <c r="V17" s="31" t="n">
        <v>203.84</v>
      </c>
      <c r="W17" s="31" t="n">
        <v>30.05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Yes</t>
        </is>
      </c>
      <c r="BS17" s="30">
        <f>IF(BR17="NO",5,0)</f>
        <v/>
      </c>
      <c r="BT17" s="30" t="inlineStr">
        <is>
          <t>Between 1.5 to 2</t>
        </is>
      </c>
      <c r="BU17" s="30">
        <f>IF(BT17="Above 2",0,IF(BT17="Between 1.5 to 2",5,IF(BT17="Less than 1.5",10,0)))</f>
        <v/>
      </c>
      <c r="BV17" s="30" t="inlineStr">
        <is>
          <t>Between 50% to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IF(B18=0,"",RANK(B18,$B$2:$B$306,0))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NGLFINE</t>
        </is>
      </c>
      <c r="D18" s="30" t="inlineStr">
        <is>
          <t>NGL Fine Chem Ltd</t>
        </is>
      </c>
      <c r="E18" s="30" t="inlineStr">
        <is>
          <t>healthcare</t>
        </is>
      </c>
      <c r="F18" s="30" t="inlineStr">
        <is>
          <t>pharmaceuticals - indian - bulk drugs</t>
        </is>
      </c>
      <c r="G18" s="30" t="inlineStr">
        <is>
          <t>smallcap</t>
        </is>
      </c>
      <c r="H18" s="31" t="n">
        <v>1594.98</v>
      </c>
      <c r="I18" s="31" t="n">
        <v>2742.6</v>
      </c>
      <c r="J18" s="31" t="n">
        <v>6.23</v>
      </c>
      <c r="K18" s="31" t="n">
        <v>40222</v>
      </c>
      <c r="L18" s="30" t="n">
        <v>84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74.54000000000001</v>
      </c>
      <c r="P18" s="31" t="n">
        <v>66.68000000000001</v>
      </c>
      <c r="Q18" s="31" t="n">
        <v>1819.57</v>
      </c>
      <c r="R18" s="30" t="inlineStr">
        <is>
          <t>Near 52W High Breakout</t>
        </is>
      </c>
      <c r="S18" s="30" t="inlineStr">
        <is>
          <t>Nifty Pharma</t>
        </is>
      </c>
      <c r="T18" s="31" t="n">
        <v>11.82</v>
      </c>
      <c r="U18" s="31" t="n">
        <v>159.16</v>
      </c>
      <c r="V18" s="31" t="n">
        <v>131.76</v>
      </c>
      <c r="W18" s="31" t="n">
        <v>28.33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Annuity, Lower One Time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Between 50% to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IF(B19=0,"",RANK(B19,$B$2:$B$306,0))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CUPID</t>
        </is>
      </c>
      <c r="D19" s="30" t="inlineStr">
        <is>
          <t>Cupid Limited</t>
        </is>
      </c>
      <c r="E19" s="30" t="inlineStr">
        <is>
          <t>fmcg</t>
        </is>
      </c>
      <c r="F19" s="30" t="inlineStr">
        <is>
          <t>personal care - indian</t>
        </is>
      </c>
      <c r="G19" s="30" t="inlineStr">
        <is>
          <t>midcap</t>
        </is>
      </c>
      <c r="H19" s="31" t="n">
        <v>17896.09</v>
      </c>
      <c r="I19" s="31" t="n">
        <v>137.1</v>
      </c>
      <c r="J19" s="31" t="n">
        <v>3.01</v>
      </c>
      <c r="K19" s="31" t="n">
        <v>15150953</v>
      </c>
      <c r="L19" s="30" t="n">
        <v>98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76.19</v>
      </c>
      <c r="P19" s="31" t="n">
        <v>40.67</v>
      </c>
      <c r="Q19" s="31" t="n">
        <v>104.14</v>
      </c>
      <c r="R19" s="30" t="inlineStr">
        <is>
          <t>Near 52W High Breakout</t>
        </is>
      </c>
      <c r="S19" s="30" t="inlineStr">
        <is>
          <t>Nifty FMCG</t>
        </is>
      </c>
      <c r="T19" s="31" t="n">
        <v>-13.44</v>
      </c>
      <c r="U19" s="31" t="n">
        <v>534.72</v>
      </c>
      <c r="V19" s="31" t="n">
        <v>633.28</v>
      </c>
      <c r="W19" s="31" t="n">
        <v>64.33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B2C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Annuity, Lower One Time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Above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Yes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Less than 50%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IF(B20=0,"",RANK(B20,$B$2:$B$306,0))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PGHL</t>
        </is>
      </c>
      <c r="D20" s="30" t="inlineStr">
        <is>
          <t>Procter &amp; Gamble Health Ltd</t>
        </is>
      </c>
      <c r="E20" s="30" t="inlineStr">
        <is>
          <t>healthcare</t>
        </is>
      </c>
      <c r="F20" s="30" t="inlineStr">
        <is>
          <t>pharmaceuticals - multinational</t>
        </is>
      </c>
      <c r="G20" s="30" t="inlineStr">
        <is>
          <t>midcap</t>
        </is>
      </c>
      <c r="H20" s="31" t="n">
        <v>10293.28</v>
      </c>
      <c r="I20" s="31" t="n">
        <v>6200</v>
      </c>
      <c r="J20" s="31" t="n">
        <v>-0.02</v>
      </c>
      <c r="K20" s="31" t="n">
        <v>10201</v>
      </c>
      <c r="L20" s="30" t="n">
        <v>36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74.12</v>
      </c>
      <c r="P20" s="31" t="n">
        <v>29.9</v>
      </c>
      <c r="Q20" s="31" t="n">
        <v>5206.24</v>
      </c>
      <c r="R20" s="30" t="inlineStr">
        <is>
          <t>Near 52W High Breakout</t>
        </is>
      </c>
      <c r="S20" s="30" t="inlineStr">
        <is>
          <t>Nifty Pharma</t>
        </is>
      </c>
      <c r="T20" s="31" t="n">
        <v>11.82</v>
      </c>
      <c r="U20" s="31" t="n">
        <v>15.67</v>
      </c>
      <c r="V20" s="31" t="n">
        <v>3.44</v>
      </c>
      <c r="W20" s="31" t="n">
        <v>9.460000000000001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Annuity, Lower One Time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20 to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IF(B21=0,"",RANK(B21,$B$2:$B$306,0))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TINNARUBR</t>
        </is>
      </c>
      <c r="D21" s="30" t="inlineStr">
        <is>
          <t>Tinna Rubber &amp; Infrastructure Ltd</t>
        </is>
      </c>
      <c r="E21" s="30" t="inlineStr">
        <is>
          <t>fmcg</t>
        </is>
      </c>
      <c r="F21" s="30" t="inlineStr">
        <is>
          <t>miscellaneous</t>
        </is>
      </c>
      <c r="G21" s="30" t="inlineStr">
        <is>
          <t>smallcap</t>
        </is>
      </c>
      <c r="H21" s="31" t="n">
        <v>1605.65</v>
      </c>
      <c r="I21" s="31" t="n">
        <v>869.6</v>
      </c>
      <c r="J21" s="31" t="n">
        <v>-2.43</v>
      </c>
      <c r="K21" s="31" t="n">
        <v>98615</v>
      </c>
      <c r="L21" s="30" t="n">
        <v>27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58.8</v>
      </c>
      <c r="P21" s="31" t="n">
        <v>20.59</v>
      </c>
      <c r="Q21" s="31" t="n">
        <v>602.17</v>
      </c>
      <c r="R21" s="30" t="inlineStr">
        <is>
          <t>Volume Spike / Accumulation</t>
        </is>
      </c>
      <c r="S21" s="30" t="inlineStr">
        <is>
          <t>Nifty FMCG</t>
        </is>
      </c>
      <c r="T21" s="31" t="n">
        <v>-13.44</v>
      </c>
      <c r="U21" s="31" t="n">
        <v>-8.550000000000001</v>
      </c>
      <c r="V21" s="31" t="n">
        <v>5.65</v>
      </c>
      <c r="W21" s="31" t="n">
        <v>6.97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B2C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Annuity, Lower One Time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20 to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Close to 52 week high or retracement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Between 50% to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IF(B22=0,"",RANK(B22,$B$2:$B$306,0))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GANESHBE</t>
        </is>
      </c>
      <c r="D22" s="30" t="inlineStr">
        <is>
          <t>Ganesh Benzoplast Ltd</t>
        </is>
      </c>
      <c r="E22" s="30" t="inlineStr">
        <is>
          <t>miscellaneous</t>
        </is>
      </c>
      <c r="F22" s="30" t="inlineStr">
        <is>
          <t>miscellaneous</t>
        </is>
      </c>
      <c r="G22" s="30" t="inlineStr">
        <is>
          <t>smallcap</t>
        </is>
      </c>
      <c r="H22" s="31" t="n">
        <v>728.39</v>
      </c>
      <c r="I22" s="31" t="n">
        <v>111.95</v>
      </c>
      <c r="J22" s="31" t="n">
        <v>10.64</v>
      </c>
      <c r="K22" s="31" t="n">
        <v>5571472</v>
      </c>
      <c r="L22" s="30" t="n">
        <v>38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68.23999999999999</v>
      </c>
      <c r="P22" s="31" t="n">
        <v>20.59</v>
      </c>
      <c r="Q22" s="31" t="n">
        <v>81.81</v>
      </c>
      <c r="R22" s="30" t="inlineStr">
        <is>
          <t>Volume Spike &amp; Near 52W High Breakout</t>
        </is>
      </c>
      <c r="S22" s="30" t="inlineStr">
        <is>
          <t>Nifty 50</t>
        </is>
      </c>
      <c r="T22" s="31" t="n">
        <v>-6.54</v>
      </c>
      <c r="U22" s="31" t="n">
        <v>2.8</v>
      </c>
      <c r="V22" s="31" t="n">
        <v>10</v>
      </c>
      <c r="W22" s="31" t="n">
        <v>10.26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20 to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Close to 52 week high or retracement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IF(B23=0,"",RANK(B23,$B$2:$B$306,0))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POWERINDIA</t>
        </is>
      </c>
      <c r="D23" s="30" t="inlineStr">
        <is>
          <t>Hitachi Energy India Ltd</t>
        </is>
      </c>
      <c r="E23" s="30" t="inlineStr">
        <is>
          <t>industrials</t>
        </is>
      </c>
      <c r="F23" s="30" t="inlineStr">
        <is>
          <t>electric equipment</t>
        </is>
      </c>
      <c r="G23" s="30" t="inlineStr">
        <is>
          <t>largecap</t>
        </is>
      </c>
      <c r="H23" s="31" t="n">
        <v>162800.56</v>
      </c>
      <c r="I23" s="31" t="n">
        <v>36870</v>
      </c>
      <c r="J23" s="31" t="n">
        <v>0.9399999999999999</v>
      </c>
      <c r="K23" s="31" t="n">
        <v>109445</v>
      </c>
      <c r="L23" s="30" t="n">
        <v>80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74.52</v>
      </c>
      <c r="P23" s="31" t="n">
        <v>59.34</v>
      </c>
      <c r="Q23" s="31" t="n">
        <v>30708.13</v>
      </c>
      <c r="R23" s="30" t="inlineStr">
        <is>
          <t>Near 52W High Breakout</t>
        </is>
      </c>
      <c r="S23" s="30" t="inlineStr">
        <is>
          <t>Nifty 50</t>
        </is>
      </c>
      <c r="T23" s="31" t="n">
        <v>-6.54</v>
      </c>
      <c r="U23" s="31" t="n">
        <v>102.61</v>
      </c>
      <c r="V23" s="31" t="n">
        <v>116.8</v>
      </c>
      <c r="W23" s="31" t="n">
        <v>25.02</v>
      </c>
      <c r="X23" s="30" t="inlineStr">
        <is>
          <t>Cyclical in an Upturn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Above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Above 2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IF(B24=0,"",RANK(B24,$B$2:$B$306,0))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SYRMA</t>
        </is>
      </c>
      <c r="D24" s="30" t="inlineStr">
        <is>
          <t>Syrma SGS Technology Ltd</t>
        </is>
      </c>
      <c r="E24" s="30" t="inlineStr">
        <is>
          <t>consumer discretionary</t>
        </is>
      </c>
      <c r="F24" s="30" t="inlineStr">
        <is>
          <t>electronics - components</t>
        </is>
      </c>
      <c r="G24" s="30" t="inlineStr">
        <is>
          <t>largecap</t>
        </is>
      </c>
      <c r="H24" s="31" t="n">
        <v>23556.17</v>
      </c>
      <c r="I24" s="31" t="n">
        <v>1226.8</v>
      </c>
      <c r="J24" s="31" t="n">
        <v>0.43</v>
      </c>
      <c r="K24" s="31" t="n">
        <v>737121</v>
      </c>
      <c r="L24" s="30" t="n">
        <v>90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73.01000000000001</v>
      </c>
      <c r="P24" s="31" t="n">
        <v>29.35</v>
      </c>
      <c r="Q24" s="31" t="n">
        <v>942.45</v>
      </c>
      <c r="R24" s="30" t="inlineStr">
        <is>
          <t>Near 52W High Breakout</t>
        </is>
      </c>
      <c r="S24" s="30" t="inlineStr">
        <is>
          <t>Nifty 50</t>
        </is>
      </c>
      <c r="T24" s="31" t="n">
        <v>-6.54</v>
      </c>
      <c r="U24" s="31" t="n">
        <v>129.78</v>
      </c>
      <c r="V24" s="31" t="n">
        <v>145.87</v>
      </c>
      <c r="W24" s="31" t="n">
        <v>33.93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20 to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Yes</t>
        </is>
      </c>
      <c r="BS24" s="30">
        <f>IF(BR24="NO",5,0)</f>
        <v/>
      </c>
      <c r="BT24" s="30" t="inlineStr">
        <is>
          <t>Between 1.5 to 2</t>
        </is>
      </c>
      <c r="BU24" s="30">
        <f>IF(BT24="Above 2",0,IF(BT24="Between 1.5 to 2",5,IF(BT24="Less than 1.5",10,0)))</f>
        <v/>
      </c>
      <c r="BV24" s="30" t="inlineStr">
        <is>
          <t>Between 50% to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IF(B25=0,"",RANK(B25,$B$2:$B$306,0))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MAYURUNIQ</t>
        </is>
      </c>
      <c r="D25" s="30" t="inlineStr">
        <is>
          <t>Mayur Uniquoters Ltd</t>
        </is>
      </c>
      <c r="E25" s="30" t="inlineStr">
        <is>
          <t>consumer discretionary</t>
        </is>
      </c>
      <c r="F25" s="30" t="inlineStr">
        <is>
          <t>leather / leather products</t>
        </is>
      </c>
      <c r="G25" s="30" t="inlineStr">
        <is>
          <t>smallcap</t>
        </is>
      </c>
      <c r="H25" s="31" t="n">
        <v>3191.16</v>
      </c>
      <c r="I25" s="31" t="n">
        <v>733.65</v>
      </c>
      <c r="J25" s="31" t="n">
        <v>-0.1</v>
      </c>
      <c r="K25" s="31" t="n">
        <v>88627</v>
      </c>
      <c r="L25" s="30" t="n">
        <v>55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73.48</v>
      </c>
      <c r="P25" s="31" t="n">
        <v>31.28</v>
      </c>
      <c r="Q25" s="31" t="n">
        <v>591.33</v>
      </c>
      <c r="R25" s="30" t="inlineStr">
        <is>
          <t>Near 52W High Breakout</t>
        </is>
      </c>
      <c r="S25" s="30" t="inlineStr">
        <is>
          <t>Nifty 50</t>
        </is>
      </c>
      <c r="T25" s="31" t="n">
        <v>-6.54</v>
      </c>
      <c r="U25" s="31" t="n">
        <v>27.42</v>
      </c>
      <c r="V25" s="31" t="n">
        <v>36.34</v>
      </c>
      <c r="W25" s="31" t="n">
        <v>14.73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20 to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Between 50% to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IF(B26=0,"",RANK(B26,$B$2:$B$306,0))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AMBIKCO</t>
        </is>
      </c>
      <c r="D26" s="30" t="inlineStr">
        <is>
          <t>Ambika Cotton Mills Limited</t>
        </is>
      </c>
      <c r="E26" s="30" t="inlineStr">
        <is>
          <t>textiles</t>
        </is>
      </c>
      <c r="F26" s="30" t="inlineStr">
        <is>
          <t>textiles - cotton/blended</t>
        </is>
      </c>
      <c r="G26" s="30" t="inlineStr">
        <is>
          <t>smallcap</t>
        </is>
      </c>
      <c r="H26" s="31" t="n">
        <v>956.7</v>
      </c>
      <c r="I26" s="31" t="n">
        <v>1633.9</v>
      </c>
      <c r="J26" s="31" t="n">
        <v>-2.23</v>
      </c>
      <c r="K26" s="31" t="n">
        <v>11442</v>
      </c>
      <c r="L26" s="30" t="n">
        <v>14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65.69</v>
      </c>
      <c r="P26" s="31" t="n">
        <v>21.51</v>
      </c>
      <c r="Q26" s="31" t="n">
        <v>1304.49</v>
      </c>
      <c r="R26" s="30" t="inlineStr">
        <is>
          <t>Near 52W High Breakout</t>
        </is>
      </c>
      <c r="S26" s="30" t="inlineStr">
        <is>
          <t>Nifty 50</t>
        </is>
      </c>
      <c r="T26" s="31" t="n">
        <v>-6.54</v>
      </c>
      <c r="U26" s="31" t="n">
        <v>-0.78</v>
      </c>
      <c r="V26" s="31" t="n">
        <v>6.17</v>
      </c>
      <c r="W26" s="31" t="n">
        <v>4.44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20 to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Close to 52 week high or retracement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IF(B27=0,"",RANK(B27,$B$2:$B$306,0))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TIPSMUSIC</t>
        </is>
      </c>
      <c r="D27" s="30" t="inlineStr">
        <is>
          <t>Tips Music Ltd</t>
        </is>
      </c>
      <c r="E27" s="30" t="inlineStr">
        <is>
          <t>media</t>
        </is>
      </c>
      <c r="F27" s="30" t="inlineStr">
        <is>
          <t>entertainment / electronic media software</t>
        </is>
      </c>
      <c r="G27" s="30" t="inlineStr">
        <is>
          <t>midcap</t>
        </is>
      </c>
      <c r="H27" s="31" t="n">
        <v>8591.559999999999</v>
      </c>
      <c r="I27" s="31" t="n">
        <v>690.95</v>
      </c>
      <c r="J27" s="31" t="n">
        <v>2.8</v>
      </c>
      <c r="K27" s="31" t="n">
        <v>1683476</v>
      </c>
      <c r="L27" s="30" t="n">
        <v>35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67.37</v>
      </c>
      <c r="P27" s="31" t="n">
        <v>23.62</v>
      </c>
      <c r="Q27" s="31" t="n">
        <v>533.15</v>
      </c>
      <c r="R27" s="30" t="inlineStr">
        <is>
          <t>Near 52W High Breakout</t>
        </is>
      </c>
      <c r="S27" s="30" t="inlineStr">
        <is>
          <t>Nifty IT</t>
        </is>
      </c>
      <c r="T27" s="31" t="n">
        <v>-22.21</v>
      </c>
      <c r="U27" s="31" t="n">
        <v>3.32</v>
      </c>
      <c r="V27" s="31" t="n">
        <v>32.83</v>
      </c>
      <c r="W27" s="31" t="n">
        <v>9.07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Annuity, Lower One Time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20 to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Close to 52 week high or retracement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Yes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IF(B28=0,"",RANK(B28,$B$2:$B$306,0))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GLAND</t>
        </is>
      </c>
      <c r="D28" s="30" t="inlineStr">
        <is>
          <t>Gland Pharma Ltd</t>
        </is>
      </c>
      <c r="E28" s="30" t="inlineStr">
        <is>
          <t>healthcare</t>
        </is>
      </c>
      <c r="F28" s="30" t="inlineStr">
        <is>
          <t>pharmaceuticals - indian - formulations</t>
        </is>
      </c>
      <c r="G28" s="30" t="inlineStr">
        <is>
          <t>largecap</t>
        </is>
      </c>
      <c r="H28" s="31" t="n">
        <v>36567.69</v>
      </c>
      <c r="I28" s="31" t="n">
        <v>2273</v>
      </c>
      <c r="J28" s="31" t="n">
        <v>2.41</v>
      </c>
      <c r="K28" s="31" t="n">
        <v>494431</v>
      </c>
      <c r="L28" s="30" t="n">
        <v>58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69.06</v>
      </c>
      <c r="P28" s="31" t="n">
        <v>25.77</v>
      </c>
      <c r="Q28" s="31" t="n">
        <v>1879.64</v>
      </c>
      <c r="R28" s="30" t="inlineStr">
        <is>
          <t>Near 52W High Breakout</t>
        </is>
      </c>
      <c r="S28" s="30" t="inlineStr">
        <is>
          <t>Nifty Pharma</t>
        </is>
      </c>
      <c r="T28" s="31" t="n">
        <v>11.82</v>
      </c>
      <c r="U28" s="31" t="n">
        <v>39.72</v>
      </c>
      <c r="V28" s="31" t="n">
        <v>24.95</v>
      </c>
      <c r="W28" s="31" t="n">
        <v>15.31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Annuity, Lower One Time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20 to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Between 50% to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IF(B29=0,"",RANK(B29,$B$2:$B$306,0))</f>
        <v/>
      </c>
      <c r="B29" s="31">
        <f>SUM(N29,Y29,AA29,AC29,AE29,AG29,AI29,AK29,AM29,AO29,AQ29,AS29,AU29,AW29,AY29,BA29,BC29,BE29,BG29,BI29,BK29,BM29,BO29,BQ29,BS29,BU29,BW29,BY29,CA29,CC29,CE29)</f>
        <v/>
      </c>
      <c r="C29" s="30" t="inlineStr">
        <is>
          <t>NINSYS</t>
        </is>
      </c>
      <c r="D29" s="30" t="inlineStr">
        <is>
          <t>NINtec Systems Ltd</t>
        </is>
      </c>
      <c r="E29" s="30" t="inlineStr">
        <is>
          <t>i.t</t>
        </is>
      </c>
      <c r="F29" s="30" t="inlineStr">
        <is>
          <t>computers - software - medium / small</t>
        </is>
      </c>
      <c r="G29" s="30" t="inlineStr">
        <is>
          <t>smallcap</t>
        </is>
      </c>
      <c r="H29" s="31" t="n">
        <v>1329.21</v>
      </c>
      <c r="I29" s="31" t="n">
        <v>724.15</v>
      </c>
      <c r="J29" s="31" t="n">
        <v>1.2</v>
      </c>
      <c r="K29" s="31" t="n">
        <v>9657</v>
      </c>
      <c r="L29" s="30" t="n">
        <v>95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86.13</v>
      </c>
      <c r="P29" s="31" t="n">
        <v>48.21</v>
      </c>
      <c r="Q29" s="31" t="n">
        <v>545.03</v>
      </c>
      <c r="R29" s="30" t="inlineStr">
        <is>
          <t>Near 52W High Breakout</t>
        </is>
      </c>
      <c r="S29" s="30" t="inlineStr">
        <is>
          <t>Nifty IT</t>
        </is>
      </c>
      <c r="T29" s="31" t="n">
        <v>-22.21</v>
      </c>
      <c r="U29" s="31" t="n">
        <v>61.97</v>
      </c>
      <c r="V29" s="31" t="n">
        <v>108.22</v>
      </c>
      <c r="W29" s="31" t="n">
        <v>48.15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Annuity, Lower One Time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Above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Between 12 to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Above 2</t>
        </is>
      </c>
      <c r="BU29" s="30">
        <f>IF(BT29="Above 2",0,IF(BT29="Between 1.5 to 2",5,IF(BT29="Less than 1.5",10,0)))</f>
        <v/>
      </c>
      <c r="BV29" s="30" t="inlineStr">
        <is>
          <t>Between 50% to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IF(B30=0,"",RANK(B30,$B$2:$B$306,0))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ADFFOODS</t>
        </is>
      </c>
      <c r="D30" s="30" t="inlineStr">
        <is>
          <t>Adf Foods Limited</t>
        </is>
      </c>
      <c r="E30" s="30" t="inlineStr">
        <is>
          <t>fmcg</t>
        </is>
      </c>
      <c r="F30" s="30" t="inlineStr">
        <is>
          <t>food - processing - indian</t>
        </is>
      </c>
      <c r="G30" s="30" t="inlineStr">
        <is>
          <t>smallcap</t>
        </is>
      </c>
      <c r="H30" s="31" t="n">
        <v>3172.86</v>
      </c>
      <c r="I30" s="31" t="n">
        <v>282.8</v>
      </c>
      <c r="J30" s="31" t="n">
        <v>-2.08</v>
      </c>
      <c r="K30" s="31" t="n">
        <v>164750</v>
      </c>
      <c r="L30" s="30" t="n">
        <v>53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64.13</v>
      </c>
      <c r="P30" s="31" t="n">
        <v>26.78</v>
      </c>
      <c r="Q30" s="31" t="n">
        <v>200.88</v>
      </c>
      <c r="R30" s="30" t="inlineStr">
        <is>
          <t>Near 52W High Breakout</t>
        </is>
      </c>
      <c r="S30" s="30" t="inlineStr">
        <is>
          <t>Nifty FMCG</t>
        </is>
      </c>
      <c r="T30" s="31" t="n">
        <v>-13.44</v>
      </c>
      <c r="U30" s="31" t="n">
        <v>10.42</v>
      </c>
      <c r="V30" s="31" t="n">
        <v>27.56</v>
      </c>
      <c r="W30" s="31" t="n">
        <v>14.07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B2C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Annuity, Lower One Time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Close to 52 week high or retracement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Less than 1.5</t>
        </is>
      </c>
      <c r="BU30" s="30">
        <f>IF(BT30="Above 2",0,IF(BT30="Between 1.5 to 2",5,IF(BT30="Less than 1.5",10,0)))</f>
        <v/>
      </c>
      <c r="BV30" s="30" t="inlineStr">
        <is>
          <t>Less than 50%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IF(B31=0,"",RANK(B31,$B$2:$B$306,0))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GVPIL</t>
        </is>
      </c>
      <c r="D31" s="30" t="inlineStr">
        <is>
          <t>GE Power India Ltd</t>
        </is>
      </c>
      <c r="E31" s="30" t="inlineStr">
        <is>
          <t>realty</t>
        </is>
      </c>
      <c r="F31" s="30" t="inlineStr">
        <is>
          <t>engineering - turnkey services</t>
        </is>
      </c>
      <c r="G31" s="30" t="inlineStr">
        <is>
          <t>midcap</t>
        </is>
      </c>
      <c r="H31" s="31" t="n">
        <v>6101.23</v>
      </c>
      <c r="I31" s="31" t="n">
        <v>884.1</v>
      </c>
      <c r="J31" s="31" t="n">
        <v>-2.58</v>
      </c>
      <c r="K31" s="31" t="n">
        <v>583582</v>
      </c>
      <c r="L31" s="30" t="n">
        <v>95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87.09999999999999</v>
      </c>
      <c r="P31" s="31" t="n">
        <v>53.92</v>
      </c>
      <c r="Q31" s="31" t="n">
        <v>668.48</v>
      </c>
      <c r="R31" s="30" t="inlineStr">
        <is>
          <t>Volume Spike &amp; Near 52W High Breakout</t>
        </is>
      </c>
      <c r="S31" s="30" t="inlineStr">
        <is>
          <t>Nifty Realty</t>
        </is>
      </c>
      <c r="T31" s="31" t="n">
        <v>-26.04</v>
      </c>
      <c r="U31" s="31" t="n">
        <v>224.26</v>
      </c>
      <c r="V31" s="31" t="n">
        <v>338.42</v>
      </c>
      <c r="W31" s="31" t="n">
        <v>50.6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Duopoly That Cooperate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Shallow Cyclical (2 to 3 Years Growth)</t>
        </is>
      </c>
      <c r="AG31" s="30">
        <f>IF(AF31="Structural (10 Years Consistency)",10,IF(AF31="Shallow Cyclical (2 to 3 years growth)",5,0))</f>
        <v/>
      </c>
      <c r="AH31" s="30" t="inlineStr">
        <is>
          <t>Yes due to Product Mix change or Operating Leverage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B2C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Fully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only for next 1 to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Above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Close to 52 week high or retracement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Yes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Between 50% to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Between 0.7 to 1.2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IF(B32=0,"",RANK(B32,$B$2:$B$306,0))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IOLCP</t>
        </is>
      </c>
      <c r="D32" s="30" t="inlineStr">
        <is>
          <t>Iol Chemicals And Pharmaceuticals Limited</t>
        </is>
      </c>
      <c r="E32" s="30" t="inlineStr">
        <is>
          <t>healthcare</t>
        </is>
      </c>
      <c r="F32" s="30" t="inlineStr">
        <is>
          <t>pharmaceuticals - indian - bulk drugs &amp; formln</t>
        </is>
      </c>
      <c r="G32" s="30" t="inlineStr">
        <is>
          <t>smallcap</t>
        </is>
      </c>
      <c r="H32" s="31" t="n">
        <v>3996.67</v>
      </c>
      <c r="I32" s="31" t="n">
        <v>131.68</v>
      </c>
      <c r="J32" s="31" t="n">
        <v>-3.29</v>
      </c>
      <c r="K32" s="31" t="n">
        <v>2101130</v>
      </c>
      <c r="L32" s="30" t="n">
        <v>84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80.23999999999999</v>
      </c>
      <c r="P32" s="31" t="n">
        <v>35.4</v>
      </c>
      <c r="Q32" s="31" t="n">
        <v>98.84</v>
      </c>
      <c r="R32" s="30" t="inlineStr">
        <is>
          <t>Near 52W High Breakout</t>
        </is>
      </c>
      <c r="S32" s="30" t="inlineStr">
        <is>
          <t>Nifty Pharma</t>
        </is>
      </c>
      <c r="T32" s="31" t="n">
        <v>11.82</v>
      </c>
      <c r="U32" s="31" t="n">
        <v>50.4</v>
      </c>
      <c r="V32" s="31" t="n">
        <v>34.5</v>
      </c>
      <c r="W32" s="31" t="n">
        <v>28.23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Annuity, Lower One Time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20 to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Less than 1.5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IF(B33=0,"",RANK(B33,$B$2:$B$306,0))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MODISONLTD</t>
        </is>
      </c>
      <c r="D33" s="30" t="inlineStr">
        <is>
          <t>Modison Ltd</t>
        </is>
      </c>
      <c r="E33" s="30" t="inlineStr">
        <is>
          <t>industrials</t>
        </is>
      </c>
      <c r="F33" s="30" t="inlineStr">
        <is>
          <t>electric equipment</t>
        </is>
      </c>
      <c r="G33" s="30" t="inlineStr">
        <is>
          <t>smallcap</t>
        </is>
      </c>
      <c r="H33" s="31" t="n">
        <v>1120.99</v>
      </c>
      <c r="I33" s="31" t="n">
        <v>362.7</v>
      </c>
      <c r="J33" s="31" t="n">
        <v>4.99</v>
      </c>
      <c r="K33" s="31" t="n">
        <v>224859</v>
      </c>
      <c r="L33" s="30" t="n">
        <v>98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87.36</v>
      </c>
      <c r="P33" s="31" t="n">
        <v>29.03</v>
      </c>
      <c r="Q33" s="31" t="n">
        <v>279.43</v>
      </c>
      <c r="R33" s="30" t="inlineStr">
        <is>
          <t>Near 52W High Breakout</t>
        </is>
      </c>
      <c r="S33" s="30" t="inlineStr">
        <is>
          <t>Nifty 50</t>
        </is>
      </c>
      <c r="T33" s="31" t="n">
        <v>-6.54</v>
      </c>
      <c r="U33" s="31" t="n">
        <v>129.78</v>
      </c>
      <c r="V33" s="31" t="n">
        <v>145.87</v>
      </c>
      <c r="W33" s="31" t="n">
        <v>67.47</v>
      </c>
      <c r="X33" s="30" t="inlineStr">
        <is>
          <t>Cyclical in an Upturn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20 to 40</t>
        </is>
      </c>
      <c r="AY33" s="30">
        <f>IF(AX33="Above 40",20,IF(AX33="20 to 40",10,IF(AX33="0 to 20",-5,0)))</f>
        <v/>
      </c>
      <c r="AZ33" s="30" t="inlineStr">
        <is>
          <t>Above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Above 2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IF(B34=0,"",RANK(B34,$B$2:$B$306,0))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RPTECH</t>
        </is>
      </c>
      <c r="D34" s="30" t="inlineStr">
        <is>
          <t>Rashi Peripherals Ltd</t>
        </is>
      </c>
      <c r="E34" s="30" t="inlineStr">
        <is>
          <t>services</t>
        </is>
      </c>
      <c r="F34" s="30" t="inlineStr">
        <is>
          <t>trading</t>
        </is>
      </c>
      <c r="G34" s="30" t="inlineStr">
        <is>
          <t>smallcap</t>
        </is>
      </c>
      <c r="H34" s="31" t="n">
        <v>3553.64</v>
      </c>
      <c r="I34" s="31" t="n">
        <v>546.25</v>
      </c>
      <c r="J34" s="31" t="n">
        <v>1.3</v>
      </c>
      <c r="K34" s="31" t="n">
        <v>119861</v>
      </c>
      <c r="L34" s="30" t="n">
        <v>79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77.29000000000001</v>
      </c>
      <c r="P34" s="31" t="n">
        <v>45.85</v>
      </c>
      <c r="Q34" s="31" t="n">
        <v>420.2</v>
      </c>
      <c r="R34" s="30" t="inlineStr">
        <is>
          <t>Near 52W High Breakout</t>
        </is>
      </c>
      <c r="S34" s="30" t="inlineStr">
        <is>
          <t>Nifty 50</t>
        </is>
      </c>
      <c r="T34" s="31" t="n">
        <v>-6.54</v>
      </c>
      <c r="U34" s="31" t="n">
        <v>74.02</v>
      </c>
      <c r="V34" s="31" t="n">
        <v>86.20999999999999</v>
      </c>
      <c r="W34" s="31" t="n">
        <v>24.61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Above 40</t>
        </is>
      </c>
      <c r="AY34" s="30">
        <f>IF(AX34="Above 40",20,IF(AX34="20 to 40",10,IF(AX34="0 to 20",-5,0)))</f>
        <v/>
      </c>
      <c r="AZ34" s="30" t="inlineStr">
        <is>
          <t>Above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Less than 50%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IF(B35=0,"",RANK(B35,$B$2:$B$306,0))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UNIDT</t>
        </is>
      </c>
      <c r="D35" s="30" t="inlineStr">
        <is>
          <t>United Drilling Tools Ltd</t>
        </is>
      </c>
      <c r="E35" s="30" t="inlineStr">
        <is>
          <t>industrials</t>
        </is>
      </c>
      <c r="F35" s="30" t="inlineStr">
        <is>
          <t>engineering</t>
        </is>
      </c>
      <c r="G35" s="30" t="inlineStr">
        <is>
          <t>smallcap</t>
        </is>
      </c>
      <c r="H35" s="31" t="n">
        <v>503.92</v>
      </c>
      <c r="I35" s="31" t="n">
        <v>249.51</v>
      </c>
      <c r="J35" s="31" t="n">
        <v>0.53</v>
      </c>
      <c r="K35" s="31" t="n">
        <v>18139</v>
      </c>
      <c r="L35" s="30" t="n">
        <v>56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71.15000000000001</v>
      </c>
      <c r="P35" s="31" t="n">
        <v>36.14</v>
      </c>
      <c r="Q35" s="31" t="n">
        <v>188.43</v>
      </c>
      <c r="R35" s="30" t="inlineStr">
        <is>
          <t>Near 52W High Breakout</t>
        </is>
      </c>
      <c r="S35" s="30" t="inlineStr">
        <is>
          <t>Nifty 50</t>
        </is>
      </c>
      <c r="T35" s="31" t="n">
        <v>-6.54</v>
      </c>
      <c r="U35" s="31" t="n">
        <v>33.34</v>
      </c>
      <c r="V35" s="31" t="n">
        <v>42.68</v>
      </c>
      <c r="W35" s="31" t="n">
        <v>14.83</v>
      </c>
      <c r="X35" s="30" t="inlineStr">
        <is>
          <t>Cyclical in an Upturn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20 to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Close to 52 week high or retracement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Less than 1.5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IF(B36=0,"",RANK(B36,$B$2:$B$306,0))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VTL</t>
        </is>
      </c>
      <c r="D36" s="30" t="inlineStr">
        <is>
          <t>Vardhman Textiles Limited</t>
        </is>
      </c>
      <c r="E36" s="30" t="inlineStr">
        <is>
          <t>textiles</t>
        </is>
      </c>
      <c r="F36" s="30" t="inlineStr">
        <is>
          <t>textiles - cotton/blended</t>
        </is>
      </c>
      <c r="G36" s="30" t="inlineStr">
        <is>
          <t>midcap</t>
        </is>
      </c>
      <c r="H36" s="31" t="n">
        <v>18271.04</v>
      </c>
      <c r="I36" s="31" t="n">
        <v>631.4</v>
      </c>
      <c r="J36" s="31" t="n">
        <v>-0.03</v>
      </c>
      <c r="K36" s="31" t="n">
        <v>349112</v>
      </c>
      <c r="L36" s="30" t="n">
        <v>38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68.31999999999999</v>
      </c>
      <c r="P36" s="31" t="n">
        <v>50.91</v>
      </c>
      <c r="Q36" s="31" t="n">
        <v>493.75</v>
      </c>
      <c r="R36" s="30" t="inlineStr">
        <is>
          <t>Near 52W High Breakout</t>
        </is>
      </c>
      <c r="S36" s="30" t="inlineStr">
        <is>
          <t>Nifty 50</t>
        </is>
      </c>
      <c r="T36" s="31" t="n">
        <v>-6.54</v>
      </c>
      <c r="U36" s="31" t="n">
        <v>31.59</v>
      </c>
      <c r="V36" s="31" t="n">
        <v>40.8</v>
      </c>
      <c r="W36" s="31" t="n">
        <v>10.06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Above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Less than 12%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Above 2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IF(B37=0,"",RANK(B37,$B$2:$B$306,0))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SHAILY</t>
        </is>
      </c>
      <c r="D37" s="30" t="inlineStr">
        <is>
          <t>Shaily Engineering Plastics Ltd</t>
        </is>
      </c>
      <c r="E37" s="30" t="inlineStr">
        <is>
          <t>plastic products</t>
        </is>
      </c>
      <c r="F37" s="30" t="inlineStr">
        <is>
          <t>plastics products</t>
        </is>
      </c>
      <c r="G37" s="30" t="inlineStr">
        <is>
          <t>midcap</t>
        </is>
      </c>
      <c r="H37" s="31" t="n">
        <v>14096.27</v>
      </c>
      <c r="I37" s="31" t="n">
        <v>3062.9</v>
      </c>
      <c r="J37" s="31" t="n">
        <v>-0.15</v>
      </c>
      <c r="K37" s="31" t="n">
        <v>227359</v>
      </c>
      <c r="L37" s="30" t="n">
        <v>82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69.40000000000001</v>
      </c>
      <c r="P37" s="31" t="n">
        <v>23.08</v>
      </c>
      <c r="Q37" s="31" t="n">
        <v>2177.09</v>
      </c>
      <c r="R37" s="30" t="inlineStr">
        <is>
          <t>Near 52W High Breakout</t>
        </is>
      </c>
      <c r="S37" s="30" t="inlineStr">
        <is>
          <t>Nifty 50</t>
        </is>
      </c>
      <c r="T37" s="31" t="n">
        <v>-6.54</v>
      </c>
      <c r="U37" s="31" t="n">
        <v>74.77</v>
      </c>
      <c r="V37" s="31" t="n">
        <v>87.01000000000001</v>
      </c>
      <c r="W37" s="31" t="n">
        <v>27.15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Above 2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IF(B38=0,"",RANK(B38,$B$2:$B$306,0))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NITINSPIN</t>
        </is>
      </c>
      <c r="D38" s="30" t="inlineStr">
        <is>
          <t>Nitin Spinners Limited</t>
        </is>
      </c>
      <c r="E38" s="30" t="inlineStr">
        <is>
          <t>textiles</t>
        </is>
      </c>
      <c r="F38" s="30" t="inlineStr">
        <is>
          <t>textiles - cotton/blended</t>
        </is>
      </c>
      <c r="G38" s="30" t="inlineStr">
        <is>
          <t>smallcap</t>
        </is>
      </c>
      <c r="H38" s="31" t="n">
        <v>3044.59</v>
      </c>
      <c r="I38" s="31" t="n">
        <v>535.8</v>
      </c>
      <c r="J38" s="31" t="n">
        <v>-1.06</v>
      </c>
      <c r="K38" s="31" t="n">
        <v>342486</v>
      </c>
      <c r="L38" s="30" t="n">
        <v>63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79.06</v>
      </c>
      <c r="P38" s="31" t="n">
        <v>51.4</v>
      </c>
      <c r="Q38" s="31" t="n">
        <v>411.7</v>
      </c>
      <c r="R38" s="30" t="inlineStr">
        <is>
          <t>Near 52W High Breakout</t>
        </is>
      </c>
      <c r="S38" s="30" t="inlineStr">
        <is>
          <t>Nifty 50</t>
        </is>
      </c>
      <c r="T38" s="31" t="n">
        <v>-6.54</v>
      </c>
      <c r="U38" s="31" t="n">
        <v>35.94</v>
      </c>
      <c r="V38" s="31" t="n">
        <v>45.46</v>
      </c>
      <c r="W38" s="31" t="n">
        <v>16.89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Above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Above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Between 0.7 to 1.2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IF(B39=0,"",RANK(B39,$B$2:$B$306,0))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CEMPRO</t>
        </is>
      </c>
      <c r="D39" s="30" t="inlineStr">
        <is>
          <t>Cemindia Projects Ltd</t>
        </is>
      </c>
      <c r="E39" s="30" t="inlineStr">
        <is>
          <t>realty</t>
        </is>
      </c>
      <c r="F39" s="30" t="inlineStr">
        <is>
          <t>construction</t>
        </is>
      </c>
      <c r="G39" s="30" t="inlineStr">
        <is>
          <t>midcap</t>
        </is>
      </c>
      <c r="H39" s="31" t="n">
        <v>19365.61</v>
      </c>
      <c r="I39" s="31" t="n">
        <v>1112.8</v>
      </c>
      <c r="J39" s="31" t="n">
        <v>-1.29</v>
      </c>
      <c r="K39" s="31" t="n">
        <v>1192068</v>
      </c>
      <c r="L39" s="30" t="n">
        <v>90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74.84</v>
      </c>
      <c r="P39" s="31" t="n">
        <v>35.37</v>
      </c>
      <c r="Q39" s="31" t="n">
        <v>841.63</v>
      </c>
      <c r="R39" s="30" t="inlineStr">
        <is>
          <t>Near 52W High Breakout</t>
        </is>
      </c>
      <c r="S39" s="30" t="inlineStr">
        <is>
          <t>Nifty Realty</t>
        </is>
      </c>
      <c r="T39" s="31" t="n">
        <v>-26.04</v>
      </c>
      <c r="U39" s="31" t="n">
        <v>49.18</v>
      </c>
      <c r="V39" s="31" t="n">
        <v>101.7</v>
      </c>
      <c r="W39" s="31" t="n">
        <v>34.56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No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One Time, Lower Annuity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No</t>
        </is>
      </c>
      <c r="BS39" s="30">
        <f>IF(BR39="NO",5,0)</f>
        <v/>
      </c>
      <c r="BT39" s="30" t="inlineStr">
        <is>
          <t>Above 2</t>
        </is>
      </c>
      <c r="BU39" s="30">
        <f>IF(BT39="Above 2",0,IF(BT39="Between 1.5 to 2",5,IF(BT39="Less than 1.5",10,0)))</f>
        <v/>
      </c>
      <c r="BV39" s="30" t="inlineStr">
        <is>
          <t>Less than 50%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IF(B40=0,"",RANK(B40,$B$2:$B$306,0))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AVALON</t>
        </is>
      </c>
      <c r="D40" s="30" t="inlineStr">
        <is>
          <t>Avalon Technologies Ltd</t>
        </is>
      </c>
      <c r="E40" s="30" t="inlineStr">
        <is>
          <t>consumer discretionary</t>
        </is>
      </c>
      <c r="F40" s="30" t="inlineStr">
        <is>
          <t>electronics - components</t>
        </is>
      </c>
      <c r="G40" s="30" t="inlineStr">
        <is>
          <t>midcap</t>
        </is>
      </c>
      <c r="H40" s="31" t="n">
        <v>10934.29</v>
      </c>
      <c r="I40" s="31" t="n">
        <v>1607.9</v>
      </c>
      <c r="J40" s="31" t="n">
        <v>-1.82</v>
      </c>
      <c r="K40" s="31" t="n">
        <v>406233</v>
      </c>
      <c r="L40" s="30" t="n">
        <v>86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74.42</v>
      </c>
      <c r="P40" s="31" t="n">
        <v>28.34</v>
      </c>
      <c r="Q40" s="31" t="n">
        <v>1155.27</v>
      </c>
      <c r="R40" s="30" t="inlineStr">
        <is>
          <t>Near 52W High Breakout</t>
        </is>
      </c>
      <c r="S40" s="30" t="inlineStr">
        <is>
          <t>Nifty 50</t>
        </is>
      </c>
      <c r="T40" s="31" t="n">
        <v>-6.54</v>
      </c>
      <c r="U40" s="31" t="n">
        <v>85.59</v>
      </c>
      <c r="V40" s="31" t="n">
        <v>98.59</v>
      </c>
      <c r="W40" s="31" t="n">
        <v>30.7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Less than 50%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IF(B41=0,"",RANK(B41,$B$2:$B$306,0))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ACUTAAS</t>
        </is>
      </c>
      <c r="D41" s="30" t="inlineStr">
        <is>
          <t>Acutaas Chemicals Ltd</t>
        </is>
      </c>
      <c r="E41" s="30" t="inlineStr">
        <is>
          <t>healthcare</t>
        </is>
      </c>
      <c r="F41" s="30" t="inlineStr">
        <is>
          <t>pharmaceuticals - indian - bulk drugs</t>
        </is>
      </c>
      <c r="G41" s="30" t="inlineStr">
        <is>
          <t>largecap</t>
        </is>
      </c>
      <c r="H41" s="31" t="n">
        <v>25909.75</v>
      </c>
      <c r="I41" s="31" t="n">
        <v>3328.3</v>
      </c>
      <c r="J41" s="31" t="n">
        <v>5.17</v>
      </c>
      <c r="K41" s="31" t="n">
        <v>1067585</v>
      </c>
      <c r="L41" s="30" t="n">
        <v>90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79.45</v>
      </c>
      <c r="P41" s="31" t="n">
        <v>64.38</v>
      </c>
      <c r="Q41" s="31" t="n">
        <v>2603.5</v>
      </c>
      <c r="R41" s="30" t="inlineStr">
        <is>
          <t>Near 52W High Breakout</t>
        </is>
      </c>
      <c r="S41" s="30" t="inlineStr">
        <is>
          <t>Nifty Pharma</t>
        </is>
      </c>
      <c r="T41" s="31" t="n">
        <v>11.82</v>
      </c>
      <c r="U41" s="31" t="n">
        <v>192.13</v>
      </c>
      <c r="V41" s="31" t="n">
        <v>161.24</v>
      </c>
      <c r="W41" s="31" t="n">
        <v>34.55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Yes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Annuity, Lower One Time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Above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Blue sky scenario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Between 50% to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IF(B42=0,"",RANK(B42,$B$2:$B$306,0))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ASTERDM</t>
        </is>
      </c>
      <c r="D42" s="30" t="inlineStr">
        <is>
          <t>Aster DM Healthcare Ltd</t>
        </is>
      </c>
      <c r="E42" s="30" t="inlineStr">
        <is>
          <t>healthcare</t>
        </is>
      </c>
      <c r="F42" s="30" t="inlineStr">
        <is>
          <t>healthcare</t>
        </is>
      </c>
      <c r="G42" s="30" t="inlineStr">
        <is>
          <t>largecap</t>
        </is>
      </c>
      <c r="H42" s="31" t="n">
        <v>38239.92</v>
      </c>
      <c r="I42" s="31" t="n">
        <v>754</v>
      </c>
      <c r="J42" s="31" t="n">
        <v>2.16</v>
      </c>
      <c r="K42" s="31" t="n">
        <v>233590</v>
      </c>
      <c r="L42" s="30" t="n">
        <v>31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65.37</v>
      </c>
      <c r="P42" s="31" t="n">
        <v>34.85</v>
      </c>
      <c r="Q42" s="31" t="n">
        <v>617.52</v>
      </c>
      <c r="R42" s="30" t="inlineStr">
        <is>
          <t>Near 52W High Breakout</t>
        </is>
      </c>
      <c r="S42" s="30" t="inlineStr">
        <is>
          <t>Nifty Pharma</t>
        </is>
      </c>
      <c r="T42" s="31" t="n">
        <v>11.82</v>
      </c>
      <c r="U42" s="31" t="n">
        <v>31.18</v>
      </c>
      <c r="V42" s="31" t="n">
        <v>17.31</v>
      </c>
      <c r="W42" s="31" t="n">
        <v>8.24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Yes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Annuity, Lower One Time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20 to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Between 1.5 to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IF(B43=0,"",RANK(B43,$B$2:$B$306,0))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RATEGAIN</t>
        </is>
      </c>
      <c r="D43" s="30" t="inlineStr">
        <is>
          <t>Rategain Travel Technologies Ltd</t>
        </is>
      </c>
      <c r="E43" s="30" t="inlineStr">
        <is>
          <t>i.t</t>
        </is>
      </c>
      <c r="F43" s="30" t="inlineStr">
        <is>
          <t>computers - software - medium / small</t>
        </is>
      </c>
      <c r="G43" s="30" t="inlineStr">
        <is>
          <t>midcap</t>
        </is>
      </c>
      <c r="H43" s="31" t="n">
        <v>9110.549999999999</v>
      </c>
      <c r="I43" s="31" t="n">
        <v>758.7</v>
      </c>
      <c r="J43" s="31" t="n">
        <v>-1.6</v>
      </c>
      <c r="K43" s="31" t="n">
        <v>333958</v>
      </c>
      <c r="L43" s="30" t="n">
        <v>82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70.48999999999999</v>
      </c>
      <c r="P43" s="31" t="n">
        <v>25.5</v>
      </c>
      <c r="Q43" s="31" t="n">
        <v>575.59</v>
      </c>
      <c r="R43" s="30" t="inlineStr">
        <is>
          <t>Near 52W High Breakout</t>
        </is>
      </c>
      <c r="S43" s="30" t="inlineStr">
        <is>
          <t>Nifty IT</t>
        </is>
      </c>
      <c r="T43" s="31" t="n">
        <v>-22.21</v>
      </c>
      <c r="U43" s="31" t="n">
        <v>70.48999999999999</v>
      </c>
      <c r="V43" s="31" t="n">
        <v>119.18</v>
      </c>
      <c r="W43" s="31" t="n">
        <v>26.96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Annuity, Lower One Time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20 to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Yes</t>
        </is>
      </c>
      <c r="BS43" s="30">
        <f>IF(BR43="NO",5,0)</f>
        <v/>
      </c>
      <c r="BT43" s="30" t="inlineStr">
        <is>
          <t>Between 1.5 to 2</t>
        </is>
      </c>
      <c r="BU43" s="30">
        <f>IF(BT43="Above 2",0,IF(BT43="Between 1.5 to 2",5,IF(BT43="Less than 1.5",10,0)))</f>
        <v/>
      </c>
      <c r="BV43" s="30" t="inlineStr">
        <is>
          <t>Between 50% to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IF(B44=0,"",RANK(B44,$B$2:$B$306,0))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RPEL</t>
        </is>
      </c>
      <c r="D44" s="30" t="inlineStr">
        <is>
          <t>Raghav Productivity Enhancers Ltd</t>
        </is>
      </c>
      <c r="E44" s="30" t="inlineStr">
        <is>
          <t>building materials</t>
        </is>
      </c>
      <c r="F44" s="30" t="inlineStr">
        <is>
          <t>refractories / intermediates</t>
        </is>
      </c>
      <c r="G44" s="30" t="inlineStr">
        <is>
          <t>smallcap</t>
        </is>
      </c>
      <c r="H44" s="31" t="n">
        <v>4638.03</v>
      </c>
      <c r="I44" s="31" t="n">
        <v>1110.15</v>
      </c>
      <c r="J44" s="31" t="n">
        <v>9.890000000000001</v>
      </c>
      <c r="K44" s="31" t="n">
        <v>594955</v>
      </c>
      <c r="L44" s="30" t="n">
        <v>83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74.29000000000001</v>
      </c>
      <c r="P44" s="31" t="n">
        <v>28.7</v>
      </c>
      <c r="Q44" s="31" t="n">
        <v>838.27</v>
      </c>
      <c r="R44" s="30" t="inlineStr">
        <is>
          <t>Near 52W High Breakout</t>
        </is>
      </c>
      <c r="S44" s="30" t="inlineStr">
        <is>
          <t>Nifty Infra</t>
        </is>
      </c>
      <c r="T44" s="31" t="n">
        <v>1.11</v>
      </c>
      <c r="U44" s="31" t="n">
        <v>56.18</v>
      </c>
      <c r="V44" s="31" t="n">
        <v>54.46</v>
      </c>
      <c r="W44" s="31" t="n">
        <v>27.34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Between 1.5 to 2</t>
        </is>
      </c>
      <c r="BU44" s="30">
        <f>IF(BT44="Above 2",0,IF(BT44="Between 1.5 to 2",5,IF(BT44="Less than 1.5",10,0)))</f>
        <v/>
      </c>
      <c r="BV44" s="30" t="inlineStr">
        <is>
          <t>Less than 50%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IF(B45=0,"",RANK(B45,$B$2:$B$306,0))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CENTENKA</t>
        </is>
      </c>
      <c r="D45" s="30" t="inlineStr">
        <is>
          <t>Century Enka Limited</t>
        </is>
      </c>
      <c r="E45" s="30" t="inlineStr">
        <is>
          <t>textiles</t>
        </is>
      </c>
      <c r="F45" s="30" t="inlineStr">
        <is>
          <t>textiles - manmade</t>
        </is>
      </c>
      <c r="G45" s="30" t="inlineStr">
        <is>
          <t>smallcap</t>
        </is>
      </c>
      <c r="H45" s="31" t="n">
        <v>1080.84</v>
      </c>
      <c r="I45" s="31" t="n">
        <v>518.9</v>
      </c>
      <c r="J45" s="31" t="n">
        <v>4.9</v>
      </c>
      <c r="K45" s="31" t="n">
        <v>131157</v>
      </c>
      <c r="L45" s="30" t="n">
        <v>32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62.17</v>
      </c>
      <c r="P45" s="31" t="n">
        <v>24.08</v>
      </c>
      <c r="Q45" s="31" t="n">
        <v>402.82</v>
      </c>
      <c r="R45" s="30" t="inlineStr">
        <is>
          <t>Near 52W High Breakout</t>
        </is>
      </c>
      <c r="S45" s="30" t="inlineStr">
        <is>
          <t>Nifty 50</t>
        </is>
      </c>
      <c r="T45" s="31" t="n">
        <v>-6.54</v>
      </c>
      <c r="U45" s="31" t="n">
        <v>13.64</v>
      </c>
      <c r="V45" s="31" t="n">
        <v>21.6</v>
      </c>
      <c r="W45" s="31" t="n">
        <v>8.279999999999999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Close to 52 week high or retracement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IF(B46=0,"",RANK(B46,$B$2:$B$306,0))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NRBBEARING</t>
        </is>
      </c>
      <c r="D46" s="30" t="inlineStr">
        <is>
          <t>Nrb Bearing Limited</t>
        </is>
      </c>
      <c r="E46" s="30" t="inlineStr">
        <is>
          <t>industrials</t>
        </is>
      </c>
      <c r="F46" s="30" t="inlineStr">
        <is>
          <t>bearings</t>
        </is>
      </c>
      <c r="G46" s="30" t="inlineStr">
        <is>
          <t>smallcap</t>
        </is>
      </c>
      <c r="H46" s="31" t="n">
        <v>3601.64</v>
      </c>
      <c r="I46" s="31" t="n">
        <v>385.65</v>
      </c>
      <c r="J46" s="31" t="n">
        <v>3.78</v>
      </c>
      <c r="K46" s="31" t="n">
        <v>792877</v>
      </c>
      <c r="L46" s="30" t="n">
        <v>70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74.5</v>
      </c>
      <c r="P46" s="31" t="n">
        <v>25.61</v>
      </c>
      <c r="Q46" s="31" t="n">
        <v>299.56</v>
      </c>
      <c r="R46" s="30" t="inlineStr">
        <is>
          <t>Near 52W High Breakout</t>
        </is>
      </c>
      <c r="S46" s="30" t="inlineStr">
        <is>
          <t>Nifty 50</t>
        </is>
      </c>
      <c r="T46" s="31" t="n">
        <v>-6.54</v>
      </c>
      <c r="U46" s="31" t="n">
        <v>50.03</v>
      </c>
      <c r="V46" s="31" t="n">
        <v>60.54</v>
      </c>
      <c r="W46" s="31" t="n">
        <v>19.74</v>
      </c>
      <c r="X46" s="30" t="inlineStr">
        <is>
          <t>Cyclical in an Upturn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Above 2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IF(B47=0,"",RANK(B47,$B$2:$B$306,0))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HITECHCORP</t>
        </is>
      </c>
      <c r="D47" s="30" t="inlineStr">
        <is>
          <t>Hitech Corporation</t>
        </is>
      </c>
      <c r="E47" s="30" t="inlineStr">
        <is>
          <t>industrials</t>
        </is>
      </c>
      <c r="F47" s="30" t="inlineStr">
        <is>
          <t>packaging</t>
        </is>
      </c>
      <c r="G47" s="30" t="inlineStr">
        <is>
          <t>smallcap</t>
        </is>
      </c>
      <c r="H47" s="31" t="n">
        <v>529.63</v>
      </c>
      <c r="I47" s="31" t="n">
        <v>314.34</v>
      </c>
      <c r="J47" s="31" t="n">
        <v>1.94</v>
      </c>
      <c r="K47" s="31" t="n">
        <v>374046</v>
      </c>
      <c r="L47" s="30" t="n">
        <v>96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82.04000000000001</v>
      </c>
      <c r="P47" s="31" t="n">
        <v>33.67</v>
      </c>
      <c r="Q47" s="31" t="n">
        <v>232.53</v>
      </c>
      <c r="R47" s="30" t="inlineStr">
        <is>
          <t>Volume Spike &amp; Near 52W High Breakout</t>
        </is>
      </c>
      <c r="S47" s="30" t="inlineStr">
        <is>
          <t>Nifty 50</t>
        </is>
      </c>
      <c r="T47" s="31" t="n">
        <v>-6.54</v>
      </c>
      <c r="U47" s="31" t="n">
        <v>64.16</v>
      </c>
      <c r="V47" s="31" t="n">
        <v>75.66</v>
      </c>
      <c r="W47" s="31" t="n">
        <v>52.64</v>
      </c>
      <c r="X47" s="30" t="inlineStr">
        <is>
          <t>Cyclical in an Upturn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Above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Above 2</t>
        </is>
      </c>
      <c r="BU47" s="30">
        <f>IF(BT47="Above 2",0,IF(BT47="Between 1.5 to 2",5,IF(BT47="Less than 1.5",10,0)))</f>
        <v/>
      </c>
      <c r="BV47" s="30" t="inlineStr">
        <is>
          <t>Between 50% to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IF(B48=0,"",RANK(B48,$B$2:$B$306,0))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UNIPARTS</t>
        </is>
      </c>
      <c r="D48" s="30" t="inlineStr">
        <is>
          <t>Uniparts India Ltd</t>
        </is>
      </c>
      <c r="E48" s="30" t="inlineStr">
        <is>
          <t>industrials</t>
        </is>
      </c>
      <c r="F48" s="30" t="inlineStr">
        <is>
          <t>engineering</t>
        </is>
      </c>
      <c r="G48" s="30" t="inlineStr">
        <is>
          <t>smallcap</t>
        </is>
      </c>
      <c r="H48" s="31" t="n">
        <v>2822.35</v>
      </c>
      <c r="I48" s="31" t="n">
        <v>633.95</v>
      </c>
      <c r="J48" s="31" t="n">
        <v>1.4</v>
      </c>
      <c r="K48" s="31" t="n">
        <v>200734</v>
      </c>
      <c r="L48" s="30" t="n">
        <v>73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71.69</v>
      </c>
      <c r="P48" s="31" t="n">
        <v>30.78</v>
      </c>
      <c r="Q48" s="31" t="n">
        <v>486.31</v>
      </c>
      <c r="R48" s="30" t="inlineStr">
        <is>
          <t>Near 52W High Breakout</t>
        </is>
      </c>
      <c r="S48" s="30" t="inlineStr">
        <is>
          <t>Nifty 50</t>
        </is>
      </c>
      <c r="T48" s="31" t="n">
        <v>-6.54</v>
      </c>
      <c r="U48" s="31" t="n">
        <v>82.54000000000001</v>
      </c>
      <c r="V48" s="31" t="n">
        <v>95.31999999999999</v>
      </c>
      <c r="W48" s="31" t="n">
        <v>21.4</v>
      </c>
      <c r="X48" s="30" t="inlineStr">
        <is>
          <t>Cyclical in an Upturn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Above 2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IF(B49=0,"",RANK(B49,$B$2:$B$306,0))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SOMANYCERA</t>
        </is>
      </c>
      <c r="D49" s="30" t="inlineStr">
        <is>
          <t>Somany Ceramics Limited</t>
        </is>
      </c>
      <c r="E49" s="30" t="inlineStr">
        <is>
          <t>building materials</t>
        </is>
      </c>
      <c r="F49" s="30" t="inlineStr">
        <is>
          <t>ceramics - tiles / sanitaryware</t>
        </is>
      </c>
      <c r="G49" s="30" t="inlineStr">
        <is>
          <t>smallcap</t>
        </is>
      </c>
      <c r="H49" s="31" t="n">
        <v>2081.61</v>
      </c>
      <c r="I49" s="31" t="n">
        <v>512.3</v>
      </c>
      <c r="J49" s="31" t="n">
        <v>0.9399999999999999</v>
      </c>
      <c r="K49" s="31" t="n">
        <v>48974</v>
      </c>
      <c r="L49" s="30" t="n">
        <v>41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62.63</v>
      </c>
      <c r="P49" s="31" t="n">
        <v>28.51</v>
      </c>
      <c r="Q49" s="31" t="n">
        <v>399.65</v>
      </c>
      <c r="R49" s="30" t="inlineStr">
        <is>
          <t>Earnings / Momentum Support</t>
        </is>
      </c>
      <c r="S49" s="30" t="inlineStr">
        <is>
          <t>Nifty Infra</t>
        </is>
      </c>
      <c r="T49" s="31" t="n">
        <v>1.11</v>
      </c>
      <c r="U49" s="31" t="n">
        <v>10.61</v>
      </c>
      <c r="V49" s="31" t="n">
        <v>9.390000000000001</v>
      </c>
      <c r="W49" s="31" t="n">
        <v>10.94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No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Close to 52 week high or retracement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IF(B50=0,"",RANK(B50,$B$2:$B$306,0))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SOLARINDS</t>
        </is>
      </c>
      <c r="D50" s="30" t="inlineStr">
        <is>
          <t>Solar Industries India Limited</t>
        </is>
      </c>
      <c r="E50" s="30" t="inlineStr">
        <is>
          <t>aerospace &amp; defence</t>
        </is>
      </c>
      <c r="F50" s="30" t="inlineStr">
        <is>
          <t>chemicals</t>
        </is>
      </c>
      <c r="G50" s="30" t="inlineStr">
        <is>
          <t>largecap</t>
        </is>
      </c>
      <c r="H50" s="31" t="n">
        <v>165533.46</v>
      </c>
      <c r="I50" s="31" t="n">
        <v>18441</v>
      </c>
      <c r="J50" s="31" t="n">
        <v>0.8100000000000001</v>
      </c>
      <c r="K50" s="31" t="n">
        <v>102618</v>
      </c>
      <c r="L50" s="30" t="n">
        <v>30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73.84</v>
      </c>
      <c r="P50" s="31" t="n">
        <v>30.89</v>
      </c>
      <c r="Q50" s="31" t="n">
        <v>15130.58</v>
      </c>
      <c r="R50" s="30" t="inlineStr">
        <is>
          <t>Near 52W High Breakout</t>
        </is>
      </c>
      <c r="S50" s="30" t="inlineStr">
        <is>
          <t>Nifty 500</t>
        </is>
      </c>
      <c r="T50" s="31" t="n">
        <v>-3.02</v>
      </c>
      <c r="U50" s="31" t="n">
        <v>11.67</v>
      </c>
      <c r="V50" s="31" t="n">
        <v>15.15</v>
      </c>
      <c r="W50" s="31" t="n">
        <v>7.6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20 to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Less than 1.5</t>
        </is>
      </c>
      <c r="BU50" s="30">
        <f>IF(BT50="Above 2",0,IF(BT50="Between 1.5 to 2",5,IF(BT50="Less than 1.5",10,0)))</f>
        <v/>
      </c>
      <c r="BV50" s="30" t="inlineStr">
        <is>
          <t>Less than 50%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IF(B51=0,"",RANK(B51,$B$2:$B$306,0))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GRWRHITECH</t>
        </is>
      </c>
      <c r="D51" s="30" t="inlineStr">
        <is>
          <t>Garware Hi Tech Films Ltd</t>
        </is>
      </c>
      <c r="E51" s="30" t="inlineStr">
        <is>
          <t>industrials</t>
        </is>
      </c>
      <c r="F51" s="30" t="inlineStr">
        <is>
          <t>packaging</t>
        </is>
      </c>
      <c r="G51" s="30" t="inlineStr">
        <is>
          <t>midcap</t>
        </is>
      </c>
      <c r="H51" s="31" t="n">
        <v>13622.31</v>
      </c>
      <c r="I51" s="31" t="n">
        <v>5893</v>
      </c>
      <c r="J51" s="31" t="n">
        <v>0.5</v>
      </c>
      <c r="K51" s="31" t="n">
        <v>57041</v>
      </c>
      <c r="L51" s="30" t="n">
        <v>68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72.19</v>
      </c>
      <c r="P51" s="31" t="n">
        <v>25</v>
      </c>
      <c r="Q51" s="31" t="n">
        <v>4496.52</v>
      </c>
      <c r="R51" s="30" t="inlineStr">
        <is>
          <t>Near 52W High Breakout</t>
        </is>
      </c>
      <c r="S51" s="30" t="inlineStr">
        <is>
          <t>Nifty 50</t>
        </is>
      </c>
      <c r="T51" s="31" t="n">
        <v>-6.54</v>
      </c>
      <c r="U51" s="31" t="n">
        <v>32.12</v>
      </c>
      <c r="V51" s="31" t="n">
        <v>41.38</v>
      </c>
      <c r="W51" s="31" t="n">
        <v>19.01</v>
      </c>
      <c r="X51" s="30" t="inlineStr">
        <is>
          <t>Cyclical in an Upturn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Between 50 to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Between 50% to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IF(B52=0,"",RANK(B52,$B$2:$B$306,0))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ABB</t>
        </is>
      </c>
      <c r="D52" s="30" t="inlineStr">
        <is>
          <t>Abb India Limited</t>
        </is>
      </c>
      <c r="E52" s="30" t="inlineStr">
        <is>
          <t>industrials</t>
        </is>
      </c>
      <c r="F52" s="30" t="inlineStr">
        <is>
          <t>electric equipment</t>
        </is>
      </c>
      <c r="G52" s="30" t="inlineStr">
        <is>
          <t>largecap</t>
        </is>
      </c>
      <c r="H52" s="31" t="n">
        <v>151641.63</v>
      </c>
      <c r="I52" s="31" t="n">
        <v>7167.5</v>
      </c>
      <c r="J52" s="31" t="n">
        <v>0.16</v>
      </c>
      <c r="K52" s="31" t="n">
        <v>249982</v>
      </c>
      <c r="L52" s="30" t="n">
        <v>31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64.17</v>
      </c>
      <c r="P52" s="31" t="n">
        <v>45.41</v>
      </c>
      <c r="Q52" s="31" t="n">
        <v>5947.82</v>
      </c>
      <c r="R52" s="30" t="inlineStr">
        <is>
          <t>Near 52W High Breakout</t>
        </is>
      </c>
      <c r="S52" s="30" t="inlineStr">
        <is>
          <t>Nifty 50</t>
        </is>
      </c>
      <c r="T52" s="31" t="n">
        <v>-6.54</v>
      </c>
      <c r="U52" s="31" t="n">
        <v>19.15</v>
      </c>
      <c r="V52" s="31" t="n">
        <v>27.5</v>
      </c>
      <c r="W52" s="31" t="n">
        <v>8.09</v>
      </c>
      <c r="X52" s="30" t="inlineStr">
        <is>
          <t>Cyclical in an Upturn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Close to 52 week high or retracement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IF(B53=0,"",RANK(B53,$B$2:$B$306,0))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IDEA</t>
        </is>
      </c>
      <c r="D53" s="30" t="inlineStr">
        <is>
          <t>Vodafone Idea Ltd</t>
        </is>
      </c>
      <c r="E53" s="30" t="inlineStr">
        <is>
          <t>telecom-service</t>
        </is>
      </c>
      <c r="F53" s="30" t="inlineStr">
        <is>
          <t>telecommunications - service provider</t>
        </is>
      </c>
      <c r="G53" s="30" t="inlineStr">
        <is>
          <t>largecap</t>
        </is>
      </c>
      <c r="H53" s="31" t="n">
        <v>161756.15</v>
      </c>
      <c r="I53" s="31" t="n">
        <v>14.95</v>
      </c>
      <c r="J53" s="31" t="n">
        <v>0.13</v>
      </c>
      <c r="K53" s="31" t="n">
        <v>685576040</v>
      </c>
      <c r="L53" s="30" t="n">
        <v>85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75.23</v>
      </c>
      <c r="P53" s="31" t="n">
        <v>22.64</v>
      </c>
      <c r="Q53" s="31" t="n">
        <v>11.73</v>
      </c>
      <c r="R53" s="30" t="inlineStr">
        <is>
          <t>Near 52W High Breakout</t>
        </is>
      </c>
      <c r="S53" s="30" t="inlineStr">
        <is>
          <t>Nifty 50</t>
        </is>
      </c>
      <c r="T53" s="31" t="n">
        <v>-6.54</v>
      </c>
      <c r="U53" s="31" t="n">
        <v>116.04</v>
      </c>
      <c r="V53" s="31" t="n">
        <v>131.17</v>
      </c>
      <c r="W53" s="31" t="n">
        <v>28.84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Oligopoly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Yes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Above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Close to 52 week high or retracement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IF(B54=0,"",RANK(B54,$B$2:$B$306,0))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SPORTKING</t>
        </is>
      </c>
      <c r="D54" s="30" t="inlineStr">
        <is>
          <t>Sportking India Ltd</t>
        </is>
      </c>
      <c r="E54" s="30" t="inlineStr">
        <is>
          <t>textiles</t>
        </is>
      </c>
      <c r="F54" s="30" t="inlineStr">
        <is>
          <t>textiles - spinning - synthetic / blended</t>
        </is>
      </c>
      <c r="G54" s="30" t="inlineStr">
        <is>
          <t>smallcap</t>
        </is>
      </c>
      <c r="H54" s="31" t="n">
        <v>2290.73</v>
      </c>
      <c r="I54" s="31" t="n">
        <v>180.38</v>
      </c>
      <c r="J54" s="31" t="n">
        <v>0.06</v>
      </c>
      <c r="K54" s="31" t="n">
        <v>454052</v>
      </c>
      <c r="L54" s="30" t="n">
        <v>81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80.43000000000001</v>
      </c>
      <c r="P54" s="31" t="n">
        <v>51.15</v>
      </c>
      <c r="Q54" s="31" t="n">
        <v>133.83</v>
      </c>
      <c r="R54" s="30" t="inlineStr">
        <is>
          <t>Volume Spike &amp; Near 52W High Breakout</t>
        </is>
      </c>
      <c r="S54" s="30" t="inlineStr">
        <is>
          <t>Nifty 50</t>
        </is>
      </c>
      <c r="T54" s="31" t="n">
        <v>-6.54</v>
      </c>
      <c r="U54" s="31" t="n">
        <v>54.95</v>
      </c>
      <c r="V54" s="31" t="n">
        <v>65.8</v>
      </c>
      <c r="W54" s="31" t="n">
        <v>25.18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Above 40</t>
        </is>
      </c>
      <c r="AY54" s="30">
        <f>IF(AX54="Above 40",20,IF(AX54="20 to 40",10,IF(AX54="0 to 20",-5,0)))</f>
        <v/>
      </c>
      <c r="AZ54" s="30" t="inlineStr">
        <is>
          <t>Above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Less than 12%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Above 2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IF(B55=0,"",RANK(B55,$B$2:$B$306,0))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MOTHERSON</t>
        </is>
      </c>
      <c r="D55" s="30" t="inlineStr">
        <is>
          <t>Samvardhana Motherson International Ltd</t>
        </is>
      </c>
      <c r="E55" s="30" t="inlineStr">
        <is>
          <t>auto</t>
        </is>
      </c>
      <c r="F55" s="30" t="inlineStr">
        <is>
          <t>auto ancillaries</t>
        </is>
      </c>
      <c r="G55" s="30" t="inlineStr">
        <is>
          <t>largecap</t>
        </is>
      </c>
      <c r="H55" s="31" t="n">
        <v>152311.16</v>
      </c>
      <c r="I55" s="31" t="n">
        <v>143.56</v>
      </c>
      <c r="J55" s="31" t="n">
        <v>-0.52</v>
      </c>
      <c r="K55" s="31" t="n">
        <v>13743288</v>
      </c>
      <c r="L55" s="30" t="n">
        <v>39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66.02</v>
      </c>
      <c r="P55" s="31" t="n">
        <v>18.72</v>
      </c>
      <c r="Q55" s="31" t="n">
        <v>115.48</v>
      </c>
      <c r="R55" s="30" t="inlineStr">
        <is>
          <t>Near 52W High Breakout</t>
        </is>
      </c>
      <c r="S55" s="30" t="inlineStr">
        <is>
          <t>Nifty Auto</t>
        </is>
      </c>
      <c r="T55" s="31" t="n">
        <v>10.59</v>
      </c>
      <c r="U55" s="31" t="n">
        <v>37.48</v>
      </c>
      <c r="V55" s="31" t="n">
        <v>24.32</v>
      </c>
      <c r="W55" s="31" t="n">
        <v>10.7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0 to 20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Less than 1.5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IF(B56=0,"",RANK(B56,$B$2:$B$306,0))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PGIL</t>
        </is>
      </c>
      <c r="D56" s="30" t="inlineStr">
        <is>
          <t>Pearl Global Industries Limited</t>
        </is>
      </c>
      <c r="E56" s="30" t="inlineStr">
        <is>
          <t>consumer discretionary</t>
        </is>
      </c>
      <c r="F56" s="30" t="inlineStr">
        <is>
          <t>textiles - products</t>
        </is>
      </c>
      <c r="G56" s="30" t="inlineStr">
        <is>
          <t>midcap</t>
        </is>
      </c>
      <c r="H56" s="31" t="n">
        <v>7746.53</v>
      </c>
      <c r="I56" s="31" t="n">
        <v>1665.6</v>
      </c>
      <c r="J56" s="31" t="n">
        <v>-0.78</v>
      </c>
      <c r="K56" s="31" t="n">
        <v>20715</v>
      </c>
      <c r="L56" s="30" t="n">
        <v>28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56.5</v>
      </c>
      <c r="P56" s="31" t="n">
        <v>28.77</v>
      </c>
      <c r="Q56" s="31" t="n">
        <v>1201.79</v>
      </c>
      <c r="R56" s="30" t="inlineStr">
        <is>
          <t>Earnings / Momentum Support</t>
        </is>
      </c>
      <c r="S56" s="30" t="inlineStr">
        <is>
          <t>Nifty 50</t>
        </is>
      </c>
      <c r="T56" s="31" t="n">
        <v>-6.54</v>
      </c>
      <c r="U56" s="31" t="n">
        <v>20.52</v>
      </c>
      <c r="V56" s="31" t="n">
        <v>28.96</v>
      </c>
      <c r="W56" s="31" t="n">
        <v>7.16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No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20 to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No</t>
        </is>
      </c>
      <c r="BS56" s="30">
        <f>IF(BR56="NO",5,0)</f>
        <v/>
      </c>
      <c r="BT56" s="30" t="inlineStr">
        <is>
          <t>Less than 1.5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IF(B57=0,"",RANK(B57,$B$2:$B$306,0))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TALBROAUTO</t>
        </is>
      </c>
      <c r="D57" s="30" t="inlineStr">
        <is>
          <t>Talbros Automotive Components Limited</t>
        </is>
      </c>
      <c r="E57" s="30" t="inlineStr">
        <is>
          <t>auto</t>
        </is>
      </c>
      <c r="F57" s="30" t="inlineStr">
        <is>
          <t>auto ancillaries</t>
        </is>
      </c>
      <c r="G57" s="30" t="inlineStr">
        <is>
          <t>smallcap</t>
        </is>
      </c>
      <c r="H57" s="31" t="n">
        <v>2187.03</v>
      </c>
      <c r="I57" s="31" t="n">
        <v>350.75</v>
      </c>
      <c r="J57" s="31" t="n">
        <v>-1</v>
      </c>
      <c r="K57" s="31" t="n">
        <v>199616</v>
      </c>
      <c r="L57" s="30" t="n">
        <v>57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67.08</v>
      </c>
      <c r="P57" s="31" t="n">
        <v>26.52</v>
      </c>
      <c r="Q57" s="31" t="n">
        <v>269.56</v>
      </c>
      <c r="R57" s="30" t="inlineStr">
        <is>
          <t>Near 52W High Breakout</t>
        </is>
      </c>
      <c r="S57" s="30" t="inlineStr">
        <is>
          <t>Nifty Auto</t>
        </is>
      </c>
      <c r="T57" s="31" t="n">
        <v>10.59</v>
      </c>
      <c r="U57" s="31" t="n">
        <v>23.17</v>
      </c>
      <c r="V57" s="31" t="n">
        <v>11.38</v>
      </c>
      <c r="W57" s="31" t="n">
        <v>15.17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Close to 52 week high or retracement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Between 12 to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No</t>
        </is>
      </c>
      <c r="BS57" s="30">
        <f>IF(BR57="NO",5,0)</f>
        <v/>
      </c>
      <c r="BT57" s="30" t="inlineStr">
        <is>
          <t>Less than 1.5</t>
        </is>
      </c>
      <c r="BU57" s="30">
        <f>IF(BT57="Above 2",0,IF(BT57="Between 1.5 to 2",5,IF(BT57="Less than 1.5",10,0)))</f>
        <v/>
      </c>
      <c r="BV57" s="30" t="inlineStr">
        <is>
          <t>Between 50% to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IF(B58=0,"",RANK(B58,$B$2:$B$306,0))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KIRLPNU</t>
        </is>
      </c>
      <c r="D58" s="30" t="inlineStr">
        <is>
          <t>Kirloskar Pneumatic Company Ltd</t>
        </is>
      </c>
      <c r="E58" s="30" t="inlineStr">
        <is>
          <t>industrials</t>
        </is>
      </c>
      <c r="F58" s="30" t="inlineStr">
        <is>
          <t>compressors / drilling equipment</t>
        </is>
      </c>
      <c r="G58" s="30" t="inlineStr">
        <is>
          <t>midcap</t>
        </is>
      </c>
      <c r="H58" s="31" t="n">
        <v>10381.62</v>
      </c>
      <c r="I58" s="31" t="n">
        <v>1570.8</v>
      </c>
      <c r="J58" s="31" t="n">
        <v>-1.71</v>
      </c>
      <c r="K58" s="31" t="n">
        <v>69471</v>
      </c>
      <c r="L58" s="30" t="n">
        <v>44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73.56999999999999</v>
      </c>
      <c r="P58" s="31" t="n">
        <v>31.96</v>
      </c>
      <c r="Q58" s="31" t="n">
        <v>1275.07</v>
      </c>
      <c r="R58" s="30" t="inlineStr">
        <is>
          <t>Near 52W High Breakout</t>
        </is>
      </c>
      <c r="S58" s="30" t="inlineStr">
        <is>
          <t>Nifty 50</t>
        </is>
      </c>
      <c r="T58" s="31" t="n">
        <v>-6.54</v>
      </c>
      <c r="U58" s="31" t="n">
        <v>14.94</v>
      </c>
      <c r="V58" s="31" t="n">
        <v>22.99</v>
      </c>
      <c r="W58" s="31" t="n">
        <v>11.58</v>
      </c>
      <c r="X58" s="30" t="inlineStr">
        <is>
          <t>Cyclical in an Upturn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20 to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Close to 52 week high or retracement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Less than 1.5</t>
        </is>
      </c>
      <c r="BU58" s="30">
        <f>IF(BT58="Above 2",0,IF(BT58="Between 1.5 to 2",5,IF(BT58="Less than 1.5",10,0)))</f>
        <v/>
      </c>
      <c r="BV58" s="30" t="inlineStr">
        <is>
          <t>Between 50% to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IF(B59=0,"",RANK(B59,$B$2:$B$306,0))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GOCLCORP</t>
        </is>
      </c>
      <c r="D59" s="30" t="inlineStr">
        <is>
          <t>Gocl Corporation Limited</t>
        </is>
      </c>
      <c r="E59" s="30" t="inlineStr">
        <is>
          <t>miscellaneous</t>
        </is>
      </c>
      <c r="F59" s="30" t="inlineStr">
        <is>
          <t>diversified - medium / small</t>
        </is>
      </c>
      <c r="G59" s="30" t="inlineStr">
        <is>
          <t>smallcap</t>
        </is>
      </c>
      <c r="H59" s="31" t="n">
        <v>2084.28</v>
      </c>
      <c r="I59" s="31" t="n">
        <v>410.85</v>
      </c>
      <c r="J59" s="31" t="n">
        <v>-2.28</v>
      </c>
      <c r="K59" s="31" t="n">
        <v>89413</v>
      </c>
      <c r="L59" s="30" t="n">
        <v>75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71.59999999999999</v>
      </c>
      <c r="P59" s="31" t="n">
        <v>25.3</v>
      </c>
      <c r="Q59" s="31" t="n">
        <v>300.25</v>
      </c>
      <c r="R59" s="30" t="inlineStr">
        <is>
          <t>Volume Spike &amp; Near 52W High Breakout</t>
        </is>
      </c>
      <c r="S59" s="30" t="inlineStr">
        <is>
          <t>Nifty 50</t>
        </is>
      </c>
      <c r="T59" s="31" t="n">
        <v>-6.54</v>
      </c>
      <c r="U59" s="31" t="n">
        <v>33.33</v>
      </c>
      <c r="V59" s="31" t="n">
        <v>42.67</v>
      </c>
      <c r="W59" s="31" t="n">
        <v>22.71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20 to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No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IF(B60=0,"",RANK(B60,$B$2:$B$306,0))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MTARTECH</t>
        </is>
      </c>
      <c r="D60" s="30" t="inlineStr">
        <is>
          <t>MTAR Technologies Ltd</t>
        </is>
      </c>
      <c r="E60" s="30" t="inlineStr">
        <is>
          <t>aerospace &amp; defence</t>
        </is>
      </c>
      <c r="F60" s="30" t="inlineStr">
        <is>
          <t>engineering</t>
        </is>
      </c>
      <c r="G60" s="30" t="inlineStr">
        <is>
          <t>largecap</t>
        </is>
      </c>
      <c r="H60" s="31" t="n">
        <v>23855.6</v>
      </c>
      <c r="I60" s="31" t="n">
        <v>7535.5</v>
      </c>
      <c r="J60" s="31" t="n">
        <v>-2.84</v>
      </c>
      <c r="K60" s="31" t="n">
        <v>1254939</v>
      </c>
      <c r="L60" s="30" t="n">
        <v>97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81.87</v>
      </c>
      <c r="P60" s="31" t="n">
        <v>64.09999999999999</v>
      </c>
      <c r="Q60" s="31" t="n">
        <v>5930.69</v>
      </c>
      <c r="R60" s="30" t="inlineStr">
        <is>
          <t>Earnings / Momentum Support</t>
        </is>
      </c>
      <c r="S60" s="30" t="inlineStr">
        <is>
          <t>Nifty 50</t>
        </is>
      </c>
      <c r="T60" s="31" t="n">
        <v>-6.54</v>
      </c>
      <c r="U60" s="31" t="n">
        <v>325.57</v>
      </c>
      <c r="V60" s="31" t="n">
        <v>355.37</v>
      </c>
      <c r="W60" s="31" t="n">
        <v>61.19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No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Above 40</t>
        </is>
      </c>
      <c r="AY60" s="30">
        <f>IF(AX60="Above 40",20,IF(AX60="20 to 40",10,IF(AX60="0 to 20",-5,0)))</f>
        <v/>
      </c>
      <c r="AZ60" s="30" t="inlineStr">
        <is>
          <t>Above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Close to 52 week high or retracement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IF(B61=0,"",RANK(B61,$B$2:$B$306,0))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KERNEX</t>
        </is>
      </c>
      <c r="D61" s="30" t="inlineStr">
        <is>
          <t>Kernex Microsystems (india) Limited</t>
        </is>
      </c>
      <c r="E61" s="30" t="inlineStr">
        <is>
          <t>consumer discretionary</t>
        </is>
      </c>
      <c r="F61" s="30" t="inlineStr">
        <is>
          <t>electronics - components</t>
        </is>
      </c>
      <c r="G61" s="30" t="inlineStr">
        <is>
          <t>smallcap</t>
        </is>
      </c>
      <c r="H61" s="31" t="n">
        <v>3175.83</v>
      </c>
      <c r="I61" s="31" t="n">
        <v>1836.1</v>
      </c>
      <c r="J61" s="31" t="n">
        <v>-2.86</v>
      </c>
      <c r="K61" s="31" t="n">
        <v>214449</v>
      </c>
      <c r="L61" s="30" t="n">
        <v>83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70.26000000000001</v>
      </c>
      <c r="P61" s="31" t="n">
        <v>27.28</v>
      </c>
      <c r="Q61" s="31" t="n">
        <v>1318.68</v>
      </c>
      <c r="R61" s="30" t="inlineStr">
        <is>
          <t>Volume Spike &amp; Near 52W High Breakout</t>
        </is>
      </c>
      <c r="S61" s="30" t="inlineStr">
        <is>
          <t>Nifty 50</t>
        </is>
      </c>
      <c r="T61" s="31" t="n">
        <v>-6.54</v>
      </c>
      <c r="U61" s="31" t="n">
        <v>49.11</v>
      </c>
      <c r="V61" s="31" t="n">
        <v>59.55</v>
      </c>
      <c r="W61" s="31" t="n">
        <v>27.6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Less than 12%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IF(B62=0,"",RANK(B62,$B$2:$B$306,0))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THANGAMAYL</t>
        </is>
      </c>
      <c r="D62" s="30" t="inlineStr">
        <is>
          <t>Thangamayil Jewellery Limited</t>
        </is>
      </c>
      <c r="E62" s="30" t="inlineStr">
        <is>
          <t>consumer discretionary</t>
        </is>
      </c>
      <c r="F62" s="30" t="inlineStr">
        <is>
          <t>diamond cutting / jewellery</t>
        </is>
      </c>
      <c r="G62" s="30" t="inlineStr">
        <is>
          <t>midcap</t>
        </is>
      </c>
      <c r="H62" s="31" t="n">
        <v>17159.14</v>
      </c>
      <c r="I62" s="31" t="n">
        <v>5351.9</v>
      </c>
      <c r="J62" s="31" t="n">
        <v>-3.06</v>
      </c>
      <c r="K62" s="31" t="n">
        <v>461288</v>
      </c>
      <c r="L62" s="30" t="n">
        <v>89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70.3</v>
      </c>
      <c r="P62" s="31" t="n">
        <v>39.59</v>
      </c>
      <c r="Q62" s="31" t="n">
        <v>3840.56</v>
      </c>
      <c r="R62" s="30" t="inlineStr">
        <is>
          <t>Volume Spike &amp; Near 52W High Breakout</t>
        </is>
      </c>
      <c r="S62" s="30" t="inlineStr">
        <is>
          <t>Nifty 50</t>
        </is>
      </c>
      <c r="T62" s="31" t="n">
        <v>-6.54</v>
      </c>
      <c r="U62" s="31" t="n">
        <v>181.48</v>
      </c>
      <c r="V62" s="31" t="n">
        <v>201.19</v>
      </c>
      <c r="W62" s="31" t="n">
        <v>33.32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20 to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Between 50% to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IF(B63=0,"",RANK(B63,$B$2:$B$306,0))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STLTECH</t>
        </is>
      </c>
      <c r="D63" s="30" t="inlineStr">
        <is>
          <t>Sterlite Technologies Limited</t>
        </is>
      </c>
      <c r="E63" s="30" t="inlineStr">
        <is>
          <t>industrials</t>
        </is>
      </c>
      <c r="F63" s="30" t="inlineStr">
        <is>
          <t>cables - telephone</t>
        </is>
      </c>
      <c r="G63" s="30" t="inlineStr">
        <is>
          <t>largecap</t>
        </is>
      </c>
      <c r="H63" s="31" t="n">
        <v>31806.72</v>
      </c>
      <c r="I63" s="31" t="n">
        <v>619.25</v>
      </c>
      <c r="J63" s="31" t="n">
        <v>-4.96</v>
      </c>
      <c r="K63" s="31" t="n">
        <v>8658536</v>
      </c>
      <c r="L63" s="30" t="n">
        <v>99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96.06999999999999</v>
      </c>
      <c r="P63" s="31" t="n">
        <v>76.48</v>
      </c>
      <c r="Q63" s="31" t="n">
        <v>484.21</v>
      </c>
      <c r="R63" s="30" t="inlineStr">
        <is>
          <t>Near 52W High Breakout</t>
        </is>
      </c>
      <c r="S63" s="30" t="inlineStr">
        <is>
          <t>Nifty Infra</t>
        </is>
      </c>
      <c r="T63" s="31" t="n">
        <v>1.11</v>
      </c>
      <c r="U63" s="31" t="n">
        <v>716.95</v>
      </c>
      <c r="V63" s="31" t="n">
        <v>707.96</v>
      </c>
      <c r="W63" s="31" t="n">
        <v>120.28</v>
      </c>
      <c r="X63" s="30" t="inlineStr">
        <is>
          <t>Cyclical in an Upturn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Above 40</t>
        </is>
      </c>
      <c r="AY63" s="30">
        <f>IF(AX63="Above 40",20,IF(AX63="20 to 40",10,IF(AX63="0 to 20",-5,0)))</f>
        <v/>
      </c>
      <c r="AZ63" s="30" t="inlineStr">
        <is>
          <t>Above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Between 0.7 to 1.2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IF(B64=0,"",RANK(B64,$B$2:$B$306,0))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VIJAYA</t>
        </is>
      </c>
      <c r="D64" s="30" t="inlineStr">
        <is>
          <t>Vijaya Diagnostic Centre Ltd</t>
        </is>
      </c>
      <c r="E64" s="30" t="inlineStr">
        <is>
          <t>healthcare</t>
        </is>
      </c>
      <c r="F64" s="30" t="inlineStr">
        <is>
          <t>healthcare</t>
        </is>
      </c>
      <c r="G64" s="30" t="inlineStr">
        <is>
          <t>midcap</t>
        </is>
      </c>
      <c r="H64" s="31" t="n">
        <v>13987.78</v>
      </c>
      <c r="I64" s="31" t="n">
        <v>1372.4</v>
      </c>
      <c r="J64" s="31" t="n">
        <v>0.96</v>
      </c>
      <c r="K64" s="31" t="n">
        <v>546490</v>
      </c>
      <c r="L64" s="30" t="n">
        <v>64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71.25</v>
      </c>
      <c r="P64" s="31" t="n">
        <v>28.66</v>
      </c>
      <c r="Q64" s="31" t="n">
        <v>1088.22</v>
      </c>
      <c r="R64" s="30" t="inlineStr">
        <is>
          <t>Volume Spike &amp; Near 52W High Breakout</t>
        </is>
      </c>
      <c r="S64" s="30" t="inlineStr">
        <is>
          <t>Nifty Pharma</t>
        </is>
      </c>
      <c r="T64" s="31" t="n">
        <v>11.82</v>
      </c>
      <c r="U64" s="31" t="n">
        <v>41.04</v>
      </c>
      <c r="V64" s="31" t="n">
        <v>26.13</v>
      </c>
      <c r="W64" s="31" t="n">
        <v>17.33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Yes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Annuity, Lower One Time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Blue sky scenario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Above 2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</row>
    <row r="65">
      <c r="A65" s="30">
        <f>IF(B65=0,"",RANK(B65,$B$2:$B$306,0))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KEI</t>
        </is>
      </c>
      <c r="D65" s="30" t="inlineStr">
        <is>
          <t>Kei Industries Limited</t>
        </is>
      </c>
      <c r="E65" s="30" t="inlineStr">
        <is>
          <t>industrials</t>
        </is>
      </c>
      <c r="F65" s="30" t="inlineStr">
        <is>
          <t>cables - power</t>
        </is>
      </c>
      <c r="G65" s="30" t="inlineStr">
        <is>
          <t>largecap</t>
        </is>
      </c>
      <c r="H65" s="31" t="n">
        <v>50630.08</v>
      </c>
      <c r="I65" s="31" t="n">
        <v>5335.5</v>
      </c>
      <c r="J65" s="31" t="n">
        <v>0.75</v>
      </c>
      <c r="K65" s="31" t="n">
        <v>203971</v>
      </c>
      <c r="L65" s="30" t="n">
        <v>35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66.8</v>
      </c>
      <c r="P65" s="31" t="n">
        <v>22.66</v>
      </c>
      <c r="Q65" s="31" t="n">
        <v>4248.37</v>
      </c>
      <c r="R65" s="30" t="inlineStr">
        <is>
          <t>Near 52W High Breakout</t>
        </is>
      </c>
      <c r="S65" s="30" t="inlineStr">
        <is>
          <t>Nifty Energy</t>
        </is>
      </c>
      <c r="T65" s="31" t="n">
        <v>12.31</v>
      </c>
      <c r="U65" s="31" t="n">
        <v>42.53</v>
      </c>
      <c r="V65" s="31" t="n">
        <v>26.91</v>
      </c>
      <c r="W65" s="31" t="n">
        <v>9.210000000000001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Fully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Yes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Less than 1.5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Yes, More Than 10%</t>
        </is>
      </c>
      <c r="CE65" s="30">
        <f>IF(CD65="Yes, more than 10%",-10,IF(CD65="No",10,0))</f>
        <v/>
      </c>
    </row>
    <row r="66">
      <c r="A66" s="30">
        <f>IF(B66=0,"",RANK(B66,$B$2:$B$306,0))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SOFTTECH</t>
        </is>
      </c>
      <c r="D66" s="30" t="inlineStr">
        <is>
          <t>Softtech Engineers Ltd</t>
        </is>
      </c>
      <c r="E66" s="30" t="inlineStr">
        <is>
          <t>i.t</t>
        </is>
      </c>
      <c r="F66" s="30" t="inlineStr">
        <is>
          <t>computers - software - medium / small</t>
        </is>
      </c>
      <c r="G66" s="30" t="inlineStr">
        <is>
          <t>smallcap</t>
        </is>
      </c>
      <c r="H66" s="31" t="n">
        <v>618.61</v>
      </c>
      <c r="I66" s="31" t="n">
        <v>450</v>
      </c>
      <c r="J66" s="31" t="n">
        <v>0.6899999999999999</v>
      </c>
      <c r="K66" s="31" t="n">
        <v>2609</v>
      </c>
      <c r="L66" s="30" t="n">
        <v>75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67.95</v>
      </c>
      <c r="P66" s="31" t="n">
        <v>33.14</v>
      </c>
      <c r="Q66" s="31" t="n">
        <v>331.12</v>
      </c>
      <c r="R66" s="30" t="inlineStr">
        <is>
          <t>Near 52W High Breakout</t>
        </is>
      </c>
      <c r="S66" s="30" t="inlineStr">
        <is>
          <t>Nifty IT</t>
        </is>
      </c>
      <c r="T66" s="31" t="n">
        <v>-22.21</v>
      </c>
      <c r="U66" s="31" t="n">
        <v>28.57</v>
      </c>
      <c r="V66" s="31" t="n">
        <v>65.29000000000001</v>
      </c>
      <c r="W66" s="31" t="n">
        <v>22.74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Annuity, Lower One Time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Above 2</t>
        </is>
      </c>
      <c r="BU66" s="30">
        <f>IF(BT66="Above 2",0,IF(BT66="Between 1.5 to 2",5,IF(BT66="Less than 1.5",10,0)))</f>
        <v/>
      </c>
      <c r="BV66" s="30" t="inlineStr">
        <is>
          <t>Above 70%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IF(B67=0,"",RANK(B67,$B$2:$B$306,0))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SPARC</t>
        </is>
      </c>
      <c r="D67" s="30" t="inlineStr">
        <is>
          <t>Sun Pharma Advanced Research Company Limited</t>
        </is>
      </c>
      <c r="E67" s="30" t="inlineStr">
        <is>
          <t>healthcare</t>
        </is>
      </c>
      <c r="F67" s="30" t="inlineStr">
        <is>
          <t>miscellaneous</t>
        </is>
      </c>
      <c r="G67" s="30" t="inlineStr">
        <is>
          <t>midcap</t>
        </is>
      </c>
      <c r="H67" s="31" t="n">
        <v>6911.34</v>
      </c>
      <c r="I67" s="31" t="n">
        <v>212.82</v>
      </c>
      <c r="J67" s="31" t="n">
        <v>-0.07000000000000001</v>
      </c>
      <c r="K67" s="31" t="n">
        <v>3607773</v>
      </c>
      <c r="L67" s="30" t="n">
        <v>76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74.19</v>
      </c>
      <c r="P67" s="31" t="n">
        <v>43.38</v>
      </c>
      <c r="Q67" s="31" t="n">
        <v>145.34</v>
      </c>
      <c r="R67" s="30" t="inlineStr">
        <is>
          <t>Near 52W High Breakout</t>
        </is>
      </c>
      <c r="S67" s="30" t="inlineStr">
        <is>
          <t>Nifty Pharma</t>
        </is>
      </c>
      <c r="T67" s="31" t="n">
        <v>11.82</v>
      </c>
      <c r="U67" s="31" t="n">
        <v>28.55</v>
      </c>
      <c r="V67" s="31" t="n">
        <v>14.96</v>
      </c>
      <c r="W67" s="31" t="n">
        <v>23.5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Yes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Annuity, Lower One Time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Above 40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Close to 52 week high or retracement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No</t>
        </is>
      </c>
      <c r="BS67" s="30">
        <f>IF(BR67="NO",5,0)</f>
        <v/>
      </c>
      <c r="BT67" s="30" t="inlineStr">
        <is>
          <t>Less than 1.5</t>
        </is>
      </c>
      <c r="BU67" s="30">
        <f>IF(BT67="Above 2",0,IF(BT67="Between 1.5 to 2",5,IF(BT67="Less than 1.5",10,0)))</f>
        <v/>
      </c>
      <c r="BV67" s="30" t="inlineStr">
        <is>
          <t>Negative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IF(B68=0,"",RANK(B68,$B$2:$B$306,0))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GRANULES</t>
        </is>
      </c>
      <c r="D68" s="30" t="inlineStr">
        <is>
          <t>Granules India Limited</t>
        </is>
      </c>
      <c r="E68" s="30" t="inlineStr">
        <is>
          <t>healthcare</t>
        </is>
      </c>
      <c r="F68" s="30" t="inlineStr">
        <is>
          <t>pharmaceuticals - indian - bulk drugs &amp; formln</t>
        </is>
      </c>
      <c r="G68" s="30" t="inlineStr">
        <is>
          <t>midcap</t>
        </is>
      </c>
      <c r="H68" s="31" t="n">
        <v>19609.41</v>
      </c>
      <c r="I68" s="31" t="n">
        <v>789.85</v>
      </c>
      <c r="J68" s="31" t="n">
        <v>-0.19</v>
      </c>
      <c r="K68" s="31" t="n">
        <v>591926</v>
      </c>
      <c r="L68" s="30" t="n">
        <v>62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77.91</v>
      </c>
      <c r="P68" s="31" t="n">
        <v>32.31</v>
      </c>
      <c r="Q68" s="31" t="n">
        <v>662.02</v>
      </c>
      <c r="R68" s="30" t="inlineStr">
        <is>
          <t>Near 52W High Breakout</t>
        </is>
      </c>
      <c r="S68" s="30" t="inlineStr">
        <is>
          <t>Nifty Pharma</t>
        </is>
      </c>
      <c r="T68" s="31" t="n">
        <v>11.82</v>
      </c>
      <c r="U68" s="31" t="n">
        <v>49.5</v>
      </c>
      <c r="V68" s="31" t="n">
        <v>33.69</v>
      </c>
      <c r="W68" s="31" t="n">
        <v>16.62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Yes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Annuity, Lower One Time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Less than 1.5</t>
        </is>
      </c>
      <c r="BU68" s="30">
        <f>IF(BT68="Above 2",0,IF(BT68="Between 1.5 to 2",5,IF(BT68="Less than 1.5",10,0)))</f>
        <v/>
      </c>
      <c r="BV68" s="30" t="inlineStr">
        <is>
          <t>Between 50% to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IF(B69=0,"",RANK(B69,$B$2:$B$306,0))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SUPRIYA</t>
        </is>
      </c>
      <c r="D69" s="30" t="inlineStr">
        <is>
          <t>Supriya Lifescience Ltd</t>
        </is>
      </c>
      <c r="E69" s="30" t="inlineStr">
        <is>
          <t>healthcare</t>
        </is>
      </c>
      <c r="F69" s="30" t="inlineStr">
        <is>
          <t>pharmaceuticals - indian - bulk drugs &amp; formln</t>
        </is>
      </c>
      <c r="G69" s="30" t="inlineStr">
        <is>
          <t>midcap</t>
        </is>
      </c>
      <c r="H69" s="31" t="n">
        <v>7662.77</v>
      </c>
      <c r="I69" s="31" t="n">
        <v>947.95</v>
      </c>
      <c r="J69" s="31" t="n">
        <v>-0.44</v>
      </c>
      <c r="K69" s="31" t="n">
        <v>606961</v>
      </c>
      <c r="L69" s="30" t="n">
        <v>69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75.63</v>
      </c>
      <c r="P69" s="31" t="n">
        <v>31.75</v>
      </c>
      <c r="Q69" s="31" t="n">
        <v>735.54</v>
      </c>
      <c r="R69" s="30" t="inlineStr">
        <is>
          <t>Volume Spike &amp; Near 52W High Breakout</t>
        </is>
      </c>
      <c r="S69" s="30" t="inlineStr">
        <is>
          <t>Nifty Pharma</t>
        </is>
      </c>
      <c r="T69" s="31" t="n">
        <v>11.82</v>
      </c>
      <c r="U69" s="31" t="n">
        <v>37.48</v>
      </c>
      <c r="V69" s="31" t="n">
        <v>22.95</v>
      </c>
      <c r="W69" s="31" t="n">
        <v>19.02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Yes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Annuity, Lower One Time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Above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Less than 1.5</t>
        </is>
      </c>
      <c r="BU69" s="30">
        <f>IF(BT69="Above 2",0,IF(BT69="Between 1.5 to 2",5,IF(BT69="Less than 1.5",10,0)))</f>
        <v/>
      </c>
      <c r="BV69" s="30" t="inlineStr">
        <is>
          <t>Between 50% to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IF(B70=0,"",RANK(B70,$B$2:$B$306,0))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THYROCARE</t>
        </is>
      </c>
      <c r="D70" s="30" t="inlineStr">
        <is>
          <t>Thyrocare Technologies Limited</t>
        </is>
      </c>
      <c r="E70" s="30" t="inlineStr">
        <is>
          <t>healthcare</t>
        </is>
      </c>
      <c r="F70" s="30" t="inlineStr">
        <is>
          <t>healthcare</t>
        </is>
      </c>
      <c r="G70" s="30" t="inlineStr">
        <is>
          <t>midcap</t>
        </is>
      </c>
      <c r="H70" s="31" t="n">
        <v>8288.530000000001</v>
      </c>
      <c r="I70" s="31" t="n">
        <v>518</v>
      </c>
      <c r="J70" s="31" t="n">
        <v>-0.53</v>
      </c>
      <c r="K70" s="31" t="n">
        <v>89511</v>
      </c>
      <c r="L70" s="30" t="n">
        <v>72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67.69</v>
      </c>
      <c r="P70" s="31" t="n">
        <v>21.7</v>
      </c>
      <c r="Q70" s="31" t="n">
        <v>393.58</v>
      </c>
      <c r="R70" s="30" t="inlineStr">
        <is>
          <t>Near 52W High Breakout</t>
        </is>
      </c>
      <c r="S70" s="30" t="inlineStr">
        <is>
          <t>Nifty Pharma</t>
        </is>
      </c>
      <c r="T70" s="31" t="n">
        <v>11.82</v>
      </c>
      <c r="U70" s="31" t="n">
        <v>66.63</v>
      </c>
      <c r="V70" s="31" t="n">
        <v>49.02</v>
      </c>
      <c r="W70" s="31" t="n">
        <v>21.01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Yes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Annuity, Lower One Time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Yes</t>
        </is>
      </c>
      <c r="BS70" s="30">
        <f>IF(BR70="NO",5,0)</f>
        <v/>
      </c>
      <c r="BT70" s="30" t="inlineStr">
        <is>
          <t>Above 2</t>
        </is>
      </c>
      <c r="BU70" s="30">
        <f>IF(BT70="Above 2",0,IF(BT70="Between 1.5 to 2",5,IF(BT70="Less than 1.5",10,0)))</f>
        <v/>
      </c>
      <c r="BV70" s="30" t="inlineStr">
        <is>
          <t>Above 70%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IF(B71=0,"",RANK(B71,$B$2:$B$306,0))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MCLEODRUSS</t>
        </is>
      </c>
      <c r="D71" s="30" t="inlineStr">
        <is>
          <t>Mcleod Russel India Limited</t>
        </is>
      </c>
      <c r="E71" s="30" t="inlineStr">
        <is>
          <t>fmcg</t>
        </is>
      </c>
      <c r="F71" s="30" t="inlineStr">
        <is>
          <t>tea</t>
        </is>
      </c>
      <c r="G71" s="30" t="inlineStr">
        <is>
          <t>smallcap</t>
        </is>
      </c>
      <c r="H71" s="31" t="n">
        <v>755.74</v>
      </c>
      <c r="I71" s="31" t="n">
        <v>70.91</v>
      </c>
      <c r="J71" s="31" t="n">
        <v>-1.99</v>
      </c>
      <c r="K71" s="31" t="n">
        <v>496879</v>
      </c>
      <c r="L71" s="30" t="n">
        <v>91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67.56999999999999</v>
      </c>
      <c r="P71" s="31" t="n">
        <v>26.49</v>
      </c>
      <c r="Q71" s="31" t="n">
        <v>58.19</v>
      </c>
      <c r="R71" s="30" t="inlineStr">
        <is>
          <t>Earnings / Momentum Support</t>
        </is>
      </c>
      <c r="S71" s="30" t="inlineStr">
        <is>
          <t>Nifty FMCG</t>
        </is>
      </c>
      <c r="T71" s="31" t="n">
        <v>-13.44</v>
      </c>
      <c r="U71" s="31" t="n">
        <v>101.28</v>
      </c>
      <c r="V71" s="31" t="n">
        <v>132.53</v>
      </c>
      <c r="W71" s="31" t="n">
        <v>36.92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B2C</t>
        </is>
      </c>
      <c r="AO71" s="30">
        <f>IF(AN71="B2C",10,IF(AN71="B2B",5,0))</f>
        <v/>
      </c>
      <c r="AP71" s="30" t="inlineStr">
        <is>
          <t>No</t>
        </is>
      </c>
      <c r="AQ71" s="30">
        <f>IF(AP71="Yes",10,0)</f>
        <v/>
      </c>
      <c r="AR71" s="30" t="inlineStr">
        <is>
          <t>Higher Annuity, Lower One Time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20 to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Less than 1.5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More than 1.2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IF(B72=0,"",RANK(B72,$B$2:$B$306,0))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PRIMO</t>
        </is>
      </c>
      <c r="D72" s="30" t="inlineStr">
        <is>
          <t>Primo Chemicals Ltd</t>
        </is>
      </c>
      <c r="E72" s="30" t="inlineStr">
        <is>
          <t>chemicals</t>
        </is>
      </c>
      <c r="F72" s="30" t="inlineStr">
        <is>
          <t>chlor alkali / soda ash</t>
        </is>
      </c>
      <c r="G72" s="30" t="inlineStr">
        <is>
          <t>smallcap</t>
        </is>
      </c>
      <c r="H72" s="31" t="n">
        <v>532.4299999999999</v>
      </c>
      <c r="I72" s="31" t="n">
        <v>26.11</v>
      </c>
      <c r="J72" s="31" t="n">
        <v>18.84</v>
      </c>
      <c r="K72" s="31" t="n">
        <v>2989541</v>
      </c>
      <c r="L72" s="30" t="n">
        <v>47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58.37</v>
      </c>
      <c r="P72" s="31" t="n">
        <v>20.31</v>
      </c>
      <c r="Q72" s="31" t="n">
        <v>17.28</v>
      </c>
      <c r="R72" s="30" t="inlineStr">
        <is>
          <t>Volume Spike / Accumulation</t>
        </is>
      </c>
      <c r="S72" s="30" t="inlineStr">
        <is>
          <t>Nifty 50</t>
        </is>
      </c>
      <c r="T72" s="31" t="n">
        <v>-6.54</v>
      </c>
      <c r="U72" s="31" t="n">
        <v>6.1</v>
      </c>
      <c r="V72" s="31" t="n">
        <v>13.52</v>
      </c>
      <c r="W72" s="31" t="n">
        <v>12.23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Close to 52 week high or retracement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Above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IF(B73=0,"",RANK(B73,$B$2:$B$306,0))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PASUPTAC</t>
        </is>
      </c>
      <c r="D73" s="30" t="inlineStr">
        <is>
          <t>Pasupati Acrylon Ltd</t>
        </is>
      </c>
      <c r="E73" s="30" t="inlineStr">
        <is>
          <t>textiles</t>
        </is>
      </c>
      <c r="F73" s="30" t="inlineStr">
        <is>
          <t>textiles - manmade</t>
        </is>
      </c>
      <c r="G73" s="30" t="inlineStr">
        <is>
          <t>smallcap</t>
        </is>
      </c>
      <c r="H73" s="31" t="n">
        <v>607.09</v>
      </c>
      <c r="I73" s="31" t="n">
        <v>74.20999999999999</v>
      </c>
      <c r="J73" s="31" t="n">
        <v>8.960000000000001</v>
      </c>
      <c r="K73" s="31" t="n">
        <v>2905211</v>
      </c>
      <c r="L73" s="30" t="n">
        <v>74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74.81</v>
      </c>
      <c r="P73" s="31" t="n">
        <v>28.36</v>
      </c>
      <c r="Q73" s="31" t="n">
        <v>54.16</v>
      </c>
      <c r="R73" s="30" t="inlineStr">
        <is>
          <t>Volume Spike &amp; Near 52W High Breakout</t>
        </is>
      </c>
      <c r="S73" s="30" t="inlineStr">
        <is>
          <t>Nifty 50</t>
        </is>
      </c>
      <c r="T73" s="31" t="n">
        <v>-6.54</v>
      </c>
      <c r="U73" s="31" t="n">
        <v>52.38</v>
      </c>
      <c r="V73" s="31" t="n">
        <v>63.05</v>
      </c>
      <c r="W73" s="31" t="n">
        <v>22.46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Blue sky scenario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Above 2</t>
        </is>
      </c>
      <c r="BU73" s="30">
        <f>IF(BT73="Above 2",0,IF(BT73="Between 1.5 to 2",5,IF(BT73="Less than 1.5",10,0)))</f>
        <v/>
      </c>
      <c r="BV73" s="30" t="inlineStr">
        <is>
          <t>Less than 50%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IF(B74=0,"",RANK(B74,$B$2:$B$306,0))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PARAS</t>
        </is>
      </c>
      <c r="D74" s="30" t="inlineStr">
        <is>
          <t>Paras Defence and Space Technologies Ltd</t>
        </is>
      </c>
      <c r="E74" s="30" t="inlineStr">
        <is>
          <t>aerospace &amp; defence</t>
        </is>
      </c>
      <c r="F74" s="30" t="inlineStr">
        <is>
          <t>engineering</t>
        </is>
      </c>
      <c r="G74" s="30" t="inlineStr">
        <is>
          <t>midcap</t>
        </is>
      </c>
      <c r="H74" s="31" t="n">
        <v>7202.9</v>
      </c>
      <c r="I74" s="31" t="n">
        <v>960.15</v>
      </c>
      <c r="J74" s="31" t="n">
        <v>7.42</v>
      </c>
      <c r="K74" s="31" t="n">
        <v>14940270</v>
      </c>
      <c r="L74" s="30" t="n">
        <v>37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67.20999999999999</v>
      </c>
      <c r="P74" s="31" t="n">
        <v>35.77</v>
      </c>
      <c r="Q74" s="31" t="n">
        <v>694.17</v>
      </c>
      <c r="R74" s="30" t="inlineStr">
        <is>
          <t>Volume Spike &amp; Near 52W High Breakout</t>
        </is>
      </c>
      <c r="S74" s="30" t="inlineStr">
        <is>
          <t>Nifty 50</t>
        </is>
      </c>
      <c r="T74" s="31" t="n">
        <v>-6.54</v>
      </c>
      <c r="U74" s="31" t="n">
        <v>16.68</v>
      </c>
      <c r="V74" s="31" t="n">
        <v>24.85</v>
      </c>
      <c r="W74" s="31" t="n">
        <v>9.92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Less than 1.5</t>
        </is>
      </c>
      <c r="BU74" s="30">
        <f>IF(BT74="Above 2",0,IF(BT74="Between 1.5 to 2",5,IF(BT74="Less than 1.5",10,0)))</f>
        <v/>
      </c>
      <c r="BV74" s="30" t="inlineStr">
        <is>
          <t>Less than 50%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IF(B75=0,"",RANK(B75,$B$2:$B$306,0))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HSCL</t>
        </is>
      </c>
      <c r="D75" s="30" t="inlineStr">
        <is>
          <t>Himadri Speciality Chemical Limited</t>
        </is>
      </c>
      <c r="E75" s="30" t="inlineStr">
        <is>
          <t>chemicals</t>
        </is>
      </c>
      <c r="F75" s="30" t="inlineStr">
        <is>
          <t>chemicals</t>
        </is>
      </c>
      <c r="G75" s="30" t="inlineStr">
        <is>
          <t>largecap</t>
        </is>
      </c>
      <c r="H75" s="31" t="n">
        <v>32391.57</v>
      </c>
      <c r="I75" s="31" t="n">
        <v>685.05</v>
      </c>
      <c r="J75" s="31" t="n">
        <v>6.71</v>
      </c>
      <c r="K75" s="31" t="n">
        <v>24445679</v>
      </c>
      <c r="L75" s="30" t="n">
        <v>69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73.98999999999999</v>
      </c>
      <c r="P75" s="31" t="n">
        <v>27.87</v>
      </c>
      <c r="Q75" s="31" t="n">
        <v>526.01</v>
      </c>
      <c r="R75" s="30" t="inlineStr">
        <is>
          <t>Volume Spike &amp; Near 52W High Breakout</t>
        </is>
      </c>
      <c r="S75" s="30" t="inlineStr">
        <is>
          <t>Nifty 50</t>
        </is>
      </c>
      <c r="T75" s="31" t="n">
        <v>-6.54</v>
      </c>
      <c r="U75" s="31" t="n">
        <v>38.19</v>
      </c>
      <c r="V75" s="31" t="n">
        <v>47.87</v>
      </c>
      <c r="W75" s="31" t="n">
        <v>19.02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Between 1.5 to 2</t>
        </is>
      </c>
      <c r="BU75" s="30">
        <f>IF(BT75="Above 2",0,IF(BT75="Between 1.5 to 2",5,IF(BT75="Less than 1.5",10,0)))</f>
        <v/>
      </c>
      <c r="BV75" s="30" t="inlineStr">
        <is>
          <t>Less than 50%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IF(B76=0,"",RANK(B76,$B$2:$B$306,0))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GRINDWELL</t>
        </is>
      </c>
      <c r="D76" s="30" t="inlineStr">
        <is>
          <t>Grindwell Norton Limited</t>
        </is>
      </c>
      <c r="E76" s="30" t="inlineStr">
        <is>
          <t>industrials</t>
        </is>
      </c>
      <c r="F76" s="30" t="inlineStr">
        <is>
          <t>abrasives and grinding wheels</t>
        </is>
      </c>
      <c r="G76" s="30" t="inlineStr">
        <is>
          <t>largecap</t>
        </is>
      </c>
      <c r="H76" s="31" t="n">
        <v>21273.74</v>
      </c>
      <c r="I76" s="31" t="n">
        <v>1958.2</v>
      </c>
      <c r="J76" s="31" t="n">
        <v>1.92</v>
      </c>
      <c r="K76" s="31" t="n">
        <v>76304</v>
      </c>
      <c r="L76" s="30" t="n">
        <v>28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66.59999999999999</v>
      </c>
      <c r="P76" s="31" t="n">
        <v>25.06</v>
      </c>
      <c r="Q76" s="31" t="n">
        <v>1583.91</v>
      </c>
      <c r="R76" s="30" t="inlineStr">
        <is>
          <t>Near 52W High Breakout</t>
        </is>
      </c>
      <c r="S76" s="30" t="inlineStr">
        <is>
          <t>Nifty 50</t>
        </is>
      </c>
      <c r="T76" s="31" t="n">
        <v>-6.54</v>
      </c>
      <c r="U76" s="31" t="n">
        <v>7.38</v>
      </c>
      <c r="V76" s="31" t="n">
        <v>14.9</v>
      </c>
      <c r="W76" s="31" t="n">
        <v>7.12</v>
      </c>
      <c r="X76" s="30" t="inlineStr">
        <is>
          <t>Cyclical in an Upturn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Yes</t>
        </is>
      </c>
      <c r="BS76" s="30">
        <f>IF(BR76="NO",5,0)</f>
        <v/>
      </c>
      <c r="BT76" s="30" t="inlineStr">
        <is>
          <t>Between 1.5 to 2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IF(B77=0,"",RANK(B77,$B$2:$B$306,0))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ADANIPORTS</t>
        </is>
      </c>
      <c r="D77" s="30" t="inlineStr">
        <is>
          <t>Adani Ports And Special Economic Zone Limited</t>
        </is>
      </c>
      <c r="E77" s="30" t="inlineStr">
        <is>
          <t>transportation</t>
        </is>
      </c>
      <c r="F77" s="30" t="inlineStr">
        <is>
          <t>miscellaneous</t>
        </is>
      </c>
      <c r="G77" s="30" t="inlineStr">
        <is>
          <t>largecap</t>
        </is>
      </c>
      <c r="H77" s="31" t="n">
        <v>412616.03</v>
      </c>
      <c r="I77" s="31" t="n">
        <v>1824.2</v>
      </c>
      <c r="J77" s="31" t="n">
        <v>1.86</v>
      </c>
      <c r="K77" s="31" t="n">
        <v>1640762</v>
      </c>
      <c r="L77" s="30" t="n">
        <v>37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72.25</v>
      </c>
      <c r="P77" s="31" t="n">
        <v>25.7</v>
      </c>
      <c r="Q77" s="31" t="n">
        <v>1540.64</v>
      </c>
      <c r="R77" s="30" t="inlineStr">
        <is>
          <t>Near 52W High Breakout</t>
        </is>
      </c>
      <c r="S77" s="30" t="inlineStr">
        <is>
          <t>Nifty 50</t>
        </is>
      </c>
      <c r="T77" s="31" t="n">
        <v>-6.54</v>
      </c>
      <c r="U77" s="31" t="n">
        <v>24.55</v>
      </c>
      <c r="V77" s="31" t="n">
        <v>33.28</v>
      </c>
      <c r="W77" s="31" t="n">
        <v>9.85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Less than 12%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Above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IF(B78=0,"",RANK(B78,$B$2:$B$306,0))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SANSERA</t>
        </is>
      </c>
      <c r="D78" s="30" t="inlineStr">
        <is>
          <t>Sansera Engineering Ltd</t>
        </is>
      </c>
      <c r="E78" s="30" t="inlineStr">
        <is>
          <t>auto</t>
        </is>
      </c>
      <c r="F78" s="30" t="inlineStr">
        <is>
          <t>auto ancillaries</t>
        </is>
      </c>
      <c r="G78" s="30" t="inlineStr">
        <is>
          <t>midcap</t>
        </is>
      </c>
      <c r="H78" s="31" t="n">
        <v>18237.11</v>
      </c>
      <c r="I78" s="31" t="n">
        <v>2945.1</v>
      </c>
      <c r="J78" s="31" t="n">
        <v>0.66</v>
      </c>
      <c r="K78" s="31" t="n">
        <v>178995</v>
      </c>
      <c r="L78" s="30" t="n">
        <v>79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74.73999999999999</v>
      </c>
      <c r="P78" s="31" t="n">
        <v>39.79</v>
      </c>
      <c r="Q78" s="31" t="n">
        <v>2273.52</v>
      </c>
      <c r="R78" s="30" t="inlineStr">
        <is>
          <t>Near 52W High Breakout</t>
        </is>
      </c>
      <c r="S78" s="30" t="inlineStr">
        <is>
          <t>Nifty Auto</t>
        </is>
      </c>
      <c r="T78" s="31" t="n">
        <v>10.59</v>
      </c>
      <c r="U78" s="31" t="n">
        <v>118.38</v>
      </c>
      <c r="V78" s="31" t="n">
        <v>97.47</v>
      </c>
      <c r="W78" s="31" t="n">
        <v>24.66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20 to 40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Between 50% to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IF(B79=0,"",RANK(B79,$B$2:$B$306,0))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CARYSIL</t>
        </is>
      </c>
      <c r="D79" s="30" t="inlineStr">
        <is>
          <t>Carysil Ltd</t>
        </is>
      </c>
      <c r="E79" s="30" t="inlineStr">
        <is>
          <t>consumer discretionary</t>
        </is>
      </c>
      <c r="F79" s="30" t="inlineStr">
        <is>
          <t>domestic appliances</t>
        </is>
      </c>
      <c r="G79" s="30" t="inlineStr">
        <is>
          <t>smallcap</t>
        </is>
      </c>
      <c r="H79" s="31" t="n">
        <v>3115.03</v>
      </c>
      <c r="I79" s="31" t="n">
        <v>1102</v>
      </c>
      <c r="J79" s="31" t="n">
        <v>0.62</v>
      </c>
      <c r="K79" s="31" t="n">
        <v>82441</v>
      </c>
      <c r="L79" s="30" t="n">
        <v>42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67.15000000000001</v>
      </c>
      <c r="P79" s="31" t="n">
        <v>18.25</v>
      </c>
      <c r="Q79" s="31" t="n">
        <v>817.76</v>
      </c>
      <c r="R79" s="30" t="inlineStr">
        <is>
          <t>Near 52W High Breakout</t>
        </is>
      </c>
      <c r="S79" s="30" t="inlineStr">
        <is>
          <t>Nifty 50</t>
        </is>
      </c>
      <c r="T79" s="31" t="n">
        <v>-6.54</v>
      </c>
      <c r="U79" s="31" t="n">
        <v>26.81</v>
      </c>
      <c r="V79" s="31" t="n">
        <v>35.69</v>
      </c>
      <c r="W79" s="31" t="n">
        <v>11.05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0 to 20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Less than 1.5</t>
        </is>
      </c>
      <c r="BU79" s="30">
        <f>IF(BT79="Above 2",0,IF(BT79="Between 1.5 to 2",5,IF(BT79="Less than 1.5",10,0)))</f>
        <v/>
      </c>
      <c r="BV79" s="30" t="inlineStr">
        <is>
          <t>Between 50% to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IF(B80=0,"",RANK(B80,$B$2:$B$306,0))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SANGAMIND</t>
        </is>
      </c>
      <c r="D80" s="30" t="inlineStr">
        <is>
          <t>Sangam (india) Limited</t>
        </is>
      </c>
      <c r="E80" s="30" t="inlineStr">
        <is>
          <t>textiles</t>
        </is>
      </c>
      <c r="F80" s="30" t="inlineStr">
        <is>
          <t>textiles - spinning - synthetic / blended</t>
        </is>
      </c>
      <c r="G80" s="30" t="inlineStr">
        <is>
          <t>smallcap</t>
        </is>
      </c>
      <c r="H80" s="31" t="n">
        <v>2649.75</v>
      </c>
      <c r="I80" s="31" t="n">
        <v>526.4</v>
      </c>
      <c r="J80" s="31" t="n">
        <v>-0.18</v>
      </c>
      <c r="K80" s="31" t="n">
        <v>24596</v>
      </c>
      <c r="L80" s="30" t="n">
        <v>35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63.92</v>
      </c>
      <c r="P80" s="31" t="n">
        <v>26.44</v>
      </c>
      <c r="Q80" s="31" t="n">
        <v>403.66</v>
      </c>
      <c r="R80" s="30" t="inlineStr">
        <is>
          <t>Near 52W High Breakout</t>
        </is>
      </c>
      <c r="S80" s="30" t="inlineStr">
        <is>
          <t>Nifty 50</t>
        </is>
      </c>
      <c r="T80" s="31" t="n">
        <v>-6.54</v>
      </c>
      <c r="U80" s="31" t="n">
        <v>22.76</v>
      </c>
      <c r="V80" s="31" t="n">
        <v>31.36</v>
      </c>
      <c r="W80" s="31" t="n">
        <v>9.32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Above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Between 0.7 to 1.2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IF(B81=0,"",RANK(B81,$B$2:$B$306,0))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DIVGIITTS</t>
        </is>
      </c>
      <c r="D81" s="30" t="inlineStr">
        <is>
          <t>Divgi Torqtransfer Systems Ltd</t>
        </is>
      </c>
      <c r="E81" s="30" t="inlineStr">
        <is>
          <t>auto</t>
        </is>
      </c>
      <c r="F81" s="30" t="inlineStr">
        <is>
          <t>auto ancillaries</t>
        </is>
      </c>
      <c r="G81" s="30" t="inlineStr">
        <is>
          <t>smallcap</t>
        </is>
      </c>
      <c r="H81" s="31" t="n">
        <v>2404.74</v>
      </c>
      <c r="I81" s="31" t="n">
        <v>780.7</v>
      </c>
      <c r="J81" s="31" t="n">
        <v>-0.71</v>
      </c>
      <c r="K81" s="31" t="n">
        <v>37222</v>
      </c>
      <c r="L81" s="30" t="n">
        <v>29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58.28</v>
      </c>
      <c r="P81" s="31" t="n">
        <v>26.07</v>
      </c>
      <c r="Q81" s="31" t="n">
        <v>583.97</v>
      </c>
      <c r="R81" s="30" t="inlineStr">
        <is>
          <t>Near 52W High Breakout</t>
        </is>
      </c>
      <c r="S81" s="30" t="inlineStr">
        <is>
          <t>Nifty Auto</t>
        </is>
      </c>
      <c r="T81" s="31" t="n">
        <v>10.59</v>
      </c>
      <c r="U81" s="31" t="n">
        <v>29.92</v>
      </c>
      <c r="V81" s="31" t="n">
        <v>17.48</v>
      </c>
      <c r="W81" s="31" t="n">
        <v>7.54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20 to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Between 50% to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IF(B82=0,"",RANK(B82,$B$2:$B$306,0))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PRECOT</t>
        </is>
      </c>
      <c r="D82" s="30" t="inlineStr">
        <is>
          <t>Precot Meridian Limited</t>
        </is>
      </c>
      <c r="E82" s="30" t="inlineStr">
        <is>
          <t>textiles</t>
        </is>
      </c>
      <c r="F82" s="30" t="inlineStr">
        <is>
          <t>textiles - cotton/blended</t>
        </is>
      </c>
      <c r="G82" s="30" t="inlineStr">
        <is>
          <t>smallcap</t>
        </is>
      </c>
      <c r="H82" s="31" t="n">
        <v>918.78</v>
      </c>
      <c r="I82" s="31" t="n">
        <v>758.25</v>
      </c>
      <c r="J82" s="31" t="n">
        <v>-0.97</v>
      </c>
      <c r="K82" s="31" t="n">
        <v>3619</v>
      </c>
      <c r="L82" s="30" t="n">
        <v>80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70.84999999999999</v>
      </c>
      <c r="P82" s="31" t="n">
        <v>37.46</v>
      </c>
      <c r="Q82" s="31" t="n">
        <v>577.22</v>
      </c>
      <c r="R82" s="30" t="inlineStr">
        <is>
          <t>Earnings / Momentum Support</t>
        </is>
      </c>
      <c r="S82" s="30" t="inlineStr">
        <is>
          <t>Nifty 50</t>
        </is>
      </c>
      <c r="T82" s="31" t="n">
        <v>-6.54</v>
      </c>
      <c r="U82" s="31" t="n">
        <v>37.04</v>
      </c>
      <c r="V82" s="31" t="n">
        <v>46.63</v>
      </c>
      <c r="W82" s="31" t="n">
        <v>25.02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No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20 to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Less than 1.5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Between 0.7 to 1.2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IF(B83=0,"",RANK(B83,$B$2:$B$306,0))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WELCORP</t>
        </is>
      </c>
      <c r="D83" s="30" t="inlineStr">
        <is>
          <t>Welspun Corp Limited</t>
        </is>
      </c>
      <c r="E83" s="30" t="inlineStr">
        <is>
          <t>industrials</t>
        </is>
      </c>
      <c r="F83" s="30" t="inlineStr">
        <is>
          <t>steel - large</t>
        </is>
      </c>
      <c r="G83" s="30" t="inlineStr">
        <is>
          <t>largecap</t>
        </is>
      </c>
      <c r="H83" s="31" t="n">
        <v>37001.91</v>
      </c>
      <c r="I83" s="31" t="n">
        <v>1388.8</v>
      </c>
      <c r="J83" s="31" t="n">
        <v>-0.99</v>
      </c>
      <c r="K83" s="31" t="n">
        <v>498958</v>
      </c>
      <c r="L83" s="30" t="n">
        <v>81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81.72</v>
      </c>
      <c r="P83" s="31" t="n">
        <v>46.39</v>
      </c>
      <c r="Q83" s="31" t="n">
        <v>1130.58</v>
      </c>
      <c r="R83" s="30" t="inlineStr">
        <is>
          <t>Near 52W High Breakout</t>
        </is>
      </c>
      <c r="S83" s="30" t="inlineStr">
        <is>
          <t>Nifty Metal</t>
        </is>
      </c>
      <c r="T83" s="31" t="n">
        <v>40.56</v>
      </c>
      <c r="U83" s="31" t="n">
        <v>44.5</v>
      </c>
      <c r="V83" s="31" t="n">
        <v>2.8</v>
      </c>
      <c r="W83" s="31" t="n">
        <v>25.38</v>
      </c>
      <c r="X83" s="30" t="inlineStr">
        <is>
          <t>Cyclical in an Upturn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Above 40</t>
        </is>
      </c>
      <c r="AY83" s="30">
        <f>IF(AX83="Above 40",20,IF(AX83="20 to 40",10,IF(AX83="0 to 20",-5,0)))</f>
        <v/>
      </c>
      <c r="AZ83" s="30" t="inlineStr">
        <is>
          <t>Above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Less than 12%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IF(B84=0,"",RANK(B84,$B$2:$B$306,0))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WHEELS</t>
        </is>
      </c>
      <c r="D84" s="30" t="inlineStr">
        <is>
          <t>Wheels India Limited</t>
        </is>
      </c>
      <c r="E84" s="30" t="inlineStr">
        <is>
          <t>auto</t>
        </is>
      </c>
      <c r="F84" s="30" t="inlineStr">
        <is>
          <t>auto ancillaries</t>
        </is>
      </c>
      <c r="G84" s="30" t="inlineStr">
        <is>
          <t>smallcap</t>
        </is>
      </c>
      <c r="H84" s="31" t="n">
        <v>3735.07</v>
      </c>
      <c r="I84" s="31" t="n">
        <v>1487.7</v>
      </c>
      <c r="J84" s="31" t="n">
        <v>-2.68</v>
      </c>
      <c r="K84" s="31" t="n">
        <v>180561</v>
      </c>
      <c r="L84" s="30" t="n">
        <v>87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69.42</v>
      </c>
      <c r="P84" s="31" t="n">
        <v>46.61</v>
      </c>
      <c r="Q84" s="31" t="n">
        <v>1300.75</v>
      </c>
      <c r="R84" s="30" t="inlineStr">
        <is>
          <t>Earnings / Momentum Support</t>
        </is>
      </c>
      <c r="S84" s="30" t="inlineStr">
        <is>
          <t>Nifty Auto</t>
        </is>
      </c>
      <c r="T84" s="31" t="n">
        <v>10.59</v>
      </c>
      <c r="U84" s="31" t="n">
        <v>102.69</v>
      </c>
      <c r="V84" s="31" t="n">
        <v>83.28</v>
      </c>
      <c r="W84" s="31" t="n">
        <v>31.44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No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Above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Less than 12%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IF(B85=0,"",RANK(B85,$B$2:$B$306,0))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SKIPPER</t>
        </is>
      </c>
      <c r="D85" s="30" t="inlineStr">
        <is>
          <t>Skipper Limited</t>
        </is>
      </c>
      <c r="E85" s="30" t="inlineStr">
        <is>
          <t>industrials</t>
        </is>
      </c>
      <c r="F85" s="30" t="inlineStr">
        <is>
          <t>engineering</t>
        </is>
      </c>
      <c r="G85" s="30" t="inlineStr">
        <is>
          <t>midcap</t>
        </is>
      </c>
      <c r="H85" s="31" t="n">
        <v>6488.03</v>
      </c>
      <c r="I85" s="31" t="n">
        <v>556.6</v>
      </c>
      <c r="J85" s="31" t="n">
        <v>-3.14</v>
      </c>
      <c r="K85" s="31" t="n">
        <v>1219133</v>
      </c>
      <c r="L85" s="30" t="n">
        <v>68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70.95</v>
      </c>
      <c r="P85" s="31" t="n">
        <v>32.76</v>
      </c>
      <c r="Q85" s="31" t="n">
        <v>414.08</v>
      </c>
      <c r="R85" s="30" t="inlineStr">
        <is>
          <t>Volume Spike &amp; Near 52W High Breakout</t>
        </is>
      </c>
      <c r="S85" s="30" t="inlineStr">
        <is>
          <t>Nifty 50</t>
        </is>
      </c>
      <c r="T85" s="31" t="n">
        <v>-6.54</v>
      </c>
      <c r="U85" s="31" t="n">
        <v>14.37</v>
      </c>
      <c r="V85" s="31" t="n">
        <v>22.38</v>
      </c>
      <c r="W85" s="31" t="n">
        <v>18.9</v>
      </c>
      <c r="X85" s="30" t="inlineStr">
        <is>
          <t>Cyclical in an Upturn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Less than 1.5</t>
        </is>
      </c>
      <c r="BU85" s="30">
        <f>IF(BT85="Above 2",0,IF(BT85="Between 1.5 to 2",5,IF(BT85="Less than 1.5",10,0)))</f>
        <v/>
      </c>
      <c r="BV85" s="30" t="inlineStr">
        <is>
          <t>Less than 50%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IF(B86=0,"",RANK(B86,$B$2:$B$306,0))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VERANDA</t>
        </is>
      </c>
      <c r="D86" s="30" t="inlineStr">
        <is>
          <t>Veranda Learning Solutions Ltd</t>
        </is>
      </c>
      <c r="E86" s="30" t="inlineStr">
        <is>
          <t>services</t>
        </is>
      </c>
      <c r="F86" s="30" t="inlineStr">
        <is>
          <t>miscellaneous</t>
        </is>
      </c>
      <c r="G86" s="30" t="inlineStr">
        <is>
          <t>smallcap</t>
        </is>
      </c>
      <c r="H86" s="31" t="n">
        <v>2284.51</v>
      </c>
      <c r="I86" s="31" t="n">
        <v>229.73</v>
      </c>
      <c r="J86" s="31" t="n">
        <v>-3.29</v>
      </c>
      <c r="K86" s="31" t="n">
        <v>242097</v>
      </c>
      <c r="L86" s="30" t="n">
        <v>50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61.44</v>
      </c>
      <c r="P86" s="31" t="n">
        <v>31.62</v>
      </c>
      <c r="Q86" s="31" t="n">
        <v>170.78</v>
      </c>
      <c r="R86" s="30" t="inlineStr">
        <is>
          <t>Earnings / Momentum Support</t>
        </is>
      </c>
      <c r="S86" s="30" t="inlineStr">
        <is>
          <t>Nifty 50</t>
        </is>
      </c>
      <c r="T86" s="31" t="n">
        <v>-6.54</v>
      </c>
      <c r="U86" s="31" t="n">
        <v>16.01</v>
      </c>
      <c r="V86" s="31" t="n">
        <v>24.14</v>
      </c>
      <c r="W86" s="31" t="n">
        <v>13.13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No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Close to 52 week high or retracement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Less than 1.5</t>
        </is>
      </c>
      <c r="BU86" s="30">
        <f>IF(BT86="Above 2",0,IF(BT86="Between 1.5 to 2",5,IF(BT86="Less than 1.5",10,0)))</f>
        <v/>
      </c>
      <c r="BV86" s="30" t="inlineStr">
        <is>
          <t>Between 50% to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IF(B87=0,"",RANK(B87,$B$2:$B$306,0))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PANACEABIO</t>
        </is>
      </c>
      <c r="D87" s="30" t="inlineStr">
        <is>
          <t>Panacea Biotec Limited</t>
        </is>
      </c>
      <c r="E87" s="30" t="inlineStr">
        <is>
          <t>healthcare</t>
        </is>
      </c>
      <c r="F87" s="30" t="inlineStr">
        <is>
          <t>pharmaceuticals - indian - bulk drugs &amp; formln</t>
        </is>
      </c>
      <c r="G87" s="30" t="inlineStr">
        <is>
          <t>smallcap</t>
        </is>
      </c>
      <c r="H87" s="31" t="n">
        <v>3186.88</v>
      </c>
      <c r="I87" s="31" t="n">
        <v>540.2</v>
      </c>
      <c r="J87" s="31" t="n">
        <v>3.82</v>
      </c>
      <c r="K87" s="31" t="n">
        <v>8876574</v>
      </c>
      <c r="L87" s="30" t="n">
        <v>72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76.41</v>
      </c>
      <c r="P87" s="31" t="n">
        <v>20.61</v>
      </c>
      <c r="Q87" s="31" t="n">
        <v>387.03</v>
      </c>
      <c r="R87" s="30" t="inlineStr">
        <is>
          <t>Volume Spike &amp; Near 52W High Breakout</t>
        </is>
      </c>
      <c r="S87" s="30" t="inlineStr">
        <is>
          <t>Nifty Pharma</t>
        </is>
      </c>
      <c r="T87" s="31" t="n">
        <v>11.82</v>
      </c>
      <c r="U87" s="31" t="n">
        <v>20.72</v>
      </c>
      <c r="V87" s="31" t="n">
        <v>7.95</v>
      </c>
      <c r="W87" s="31" t="n">
        <v>21.15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Yes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Annuity, Lower One Time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20 to 40</t>
        </is>
      </c>
      <c r="AY87" s="30">
        <f>IF(AX87="Above 40",20,IF(AX87="20 to 40",10,IF(AX87="0 to 20",-5,0)))</f>
        <v/>
      </c>
      <c r="AZ87" s="30" t="inlineStr">
        <is>
          <t>Above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Less than 12%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Less than 1.5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IF(B88=0,"",RANK(B88,$B$2:$B$306,0))</f>
        <v/>
      </c>
      <c r="B88" s="31">
        <f>SUM(N88,Y88,AA88,AC88,AE88,AG88,AI88,AK88,AM88,AO88,AQ88,AS88,AU88,AW88,AY88,BA88,BC88,BE88,BG88,BI88,BK88,BM88,BO88,BQ88,BS88,BU88,BW88,BY88,CA88,CC88,CE88)</f>
        <v/>
      </c>
      <c r="C88" s="30" t="inlineStr">
        <is>
          <t>SANSTAR</t>
        </is>
      </c>
      <c r="D88" s="30" t="inlineStr">
        <is>
          <t>Sanstar Ltd</t>
        </is>
      </c>
      <c r="E88" s="30" t="inlineStr">
        <is>
          <t>fmcg</t>
        </is>
      </c>
      <c r="F88" s="30" t="inlineStr">
        <is>
          <t>miscellaneous</t>
        </is>
      </c>
      <c r="G88" s="30" t="inlineStr">
        <is>
          <t>smallcap</t>
        </is>
      </c>
      <c r="H88" s="31" t="n">
        <v>2091.44</v>
      </c>
      <c r="I88" s="31" t="n">
        <v>117.96</v>
      </c>
      <c r="J88" s="31" t="n">
        <v>2.79</v>
      </c>
      <c r="K88" s="31" t="n">
        <v>1062832</v>
      </c>
      <c r="L88" s="30" t="n">
        <v>55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75.23</v>
      </c>
      <c r="P88" s="31" t="n">
        <v>26.66</v>
      </c>
      <c r="Q88" s="31" t="n">
        <v>92.61</v>
      </c>
      <c r="R88" s="30" t="inlineStr">
        <is>
          <t>Near 52W High Breakout</t>
        </is>
      </c>
      <c r="S88" s="30" t="inlineStr">
        <is>
          <t>Nifty FMCG</t>
        </is>
      </c>
      <c r="T88" s="31" t="n">
        <v>-13.44</v>
      </c>
      <c r="U88" s="31" t="n">
        <v>31.81</v>
      </c>
      <c r="V88" s="31" t="n">
        <v>52.28</v>
      </c>
      <c r="W88" s="31" t="n">
        <v>14.7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B2C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Annuity, Lower One Time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Above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Yes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IF(B89=0,"",RANK(B89,$B$2:$B$306,0))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SKMEGGPROD</t>
        </is>
      </c>
      <c r="D89" s="30" t="inlineStr">
        <is>
          <t>Skm Egg Products Export (india) Limited</t>
        </is>
      </c>
      <c r="E89" s="30" t="inlineStr">
        <is>
          <t>fmcg</t>
        </is>
      </c>
      <c r="F89" s="30" t="inlineStr">
        <is>
          <t>food - processing - indian</t>
        </is>
      </c>
      <c r="G89" s="30" t="inlineStr">
        <is>
          <t>smallcap</t>
        </is>
      </c>
      <c r="H89" s="31" t="n">
        <v>1260.21</v>
      </c>
      <c r="I89" s="31" t="n">
        <v>245.84</v>
      </c>
      <c r="J89" s="31" t="n">
        <v>2.73</v>
      </c>
      <c r="K89" s="31" t="n">
        <v>1042696</v>
      </c>
      <c r="L89" s="30" t="n">
        <v>89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71.45</v>
      </c>
      <c r="P89" s="31" t="n">
        <v>15.93</v>
      </c>
      <c r="Q89" s="31" t="n">
        <v>170.89</v>
      </c>
      <c r="R89" s="30" t="inlineStr">
        <is>
          <t>Volume Spike &amp; Near 52W High Breakout</t>
        </is>
      </c>
      <c r="S89" s="30" t="inlineStr">
        <is>
          <t>Nifty FMCG</t>
        </is>
      </c>
      <c r="T89" s="31" t="n">
        <v>-13.44</v>
      </c>
      <c r="U89" s="31" t="n">
        <v>118.96</v>
      </c>
      <c r="V89" s="31" t="n">
        <v>152.96</v>
      </c>
      <c r="W89" s="31" t="n">
        <v>33.38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B2C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Annuity, Lower One Time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0 to 20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Blue sky scenario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No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Less than 50%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IF(B90=0,"",RANK(B90,$B$2:$B$306,0))</f>
        <v/>
      </c>
      <c r="B90" s="31">
        <f>SUM(N90,Y90,AA90,AC90,AE90,AG90,AI90,AK90,AM90,AO90,AQ90,AS90,AU90,AW90,AY90,BA90,BC90,BE90,BG90,BI90,BK90,BM90,BO90,BQ90,BS90,BU90,BW90,BY90,CA90,CC90,CE90)</f>
        <v/>
      </c>
      <c r="C90" s="32" t="inlineStr">
        <is>
          <t>KOPRAN</t>
        </is>
      </c>
      <c r="D90" s="32" t="inlineStr">
        <is>
          <t>Kopran Limited</t>
        </is>
      </c>
      <c r="E90" s="30" t="inlineStr">
        <is>
          <t>healthcare</t>
        </is>
      </c>
      <c r="F90" s="30" t="inlineStr">
        <is>
          <t>pharmaceuticals - indian - bulk drugs &amp; formln</t>
        </is>
      </c>
      <c r="G90" s="30" t="inlineStr">
        <is>
          <t>smallcap</t>
        </is>
      </c>
      <c r="H90" s="31" t="n">
        <v>888.84</v>
      </c>
      <c r="I90" s="31" t="n">
        <v>189.08</v>
      </c>
      <c r="J90" s="31" t="n">
        <v>2.72</v>
      </c>
      <c r="K90" s="31" t="n">
        <v>174976</v>
      </c>
      <c r="L90" s="30" t="n">
        <v>51</v>
      </c>
      <c r="M90" s="30" t="inlineStr">
        <is>
          <t>Underperforming</t>
        </is>
      </c>
      <c r="N90" s="31">
        <f>IF(M90="Underperforming",-5,IF(L90&gt;=95,15,IF(L90&gt;=90,10,IF(L90&gt;=80,5,0))))</f>
        <v/>
      </c>
      <c r="O90" s="31" t="n">
        <v>62.83</v>
      </c>
      <c r="P90" s="31" t="n">
        <v>25.16</v>
      </c>
      <c r="Q90" s="31" t="n">
        <v>148.28</v>
      </c>
      <c r="R90" s="30" t="inlineStr">
        <is>
          <t>Earnings / Momentum Support</t>
        </is>
      </c>
      <c r="S90" s="30" t="inlineStr">
        <is>
          <t>Nifty Pharma</t>
        </is>
      </c>
      <c r="T90" s="31" t="n">
        <v>11.82</v>
      </c>
      <c r="U90" s="31" t="n">
        <v>-0.39</v>
      </c>
      <c r="V90" s="31" t="n">
        <v>-10.92</v>
      </c>
      <c r="W90" s="31" t="n">
        <v>13.62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Yes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No</t>
        </is>
      </c>
      <c r="AQ90" s="30">
        <f>IF(AP90="Yes",10,0)</f>
        <v/>
      </c>
      <c r="AR90" s="30" t="inlineStr">
        <is>
          <t>Higher Annuity, Lower One Time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20 to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Less than 1.5</t>
        </is>
      </c>
      <c r="BU90" s="30">
        <f>IF(BT90="Above 2",0,IF(BT90="Between 1.5 to 2",5,IF(BT90="Less than 1.5",10,0)))</f>
        <v/>
      </c>
      <c r="BV90" s="30" t="inlineStr">
        <is>
          <t>Above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IF(B91=0,"",RANK(B91,$B$2:$B$306,0))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SAILIFE</t>
        </is>
      </c>
      <c r="D91" s="30" t="inlineStr">
        <is>
          <t>Sai Life Sciences Ltd</t>
        </is>
      </c>
      <c r="E91" s="30" t="inlineStr">
        <is>
          <t>healthcare</t>
        </is>
      </c>
      <c r="F91" s="30" t="inlineStr">
        <is>
          <t>pharmaceuticals - indian - bulk drugs &amp; formln</t>
        </is>
      </c>
      <c r="G91" s="30" t="inlineStr">
        <is>
          <t>largecap</t>
        </is>
      </c>
      <c r="H91" s="31" t="n">
        <v>24551.57</v>
      </c>
      <c r="I91" s="31" t="n">
        <v>1186.4</v>
      </c>
      <c r="J91" s="31" t="n">
        <v>2.34</v>
      </c>
      <c r="K91" s="31" t="n">
        <v>749906</v>
      </c>
      <c r="L91" s="30" t="n">
        <v>50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70.11</v>
      </c>
      <c r="P91" s="31" t="n">
        <v>30.3</v>
      </c>
      <c r="Q91" s="31" t="n">
        <v>938.2</v>
      </c>
      <c r="R91" s="30" t="inlineStr">
        <is>
          <t>Near 52W High Breakout</t>
        </is>
      </c>
      <c r="S91" s="30" t="inlineStr">
        <is>
          <t>Nifty Pharma</t>
        </is>
      </c>
      <c r="T91" s="31" t="n">
        <v>11.82</v>
      </c>
      <c r="U91" s="31" t="n">
        <v>60.93</v>
      </c>
      <c r="V91" s="31" t="n">
        <v>43.92</v>
      </c>
      <c r="W91" s="31" t="n">
        <v>13.14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Yes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Annuity, Lower One Time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20 to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Blue sky scenario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Between 12 to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Yes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IF(B92=0,"",RANK(B92,$B$2:$B$306,0))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IPCALAB</t>
        </is>
      </c>
      <c r="D92" s="30" t="inlineStr">
        <is>
          <t>Ipca Laboratories Limited</t>
        </is>
      </c>
      <c r="E92" s="30" t="inlineStr">
        <is>
          <t>healthcare</t>
        </is>
      </c>
      <c r="F92" s="30" t="inlineStr">
        <is>
          <t>pharmaceuticals - indian - bulk drugs &amp; formln</t>
        </is>
      </c>
      <c r="G92" s="30" t="inlineStr">
        <is>
          <t>largecap</t>
        </is>
      </c>
      <c r="H92" s="31" t="n">
        <v>40947.86</v>
      </c>
      <c r="I92" s="31" t="n">
        <v>1641.9</v>
      </c>
      <c r="J92" s="31" t="n">
        <v>1.73</v>
      </c>
      <c r="K92" s="31" t="n">
        <v>242278</v>
      </c>
      <c r="L92" s="30" t="n">
        <v>21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59.88</v>
      </c>
      <c r="P92" s="31" t="n">
        <v>33.72</v>
      </c>
      <c r="Q92" s="31" t="n">
        <v>1307.39</v>
      </c>
      <c r="R92" s="30" t="inlineStr">
        <is>
          <t>Near 52W High Breakout</t>
        </is>
      </c>
      <c r="S92" s="30" t="inlineStr">
        <is>
          <t>Nifty Pharma</t>
        </is>
      </c>
      <c r="T92" s="31" t="n">
        <v>11.82</v>
      </c>
      <c r="U92" s="31" t="n">
        <v>19.93</v>
      </c>
      <c r="V92" s="31" t="n">
        <v>7.25</v>
      </c>
      <c r="W92" s="31" t="n">
        <v>5.8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Yes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Annuity, Lower One Time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20 to 40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Close to 52 week high or retracement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Above 2</t>
        </is>
      </c>
      <c r="BU92" s="30">
        <f>IF(BT92="Above 2",0,IF(BT92="Between 1.5 to 2",5,IF(BT92="Less than 1.5",10,0)))</f>
        <v/>
      </c>
      <c r="BV92" s="30" t="inlineStr">
        <is>
          <t>Between 50% to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IF(B93=0,"",RANK(B93,$B$2:$B$306,0))</f>
        <v/>
      </c>
      <c r="B93" s="31">
        <f>SUM(N93,Y93,AA93,AC93,AE93,AG93,AI93,AK93,AM93,AO93,AQ93,AS93,AU93,AW93,AY93,BA93,BC93,BE93,BG93,BI93,BK93,BM93,BO93,BQ93,BS93,BU93,BW93,BY93,CA93,CC93,CE93)</f>
        <v/>
      </c>
      <c r="C93" s="30" t="inlineStr">
        <is>
          <t>JBCHEPHARM</t>
        </is>
      </c>
      <c r="D93" s="30" t="inlineStr">
        <is>
          <t>Jb Chemicals &amp; Pharmaceuticals Limited</t>
        </is>
      </c>
      <c r="E93" s="30" t="inlineStr">
        <is>
          <t>healthcare</t>
        </is>
      </c>
      <c r="F93" s="30" t="inlineStr">
        <is>
          <t>pharmaceuticals - indian - bulk drugs &amp; formln</t>
        </is>
      </c>
      <c r="G93" s="30" t="inlineStr">
        <is>
          <t>largecap</t>
        </is>
      </c>
      <c r="H93" s="31" t="n">
        <v>34258.41</v>
      </c>
      <c r="I93" s="31" t="n">
        <v>2169.3</v>
      </c>
      <c r="J93" s="31" t="n">
        <v>1.67</v>
      </c>
      <c r="K93" s="31" t="n">
        <v>188786</v>
      </c>
      <c r="L93" s="30" t="n">
        <v>25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67.33</v>
      </c>
      <c r="P93" s="31" t="n">
        <v>40.2</v>
      </c>
      <c r="Q93" s="31" t="n">
        <v>1863.36</v>
      </c>
      <c r="R93" s="30" t="inlineStr">
        <is>
          <t>Near 52W High Breakout</t>
        </is>
      </c>
      <c r="S93" s="30" t="inlineStr">
        <is>
          <t>Nifty Pharma</t>
        </is>
      </c>
      <c r="T93" s="31" t="n">
        <v>11.82</v>
      </c>
      <c r="U93" s="31" t="n">
        <v>29.33</v>
      </c>
      <c r="V93" s="31" t="n">
        <v>15.65</v>
      </c>
      <c r="W93" s="31" t="n">
        <v>6.6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Yes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Annuity, Lower One Time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Above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Blue sky scenario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Less than 12%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Yes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Between 50% to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IF(B94=0,"",RANK(B94,$B$2:$B$306,0))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VBL</t>
        </is>
      </c>
      <c r="D94" s="30" t="inlineStr">
        <is>
          <t>Varun Beverages Limited</t>
        </is>
      </c>
      <c r="E94" s="30" t="inlineStr">
        <is>
          <t>fmcg</t>
        </is>
      </c>
      <c r="F94" s="30" t="inlineStr">
        <is>
          <t>food - processing - indian</t>
        </is>
      </c>
      <c r="G94" s="30" t="inlineStr">
        <is>
          <t>largecap</t>
        </is>
      </c>
      <c r="H94" s="31" t="n">
        <v>178709.87</v>
      </c>
      <c r="I94" s="31" t="n">
        <v>523.3</v>
      </c>
      <c r="J94" s="31" t="n">
        <v>-0.97</v>
      </c>
      <c r="K94" s="31" t="n">
        <v>3217921</v>
      </c>
      <c r="L94" s="30" t="n">
        <v>20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61.66</v>
      </c>
      <c r="P94" s="31" t="n">
        <v>29.43</v>
      </c>
      <c r="Q94" s="31" t="n">
        <v>446.79</v>
      </c>
      <c r="R94" s="30" t="inlineStr">
        <is>
          <t>Near 52W High Breakout</t>
        </is>
      </c>
      <c r="S94" s="30" t="inlineStr">
        <is>
          <t>Nifty FMCG</t>
        </is>
      </c>
      <c r="T94" s="31" t="n">
        <v>-13.44</v>
      </c>
      <c r="U94" s="31" t="n">
        <v>10.05</v>
      </c>
      <c r="V94" s="31" t="n">
        <v>27.14</v>
      </c>
      <c r="W94" s="31" t="n">
        <v>5.67</v>
      </c>
      <c r="X94" s="30" t="inlineStr">
        <is>
          <t>Growing Industry</t>
        </is>
      </c>
      <c r="Y94" s="30">
        <f>IF(X94="Growing Industry",10,IF(X94="Cyclical in an Upturn",5,0))</f>
        <v/>
      </c>
      <c r="Z94" s="30" t="inlineStr">
        <is>
          <t>Duopoly That Cooperate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Shallow Cyclical (2 to 3 Years Growth)</t>
        </is>
      </c>
      <c r="AG94" s="30">
        <f>IF(AF94="Structural (10 Years Consistency)",10,IF(AF94="Shallow Cyclical (2 to 3 years growth)",5,0))</f>
        <v/>
      </c>
      <c r="AH94" s="30" t="inlineStr">
        <is>
          <t>Yes due to Product Mix change or Operating Leverage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B2C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Fully Annuity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only for next 1 to 2 years</t>
        </is>
      </c>
      <c r="AW94" s="30">
        <f>IF(AV94="Yes for more than 2 years",10,IF(AV94="Yes only for next 1 to 2 years",5,0))</f>
        <v/>
      </c>
      <c r="AX94" s="30" t="inlineStr">
        <is>
          <t>Above 40</t>
        </is>
      </c>
      <c r="AY94" s="30">
        <f>IF(AX94="Above 40",20,IF(AX94="20 to 40",10,IF(AX94="0 to 20",-5,0)))</f>
        <v/>
      </c>
      <c r="AZ94" s="30" t="inlineStr">
        <is>
          <t>Above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Close to 52 week high or retracement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Yes</t>
        </is>
      </c>
      <c r="BS94" s="30">
        <f>IF(BR94="NO",5,0)</f>
        <v/>
      </c>
      <c r="BT94" s="30" t="inlineStr">
        <is>
          <t>Above 2</t>
        </is>
      </c>
      <c r="BU94" s="30">
        <f>IF(BT94="Above 2",0,IF(BT94="Between 1.5 to 2",5,IF(BT94="Less than 1.5",10,0)))</f>
        <v/>
      </c>
      <c r="BV94" s="30" t="inlineStr">
        <is>
          <t>Between 50% to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Between 0.7 to 1.2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IF(B95=0,"",RANK(B95,$B$2:$B$306,0))</f>
        <v/>
      </c>
      <c r="B95" s="31">
        <f>SUM(N95,Y95,AA95,AC95,AE95,AG95,AI95,AK95,AM95,AO95,AQ95,AS95,AU95,AW95,AY95,BA95,BC95,BE95,BG95,BI95,BK95,BM95,BO95,BQ95,BS95,BU95,BW95,BY95,CA95,CC95,CE95)</f>
        <v/>
      </c>
      <c r="C95" s="32" t="inlineStr">
        <is>
          <t>MARKSANS</t>
        </is>
      </c>
      <c r="D95" s="32" t="inlineStr">
        <is>
          <t>Marksans Pharma Limited</t>
        </is>
      </c>
      <c r="E95" s="30" t="inlineStr">
        <is>
          <t>healthcare</t>
        </is>
      </c>
      <c r="F95" s="30" t="inlineStr">
        <is>
          <t>pharmaceuticals - indian - formulations</t>
        </is>
      </c>
      <c r="G95" s="30" t="inlineStr">
        <is>
          <t>midcap</t>
        </is>
      </c>
      <c r="H95" s="31" t="n">
        <v>10836.96</v>
      </c>
      <c r="I95" s="31" t="n">
        <v>233.19</v>
      </c>
      <c r="J95" s="31" t="n">
        <v>-2.49</v>
      </c>
      <c r="K95" s="31" t="n">
        <v>1734226</v>
      </c>
      <c r="L95" s="30" t="n">
        <v>33</v>
      </c>
      <c r="M95" s="30" t="inlineStr">
        <is>
          <t>Underperforming</t>
        </is>
      </c>
      <c r="N95" s="31">
        <f>IF(M95="Underperforming",-5,IF(L95&gt;=95,15,IF(L95&gt;=90,10,IF(L95&gt;=80,5,0))))</f>
        <v/>
      </c>
      <c r="O95" s="31" t="n">
        <v>67.25</v>
      </c>
      <c r="P95" s="31" t="n">
        <v>25.72</v>
      </c>
      <c r="Q95" s="31" t="n">
        <v>190.21</v>
      </c>
      <c r="R95" s="30" t="inlineStr">
        <is>
          <t>Earnings / Momentum Support</t>
        </is>
      </c>
      <c r="S95" s="30" t="inlineStr">
        <is>
          <t>Nifty Pharma</t>
        </is>
      </c>
      <c r="T95" s="31" t="n">
        <v>11.82</v>
      </c>
      <c r="U95" s="31" t="n">
        <v>-7.12</v>
      </c>
      <c r="V95" s="31" t="n">
        <v>-16.94</v>
      </c>
      <c r="W95" s="31" t="n">
        <v>8.369999999999999</v>
      </c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Yes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No</t>
        </is>
      </c>
      <c r="AQ95" s="30">
        <f>IF(AP95="Yes",10,0)</f>
        <v/>
      </c>
      <c r="AR95" s="30" t="inlineStr">
        <is>
          <t>Higher Annuity, Lower One Time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20 to 40</t>
        </is>
      </c>
      <c r="AY95" s="30">
        <f>IF(AX95="Above 40",20,IF(AX95="20 to 40",10,IF(AX95="0 to 20",-5,0)))</f>
        <v/>
      </c>
      <c r="AZ95" s="30" t="inlineStr">
        <is>
          <t>Between 50 to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Positive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Close to 52 week high or retracement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More than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No</t>
        </is>
      </c>
      <c r="BS95" s="30">
        <f>IF(BR95="NO",5,0)</f>
        <v/>
      </c>
      <c r="BT95" s="30" t="inlineStr">
        <is>
          <t>Less than 1.5</t>
        </is>
      </c>
      <c r="BU95" s="30">
        <f>IF(BT95="Above 2",0,IF(BT95="Between 1.5 to 2",5,IF(BT95="Less than 1.5",10,0)))</f>
        <v/>
      </c>
      <c r="BV95" s="30" t="inlineStr">
        <is>
          <t>Above 70%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IF(B96=0,"",RANK(B96,$B$2:$B$306,0))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SPECTRUM</t>
        </is>
      </c>
      <c r="D96" s="30" t="inlineStr">
        <is>
          <t>Spectrum Electrical Industries Ltd</t>
        </is>
      </c>
      <c r="E96" s="30" t="inlineStr">
        <is>
          <t>industrials</t>
        </is>
      </c>
      <c r="F96" s="30" t="inlineStr">
        <is>
          <t>electric equipment</t>
        </is>
      </c>
      <c r="G96" s="30" t="inlineStr">
        <is>
          <t>smallcap</t>
        </is>
      </c>
      <c r="H96" s="31" t="n">
        <v>2616.04</v>
      </c>
      <c r="I96" s="31" t="n">
        <v>1769.1</v>
      </c>
      <c r="J96" s="31" t="n">
        <v>6.27</v>
      </c>
      <c r="K96" s="31" t="n">
        <v>86017</v>
      </c>
      <c r="L96" s="30" t="n">
        <v>31</v>
      </c>
      <c r="M96" s="30" t="inlineStr">
        <is>
          <t>Outperforming</t>
        </is>
      </c>
      <c r="N96" s="31">
        <f>IF(M96="Underperforming",-5,IF(L96&gt;=95,15,IF(L96&gt;=90,10,IF(L96&gt;=80,5,0))))</f>
        <v/>
      </c>
      <c r="O96" s="31" t="n">
        <v>66.55</v>
      </c>
      <c r="P96" s="31" t="n">
        <v>23.69</v>
      </c>
      <c r="Q96" s="31" t="n">
        <v>1223.18</v>
      </c>
      <c r="R96" s="30" t="inlineStr">
        <is>
          <t>Volume Spike &amp; Near 52W High Breakout</t>
        </is>
      </c>
      <c r="S96" s="30" t="inlineStr">
        <is>
          <t>Nifty Infra</t>
        </is>
      </c>
      <c r="T96" s="31" t="n">
        <v>1.11</v>
      </c>
      <c r="U96" s="31" t="n">
        <v>7.74</v>
      </c>
      <c r="V96" s="31" t="n">
        <v>6.55</v>
      </c>
      <c r="W96" s="31" t="n">
        <v>8.1</v>
      </c>
      <c r="X96" s="30" t="inlineStr">
        <is>
          <t>Cyclical in an Upturn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No</t>
        </is>
      </c>
      <c r="AC96" s="30">
        <f>IF(AB96="No",5,0)</f>
        <v/>
      </c>
      <c r="AD96" s="30" t="inlineStr">
        <is>
          <t>Tailwind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Yes</t>
        </is>
      </c>
      <c r="AQ96" s="30">
        <f>IF(AP96="Yes",10,0)</f>
        <v/>
      </c>
      <c r="AR96" s="30" t="inlineStr">
        <is>
          <t>Higher One Time, Lower Annuity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20 to 40</t>
        </is>
      </c>
      <c r="AY96" s="30">
        <f>IF(AX96="Above 40",20,IF(AX96="20 to 40",10,IF(AX96="0 to 20",-5,0)))</f>
        <v/>
      </c>
      <c r="AZ96" s="30" t="inlineStr">
        <is>
          <t>Between 50 to 75</t>
        </is>
      </c>
      <c r="BA96" s="30">
        <f>IF(AZ96="Between 50 to 75",10,IF(AZ96="Above 75",0,0))</f>
        <v/>
      </c>
      <c r="BB96" s="30" t="inlineStr">
        <is>
          <t>Stage 2</t>
        </is>
      </c>
      <c r="BC96" s="30">
        <f>IF(BB96="Stage 2",20,IF(BB96="Stage 1",0,IF(BB96="Stage 3",5,IF(BB96="Stage 4",-5,0))))</f>
        <v/>
      </c>
      <c r="BD96" s="30" t="inlineStr">
        <is>
          <t>Positive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Close to 52 week high or retracement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More than 20%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Yes</t>
        </is>
      </c>
      <c r="BS96" s="30">
        <f>IF(BR96="NO",5,0)</f>
        <v/>
      </c>
      <c r="BT96" s="30" t="inlineStr">
        <is>
          <t>Less than 1.5</t>
        </is>
      </c>
      <c r="BU96" s="30">
        <f>IF(BT96="Above 2",0,IF(BT96="Between 1.5 to 2",5,IF(BT96="Less than 1.5",10,0)))</f>
        <v/>
      </c>
      <c r="BV96" s="30" t="inlineStr">
        <is>
          <t>Above 70%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Between 0.7 to 1.2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IF(B97=0,"",RANK(B97,$B$2:$B$306,0))</f>
        <v/>
      </c>
      <c r="B97" s="31">
        <f>SUM(N97,Y97,AA97,AC97,AE97,AG97,AI97,AK97,AM97,AO97,AQ97,AS97,AU97,AW97,AY97,BA97,BC97,BE97,BG97,BI97,BK97,BM97,BO97,BQ97,BS97,BU97,BW97,BY97,CA97,CC97,CE97)</f>
        <v/>
      </c>
      <c r="C97" s="32" t="inlineStr">
        <is>
          <t>GREENPLY</t>
        </is>
      </c>
      <c r="D97" s="32" t="inlineStr">
        <is>
          <t>Greenply Industries Limited</t>
        </is>
      </c>
      <c r="E97" s="30" t="inlineStr">
        <is>
          <t>building materials</t>
        </is>
      </c>
      <c r="F97" s="30" t="inlineStr">
        <is>
          <t>miscellaneous</t>
        </is>
      </c>
      <c r="G97" s="30" t="inlineStr">
        <is>
          <t>smallcap</t>
        </is>
      </c>
      <c r="H97" s="31" t="n">
        <v>3441.05</v>
      </c>
      <c r="I97" s="31" t="n">
        <v>291.79</v>
      </c>
      <c r="J97" s="31" t="n">
        <v>5.91</v>
      </c>
      <c r="K97" s="31" t="n">
        <v>1161053</v>
      </c>
      <c r="L97" s="30" t="n">
        <v>44</v>
      </c>
      <c r="M97" s="30" t="inlineStr">
        <is>
          <t>Underperforming</t>
        </is>
      </c>
      <c r="N97" s="31">
        <f>IF(M97="Underperforming",-5,IF(L97&gt;=95,15,IF(L97&gt;=90,10,IF(L97&gt;=80,5,0))))</f>
        <v/>
      </c>
      <c r="O97" s="31" t="n">
        <v>62.53</v>
      </c>
      <c r="P97" s="31" t="n">
        <v>29.39</v>
      </c>
      <c r="Q97" s="31" t="n">
        <v>212.85</v>
      </c>
      <c r="R97" s="30" t="inlineStr">
        <is>
          <t>Earnings / Momentum Support</t>
        </is>
      </c>
      <c r="S97" s="30" t="inlineStr">
        <is>
          <t>Nifty Infra</t>
        </is>
      </c>
      <c r="T97" s="31" t="n">
        <v>1.11</v>
      </c>
      <c r="U97" s="31" t="n">
        <v>-4.96</v>
      </c>
      <c r="V97" s="31" t="n">
        <v>-6.01</v>
      </c>
      <c r="W97" s="31" t="n">
        <v>11.61</v>
      </c>
      <c r="X97" s="30" t="inlineStr">
        <is>
          <t>Growing Industry</t>
        </is>
      </c>
      <c r="Y97" s="30">
        <f>IF(X97="Growing Industry",10,IF(X97="Cyclical in an Upturn",5,0))</f>
        <v/>
      </c>
      <c r="Z97" s="30" t="inlineStr">
        <is>
          <t>Too Many Players with High ROCE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No</t>
        </is>
      </c>
      <c r="AC97" s="30">
        <f>IF(AB97="No",5,0)</f>
        <v/>
      </c>
      <c r="AD97" s="30" t="inlineStr">
        <is>
          <t>Tailwind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No</t>
        </is>
      </c>
      <c r="AQ97" s="30">
        <f>IF(AP97="Yes",10,0)</f>
        <v/>
      </c>
      <c r="AR97" s="30" t="inlineStr">
        <is>
          <t>Higher One Time, Lower Annuity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20 to 40</t>
        </is>
      </c>
      <c r="AY97" s="30">
        <f>IF(AX97="Above 40",20,IF(AX97="20 to 40",10,IF(AX97="0 to 20",-5,0)))</f>
        <v/>
      </c>
      <c r="AZ97" s="30" t="inlineStr">
        <is>
          <t>Between 50 to 75</t>
        </is>
      </c>
      <c r="BA97" s="30">
        <f>IF(AZ97="Between 50 to 75",10,IF(AZ97="Above 75",0,0))</f>
        <v/>
      </c>
      <c r="BB97" s="30" t="inlineStr">
        <is>
          <t>Stage 2</t>
        </is>
      </c>
      <c r="BC97" s="30">
        <f>IF(BB97="Stage 2",20,IF(BB97="Stage 1",0,IF(BB97="Stage 3",5,IF(BB97="Stage 4",-5,0))))</f>
        <v/>
      </c>
      <c r="BD97" s="30" t="inlineStr">
        <is>
          <t>Positive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Close to 52 week high or retracement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More than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Yes</t>
        </is>
      </c>
      <c r="BS97" s="30">
        <f>IF(BR97="NO",5,0)</f>
        <v/>
      </c>
      <c r="BT97" s="30" t="inlineStr">
        <is>
          <t>Less than 1.5</t>
        </is>
      </c>
      <c r="BU97" s="30">
        <f>IF(BT97="Above 2",0,IF(BT97="Between 1.5 to 2",5,IF(BT97="Less than 1.5",10,0)))</f>
        <v/>
      </c>
      <c r="BV97" s="30" t="inlineStr">
        <is>
          <t>Above 70%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Less than 0.7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IF(B98=0,"",RANK(B98,$B$2:$B$306,0))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INOXINDIA</t>
        </is>
      </c>
      <c r="D98" s="30" t="inlineStr">
        <is>
          <t>Inox India Ltd</t>
        </is>
      </c>
      <c r="E98" s="30" t="inlineStr">
        <is>
          <t>industrials</t>
        </is>
      </c>
      <c r="F98" s="30" t="inlineStr">
        <is>
          <t>packaging</t>
        </is>
      </c>
      <c r="G98" s="30" t="inlineStr">
        <is>
          <t>midcap</t>
        </is>
      </c>
      <c r="H98" s="31" t="n">
        <v>13659.91</v>
      </c>
      <c r="I98" s="31" t="n">
        <v>1578.8</v>
      </c>
      <c r="J98" s="31" t="n">
        <v>4.9</v>
      </c>
      <c r="K98" s="31" t="n">
        <v>454358</v>
      </c>
      <c r="L98" s="30" t="n">
        <v>50</v>
      </c>
      <c r="M98" s="30" t="inlineStr">
        <is>
          <t>Outperforming</t>
        </is>
      </c>
      <c r="N98" s="31">
        <f>IF(M98="Underperforming",-5,IF(L98&gt;=95,15,IF(L98&gt;=90,10,IF(L98&gt;=80,5,0))))</f>
        <v/>
      </c>
      <c r="O98" s="31" t="n">
        <v>73.95999999999999</v>
      </c>
      <c r="P98" s="31" t="n">
        <v>49.88</v>
      </c>
      <c r="Q98" s="31" t="n">
        <v>1237.66</v>
      </c>
      <c r="R98" s="30" t="inlineStr">
        <is>
          <t>Near 52W High Breakout</t>
        </is>
      </c>
      <c r="S98" s="30" t="inlineStr">
        <is>
          <t>Nifty 50</t>
        </is>
      </c>
      <c r="T98" s="31" t="n">
        <v>-6.54</v>
      </c>
      <c r="U98" s="31" t="n">
        <v>29.6</v>
      </c>
      <c r="V98" s="31" t="n">
        <v>38.68</v>
      </c>
      <c r="W98" s="31" t="n">
        <v>12.9</v>
      </c>
      <c r="X98" s="30" t="inlineStr">
        <is>
          <t>Cyclical in an Upturn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No</t>
        </is>
      </c>
      <c r="AC98" s="30">
        <f>IF(AB98="No",5,0)</f>
        <v/>
      </c>
      <c r="AD98" s="30" t="inlineStr">
        <is>
          <t>Tailwind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Yes</t>
        </is>
      </c>
      <c r="AQ98" s="30">
        <f>IF(AP98="Yes",10,0)</f>
        <v/>
      </c>
      <c r="AR98" s="30" t="inlineStr">
        <is>
          <t>Higher One Time, Lower Annuity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Above 40</t>
        </is>
      </c>
      <c r="AY98" s="30">
        <f>IF(AX98="Above 40",20,IF(AX98="20 to 40",10,IF(AX98="0 to 20",-5,0)))</f>
        <v/>
      </c>
      <c r="AZ98" s="30" t="inlineStr">
        <is>
          <t>Between 50 to 75</t>
        </is>
      </c>
      <c r="BA98" s="30">
        <f>IF(AZ98="Between 50 to 75",10,IF(AZ98="Above 75",0,0))</f>
        <v/>
      </c>
      <c r="BB98" s="30" t="inlineStr">
        <is>
          <t>Stage 2</t>
        </is>
      </c>
      <c r="BC98" s="30">
        <f>IF(BB98="Stage 2",20,IF(BB98="Stage 1",0,IF(BB98="Stage 3",5,IF(BB98="Stage 4",-5,0))))</f>
        <v/>
      </c>
      <c r="BD98" s="30" t="inlineStr">
        <is>
          <t>Positive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Blue sky scenario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Between 12 to 20%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Yes</t>
        </is>
      </c>
      <c r="BS98" s="30">
        <f>IF(BR98="NO",5,0)</f>
        <v/>
      </c>
      <c r="BT98" s="30" t="inlineStr">
        <is>
          <t>Above 2</t>
        </is>
      </c>
      <c r="BU98" s="30">
        <f>IF(BT98="Above 2",0,IF(BT98="Between 1.5 to 2",5,IF(BT98="Less than 1.5",10,0)))</f>
        <v/>
      </c>
      <c r="BV98" s="30" t="inlineStr">
        <is>
          <t>Less than 50%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IF(B99=0,"",RANK(B99,$B$2:$B$306,0))</f>
        <v/>
      </c>
      <c r="B99" s="31">
        <f>SUM(N99,Y99,AA99,AC99,AE99,AG99,AI99,AK99,AM99,AO99,AQ99,AS99,AU99,AW99,AY99,BA99,BC99,BE99,BG99,BI99,BK99,BM99,BO99,BQ99,BS99,BU99,BW99,BY99,CA99,CC99,CE99)</f>
        <v/>
      </c>
      <c r="C99" s="30" t="inlineStr">
        <is>
          <t>ASTRAMICRO</t>
        </is>
      </c>
      <c r="D99" s="30" t="inlineStr">
        <is>
          <t>Astra Microwave Products Limited</t>
        </is>
      </c>
      <c r="E99" s="30" t="inlineStr">
        <is>
          <t>aerospace &amp; defence</t>
        </is>
      </c>
      <c r="F99" s="30" t="inlineStr">
        <is>
          <t>telecommunications - equipment</t>
        </is>
      </c>
      <c r="G99" s="30" t="inlineStr">
        <is>
          <t>midcap</t>
        </is>
      </c>
      <c r="H99" s="31" t="n">
        <v>13080.57</v>
      </c>
      <c r="I99" s="31" t="n">
        <v>1419.5</v>
      </c>
      <c r="J99" s="31" t="n">
        <v>3.03</v>
      </c>
      <c r="K99" s="31" t="n">
        <v>2195447</v>
      </c>
      <c r="L99" s="30" t="n">
        <v>51</v>
      </c>
      <c r="M99" s="30" t="inlineStr">
        <is>
          <t>Outperforming</t>
        </is>
      </c>
      <c r="N99" s="31">
        <f>IF(M99="Underperforming",-5,IF(L99&gt;=95,15,IF(L99&gt;=90,10,IF(L99&gt;=80,5,0))))</f>
        <v/>
      </c>
      <c r="O99" s="31" t="n">
        <v>75.45</v>
      </c>
      <c r="P99" s="31" t="n">
        <v>26.86</v>
      </c>
      <c r="Q99" s="31" t="n">
        <v>1103.55</v>
      </c>
      <c r="R99" s="30" t="inlineStr">
        <is>
          <t>Near 52W High Breakout</t>
        </is>
      </c>
      <c r="S99" s="30" t="inlineStr">
        <is>
          <t>Nifty 50</t>
        </is>
      </c>
      <c r="T99" s="31" t="n">
        <v>-6.54</v>
      </c>
      <c r="U99" s="31" t="n">
        <v>25.66</v>
      </c>
      <c r="V99" s="31" t="n">
        <v>34.46</v>
      </c>
      <c r="W99" s="31" t="n">
        <v>13.42</v>
      </c>
      <c r="X99" s="30" t="inlineStr">
        <is>
          <t>Growing Industry</t>
        </is>
      </c>
      <c r="Y99" s="30">
        <f>IF(X99="Growing Industry",10,IF(X99="Cyclical in an Upturn",5,0))</f>
        <v/>
      </c>
      <c r="Z99" s="30" t="inlineStr">
        <is>
          <t>Oligopoly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Yes</t>
        </is>
      </c>
      <c r="AC99" s="30">
        <f>IF(AB99="No",5,0)</f>
        <v/>
      </c>
      <c r="AD99" s="30" t="inlineStr">
        <is>
          <t>Tailwind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Yes</t>
        </is>
      </c>
      <c r="AQ99" s="30">
        <f>IF(AP99="Yes",10,0)</f>
        <v/>
      </c>
      <c r="AR99" s="30" t="inlineStr">
        <is>
          <t>Higher One Time, Lower Annuity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20 to 40</t>
        </is>
      </c>
      <c r="AY99" s="30">
        <f>IF(AX99="Above 40",20,IF(AX99="20 to 40",10,IF(AX99="0 to 20",-5,0)))</f>
        <v/>
      </c>
      <c r="AZ99" s="30" t="inlineStr">
        <is>
          <t>Above 75</t>
        </is>
      </c>
      <c r="BA99" s="30">
        <f>IF(AZ99="Between 50 to 75",10,IF(AZ99="Above 75",0,0))</f>
        <v/>
      </c>
      <c r="BB99" s="30" t="inlineStr">
        <is>
          <t>Stage 2</t>
        </is>
      </c>
      <c r="BC99" s="30">
        <f>IF(BB99="Stage 2",20,IF(BB99="Stage 1",0,IF(BB99="Stage 3",5,IF(BB99="Stage 4",-5,0))))</f>
        <v/>
      </c>
      <c r="BD99" s="30" t="inlineStr">
        <is>
          <t>Positive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Blue sky scenario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More than 20%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Yes</t>
        </is>
      </c>
      <c r="BS99" s="30">
        <f>IF(BR99="NO",5,0)</f>
        <v/>
      </c>
      <c r="BT99" s="30" t="inlineStr">
        <is>
          <t>Between 1.5 to 2</t>
        </is>
      </c>
      <c r="BU99" s="30">
        <f>IF(BT99="Above 2",0,IF(BT99="Between 1.5 to 2",5,IF(BT99="Less than 1.5",10,0)))</f>
        <v/>
      </c>
      <c r="BV99" s="30" t="inlineStr">
        <is>
          <t>Above 70%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IF(B100=0,"",RANK(B100,$B$2:$B$306,0))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ADOR</t>
        </is>
      </c>
      <c r="D100" s="30" t="inlineStr">
        <is>
          <t>Ador Welding Ltd</t>
        </is>
      </c>
      <c r="E100" s="30" t="inlineStr">
        <is>
          <t>industrials</t>
        </is>
      </c>
      <c r="F100" s="30" t="inlineStr">
        <is>
          <t>electrodes - welding equipment</t>
        </is>
      </c>
      <c r="G100" s="30" t="inlineStr">
        <is>
          <t>smallcap</t>
        </is>
      </c>
      <c r="H100" s="31" t="n">
        <v>1948.94</v>
      </c>
      <c r="I100" s="31" t="n">
        <v>1132.3</v>
      </c>
      <c r="J100" s="31" t="n">
        <v>1.11</v>
      </c>
      <c r="K100" s="31" t="n">
        <v>10906</v>
      </c>
      <c r="L100" s="30" t="n">
        <v>21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61.06</v>
      </c>
      <c r="P100" s="31" t="n">
        <v>18.66</v>
      </c>
      <c r="Q100" s="31" t="n">
        <v>869.17</v>
      </c>
      <c r="R100" s="30" t="inlineStr">
        <is>
          <t>Near 52W High Breakout</t>
        </is>
      </c>
      <c r="S100" s="30" t="inlineStr">
        <is>
          <t>Nifty Infra</t>
        </is>
      </c>
      <c r="T100" s="31" t="n">
        <v>1.11</v>
      </c>
      <c r="U100" s="31" t="n">
        <v>16.4</v>
      </c>
      <c r="V100" s="31" t="n">
        <v>15.12</v>
      </c>
      <c r="W100" s="31" t="n">
        <v>5.69</v>
      </c>
      <c r="X100" s="30" t="inlineStr">
        <is>
          <t>Cyclical in an Upturn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No</t>
        </is>
      </c>
      <c r="AC100" s="30">
        <f>IF(AB100="No",5,0)</f>
        <v/>
      </c>
      <c r="AD100" s="30" t="inlineStr">
        <is>
          <t>Tailwind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Yes</t>
        </is>
      </c>
      <c r="AQ100" s="30">
        <f>IF(AP100="Yes",10,0)</f>
        <v/>
      </c>
      <c r="AR100" s="30" t="inlineStr">
        <is>
          <t>Higher One Time, Lower Annuity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0 to 20</t>
        </is>
      </c>
      <c r="AY100" s="30">
        <f>IF(AX100="Above 40",20,IF(AX100="20 to 40",10,IF(AX100="0 to 20",-5,0)))</f>
        <v/>
      </c>
      <c r="AZ100" s="30" t="inlineStr">
        <is>
          <t>Between 50 to 75</t>
        </is>
      </c>
      <c r="BA100" s="30">
        <f>IF(AZ100="Between 50 to 75",10,IF(AZ100="Above 75",0,0))</f>
        <v/>
      </c>
      <c r="BB100" s="30" t="inlineStr">
        <is>
          <t>Stage 2</t>
        </is>
      </c>
      <c r="BC100" s="30">
        <f>IF(BB100="Stage 2",20,IF(BB100="Stage 1",0,IF(BB100="Stage 3",5,IF(BB100="Stage 4",-5,0))))</f>
        <v/>
      </c>
      <c r="BD100" s="30" t="inlineStr">
        <is>
          <t>Positive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Close to 52 week high or retracement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More than 20%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No</t>
        </is>
      </c>
      <c r="BS100" s="30">
        <f>IF(BR100="NO",5,0)</f>
        <v/>
      </c>
      <c r="BT100" s="30" t="inlineStr">
        <is>
          <t>Less than 1.5</t>
        </is>
      </c>
      <c r="BU100" s="30">
        <f>IF(BT100="Above 2",0,IF(BT100="Between 1.5 to 2",5,IF(BT100="Less than 1.5",10,0)))</f>
        <v/>
      </c>
      <c r="BV100" s="30" t="inlineStr">
        <is>
          <t>Above 70%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IF(B101=0,"",RANK(B101,$B$2:$B$306,0))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0" t="inlineStr">
        <is>
          <t>DATAPATTNS</t>
        </is>
      </c>
      <c r="D101" s="30" t="inlineStr">
        <is>
          <t>Data Patterns (India) Ltd</t>
        </is>
      </c>
      <c r="E101" s="30" t="inlineStr">
        <is>
          <t>aerospace &amp; defence</t>
        </is>
      </c>
      <c r="F101" s="30" t="inlineStr">
        <is>
          <t>electronics - components</t>
        </is>
      </c>
      <c r="G101" s="30" t="inlineStr">
        <is>
          <t>largecap</t>
        </is>
      </c>
      <c r="H101" s="31" t="n">
        <v>23470.72</v>
      </c>
      <c r="I101" s="31" t="n">
        <v>4212.6</v>
      </c>
      <c r="J101" s="31" t="n">
        <v>0.48</v>
      </c>
      <c r="K101" s="31" t="n">
        <v>1177096</v>
      </c>
      <c r="L101" s="30" t="n">
        <v>46</v>
      </c>
      <c r="M101" s="30" t="inlineStr">
        <is>
          <t>Outperforming</t>
        </is>
      </c>
      <c r="N101" s="31">
        <f>IF(M101="Underperforming",-5,IF(L101&gt;=95,15,IF(L101&gt;=90,10,IF(L101&gt;=80,5,0))))</f>
        <v/>
      </c>
      <c r="O101" s="31" t="n">
        <v>69.93000000000001</v>
      </c>
      <c r="P101" s="31" t="n">
        <v>29.22</v>
      </c>
      <c r="Q101" s="31" t="n">
        <v>3025.08</v>
      </c>
      <c r="R101" s="30" t="inlineStr">
        <is>
          <t>Near 52W High Breakout</t>
        </is>
      </c>
      <c r="S101" s="30" t="inlineStr">
        <is>
          <t>Nifty 50</t>
        </is>
      </c>
      <c r="T101" s="31" t="n">
        <v>-6.54</v>
      </c>
      <c r="U101" s="31" t="n">
        <v>37.89</v>
      </c>
      <c r="V101" s="31" t="n">
        <v>47.54</v>
      </c>
      <c r="W101" s="31" t="n">
        <v>12.06</v>
      </c>
      <c r="X101" s="30" t="inlineStr">
        <is>
          <t>Growing Industry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No</t>
        </is>
      </c>
      <c r="AC101" s="30">
        <f>IF(AB101="No",5,0)</f>
        <v/>
      </c>
      <c r="AD101" s="30" t="inlineStr">
        <is>
          <t>Tailwind</t>
        </is>
      </c>
      <c r="AE101" s="30">
        <f>IF(AD101="Tailwind",10,0)</f>
        <v/>
      </c>
      <c r="AF101" s="30" t="inlineStr">
        <is>
          <t>Structural (10 Years Consistency)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Stable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Yes</t>
        </is>
      </c>
      <c r="AQ101" s="30">
        <f>IF(AP101="Yes",10,0)</f>
        <v/>
      </c>
      <c r="AR101" s="30" t="inlineStr">
        <is>
          <t>Higher One Time, Lower Annuity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20 to 40</t>
        </is>
      </c>
      <c r="AY101" s="30">
        <f>IF(AX101="Above 40",20,IF(AX101="20 to 40",10,IF(AX101="0 to 20",-5,0)))</f>
        <v/>
      </c>
      <c r="AZ101" s="30" t="inlineStr">
        <is>
          <t>Between 50 to 75</t>
        </is>
      </c>
      <c r="BA101" s="30">
        <f>IF(AZ101="Between 50 to 75",10,IF(AZ101="Above 75",0,0))</f>
        <v/>
      </c>
      <c r="BB101" s="30" t="inlineStr">
        <is>
          <t>Stage 2</t>
        </is>
      </c>
      <c r="BC101" s="30">
        <f>IF(BB101="Stage 2",20,IF(BB101="Stage 1",0,IF(BB101="Stage 3",5,IF(BB101="Stage 4",-5,0))))</f>
        <v/>
      </c>
      <c r="BD101" s="30" t="inlineStr">
        <is>
          <t>Positive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Blue sky scenario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More than 20%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Yes</t>
        </is>
      </c>
      <c r="BS101" s="30">
        <f>IF(BR101="NO",5,0)</f>
        <v/>
      </c>
      <c r="BT101" s="30" t="inlineStr">
        <is>
          <t>Above 2</t>
        </is>
      </c>
      <c r="BU101" s="30">
        <f>IF(BT101="Above 2",0,IF(BT101="Between 1.5 to 2",5,IF(BT101="Less than 1.5",10,0)))</f>
        <v/>
      </c>
      <c r="BV101" s="30" t="inlineStr">
        <is>
          <t>Less than 50%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IF(B102=0,"",RANK(B102,$B$2:$B$306,0))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2" t="inlineStr">
        <is>
          <t>NAHARINDUS</t>
        </is>
      </c>
      <c r="D102" s="32" t="inlineStr">
        <is>
          <t>Nahar Industrial Enterprises Limited</t>
        </is>
      </c>
      <c r="E102" s="30" t="inlineStr">
        <is>
          <t>textiles</t>
        </is>
      </c>
      <c r="F102" s="30" t="inlineStr">
        <is>
          <t>textiles - cotton/blended</t>
        </is>
      </c>
      <c r="G102" s="30" t="inlineStr">
        <is>
          <t>smallcap</t>
        </is>
      </c>
      <c r="H102" s="31" t="n">
        <v>516.7</v>
      </c>
      <c r="I102" s="31" t="n">
        <v>120.09</v>
      </c>
      <c r="J102" s="31" t="n">
        <v>0.42</v>
      </c>
      <c r="K102" s="31" t="n">
        <v>22554</v>
      </c>
      <c r="L102" s="30" t="n">
        <v>18</v>
      </c>
      <c r="M102" s="30" t="inlineStr">
        <is>
          <t>Underperforming</t>
        </is>
      </c>
      <c r="N102" s="31">
        <f>IF(M102="Underperforming",-5,IF(L102&gt;=95,15,IF(L102&gt;=90,10,IF(L102&gt;=80,5,0))))</f>
        <v/>
      </c>
      <c r="O102" s="31" t="n">
        <v>60.68</v>
      </c>
      <c r="P102" s="31" t="n">
        <v>17.95</v>
      </c>
      <c r="Q102" s="31" t="n">
        <v>90.58</v>
      </c>
      <c r="R102" s="30" t="inlineStr">
        <is>
          <t>Volume Spike / Accumulation</t>
        </is>
      </c>
      <c r="S102" s="30" t="inlineStr">
        <is>
          <t>Nifty 50</t>
        </is>
      </c>
      <c r="T102" s="31" t="n">
        <v>-6.54</v>
      </c>
      <c r="U102" s="31" t="n">
        <v>-10.38</v>
      </c>
      <c r="V102" s="31" t="n">
        <v>-4.1</v>
      </c>
      <c r="W102" s="31" t="n">
        <v>5.12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No</t>
        </is>
      </c>
      <c r="AC102" s="30">
        <f>IF(AB102="No",5,0)</f>
        <v/>
      </c>
      <c r="AD102" s="30" t="inlineStr">
        <is>
          <t>Tailwind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Yes</t>
        </is>
      </c>
      <c r="AQ102" s="30">
        <f>IF(AP102="Yes",10,0)</f>
        <v/>
      </c>
      <c r="AR102" s="30" t="inlineStr">
        <is>
          <t>Higher One Time, Lower Annuity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0 to 20</t>
        </is>
      </c>
      <c r="AY102" s="30">
        <f>IF(AX102="Above 40",20,IF(AX102="20 to 40",10,IF(AX102="0 to 20",-5,0)))</f>
        <v/>
      </c>
      <c r="AZ102" s="30" t="inlineStr">
        <is>
          <t>Between 50 to 75</t>
        </is>
      </c>
      <c r="BA102" s="30">
        <f>IF(AZ102="Between 50 to 75",10,IF(AZ102="Above 75",0,0))</f>
        <v/>
      </c>
      <c r="BB102" s="30" t="inlineStr">
        <is>
          <t>Stage 2</t>
        </is>
      </c>
      <c r="BC102" s="30">
        <f>IF(BB102="Stage 2",20,IF(BB102="Stage 1",0,IF(BB102="Stage 3",5,IF(BB102="Stage 4",-5,0))))</f>
        <v/>
      </c>
      <c r="BD102" s="30" t="inlineStr">
        <is>
          <t>Positive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Close to 52 week high or retracement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More than 20%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No</t>
        </is>
      </c>
      <c r="BS102" s="30">
        <f>IF(BR102="NO",5,0)</f>
        <v/>
      </c>
      <c r="BT102" s="30" t="inlineStr">
        <is>
          <t>Less than 1.5</t>
        </is>
      </c>
      <c r="BU102" s="30">
        <f>IF(BT102="Above 2",0,IF(BT102="Between 1.5 to 2",5,IF(BT102="Less than 1.5",10,0)))</f>
        <v/>
      </c>
      <c r="BV102" s="30" t="inlineStr">
        <is>
          <t>Above 70%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IF(B103=0,"",RANK(B103,$B$2:$B$306,0))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0" t="inlineStr">
        <is>
          <t>KPIL</t>
        </is>
      </c>
      <c r="D103" s="30" t="inlineStr">
        <is>
          <t>Kalpataru Projects International Ltd</t>
        </is>
      </c>
      <c r="E103" s="30" t="inlineStr">
        <is>
          <t>realty</t>
        </is>
      </c>
      <c r="F103" s="30" t="inlineStr">
        <is>
          <t>transmisson line towers / equipment</t>
        </is>
      </c>
      <c r="G103" s="30" t="inlineStr">
        <is>
          <t>largecap</t>
        </is>
      </c>
      <c r="H103" s="31" t="n">
        <v>22050.15</v>
      </c>
      <c r="I103" s="31" t="n">
        <v>1290.3</v>
      </c>
      <c r="J103" s="31" t="n">
        <v>-0.07000000000000001</v>
      </c>
      <c r="K103" s="31" t="n">
        <v>193618</v>
      </c>
      <c r="L103" s="30" t="n">
        <v>20</v>
      </c>
      <c r="M103" s="30" t="inlineStr">
        <is>
          <t>Outperforming</t>
        </is>
      </c>
      <c r="N103" s="31">
        <f>IF(M103="Underperforming",-5,IF(L103&gt;=95,15,IF(L103&gt;=90,10,IF(L103&gt;=80,5,0))))</f>
        <v/>
      </c>
      <c r="O103" s="31" t="n">
        <v>60.09</v>
      </c>
      <c r="P103" s="31" t="n">
        <v>18.53</v>
      </c>
      <c r="Q103" s="31" t="n">
        <v>1054.36</v>
      </c>
      <c r="R103" s="30" t="inlineStr">
        <is>
          <t>Near 52W High Breakout</t>
        </is>
      </c>
      <c r="S103" s="30" t="inlineStr">
        <is>
          <t>Nifty Realty</t>
        </is>
      </c>
      <c r="T103" s="31" t="n">
        <v>-26.04</v>
      </c>
      <c r="U103" s="31" t="n">
        <v>13.1</v>
      </c>
      <c r="V103" s="31" t="n">
        <v>52.91</v>
      </c>
      <c r="W103" s="31" t="n">
        <v>5.58</v>
      </c>
      <c r="X103" s="30" t="inlineStr">
        <is>
          <t>Growing Industry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No</t>
        </is>
      </c>
      <c r="AC103" s="30">
        <f>IF(AB103="No",5,0)</f>
        <v/>
      </c>
      <c r="AD103" s="30" t="inlineStr">
        <is>
          <t>Tailwind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Yes</t>
        </is>
      </c>
      <c r="AQ103" s="30">
        <f>IF(AP103="Yes",10,0)</f>
        <v/>
      </c>
      <c r="AR103" s="30" t="inlineStr">
        <is>
          <t>Higher One Time, Lower Annuity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0 to 20</t>
        </is>
      </c>
      <c r="AY103" s="30">
        <f>IF(AX103="Above 40",20,IF(AX103="20 to 40",10,IF(AX103="0 to 20",-5,0)))</f>
        <v/>
      </c>
      <c r="AZ103" s="30" t="inlineStr">
        <is>
          <t>Between 50 to 75</t>
        </is>
      </c>
      <c r="BA103" s="30">
        <f>IF(AZ103="Between 50 to 75",10,IF(AZ103="Above 75",0,0))</f>
        <v/>
      </c>
      <c r="BB103" s="30" t="inlineStr">
        <is>
          <t>Stage 2</t>
        </is>
      </c>
      <c r="BC103" s="30">
        <f>IF(BB103="Stage 2",20,IF(BB103="Stage 1",0,IF(BB103="Stage 3",5,IF(BB103="Stage 4",-5,0))))</f>
        <v/>
      </c>
      <c r="BD103" s="30" t="inlineStr">
        <is>
          <t>Positive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Close to 52 week high or retracement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More than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No</t>
        </is>
      </c>
      <c r="BS103" s="30">
        <f>IF(BR103="NO",5,0)</f>
        <v/>
      </c>
      <c r="BT103" s="30" t="inlineStr">
        <is>
          <t>Less than 1.5</t>
        </is>
      </c>
      <c r="BU103" s="30">
        <f>IF(BT103="Above 2",0,IF(BT103="Between 1.5 to 2",5,IF(BT103="Less than 1.5",10,0)))</f>
        <v/>
      </c>
      <c r="BV103" s="30" t="inlineStr">
        <is>
          <t>Between 50% to 70%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IF(B104=0,"",RANK(B104,$B$2:$B$306,0))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SOUTHWEST</t>
        </is>
      </c>
      <c r="D104" s="30" t="inlineStr">
        <is>
          <t>South West Pinnacle Exploration Ltd</t>
        </is>
      </c>
      <c r="E104" s="30" t="inlineStr">
        <is>
          <t>metals &amp; mining</t>
        </is>
      </c>
      <c r="F104" s="30" t="inlineStr">
        <is>
          <t>mining / minerals / metals</t>
        </is>
      </c>
      <c r="G104" s="30" t="inlineStr">
        <is>
          <t>smallcap</t>
        </is>
      </c>
      <c r="H104" s="31" t="n">
        <v>788.26</v>
      </c>
      <c r="I104" s="31" t="n">
        <v>262.75</v>
      </c>
      <c r="J104" s="31" t="n">
        <v>-0.57</v>
      </c>
      <c r="K104" s="31" t="n">
        <v>227707</v>
      </c>
      <c r="L104" s="30" t="n">
        <v>73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64.88</v>
      </c>
      <c r="P104" s="31" t="n">
        <v>46.03</v>
      </c>
      <c r="Q104" s="31" t="n">
        <v>174.7</v>
      </c>
      <c r="R104" s="30" t="inlineStr">
        <is>
          <t>Near 52W High Breakout</t>
        </is>
      </c>
      <c r="S104" s="30" t="inlineStr">
        <is>
          <t>Nifty Metal</t>
        </is>
      </c>
      <c r="T104" s="31" t="n">
        <v>40.56</v>
      </c>
      <c r="U104" s="31" t="n">
        <v>78.86</v>
      </c>
      <c r="V104" s="31" t="n">
        <v>27.25</v>
      </c>
      <c r="W104" s="31" t="n">
        <v>21.93</v>
      </c>
      <c r="X104" s="30" t="inlineStr">
        <is>
          <t>Cyclical in an Upturn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No</t>
        </is>
      </c>
      <c r="AC104" s="30">
        <f>IF(AB104="No",5,0)</f>
        <v/>
      </c>
      <c r="AD104" s="30" t="inlineStr">
        <is>
          <t>Tailwind</t>
        </is>
      </c>
      <c r="AE104" s="30">
        <f>IF(AD104="Tailwind",10,0)</f>
        <v/>
      </c>
      <c r="AF104" s="30" t="inlineStr">
        <is>
          <t>Cyclical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Volatile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Yes</t>
        </is>
      </c>
      <c r="AQ104" s="30">
        <f>IF(AP104="Yes",10,0)</f>
        <v/>
      </c>
      <c r="AR104" s="30" t="inlineStr">
        <is>
          <t>Higher One Time, Lower Annuity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Above 40</t>
        </is>
      </c>
      <c r="AY104" s="30">
        <f>IF(AX104="Above 40",20,IF(AX104="20 to 40",10,IF(AX104="0 to 20",-5,0)))</f>
        <v/>
      </c>
      <c r="AZ104" s="30" t="inlineStr">
        <is>
          <t>Between 50 to 75</t>
        </is>
      </c>
      <c r="BA104" s="30">
        <f>IF(AZ104="Between 50 to 75",10,IF(AZ104="Above 75",0,0))</f>
        <v/>
      </c>
      <c r="BB104" s="30" t="inlineStr">
        <is>
          <t>Stage 2</t>
        </is>
      </c>
      <c r="BC104" s="30">
        <f>IF(BB104="Stage 2",20,IF(BB104="Stage 1",0,IF(BB104="Stage 3",5,IF(BB104="Stage 4",-5,0))))</f>
        <v/>
      </c>
      <c r="BD104" s="30" t="inlineStr">
        <is>
          <t>Positive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Blue sky scenario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More than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No</t>
        </is>
      </c>
      <c r="BS104" s="30">
        <f>IF(BR104="NO",5,0)</f>
        <v/>
      </c>
      <c r="BT104" s="30" t="inlineStr">
        <is>
          <t>Less than 1.5</t>
        </is>
      </c>
      <c r="BU104" s="30">
        <f>IF(BT104="Above 2",0,IF(BT104="Between 1.5 to 2",5,IF(BT104="Less than 1.5",10,0)))</f>
        <v/>
      </c>
      <c r="BV104" s="30" t="inlineStr">
        <is>
          <t>Less than 50%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IF(B105=0,"",RANK(B105,$B$2:$B$306,0))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CENTUM</t>
        </is>
      </c>
      <c r="D105" s="30" t="inlineStr">
        <is>
          <t>Centum Electronics Limited</t>
        </is>
      </c>
      <c r="E105" s="30" t="inlineStr">
        <is>
          <t>consumer discretionary</t>
        </is>
      </c>
      <c r="F105" s="30" t="inlineStr">
        <is>
          <t>electronics - components</t>
        </is>
      </c>
      <c r="G105" s="30" t="inlineStr">
        <is>
          <t>midcap</t>
        </is>
      </c>
      <c r="H105" s="31" t="n">
        <v>5133.69</v>
      </c>
      <c r="I105" s="31" t="n">
        <v>3459.9</v>
      </c>
      <c r="J105" s="31" t="n">
        <v>-0.65</v>
      </c>
      <c r="K105" s="31" t="n">
        <v>42803</v>
      </c>
      <c r="L105" s="30" t="n">
        <v>54</v>
      </c>
      <c r="M105" s="30" t="inlineStr">
        <is>
          <t>Outperforming</t>
        </is>
      </c>
      <c r="N105" s="31">
        <f>IF(M105="Underperforming",-5,IF(L105&gt;=95,15,IF(L105&gt;=90,10,IF(L105&gt;=80,5,0))))</f>
        <v/>
      </c>
      <c r="O105" s="31" t="n">
        <v>66.45999999999999</v>
      </c>
      <c r="P105" s="31" t="n">
        <v>56.24</v>
      </c>
      <c r="Q105" s="31" t="n">
        <v>2489.62</v>
      </c>
      <c r="R105" s="30" t="inlineStr">
        <is>
          <t>Near 52W High Breakout</t>
        </is>
      </c>
      <c r="S105" s="30" t="inlineStr">
        <is>
          <t>Nifty Infra</t>
        </is>
      </c>
      <c r="T105" s="31" t="n">
        <v>1.11</v>
      </c>
      <c r="U105" s="31" t="n">
        <v>47.26</v>
      </c>
      <c r="V105" s="31" t="n">
        <v>45.63</v>
      </c>
      <c r="W105" s="31" t="n">
        <v>14.45</v>
      </c>
      <c r="X105" s="30" t="inlineStr">
        <is>
          <t>Growing Industry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Tailwind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Yes</t>
        </is>
      </c>
      <c r="AQ105" s="30">
        <f>IF(AP105="Yes",10,0)</f>
        <v/>
      </c>
      <c r="AR105" s="30" t="inlineStr">
        <is>
          <t>Higher One Time, Lower Annuity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Above 40</t>
        </is>
      </c>
      <c r="AY105" s="30">
        <f>IF(AX105="Above 40",20,IF(AX105="20 to 40",10,IF(AX105="0 to 20",-5,0)))</f>
        <v/>
      </c>
      <c r="AZ105" s="30" t="inlineStr">
        <is>
          <t>Between 50 to 75</t>
        </is>
      </c>
      <c r="BA105" s="30">
        <f>IF(AZ105="Between 50 to 75",10,IF(AZ105="Above 75",0,0))</f>
        <v/>
      </c>
      <c r="BB105" s="30" t="inlineStr">
        <is>
          <t>Stage 2</t>
        </is>
      </c>
      <c r="BC105" s="30">
        <f>IF(BB105="Stage 2",20,IF(BB105="Stage 1",0,IF(BB105="Stage 3",5,IF(BB105="Stage 4",-5,0))))</f>
        <v/>
      </c>
      <c r="BD105" s="30" t="inlineStr">
        <is>
          <t>Positive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Blue sky scenario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Less than 12%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Yes</t>
        </is>
      </c>
      <c r="BS105" s="30">
        <f>IF(BR105="NO",5,0)</f>
        <v/>
      </c>
      <c r="BT105" s="30" t="inlineStr">
        <is>
          <t>Above 2</t>
        </is>
      </c>
      <c r="BU105" s="30">
        <f>IF(BT105="Above 2",0,IF(BT105="Between 1.5 to 2",5,IF(BT105="Less than 1.5",10,0)))</f>
        <v/>
      </c>
      <c r="BV105" s="30" t="inlineStr">
        <is>
          <t>Less than 50%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Less than 0.7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IF(B106=0,"",RANK(B106,$B$2:$B$306,0))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2" t="inlineStr">
        <is>
          <t>EXIDEIND</t>
        </is>
      </c>
      <c r="D106" s="32" t="inlineStr">
        <is>
          <t>Exide Industries Limited</t>
        </is>
      </c>
      <c r="E106" s="30" t="inlineStr">
        <is>
          <t>auto</t>
        </is>
      </c>
      <c r="F106" s="30" t="inlineStr">
        <is>
          <t>auto ancillaries</t>
        </is>
      </c>
      <c r="G106" s="30" t="inlineStr">
        <is>
          <t>largecap</t>
        </is>
      </c>
      <c r="H106" s="31" t="n">
        <v>34289</v>
      </c>
      <c r="I106" s="31" t="n">
        <v>399.55</v>
      </c>
      <c r="J106" s="31" t="n">
        <v>-0.95</v>
      </c>
      <c r="K106" s="31" t="n">
        <v>2825564</v>
      </c>
      <c r="L106" s="30" t="n">
        <v>25</v>
      </c>
      <c r="M106" s="30" t="inlineStr">
        <is>
          <t>Underperforming</t>
        </is>
      </c>
      <c r="N106" s="31">
        <f>IF(M106="Underperforming",-5,IF(L106&gt;=95,15,IF(L106&gt;=90,10,IF(L106&gt;=80,5,0))))</f>
        <v/>
      </c>
      <c r="O106" s="31" t="n">
        <v>65.56999999999999</v>
      </c>
      <c r="P106" s="31" t="n">
        <v>30.69</v>
      </c>
      <c r="Q106" s="31" t="n">
        <v>326.69</v>
      </c>
      <c r="R106" s="30" t="inlineStr">
        <is>
          <t>Near 52W High Breakout</t>
        </is>
      </c>
      <c r="S106" s="30" t="inlineStr">
        <is>
          <t>Nifty Auto</t>
        </is>
      </c>
      <c r="T106" s="31" t="n">
        <v>10.59</v>
      </c>
      <c r="U106" s="31" t="n">
        <v>2.12</v>
      </c>
      <c r="V106" s="31" t="n">
        <v>-7.65</v>
      </c>
      <c r="W106" s="31" t="n">
        <v>6.73</v>
      </c>
      <c r="X106" s="30" t="inlineStr">
        <is>
          <t>Growing Industry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No</t>
        </is>
      </c>
      <c r="AC106" s="30">
        <f>IF(AB106="No",5,0)</f>
        <v/>
      </c>
      <c r="AD106" s="30" t="inlineStr">
        <is>
          <t>Tailwind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Yes</t>
        </is>
      </c>
      <c r="AQ106" s="30">
        <f>IF(AP106="Yes",10,0)</f>
        <v/>
      </c>
      <c r="AR106" s="30" t="inlineStr">
        <is>
          <t>Higher One Time, Lower Annuity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20 to 40</t>
        </is>
      </c>
      <c r="AY106" s="30">
        <f>IF(AX106="Above 40",20,IF(AX106="20 to 40",10,IF(AX106="0 to 20",-5,0)))</f>
        <v/>
      </c>
      <c r="AZ106" s="30" t="inlineStr">
        <is>
          <t>Between 50 to 75</t>
        </is>
      </c>
      <c r="BA106" s="30">
        <f>IF(AZ106="Between 50 to 75",10,IF(AZ106="Above 75",0,0))</f>
        <v/>
      </c>
      <c r="BB106" s="30" t="inlineStr">
        <is>
          <t>Stage 2</t>
        </is>
      </c>
      <c r="BC106" s="30">
        <f>IF(BB106="Stage 2",20,IF(BB106="Stage 1",0,IF(BB106="Stage 3",5,IF(BB106="Stage 4",-5,0))))</f>
        <v/>
      </c>
      <c r="BD106" s="30" t="inlineStr">
        <is>
          <t>Positive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Close to 52 week high or retracement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Between 12 to 20%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No</t>
        </is>
      </c>
      <c r="BS106" s="30">
        <f>IF(BR106="NO",5,0)</f>
        <v/>
      </c>
      <c r="BT106" s="30" t="inlineStr">
        <is>
          <t>Above 2</t>
        </is>
      </c>
      <c r="BU106" s="30">
        <f>IF(BT106="Above 2",0,IF(BT106="Between 1.5 to 2",5,IF(BT106="Less than 1.5",10,0)))</f>
        <v/>
      </c>
      <c r="BV106" s="30" t="inlineStr">
        <is>
          <t>Above 70%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IF(B107=0,"",RANK(B107,$B$2:$B$306,0))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TDPOWERSYS</t>
        </is>
      </c>
      <c r="D107" s="30" t="inlineStr">
        <is>
          <t>Td Power Systems Limited</t>
        </is>
      </c>
      <c r="E107" s="30" t="inlineStr">
        <is>
          <t>industrials</t>
        </is>
      </c>
      <c r="F107" s="30" t="inlineStr">
        <is>
          <t>electric equipment</t>
        </is>
      </c>
      <c r="G107" s="30" t="inlineStr">
        <is>
          <t>largecap</t>
        </is>
      </c>
      <c r="H107" s="31" t="n">
        <v>20706.28</v>
      </c>
      <c r="I107" s="31" t="n">
        <v>1312.8</v>
      </c>
      <c r="J107" s="31" t="n">
        <v>-0.96</v>
      </c>
      <c r="K107" s="31" t="n">
        <v>686757</v>
      </c>
      <c r="L107" s="30" t="n">
        <v>88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79.42</v>
      </c>
      <c r="P107" s="31" t="n">
        <v>49.13</v>
      </c>
      <c r="Q107" s="31" t="n">
        <v>992.5700000000001</v>
      </c>
      <c r="R107" s="30" t="inlineStr">
        <is>
          <t>Near 52W High Breakout</t>
        </is>
      </c>
      <c r="S107" s="30" t="inlineStr">
        <is>
          <t>Nifty 50</t>
        </is>
      </c>
      <c r="T107" s="31" t="n">
        <v>-6.54</v>
      </c>
      <c r="U107" s="31" t="n">
        <v>164.63</v>
      </c>
      <c r="V107" s="31" t="n">
        <v>183.16</v>
      </c>
      <c r="W107" s="31" t="n">
        <v>32.5</v>
      </c>
      <c r="X107" s="30" t="inlineStr">
        <is>
          <t>Cyclical in an Upturn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No</t>
        </is>
      </c>
      <c r="AC107" s="30">
        <f>IF(AB107="No",5,0)</f>
        <v/>
      </c>
      <c r="AD107" s="30" t="inlineStr">
        <is>
          <t>Tailwind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Yes</t>
        </is>
      </c>
      <c r="AQ107" s="30">
        <f>IF(AP107="Yes",10,0)</f>
        <v/>
      </c>
      <c r="AR107" s="30" t="inlineStr">
        <is>
          <t>Higher One Time, Lower Annuity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Above 40</t>
        </is>
      </c>
      <c r="AY107" s="30">
        <f>IF(AX107="Above 40",20,IF(AX107="20 to 40",10,IF(AX107="0 to 20",-5,0)))</f>
        <v/>
      </c>
      <c r="AZ107" s="30" t="inlineStr">
        <is>
          <t>Above 75</t>
        </is>
      </c>
      <c r="BA107" s="30">
        <f>IF(AZ107="Between 50 to 75",10,IF(AZ107="Above 75",0,0))</f>
        <v/>
      </c>
      <c r="BB107" s="30" t="inlineStr">
        <is>
          <t>Stage 2</t>
        </is>
      </c>
      <c r="BC107" s="30">
        <f>IF(BB107="Stage 2",20,IF(BB107="Stage 1",0,IF(BB107="Stage 3",5,IF(BB107="Stage 4",-5,0))))</f>
        <v/>
      </c>
      <c r="BD107" s="30" t="inlineStr">
        <is>
          <t>Positive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Blue sky scenario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More than 20%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Yes</t>
        </is>
      </c>
      <c r="BS107" s="30">
        <f>IF(BR107="NO",5,0)</f>
        <v/>
      </c>
      <c r="BT107" s="30" t="inlineStr">
        <is>
          <t>Above 2</t>
        </is>
      </c>
      <c r="BU107" s="30">
        <f>IF(BT107="Above 2",0,IF(BT107="Between 1.5 to 2",5,IF(BT107="Less than 1.5",10,0)))</f>
        <v/>
      </c>
      <c r="BV107" s="30" t="inlineStr">
        <is>
          <t>Less than 50%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Less than 0.7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IF(B108=0,"",RANK(B108,$B$2:$B$306,0))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FIEMIND</t>
        </is>
      </c>
      <c r="D108" s="30" t="inlineStr">
        <is>
          <t>Fiem Industries Limited</t>
        </is>
      </c>
      <c r="E108" s="30" t="inlineStr">
        <is>
          <t>auto</t>
        </is>
      </c>
      <c r="F108" s="30" t="inlineStr">
        <is>
          <t>auto ancillaries</t>
        </is>
      </c>
      <c r="G108" s="30" t="inlineStr">
        <is>
          <t>midcap</t>
        </is>
      </c>
      <c r="H108" s="31" t="n">
        <v>6142.48</v>
      </c>
      <c r="I108" s="31" t="n">
        <v>2311.2</v>
      </c>
      <c r="J108" s="31" t="n">
        <v>-0.97</v>
      </c>
      <c r="K108" s="31" t="n">
        <v>95607</v>
      </c>
      <c r="L108" s="30" t="n">
        <v>26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58.87</v>
      </c>
      <c r="P108" s="31" t="n">
        <v>14.14</v>
      </c>
      <c r="Q108" s="31" t="n">
        <v>1834.14</v>
      </c>
      <c r="R108" s="30" t="inlineStr">
        <is>
          <t>Volume Spike &amp; Near 52W High Breakout</t>
        </is>
      </c>
      <c r="S108" s="30" t="inlineStr">
        <is>
          <t>Nifty Auto</t>
        </is>
      </c>
      <c r="T108" s="31" t="n">
        <v>10.59</v>
      </c>
      <c r="U108" s="31" t="n">
        <v>24.72</v>
      </c>
      <c r="V108" s="31" t="n">
        <v>12.78</v>
      </c>
      <c r="W108" s="31" t="n">
        <v>6.83</v>
      </c>
      <c r="X108" s="30" t="inlineStr">
        <is>
          <t>Growing Industry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No</t>
        </is>
      </c>
      <c r="AC108" s="30">
        <f>IF(AB108="No",5,0)</f>
        <v/>
      </c>
      <c r="AD108" s="30" t="inlineStr">
        <is>
          <t>Tailwind</t>
        </is>
      </c>
      <c r="AE108" s="30">
        <f>IF(AD108="Tailwind",10,0)</f>
        <v/>
      </c>
      <c r="AF108" s="30" t="inlineStr">
        <is>
          <t>Structural (10 Years Consistency)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Stable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Yes</t>
        </is>
      </c>
      <c r="AQ108" s="30">
        <f>IF(AP108="Yes",10,0)</f>
        <v/>
      </c>
      <c r="AR108" s="30" t="inlineStr">
        <is>
          <t>Higher One Time, Lower Annuity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0 to 20</t>
        </is>
      </c>
      <c r="AY108" s="30">
        <f>IF(AX108="Above 40",20,IF(AX108="20 to 40",10,IF(AX108="0 to 20",-5,0)))</f>
        <v/>
      </c>
      <c r="AZ108" s="30" t="inlineStr">
        <is>
          <t>Between 50 to 75</t>
        </is>
      </c>
      <c r="BA108" s="30">
        <f>IF(AZ108="Between 50 to 75",10,IF(AZ108="Above 75",0,0))</f>
        <v/>
      </c>
      <c r="BB108" s="30" t="inlineStr">
        <is>
          <t>Stage 2</t>
        </is>
      </c>
      <c r="BC108" s="30">
        <f>IF(BB108="Stage 2",20,IF(BB108="Stage 1",0,IF(BB108="Stage 3",5,IF(BB108="Stage 4",-5,0))))</f>
        <v/>
      </c>
      <c r="BD108" s="30" t="inlineStr">
        <is>
          <t>Positive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Blue sky scenario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More than 20%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No</t>
        </is>
      </c>
      <c r="BS108" s="30">
        <f>IF(BR108="NO",5,0)</f>
        <v/>
      </c>
      <c r="BT108" s="30" t="inlineStr">
        <is>
          <t>Less than 1.5</t>
        </is>
      </c>
      <c r="BU108" s="30">
        <f>IF(BT108="Above 2",0,IF(BT108="Between 1.5 to 2",5,IF(BT108="Less than 1.5",10,0)))</f>
        <v/>
      </c>
      <c r="BV108" s="30" t="inlineStr">
        <is>
          <t>Less than 50%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IF(B109=0,"",RANK(B109,$B$2:$B$306,0))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0" t="inlineStr">
        <is>
          <t>UNIVCABLES</t>
        </is>
      </c>
      <c r="D109" s="30" t="inlineStr">
        <is>
          <t>Universal Cables Limited</t>
        </is>
      </c>
      <c r="E109" s="30" t="inlineStr">
        <is>
          <t>industrials</t>
        </is>
      </c>
      <c r="F109" s="30" t="inlineStr">
        <is>
          <t>cables - power</t>
        </is>
      </c>
      <c r="G109" s="30" t="inlineStr">
        <is>
          <t>smallcap</t>
        </is>
      </c>
      <c r="H109" s="31" t="n">
        <v>4311.6</v>
      </c>
      <c r="I109" s="31" t="n">
        <v>1227.5</v>
      </c>
      <c r="J109" s="31" t="n">
        <v>-1.22</v>
      </c>
      <c r="K109" s="31" t="n">
        <v>278223</v>
      </c>
      <c r="L109" s="30" t="n">
        <v>91</v>
      </c>
      <c r="M109" s="30" t="inlineStr">
        <is>
          <t>Outperforming</t>
        </is>
      </c>
      <c r="N109" s="31">
        <f>IF(M109="Underperforming",-5,IF(L109&gt;=95,15,IF(L109&gt;=90,10,IF(L109&gt;=80,5,0))))</f>
        <v/>
      </c>
      <c r="O109" s="31" t="n">
        <v>69.86</v>
      </c>
      <c r="P109" s="31" t="n">
        <v>31.27</v>
      </c>
      <c r="Q109" s="31" t="n">
        <v>842.59</v>
      </c>
      <c r="R109" s="30" t="inlineStr">
        <is>
          <t>Volume Spike &amp; Near 52W High Breakout</t>
        </is>
      </c>
      <c r="S109" s="30" t="inlineStr">
        <is>
          <t>Nifty Energy</t>
        </is>
      </c>
      <c r="T109" s="31" t="n">
        <v>12.31</v>
      </c>
      <c r="U109" s="31" t="n">
        <v>101.64</v>
      </c>
      <c r="V109" s="31" t="n">
        <v>79.54000000000001</v>
      </c>
      <c r="W109" s="31" t="n">
        <v>36.24</v>
      </c>
      <c r="X109" s="30" t="inlineStr">
        <is>
          <t>Cyclical in an Upturn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No</t>
        </is>
      </c>
      <c r="AC109" s="30">
        <f>IF(AB109="No",5,0)</f>
        <v/>
      </c>
      <c r="AD109" s="30" t="inlineStr">
        <is>
          <t>Tailwind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Yes</t>
        </is>
      </c>
      <c r="AQ109" s="30">
        <f>IF(AP109="Yes",10,0)</f>
        <v/>
      </c>
      <c r="AR109" s="30" t="inlineStr">
        <is>
          <t>Higher One Time, Lower Annuity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20 to 40</t>
        </is>
      </c>
      <c r="AY109" s="30">
        <f>IF(AX109="Above 40",20,IF(AX109="20 to 40",10,IF(AX109="0 to 20",-5,0)))</f>
        <v/>
      </c>
      <c r="AZ109" s="30" t="inlineStr">
        <is>
          <t>Between 50 to 75</t>
        </is>
      </c>
      <c r="BA109" s="30">
        <f>IF(AZ109="Between 50 to 75",10,IF(AZ109="Above 75",0,0))</f>
        <v/>
      </c>
      <c r="BB109" s="30" t="inlineStr">
        <is>
          <t>Stage 2</t>
        </is>
      </c>
      <c r="BC109" s="30">
        <f>IF(BB109="Stage 2",20,IF(BB109="Stage 1",0,IF(BB109="Stage 3",5,IF(BB109="Stage 4",-5,0))))</f>
        <v/>
      </c>
      <c r="BD109" s="30" t="inlineStr">
        <is>
          <t>Positive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Blue sky scenario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Less than 12%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No</t>
        </is>
      </c>
      <c r="BS109" s="30">
        <f>IF(BR109="NO",5,0)</f>
        <v/>
      </c>
      <c r="BT109" s="30" t="inlineStr">
        <is>
          <t>Above 2</t>
        </is>
      </c>
      <c r="BU109" s="30">
        <f>IF(BT109="Above 2",0,IF(BT109="Between 1.5 to 2",5,IF(BT109="Less than 1.5",10,0)))</f>
        <v/>
      </c>
      <c r="BV109" s="30" t="inlineStr">
        <is>
          <t>Less than 50%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IF(B110=0,"",RANK(B110,$B$2:$B$306,0))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0" t="inlineStr">
        <is>
          <t>USHAMART</t>
        </is>
      </c>
      <c r="D110" s="30" t="inlineStr">
        <is>
          <t>Usha Martin Limited</t>
        </is>
      </c>
      <c r="E110" s="30" t="inlineStr">
        <is>
          <t>metals &amp; mining</t>
        </is>
      </c>
      <c r="F110" s="30" t="inlineStr">
        <is>
          <t>steel - medium / small</t>
        </is>
      </c>
      <c r="G110" s="30" t="inlineStr">
        <is>
          <t>midcap</t>
        </is>
      </c>
      <c r="H110" s="31" t="n">
        <v>15840.49</v>
      </c>
      <c r="I110" s="31" t="n">
        <v>513.1</v>
      </c>
      <c r="J110" s="31" t="n">
        <v>-1.29</v>
      </c>
      <c r="K110" s="31" t="n">
        <v>550452</v>
      </c>
      <c r="L110" s="30" t="n">
        <v>61</v>
      </c>
      <c r="M110" s="30" t="inlineStr">
        <is>
          <t>Outperforming</t>
        </is>
      </c>
      <c r="N110" s="31">
        <f>IF(M110="Underperforming",-5,IF(L110&gt;=95,15,IF(L110&gt;=90,10,IF(L110&gt;=80,5,0))))</f>
        <v/>
      </c>
      <c r="O110" s="31" t="n">
        <v>72.78</v>
      </c>
      <c r="P110" s="31" t="n">
        <v>29.08</v>
      </c>
      <c r="Q110" s="31" t="n">
        <v>414.58</v>
      </c>
      <c r="R110" s="30" t="inlineStr">
        <is>
          <t>Near 52W High Breakout</t>
        </is>
      </c>
      <c r="S110" s="30" t="inlineStr">
        <is>
          <t>Nifty Metal</t>
        </is>
      </c>
      <c r="T110" s="31" t="n">
        <v>40.56</v>
      </c>
      <c r="U110" s="31" t="n">
        <v>68.94</v>
      </c>
      <c r="V110" s="31" t="n">
        <v>20.19</v>
      </c>
      <c r="W110" s="31" t="n">
        <v>16.15</v>
      </c>
      <c r="X110" s="30" t="inlineStr">
        <is>
          <t>Cyclical in an Upturn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Tailwind</t>
        </is>
      </c>
      <c r="AE110" s="30">
        <f>IF(AD110="Tailwind",10,0)</f>
        <v/>
      </c>
      <c r="AF110" s="30" t="inlineStr">
        <is>
          <t>Cyclical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Volatile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Yes</t>
        </is>
      </c>
      <c r="AQ110" s="30">
        <f>IF(AP110="Yes",10,0)</f>
        <v/>
      </c>
      <c r="AR110" s="30" t="inlineStr">
        <is>
          <t>Higher One Time, Lower Annuity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20 to 40</t>
        </is>
      </c>
      <c r="AY110" s="30">
        <f>IF(AX110="Above 40",20,IF(AX110="20 to 40",10,IF(AX110="0 to 20",-5,0)))</f>
        <v/>
      </c>
      <c r="AZ110" s="30" t="inlineStr">
        <is>
          <t>Between 50 to 75</t>
        </is>
      </c>
      <c r="BA110" s="30">
        <f>IF(AZ110="Between 50 to 75",10,IF(AZ110="Above 75",0,0))</f>
        <v/>
      </c>
      <c r="BB110" s="30" t="inlineStr">
        <is>
          <t>Stage 2</t>
        </is>
      </c>
      <c r="BC110" s="30">
        <f>IF(BB110="Stage 2",20,IF(BB110="Stage 1",0,IF(BB110="Stage 3",5,IF(BB110="Stage 4",-5,0))))</f>
        <v/>
      </c>
      <c r="BD110" s="30" t="inlineStr">
        <is>
          <t>Positive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Blue sky scenario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More than 20%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No</t>
        </is>
      </c>
      <c r="BS110" s="30">
        <f>IF(BR110="NO",5,0)</f>
        <v/>
      </c>
      <c r="BT110" s="30" t="inlineStr">
        <is>
          <t>Less than 1.5</t>
        </is>
      </c>
      <c r="BU110" s="30">
        <f>IF(BT110="Above 2",0,IF(BT110="Between 1.5 to 2",5,IF(BT110="Less than 1.5",10,0)))</f>
        <v/>
      </c>
      <c r="BV110" s="30" t="inlineStr">
        <is>
          <t>Above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Less than 0.7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IF(B111=0,"",RANK(B111,$B$2:$B$306,0))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2" t="inlineStr">
        <is>
          <t>MIDHANI</t>
        </is>
      </c>
      <c r="D111" s="32" t="inlineStr">
        <is>
          <t>Mishra Dhatu Nigam Ltd</t>
        </is>
      </c>
      <c r="E111" s="30" t="inlineStr">
        <is>
          <t>aerospace &amp; defence</t>
        </is>
      </c>
      <c r="F111" s="30" t="inlineStr">
        <is>
          <t>steel - medium / small</t>
        </is>
      </c>
      <c r="G111" s="30" t="inlineStr">
        <is>
          <t>midcap</t>
        </is>
      </c>
      <c r="H111" s="31" t="n">
        <v>8303.85</v>
      </c>
      <c r="I111" s="31" t="n">
        <v>435.55</v>
      </c>
      <c r="J111" s="31" t="n">
        <v>-1.74</v>
      </c>
      <c r="K111" s="31" t="n">
        <v>1581227</v>
      </c>
      <c r="L111" s="30" t="n">
        <v>24</v>
      </c>
      <c r="M111" s="30" t="inlineStr">
        <is>
          <t>Underperforming</t>
        </is>
      </c>
      <c r="N111" s="31">
        <f>IF(M111="Underperforming",-5,IF(L111&gt;=95,15,IF(L111&gt;=90,10,IF(L111&gt;=80,5,0))))</f>
        <v/>
      </c>
      <c r="O111" s="31" t="n">
        <v>66.20999999999999</v>
      </c>
      <c r="P111" s="31" t="n">
        <v>22.59</v>
      </c>
      <c r="Q111" s="31" t="n">
        <v>324.29</v>
      </c>
      <c r="R111" s="30" t="inlineStr">
        <is>
          <t>Volume Spike &amp; Near 52W High Breakout</t>
        </is>
      </c>
      <c r="S111" s="30" t="inlineStr">
        <is>
          <t>Nifty Metal</t>
        </is>
      </c>
      <c r="T111" s="31" t="n">
        <v>40.56</v>
      </c>
      <c r="U111" s="31" t="n">
        <v>2.69</v>
      </c>
      <c r="V111" s="31" t="n">
        <v>-26.94</v>
      </c>
      <c r="W111" s="31" t="n">
        <v>6.41</v>
      </c>
      <c r="X111" s="30" t="inlineStr">
        <is>
          <t>Growing Industry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Tailwind</t>
        </is>
      </c>
      <c r="AE111" s="30">
        <f>IF(AD111="Tailwind",10,0)</f>
        <v/>
      </c>
      <c r="AF111" s="30" t="inlineStr">
        <is>
          <t>Structural (10 Years Consistency)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Stable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Yes</t>
        </is>
      </c>
      <c r="AQ111" s="30">
        <f>IF(AP111="Yes",10,0)</f>
        <v/>
      </c>
      <c r="AR111" s="30" t="inlineStr">
        <is>
          <t>Higher One Time, Lower Annuity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20 to 40</t>
        </is>
      </c>
      <c r="AY111" s="30">
        <f>IF(AX111="Above 40",20,IF(AX111="20 to 40",10,IF(AX111="0 to 20",-5,0)))</f>
        <v/>
      </c>
      <c r="AZ111" s="30" t="inlineStr">
        <is>
          <t>Between 50 to 75</t>
        </is>
      </c>
      <c r="BA111" s="30">
        <f>IF(AZ111="Between 50 to 75",10,IF(AZ111="Above 75",0,0))</f>
        <v/>
      </c>
      <c r="BB111" s="30" t="inlineStr">
        <is>
          <t>Stage 2</t>
        </is>
      </c>
      <c r="BC111" s="30">
        <f>IF(BB111="Stage 2",20,IF(BB111="Stage 1",0,IF(BB111="Stage 3",5,IF(BB111="Stage 4",-5,0))))</f>
        <v/>
      </c>
      <c r="BD111" s="30" t="inlineStr">
        <is>
          <t>Positive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Close to 52 week high or retracement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More than 20%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Yes</t>
        </is>
      </c>
      <c r="BS111" s="30">
        <f>IF(BR111="NO",5,0)</f>
        <v/>
      </c>
      <c r="BT111" s="30" t="inlineStr">
        <is>
          <t>Between 1.5 to 2</t>
        </is>
      </c>
      <c r="BU111" s="30">
        <f>IF(BT111="Above 2",0,IF(BT111="Between 1.5 to 2",5,IF(BT111="Less than 1.5",10,0)))</f>
        <v/>
      </c>
      <c r="BV111" s="30" t="inlineStr">
        <is>
          <t>Between 50% to 70%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Less than 0.7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IF(B112=0,"",RANK(B112,$B$2:$B$306,0))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2" t="inlineStr">
        <is>
          <t>NMDC</t>
        </is>
      </c>
      <c r="D112" s="32" t="inlineStr">
        <is>
          <t>Nmdc Limited</t>
        </is>
      </c>
      <c r="E112" s="30" t="inlineStr">
        <is>
          <t>metals &amp; mining</t>
        </is>
      </c>
      <c r="F112" s="30" t="inlineStr">
        <is>
          <t>mining / minerals / metals</t>
        </is>
      </c>
      <c r="G112" s="30" t="inlineStr">
        <is>
          <t>largecap</t>
        </is>
      </c>
      <c r="H112" s="31" t="n">
        <v>83258.50999999999</v>
      </c>
      <c r="I112" s="31" t="n">
        <v>92.90000000000001</v>
      </c>
      <c r="J112" s="31" t="n">
        <v>-1.9</v>
      </c>
      <c r="K112" s="31" t="n">
        <v>40684291</v>
      </c>
      <c r="L112" s="30" t="n">
        <v>36</v>
      </c>
      <c r="M112" s="30" t="inlineStr">
        <is>
          <t>Underperforming</t>
        </is>
      </c>
      <c r="N112" s="31">
        <f>IF(M112="Underperforming",-5,IF(L112&gt;=95,15,IF(L112&gt;=90,10,IF(L112&gt;=80,5,0))))</f>
        <v/>
      </c>
      <c r="O112" s="31" t="n">
        <v>65.15000000000001</v>
      </c>
      <c r="P112" s="31" t="n">
        <v>43.29</v>
      </c>
      <c r="Q112" s="31" t="n">
        <v>76.20999999999999</v>
      </c>
      <c r="R112" s="30" t="inlineStr">
        <is>
          <t>Volume Spike &amp; Near 52W High Breakout</t>
        </is>
      </c>
      <c r="S112" s="30" t="inlineStr">
        <is>
          <t>Nifty Metal</t>
        </is>
      </c>
      <c r="T112" s="31" t="n">
        <v>40.56</v>
      </c>
      <c r="U112" s="31" t="n">
        <v>33.9</v>
      </c>
      <c r="V112" s="31" t="n">
        <v>-4.74</v>
      </c>
      <c r="W112" s="31" t="n">
        <v>9.449999999999999</v>
      </c>
      <c r="X112" s="30" t="inlineStr">
        <is>
          <t>Cyclical in an Upturn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Tailwind</t>
        </is>
      </c>
      <c r="AE112" s="30">
        <f>IF(AD112="Tailwind",10,0)</f>
        <v/>
      </c>
      <c r="AF112" s="30" t="inlineStr">
        <is>
          <t>Cyclical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Volatile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Yes</t>
        </is>
      </c>
      <c r="AQ112" s="30">
        <f>IF(AP112="Yes",10,0)</f>
        <v/>
      </c>
      <c r="AR112" s="30" t="inlineStr">
        <is>
          <t>Higher One Time, Lower Annuity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Above 40</t>
        </is>
      </c>
      <c r="AY112" s="30">
        <f>IF(AX112="Above 40",20,IF(AX112="20 to 40",10,IF(AX112="0 to 20",-5,0)))</f>
        <v/>
      </c>
      <c r="AZ112" s="30" t="inlineStr">
        <is>
          <t>Between 50 to 75</t>
        </is>
      </c>
      <c r="BA112" s="30">
        <f>IF(AZ112="Between 50 to 75",10,IF(AZ112="Above 75",0,0))</f>
        <v/>
      </c>
      <c r="BB112" s="30" t="inlineStr">
        <is>
          <t>Stage 2</t>
        </is>
      </c>
      <c r="BC112" s="30">
        <f>IF(BB112="Stage 2",20,IF(BB112="Stage 1",0,IF(BB112="Stage 3",5,IF(BB112="Stage 4",-5,0))))</f>
        <v/>
      </c>
      <c r="BD112" s="30" t="inlineStr">
        <is>
          <t>Positive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Blue sky scenario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More than 20%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No</t>
        </is>
      </c>
      <c r="BS112" s="30">
        <f>IF(BR112="NO",5,0)</f>
        <v/>
      </c>
      <c r="BT112" s="30" t="inlineStr">
        <is>
          <t>Less than 1.5</t>
        </is>
      </c>
      <c r="BU112" s="30">
        <f>IF(BT112="Above 2",0,IF(BT112="Between 1.5 to 2",5,IF(BT112="Less than 1.5",10,0)))</f>
        <v/>
      </c>
      <c r="BV112" s="30" t="inlineStr">
        <is>
          <t>Between 50% to 70%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Less than 0.7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IF(B113=0,"",RANK(B113,$B$2:$B$306,0))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2" t="inlineStr">
        <is>
          <t>COALINDIA</t>
        </is>
      </c>
      <c r="D113" s="32" t="inlineStr">
        <is>
          <t>Coal India Limited</t>
        </is>
      </c>
      <c r="E113" s="30" t="inlineStr">
        <is>
          <t>metals &amp; mining</t>
        </is>
      </c>
      <c r="F113" s="30" t="inlineStr">
        <is>
          <t>mining / minerals / metals</t>
        </is>
      </c>
      <c r="G113" s="30" t="inlineStr">
        <is>
          <t>largecap</t>
        </is>
      </c>
      <c r="H113" s="31" t="n">
        <v>296827.81</v>
      </c>
      <c r="I113" s="31" t="n">
        <v>472.3</v>
      </c>
      <c r="J113" s="31" t="n">
        <v>-1.94</v>
      </c>
      <c r="K113" s="31" t="n">
        <v>9592529</v>
      </c>
      <c r="L113" s="30" t="n">
        <v>24</v>
      </c>
      <c r="M113" s="30" t="inlineStr">
        <is>
          <t>Underperforming</t>
        </is>
      </c>
      <c r="N113" s="31">
        <f>IF(M113="Underperforming",-5,IF(L113&gt;=95,15,IF(L113&gt;=90,10,IF(L113&gt;=80,5,0))))</f>
        <v/>
      </c>
      <c r="O113" s="31" t="n">
        <v>62.11</v>
      </c>
      <c r="P113" s="31" t="n">
        <v>48.76</v>
      </c>
      <c r="Q113" s="31" t="n">
        <v>402.41</v>
      </c>
      <c r="R113" s="30" t="inlineStr">
        <is>
          <t>Near 52W High Breakout</t>
        </is>
      </c>
      <c r="S113" s="30" t="inlineStr">
        <is>
          <t>Nifty Metal</t>
        </is>
      </c>
      <c r="T113" s="31" t="n">
        <v>40.56</v>
      </c>
      <c r="U113" s="31" t="n">
        <v>26.71</v>
      </c>
      <c r="V113" s="31" t="n">
        <v>-9.85</v>
      </c>
      <c r="W113" s="31" t="n">
        <v>6.51</v>
      </c>
      <c r="X113" s="30" t="inlineStr">
        <is>
          <t>Cyclical in an Upturn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Tailwind</t>
        </is>
      </c>
      <c r="AE113" s="30">
        <f>IF(AD113="Tailwind",10,0)</f>
        <v/>
      </c>
      <c r="AF113" s="30" t="inlineStr">
        <is>
          <t>Cyclical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Volatile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Yes</t>
        </is>
      </c>
      <c r="AQ113" s="30">
        <f>IF(AP113="Yes",10,0)</f>
        <v/>
      </c>
      <c r="AR113" s="30" t="inlineStr">
        <is>
          <t>Higher One Time, Lower Annuity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Above 40</t>
        </is>
      </c>
      <c r="AY113" s="30">
        <f>IF(AX113="Above 40",20,IF(AX113="20 to 40",10,IF(AX113="0 to 20",-5,0)))</f>
        <v/>
      </c>
      <c r="AZ113" s="30" t="inlineStr">
        <is>
          <t>Between 50 to 75</t>
        </is>
      </c>
      <c r="BA113" s="30">
        <f>IF(AZ113="Between 50 to 75",10,IF(AZ113="Above 75",0,0))</f>
        <v/>
      </c>
      <c r="BB113" s="30" t="inlineStr">
        <is>
          <t>Stage 2</t>
        </is>
      </c>
      <c r="BC113" s="30">
        <f>IF(BB113="Stage 2",20,IF(BB113="Stage 1",0,IF(BB113="Stage 3",5,IF(BB113="Stage 4",-5,0))))</f>
        <v/>
      </c>
      <c r="BD113" s="30" t="inlineStr">
        <is>
          <t>Positive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Blue sky scenario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Between 12 to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No</t>
        </is>
      </c>
      <c r="BS113" s="30">
        <f>IF(BR113="NO",5,0)</f>
        <v/>
      </c>
      <c r="BT113" s="30" t="inlineStr">
        <is>
          <t>Less than 1.5</t>
        </is>
      </c>
      <c r="BU113" s="30">
        <f>IF(BT113="Above 2",0,IF(BT113="Between 1.5 to 2",5,IF(BT113="Less than 1.5",10,0)))</f>
        <v/>
      </c>
      <c r="BV113" s="30" t="inlineStr">
        <is>
          <t>Above 70%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Less than 0.7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IF(B114=0,"",RANK(B114,$B$2:$B$306,0))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SIGMAADV</t>
        </is>
      </c>
      <c r="D114" s="30" t="inlineStr">
        <is>
          <t>Sigma Advanced System Ltd</t>
        </is>
      </c>
      <c r="E114" s="30" t="inlineStr">
        <is>
          <t>aerospace &amp; defence</t>
        </is>
      </c>
      <c r="F114" s="30" t="inlineStr">
        <is>
          <t>electronics - components</t>
        </is>
      </c>
      <c r="G114" s="30" t="inlineStr">
        <is>
          <t>midcap</t>
        </is>
      </c>
      <c r="H114" s="31" t="n">
        <v>8084.12</v>
      </c>
      <c r="I114" s="31" t="n">
        <v>435.8</v>
      </c>
      <c r="J114" s="31" t="n">
        <v>-4.99</v>
      </c>
      <c r="K114" s="31" t="n">
        <v>754289</v>
      </c>
      <c r="L114" s="30" t="n">
        <v>99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83.98</v>
      </c>
      <c r="P114" s="31" t="n">
        <v>34.09</v>
      </c>
      <c r="Q114" s="31" t="n">
        <v>328.07</v>
      </c>
      <c r="R114" s="30" t="inlineStr">
        <is>
          <t>Volume Spike &amp; Near 52W High Breakout</t>
        </is>
      </c>
      <c r="S114" s="30" t="inlineStr">
        <is>
          <t>Nifty 50</t>
        </is>
      </c>
      <c r="T114" s="31" t="n">
        <v>-6.54</v>
      </c>
      <c r="U114" s="31" t="n">
        <v>371.95</v>
      </c>
      <c r="V114" s="31" t="n">
        <v>405</v>
      </c>
      <c r="W114" s="31" t="n">
        <v>83.69</v>
      </c>
      <c r="X114" s="30" t="inlineStr">
        <is>
          <t>Growing Industry</t>
        </is>
      </c>
      <c r="Y114" s="30">
        <f>IF(X114="Growing Industry",10,IF(X114="Cyclical in an Upturn",5,0))</f>
        <v/>
      </c>
      <c r="Z114" s="30" t="inlineStr">
        <is>
          <t>Too Many Players with High ROCE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No</t>
        </is>
      </c>
      <c r="AC114" s="30">
        <f>IF(AB114="No",5,0)</f>
        <v/>
      </c>
      <c r="AD114" s="30" t="inlineStr">
        <is>
          <t>Tailwind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Yes</t>
        </is>
      </c>
      <c r="AQ114" s="30">
        <f>IF(AP114="Yes",10,0)</f>
        <v/>
      </c>
      <c r="AR114" s="30" t="inlineStr">
        <is>
          <t>Higher One Time, Lower Annuity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20 to 40</t>
        </is>
      </c>
      <c r="AY114" s="30">
        <f>IF(AX114="Above 40",20,IF(AX114="20 to 40",10,IF(AX114="0 to 20",-5,0)))</f>
        <v/>
      </c>
      <c r="AZ114" s="30" t="inlineStr">
        <is>
          <t>Above 75</t>
        </is>
      </c>
      <c r="BA114" s="30">
        <f>IF(AZ114="Between 50 to 75",10,IF(AZ114="Above 75",0,0))</f>
        <v/>
      </c>
      <c r="BB114" s="30" t="inlineStr">
        <is>
          <t>Stage 2</t>
        </is>
      </c>
      <c r="BC114" s="30">
        <f>IF(BB114="Stage 2",20,IF(BB114="Stage 1",0,IF(BB114="Stage 3",5,IF(BB114="Stage 4",-5,0))))</f>
        <v/>
      </c>
      <c r="BD114" s="30" t="inlineStr">
        <is>
          <t>Positive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Blue sky scenario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More than 20%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No</t>
        </is>
      </c>
      <c r="BS114" s="30">
        <f>IF(BR114="NO",5,0)</f>
        <v/>
      </c>
      <c r="BT114" s="30" t="inlineStr">
        <is>
          <t>Less than 1.5</t>
        </is>
      </c>
      <c r="BU114" s="30">
        <f>IF(BT114="Above 2",0,IF(BT114="Between 1.5 to 2",5,IF(BT114="Less than 1.5",10,0)))</f>
        <v/>
      </c>
      <c r="BV114" s="30" t="inlineStr">
        <is>
          <t>Negative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Between 0.7 to 1.2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IF(B115=0,"",RANK(B115,$B$2:$B$306,0))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0" t="inlineStr">
        <is>
          <t>HFCL</t>
        </is>
      </c>
      <c r="D115" s="30" t="inlineStr">
        <is>
          <t>HFCL Ltd</t>
        </is>
      </c>
      <c r="E115" s="30" t="inlineStr">
        <is>
          <t>telecom</t>
        </is>
      </c>
      <c r="F115" s="30" t="inlineStr">
        <is>
          <t>cables - telephone</t>
        </is>
      </c>
      <c r="G115" s="30" t="inlineStr">
        <is>
          <t>largecap</t>
        </is>
      </c>
      <c r="H115" s="31" t="n">
        <v>30165.11</v>
      </c>
      <c r="I115" s="31" t="n">
        <v>187.23</v>
      </c>
      <c r="J115" s="31" t="n">
        <v>-5</v>
      </c>
      <c r="K115" s="31" t="n">
        <v>43262952</v>
      </c>
      <c r="L115" s="30" t="n">
        <v>97</v>
      </c>
      <c r="M115" s="30" t="inlineStr">
        <is>
          <t>Outperforming</t>
        </is>
      </c>
      <c r="N115" s="31">
        <f>IF(M115="Underperforming",-5,IF(L115&gt;=95,15,IF(L115&gt;=90,10,IF(L115&gt;=80,5,0))))</f>
        <v/>
      </c>
      <c r="O115" s="31" t="n">
        <v>91.68000000000001</v>
      </c>
      <c r="P115" s="31" t="n">
        <v>44.02</v>
      </c>
      <c r="Q115" s="31" t="n">
        <v>143.43</v>
      </c>
      <c r="R115" s="30" t="inlineStr">
        <is>
          <t>Near 52W High Breakout</t>
        </is>
      </c>
      <c r="S115" s="30" t="inlineStr">
        <is>
          <t>Nifty Infra</t>
        </is>
      </c>
      <c r="T115" s="31" t="n">
        <v>1.11</v>
      </c>
      <c r="U115" s="31" t="n">
        <v>105.1</v>
      </c>
      <c r="V115" s="31" t="n">
        <v>102.84</v>
      </c>
      <c r="W115" s="31" t="n">
        <v>62.79</v>
      </c>
      <c r="X115" s="30" t="inlineStr">
        <is>
          <t>Growing Industry</t>
        </is>
      </c>
      <c r="Y115" s="30">
        <f>IF(X115="Growing Industry",10,IF(X115="Cyclical in an Upturn",5,0))</f>
        <v/>
      </c>
      <c r="Z115" s="30" t="inlineStr">
        <is>
          <t>Oligopoly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Yes</t>
        </is>
      </c>
      <c r="AC115" s="30">
        <f>IF(AB115="No",5,0)</f>
        <v/>
      </c>
      <c r="AD115" s="30" t="inlineStr">
        <is>
          <t>Tailwind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Yes</t>
        </is>
      </c>
      <c r="AQ115" s="30">
        <f>IF(AP115="Yes",10,0)</f>
        <v/>
      </c>
      <c r="AR115" s="30" t="inlineStr">
        <is>
          <t>Higher One Time, Lower Annuity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Above 40</t>
        </is>
      </c>
      <c r="AY115" s="30">
        <f>IF(AX115="Above 40",20,IF(AX115="20 to 40",10,IF(AX115="0 to 20",-5,0)))</f>
        <v/>
      </c>
      <c r="AZ115" s="30" t="inlineStr">
        <is>
          <t>Above 75</t>
        </is>
      </c>
      <c r="BA115" s="30">
        <f>IF(AZ115="Between 50 to 75",10,IF(AZ115="Above 75",0,0))</f>
        <v/>
      </c>
      <c r="BB115" s="30" t="inlineStr">
        <is>
          <t>Stage 2</t>
        </is>
      </c>
      <c r="BC115" s="30">
        <f>IF(BB115="Stage 2",20,IF(BB115="Stage 1",0,IF(BB115="Stage 3",5,IF(BB115="Stage 4",-5,0))))</f>
        <v/>
      </c>
      <c r="BD115" s="30" t="inlineStr">
        <is>
          <t>Positive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Blue sky scenario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More than 20%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Yes</t>
        </is>
      </c>
      <c r="BS115" s="30">
        <f>IF(BR115="NO",5,0)</f>
        <v/>
      </c>
      <c r="BT115" s="30" t="inlineStr">
        <is>
          <t>Above 2</t>
        </is>
      </c>
      <c r="BU115" s="30">
        <f>IF(BT115="Above 2",0,IF(BT115="Between 1.5 to 2",5,IF(BT115="Less than 1.5",10,0)))</f>
        <v/>
      </c>
      <c r="BV115" s="30" t="inlineStr">
        <is>
          <t>Negative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Less than 0.7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IF(B116=0,"",RANK(B116,$B$2:$B$306,0))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0" t="inlineStr">
        <is>
          <t>TATATECH</t>
        </is>
      </c>
      <c r="D116" s="30" t="inlineStr">
        <is>
          <t>Tata Technologies Ltd</t>
        </is>
      </c>
      <c r="E116" s="30" t="inlineStr">
        <is>
          <t>i.t</t>
        </is>
      </c>
      <c r="F116" s="30" t="inlineStr">
        <is>
          <t>computers - software - medium / small</t>
        </is>
      </c>
      <c r="G116" s="30" t="inlineStr">
        <is>
          <t>largecap</t>
        </is>
      </c>
      <c r="H116" s="31" t="n">
        <v>30381.46</v>
      </c>
      <c r="I116" s="31" t="n">
        <v>771.2</v>
      </c>
      <c r="J116" s="31" t="n">
        <v>3.05</v>
      </c>
      <c r="K116" s="31" t="n">
        <v>3001493</v>
      </c>
      <c r="L116" s="30" t="n">
        <v>33</v>
      </c>
      <c r="M116" s="30" t="inlineStr">
        <is>
          <t>Outperforming</t>
        </is>
      </c>
      <c r="N116" s="31">
        <f>IF(M116="Underperforming",-5,IF(L116&gt;=95,15,IF(L116&gt;=90,10,IF(L116&gt;=80,5,0))))</f>
        <v/>
      </c>
      <c r="O116" s="31" t="n">
        <v>72.72</v>
      </c>
      <c r="P116" s="31" t="n">
        <v>33.82</v>
      </c>
      <c r="Q116" s="31" t="n">
        <v>636.13</v>
      </c>
      <c r="R116" s="30" t="inlineStr">
        <is>
          <t>Near 52W High Breakout</t>
        </is>
      </c>
      <c r="S116" s="30" t="inlineStr">
        <is>
          <t>Nifty IT</t>
        </is>
      </c>
      <c r="T116" s="31" t="n">
        <v>-22.21</v>
      </c>
      <c r="U116" s="31" t="n">
        <v>3.28</v>
      </c>
      <c r="V116" s="31" t="n">
        <v>32.78</v>
      </c>
      <c r="W116" s="31" t="n">
        <v>8.640000000000001</v>
      </c>
      <c r="X116" s="30" t="inlineStr">
        <is>
          <t>Growing Industry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No</t>
        </is>
      </c>
      <c r="AC116" s="30">
        <f>IF(AB116="No",5,0)</f>
        <v/>
      </c>
      <c r="AD116" s="30" t="inlineStr">
        <is>
          <t>Tailwind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Yes</t>
        </is>
      </c>
      <c r="AQ116" s="30">
        <f>IF(AP116="Yes",10,0)</f>
        <v/>
      </c>
      <c r="AR116" s="30" t="inlineStr">
        <is>
          <t>Higher Annuity, Lower One Time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20 to 40</t>
        </is>
      </c>
      <c r="AY116" s="30">
        <f>IF(AX116="Above 40",20,IF(AX116="20 to 40",10,IF(AX116="0 to 20",-5,0)))</f>
        <v/>
      </c>
      <c r="AZ116" s="30" t="inlineStr">
        <is>
          <t>Between 50 to 75</t>
        </is>
      </c>
      <c r="BA116" s="30">
        <f>IF(AZ116="Between 50 to 75",10,IF(AZ116="Above 75",0,0))</f>
        <v/>
      </c>
      <c r="BB116" s="30" t="inlineStr">
        <is>
          <t>Stage 2</t>
        </is>
      </c>
      <c r="BC116" s="30">
        <f>IF(BB116="Stage 2",20,IF(BB116="Stage 1",0,IF(BB116="Stage 3",5,IF(BB116="Stage 4",-5,0))))</f>
        <v/>
      </c>
      <c r="BD116" s="30" t="inlineStr">
        <is>
          <t>Positive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Close to 52 week high or retracement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Less than 12%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Yes</t>
        </is>
      </c>
      <c r="BS116" s="30">
        <f>IF(BR116="NO",5,0)</f>
        <v/>
      </c>
      <c r="BT116" s="30" t="inlineStr">
        <is>
          <t>Above 2</t>
        </is>
      </c>
      <c r="BU116" s="30">
        <f>IF(BT116="Above 2",0,IF(BT116="Between 1.5 to 2",5,IF(BT116="Less than 1.5",10,0)))</f>
        <v/>
      </c>
      <c r="BV116" s="30" t="inlineStr">
        <is>
          <t>Above 70%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IF(B117=0,"",RANK(B117,$B$2:$B$306,0))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VIYASH</t>
        </is>
      </c>
      <c r="D117" s="30" t="inlineStr">
        <is>
          <t>Viyash Scientific Ltd</t>
        </is>
      </c>
      <c r="E117" s="30" t="inlineStr">
        <is>
          <t>healthcare</t>
        </is>
      </c>
      <c r="F117" s="30" t="inlineStr">
        <is>
          <t>pharmaceuticals - indian - bulk drugs &amp; formln</t>
        </is>
      </c>
      <c r="G117" s="30" t="inlineStr">
        <is>
          <t>midcap</t>
        </is>
      </c>
      <c r="H117" s="31" t="n">
        <v>10884.14</v>
      </c>
      <c r="I117" s="31" t="n">
        <v>255.25</v>
      </c>
      <c r="J117" s="31" t="n">
        <v>2.45</v>
      </c>
      <c r="K117" s="31" t="n">
        <v>2949212</v>
      </c>
      <c r="L117" s="30" t="n">
        <v>45</v>
      </c>
      <c r="M117" s="30" t="inlineStr">
        <is>
          <t>Outperforming</t>
        </is>
      </c>
      <c r="N117" s="31">
        <f>IF(M117="Underperforming",-5,IF(L117&gt;=95,15,IF(L117&gt;=90,10,IF(L117&gt;=80,5,0))))</f>
        <v/>
      </c>
      <c r="O117" s="31" t="n">
        <v>68.31</v>
      </c>
      <c r="P117" s="31" t="n">
        <v>28.69</v>
      </c>
      <c r="Q117" s="31" t="n">
        <v>196.17</v>
      </c>
      <c r="R117" s="30" t="inlineStr">
        <is>
          <t>Volume Spike &amp; Near 52W High Breakout</t>
        </is>
      </c>
      <c r="S117" s="30" t="inlineStr">
        <is>
          <t>Nifty Pharma</t>
        </is>
      </c>
      <c r="T117" s="31" t="n">
        <v>11.82</v>
      </c>
      <c r="U117" s="31" t="n">
        <v>35.88</v>
      </c>
      <c r="V117" s="31" t="n">
        <v>21.51</v>
      </c>
      <c r="W117" s="31" t="n">
        <v>11.94</v>
      </c>
      <c r="X117" s="30" t="inlineStr">
        <is>
          <t>Growing Industry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Yes</t>
        </is>
      </c>
      <c r="AC117" s="30">
        <f>IF(AB117="No",5,0)</f>
        <v/>
      </c>
      <c r="AD117" s="30" t="inlineStr">
        <is>
          <t>Tailwind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Yes</t>
        </is>
      </c>
      <c r="AQ117" s="30">
        <f>IF(AP117="Yes",10,0)</f>
        <v/>
      </c>
      <c r="AR117" s="30" t="inlineStr">
        <is>
          <t>Higher Annuity, Lower One Time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20 to 40</t>
        </is>
      </c>
      <c r="AY117" s="30">
        <f>IF(AX117="Above 40",20,IF(AX117="20 to 40",10,IF(AX117="0 to 20",-5,0)))</f>
        <v/>
      </c>
      <c r="AZ117" s="30" t="inlineStr">
        <is>
          <t>Between 50 to 75</t>
        </is>
      </c>
      <c r="BA117" s="30">
        <f>IF(AZ117="Between 50 to 75",10,IF(AZ117="Above 75",0,0))</f>
        <v/>
      </c>
      <c r="BB117" s="30" t="inlineStr">
        <is>
          <t>Stage 2</t>
        </is>
      </c>
      <c r="BC117" s="30">
        <f>IF(BB117="Stage 2",20,IF(BB117="Stage 1",0,IF(BB117="Stage 3",5,IF(BB117="Stage 4",-5,0))))</f>
        <v/>
      </c>
      <c r="BD117" s="30" t="inlineStr">
        <is>
          <t>Positive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Blue sky scenario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More than 20%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Yes</t>
        </is>
      </c>
      <c r="BS117" s="30">
        <f>IF(BR117="NO",5,0)</f>
        <v/>
      </c>
      <c r="BT117" s="30" t="inlineStr">
        <is>
          <t>Above 2</t>
        </is>
      </c>
      <c r="BU117" s="30">
        <f>IF(BT117="Above 2",0,IF(BT117="Between 1.5 to 2",5,IF(BT117="Less than 1.5",10,0)))</f>
        <v/>
      </c>
      <c r="BV117" s="30" t="inlineStr">
        <is>
          <t>Less than 50%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IF(B118=0,"",RANK(B118,$B$2:$B$306,0))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0" t="inlineStr">
        <is>
          <t>SHILPAMED</t>
        </is>
      </c>
      <c r="D118" s="30" t="inlineStr">
        <is>
          <t>Shilpa Medicare Limited</t>
        </is>
      </c>
      <c r="E118" s="30" t="inlineStr">
        <is>
          <t>healthcare</t>
        </is>
      </c>
      <c r="F118" s="30" t="inlineStr">
        <is>
          <t>pharmaceuticals - indian - formulations</t>
        </is>
      </c>
      <c r="G118" s="30" t="inlineStr">
        <is>
          <t>midcap</t>
        </is>
      </c>
      <c r="H118" s="31" t="n">
        <v>10283.69</v>
      </c>
      <c r="I118" s="31" t="n">
        <v>538.05</v>
      </c>
      <c r="J118" s="31" t="n">
        <v>2.33</v>
      </c>
      <c r="K118" s="31" t="n">
        <v>1777281</v>
      </c>
      <c r="L118" s="30" t="n">
        <v>68</v>
      </c>
      <c r="M118" s="30" t="inlineStr">
        <is>
          <t>Outperforming</t>
        </is>
      </c>
      <c r="N118" s="31">
        <f>IF(M118="Underperforming",-5,IF(L118&gt;=95,15,IF(L118&gt;=90,10,IF(L118&gt;=80,5,0))))</f>
        <v/>
      </c>
      <c r="O118" s="31" t="n">
        <v>78.78</v>
      </c>
      <c r="P118" s="31" t="n">
        <v>39.68</v>
      </c>
      <c r="Q118" s="31" t="n">
        <v>418.43</v>
      </c>
      <c r="R118" s="30" t="inlineStr">
        <is>
          <t>Volume Spike &amp; Near 52W High Breakout</t>
        </is>
      </c>
      <c r="S118" s="30" t="inlineStr">
        <is>
          <t>Nifty Pharma</t>
        </is>
      </c>
      <c r="T118" s="31" t="n">
        <v>11.82</v>
      </c>
      <c r="U118" s="31" t="n">
        <v>17.82</v>
      </c>
      <c r="V118" s="31" t="n">
        <v>5.36</v>
      </c>
      <c r="W118" s="31" t="n">
        <v>18.9</v>
      </c>
      <c r="X118" s="30" t="inlineStr">
        <is>
          <t>Growing Industry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Yes</t>
        </is>
      </c>
      <c r="AC118" s="30">
        <f>IF(AB118="No",5,0)</f>
        <v/>
      </c>
      <c r="AD118" s="30" t="inlineStr">
        <is>
          <t>Tailwind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Yes</t>
        </is>
      </c>
      <c r="AQ118" s="30">
        <f>IF(AP118="Yes",10,0)</f>
        <v/>
      </c>
      <c r="AR118" s="30" t="inlineStr">
        <is>
          <t>Higher Annuity, Lower One Time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20 to 40</t>
        </is>
      </c>
      <c r="AY118" s="30">
        <f>IF(AX118="Above 40",20,IF(AX118="20 to 40",10,IF(AX118="0 to 20",-5,0)))</f>
        <v/>
      </c>
      <c r="AZ118" s="30" t="inlineStr">
        <is>
          <t>Above 75</t>
        </is>
      </c>
      <c r="BA118" s="30">
        <f>IF(AZ118="Between 50 to 75",10,IF(AZ118="Above 75",0,0))</f>
        <v/>
      </c>
      <c r="BB118" s="30" t="inlineStr">
        <is>
          <t>Stage 2</t>
        </is>
      </c>
      <c r="BC118" s="30">
        <f>IF(BB118="Stage 2",20,IF(BB118="Stage 1",0,IF(BB118="Stage 3",5,IF(BB118="Stage 4",-5,0))))</f>
        <v/>
      </c>
      <c r="BD118" s="30" t="inlineStr">
        <is>
          <t>Positive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Blue sky scenario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More than 20%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Yes</t>
        </is>
      </c>
      <c r="BS118" s="30">
        <f>IF(BR118="NO",5,0)</f>
        <v/>
      </c>
      <c r="BT118" s="30" t="inlineStr">
        <is>
          <t>Above 2</t>
        </is>
      </c>
      <c r="BU118" s="30">
        <f>IF(BT118="Above 2",0,IF(BT118="Between 1.5 to 2",5,IF(BT118="Less than 1.5",10,0)))</f>
        <v/>
      </c>
      <c r="BV118" s="30" t="inlineStr">
        <is>
          <t>Above 70%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IF(B119=0,"",RANK(B119,$B$2:$B$306,0))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BLSE</t>
        </is>
      </c>
      <c r="D119" s="30" t="inlineStr">
        <is>
          <t>BLS E-Services Ltd</t>
        </is>
      </c>
      <c r="E119" s="30" t="inlineStr">
        <is>
          <t>i.t</t>
        </is>
      </c>
      <c r="F119" s="30" t="inlineStr">
        <is>
          <t>computers - software - medium / small</t>
        </is>
      </c>
      <c r="G119" s="30" t="inlineStr">
        <is>
          <t>smallcap</t>
        </is>
      </c>
      <c r="H119" s="31" t="n">
        <v>2045.82</v>
      </c>
      <c r="I119" s="31" t="n">
        <v>229.68</v>
      </c>
      <c r="J119" s="31" t="n">
        <v>2</v>
      </c>
      <c r="K119" s="31" t="n">
        <v>385454</v>
      </c>
      <c r="L119" s="30" t="n">
        <v>75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69.22</v>
      </c>
      <c r="P119" s="31" t="n">
        <v>21.65</v>
      </c>
      <c r="Q119" s="31" t="n">
        <v>176.01</v>
      </c>
      <c r="R119" s="30" t="inlineStr">
        <is>
          <t>Near 52W High Breakout</t>
        </is>
      </c>
      <c r="S119" s="30" t="inlineStr">
        <is>
          <t>Nifty IT</t>
        </is>
      </c>
      <c r="T119" s="31" t="n">
        <v>-22.21</v>
      </c>
      <c r="U119" s="31" t="n">
        <v>9.73</v>
      </c>
      <c r="V119" s="31" t="n">
        <v>41.07</v>
      </c>
      <c r="W119" s="31" t="n">
        <v>22.98</v>
      </c>
      <c r="X119" s="30" t="inlineStr">
        <is>
          <t>Growing Industry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No</t>
        </is>
      </c>
      <c r="AC119" s="30">
        <f>IF(AB119="No",5,0)</f>
        <v/>
      </c>
      <c r="AD119" s="30" t="inlineStr">
        <is>
          <t>Tailwind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B2B</t>
        </is>
      </c>
      <c r="AO119" s="30">
        <f>IF(AN119="B2C",10,IF(AN119="B2B",5,0))</f>
        <v/>
      </c>
      <c r="AP119" s="30" t="inlineStr">
        <is>
          <t>Yes</t>
        </is>
      </c>
      <c r="AQ119" s="30">
        <f>IF(AP119="Yes",10,0)</f>
        <v/>
      </c>
      <c r="AR119" s="30" t="inlineStr">
        <is>
          <t>Higher Annuity, Lower One Time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20 to 40</t>
        </is>
      </c>
      <c r="AY119" s="30">
        <f>IF(AX119="Above 40",20,IF(AX119="20 to 40",10,IF(AX119="0 to 20",-5,0)))</f>
        <v/>
      </c>
      <c r="AZ119" s="30" t="inlineStr">
        <is>
          <t>Between 50 to 75</t>
        </is>
      </c>
      <c r="BA119" s="30">
        <f>IF(AZ119="Between 50 to 75",10,IF(AZ119="Above 75",0,0))</f>
        <v/>
      </c>
      <c r="BB119" s="30" t="inlineStr">
        <is>
          <t>Stage 2</t>
        </is>
      </c>
      <c r="BC119" s="30">
        <f>IF(BB119="Stage 2",20,IF(BB119="Stage 1",0,IF(BB119="Stage 3",5,IF(BB119="Stage 4",-5,0))))</f>
        <v/>
      </c>
      <c r="BD119" s="30" t="inlineStr">
        <is>
          <t>Positive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Close to 52 week high or retracement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Less than 12%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No</t>
        </is>
      </c>
      <c r="BS119" s="30">
        <f>IF(BR119="NO",5,0)</f>
        <v/>
      </c>
      <c r="BT119" s="30" t="inlineStr">
        <is>
          <t>Above 2</t>
        </is>
      </c>
      <c r="BU119" s="30">
        <f>IF(BT119="Above 2",0,IF(BT119="Between 1.5 to 2",5,IF(BT119="Less than 1.5",10,0)))</f>
        <v/>
      </c>
      <c r="BV119" s="30" t="inlineStr">
        <is>
          <t>Between 50% to 70%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IF(B120=0,"",RANK(B120,$B$2:$B$306,0))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LAURUSLABS</t>
        </is>
      </c>
      <c r="D120" s="30" t="inlineStr">
        <is>
          <t>Laurus Labs Limited</t>
        </is>
      </c>
      <c r="E120" s="30" t="inlineStr">
        <is>
          <t>healthcare</t>
        </is>
      </c>
      <c r="F120" s="30" t="inlineStr">
        <is>
          <t>pharmaceuticals - indian - bulk drugs &amp; formln</t>
        </is>
      </c>
      <c r="G120" s="30" t="inlineStr">
        <is>
          <t>largecap</t>
        </is>
      </c>
      <c r="H120" s="31" t="n">
        <v>77048.33</v>
      </c>
      <c r="I120" s="31" t="n">
        <v>1446.8</v>
      </c>
      <c r="J120" s="31" t="n">
        <v>1.37</v>
      </c>
      <c r="K120" s="31" t="n">
        <v>1515580</v>
      </c>
      <c r="L120" s="30" t="n">
        <v>83</v>
      </c>
      <c r="M120" s="30" t="inlineStr">
        <is>
          <t>Outperforming</t>
        </is>
      </c>
      <c r="N120" s="31">
        <f>IF(M120="Underperforming",-5,IF(L120&gt;=95,15,IF(L120&gt;=90,10,IF(L120&gt;=80,5,0))))</f>
        <v/>
      </c>
      <c r="O120" s="31" t="n">
        <v>79.90000000000001</v>
      </c>
      <c r="P120" s="31" t="n">
        <v>29.97</v>
      </c>
      <c r="Q120" s="31" t="n">
        <v>1224.52</v>
      </c>
      <c r="R120" s="30" t="inlineStr">
        <is>
          <t>Near 52W High Breakout</t>
        </is>
      </c>
      <c r="S120" s="30" t="inlineStr">
        <is>
          <t>Nifty Pharma</t>
        </is>
      </c>
      <c r="T120" s="31" t="n">
        <v>11.82</v>
      </c>
      <c r="U120" s="31" t="n">
        <v>125.75</v>
      </c>
      <c r="V120" s="31" t="n">
        <v>101.88</v>
      </c>
      <c r="W120" s="31" t="n">
        <v>27.21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Yes</t>
        </is>
      </c>
      <c r="AC120" s="30">
        <f>IF(AB120="No",5,0)</f>
        <v/>
      </c>
      <c r="AD120" s="30" t="inlineStr">
        <is>
          <t>Tailwind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Yes</t>
        </is>
      </c>
      <c r="AQ120" s="30">
        <f>IF(AP120="Yes",10,0)</f>
        <v/>
      </c>
      <c r="AR120" s="30" t="inlineStr">
        <is>
          <t>Higher Annuity, Lower One Time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20 to 40</t>
        </is>
      </c>
      <c r="AY120" s="30">
        <f>IF(AX120="Above 40",20,IF(AX120="20 to 40",10,IF(AX120="0 to 20",-5,0)))</f>
        <v/>
      </c>
      <c r="AZ120" s="30" t="inlineStr">
        <is>
          <t>Above 75</t>
        </is>
      </c>
      <c r="BA120" s="30">
        <f>IF(AZ120="Between 50 to 75",10,IF(AZ120="Above 75",0,0))</f>
        <v/>
      </c>
      <c r="BB120" s="30" t="inlineStr">
        <is>
          <t>Stage 2</t>
        </is>
      </c>
      <c r="BC120" s="30">
        <f>IF(BB120="Stage 2",20,IF(BB120="Stage 1",0,IF(BB120="Stage 3",5,IF(BB120="Stage 4",-5,0))))</f>
        <v/>
      </c>
      <c r="BD120" s="30" t="inlineStr">
        <is>
          <t>Positive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Blue sky scenario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Between 12 to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Yes</t>
        </is>
      </c>
      <c r="BS120" s="30">
        <f>IF(BR120="NO",5,0)</f>
        <v/>
      </c>
      <c r="BT120" s="30" t="inlineStr">
        <is>
          <t>Above 2</t>
        </is>
      </c>
      <c r="BU120" s="30">
        <f>IF(BT120="Above 2",0,IF(BT120="Between 1.5 to 2",5,IF(BT120="Less than 1.5",10,0)))</f>
        <v/>
      </c>
      <c r="BV120" s="30" t="inlineStr">
        <is>
          <t>Above 70%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IF(B121=0,"",RANK(B121,$B$2:$B$306,0))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0" t="inlineStr">
        <is>
          <t>SASKEN</t>
        </is>
      </c>
      <c r="D121" s="30" t="inlineStr">
        <is>
          <t>Sasken Communication Technologies Limited</t>
        </is>
      </c>
      <c r="E121" s="30" t="inlineStr">
        <is>
          <t>i.t</t>
        </is>
      </c>
      <c r="F121" s="30" t="inlineStr">
        <is>
          <t>computers - software - medium / small</t>
        </is>
      </c>
      <c r="G121" s="30" t="inlineStr">
        <is>
          <t>smallcap</t>
        </is>
      </c>
      <c r="H121" s="31" t="n">
        <v>3281.8</v>
      </c>
      <c r="I121" s="31" t="n">
        <v>2181.2</v>
      </c>
      <c r="J121" s="31" t="n">
        <v>0.93</v>
      </c>
      <c r="K121" s="31" t="n">
        <v>45175</v>
      </c>
      <c r="L121" s="30" t="n">
        <v>89</v>
      </c>
      <c r="M121" s="30" t="inlineStr">
        <is>
          <t>Outperforming</t>
        </is>
      </c>
      <c r="N121" s="31">
        <f>IF(M121="Underperforming",-5,IF(L121&gt;=95,15,IF(L121&gt;=90,10,IF(L121&gt;=80,5,0))))</f>
        <v/>
      </c>
      <c r="O121" s="31" t="n">
        <v>74.63</v>
      </c>
      <c r="P121" s="31" t="n">
        <v>27.93</v>
      </c>
      <c r="Q121" s="31" t="n">
        <v>1692.28</v>
      </c>
      <c r="R121" s="30" t="inlineStr">
        <is>
          <t>Near 52W High Breakout</t>
        </is>
      </c>
      <c r="S121" s="30" t="inlineStr">
        <is>
          <t>Nifty IT</t>
        </is>
      </c>
      <c r="T121" s="31" t="n">
        <v>-22.21</v>
      </c>
      <c r="U121" s="31" t="n">
        <v>51.84</v>
      </c>
      <c r="V121" s="31" t="n">
        <v>95.2</v>
      </c>
      <c r="W121" s="31" t="n">
        <v>33.25</v>
      </c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No</t>
        </is>
      </c>
      <c r="AC121" s="30">
        <f>IF(AB121="No",5,0)</f>
        <v/>
      </c>
      <c r="AD121" s="30" t="inlineStr">
        <is>
          <t>Tailwind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Yes</t>
        </is>
      </c>
      <c r="AQ121" s="30">
        <f>IF(AP121="Yes",10,0)</f>
        <v/>
      </c>
      <c r="AR121" s="30" t="inlineStr">
        <is>
          <t>Higher Annuity, Lower One Time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20 to 40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2</t>
        </is>
      </c>
      <c r="BC121" s="30">
        <f>IF(BB121="Stage 2",20,IF(BB121="Stage 1",0,IF(BB121="Stage 3",5,IF(BB121="Stage 4",-5,0))))</f>
        <v/>
      </c>
      <c r="BD121" s="30" t="inlineStr">
        <is>
          <t>Positive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Blue sky scenario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More than 20%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Yes</t>
        </is>
      </c>
      <c r="BS121" s="30">
        <f>IF(BR121="NO",5,0)</f>
        <v/>
      </c>
      <c r="BT121" s="30" t="inlineStr">
        <is>
          <t>Above 2</t>
        </is>
      </c>
      <c r="BU121" s="30">
        <f>IF(BT121="Above 2",0,IF(BT121="Between 1.5 to 2",5,IF(BT121="Less than 1.5",10,0)))</f>
        <v/>
      </c>
      <c r="BV121" s="30" t="inlineStr">
        <is>
          <t>Negative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Less than 0.7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IF(B122=0,"",RANK(B122,$B$2:$B$306,0))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2" t="inlineStr">
        <is>
          <t>MEDANTA</t>
        </is>
      </c>
      <c r="D122" s="32" t="inlineStr">
        <is>
          <t>Global Health Ltd</t>
        </is>
      </c>
      <c r="E122" s="30" t="inlineStr">
        <is>
          <t>healthcare</t>
        </is>
      </c>
      <c r="F122" s="30" t="inlineStr">
        <is>
          <t>healthcare</t>
        </is>
      </c>
      <c r="G122" s="30" t="inlineStr">
        <is>
          <t>largecap</t>
        </is>
      </c>
      <c r="H122" s="31" t="n">
        <v>33109.6</v>
      </c>
      <c r="I122" s="31" t="n">
        <v>1240</v>
      </c>
      <c r="J122" s="31" t="n">
        <v>0.67</v>
      </c>
      <c r="K122" s="31" t="n">
        <v>310258</v>
      </c>
      <c r="L122" s="30" t="n">
        <v>10</v>
      </c>
      <c r="M122" s="30" t="inlineStr">
        <is>
          <t>Underperforming</t>
        </is>
      </c>
      <c r="N122" s="31">
        <f>IF(M122="Underperforming",-5,IF(L122&gt;=95,15,IF(L122&gt;=90,10,IF(L122&gt;=80,5,0))))</f>
        <v/>
      </c>
      <c r="O122" s="31" t="n">
        <v>58.38</v>
      </c>
      <c r="P122" s="31" t="n">
        <v>22.63</v>
      </c>
      <c r="Q122" s="31" t="n">
        <v>1002.11</v>
      </c>
      <c r="R122" s="30" t="inlineStr">
        <is>
          <t>Earnings / Momentum Support</t>
        </is>
      </c>
      <c r="S122" s="30" t="inlineStr">
        <is>
          <t>Nifty Pharma</t>
        </is>
      </c>
      <c r="T122" s="31" t="n">
        <v>11.82</v>
      </c>
      <c r="U122" s="31" t="n">
        <v>2</v>
      </c>
      <c r="V122" s="31" t="n">
        <v>-8.779999999999999</v>
      </c>
      <c r="W122" s="31" t="n">
        <v>3.46</v>
      </c>
      <c r="X122" s="30" t="inlineStr">
        <is>
          <t>Growing Industry</t>
        </is>
      </c>
      <c r="Y122" s="30">
        <f>IF(X122="Growing Industry",10,IF(X122="Cyclical in an Upturn",5,0))</f>
        <v/>
      </c>
      <c r="Z122" s="30" t="inlineStr">
        <is>
          <t>Too Many Players with High ROCE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Yes</t>
        </is>
      </c>
      <c r="AC122" s="30">
        <f>IF(AB122="No",5,0)</f>
        <v/>
      </c>
      <c r="AD122" s="30" t="inlineStr">
        <is>
          <t>Tailwind</t>
        </is>
      </c>
      <c r="AE122" s="30">
        <f>IF(AD122="Tailwind",10,0)</f>
        <v/>
      </c>
      <c r="AF122" s="30" t="inlineStr">
        <is>
          <t>Structural (10 Years Consistency)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B2B</t>
        </is>
      </c>
      <c r="AO122" s="30">
        <f>IF(AN122="B2C",10,IF(AN122="B2B",5,0))</f>
        <v/>
      </c>
      <c r="AP122" s="30" t="inlineStr">
        <is>
          <t>No</t>
        </is>
      </c>
      <c r="AQ122" s="30">
        <f>IF(AP122="Yes",10,0)</f>
        <v/>
      </c>
      <c r="AR122" s="30" t="inlineStr">
        <is>
          <t>Higher Annuity, Lower One Time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20 to 40</t>
        </is>
      </c>
      <c r="AY122" s="30">
        <f>IF(AX122="Above 40",20,IF(AX122="20 to 40",10,IF(AX122="0 to 20",-5,0)))</f>
        <v/>
      </c>
      <c r="AZ122" s="30" t="inlineStr">
        <is>
          <t>Between 50 to 75</t>
        </is>
      </c>
      <c r="BA122" s="30">
        <f>IF(AZ122="Between 50 to 75",10,IF(AZ122="Above 75",0,0))</f>
        <v/>
      </c>
      <c r="BB122" s="30" t="inlineStr">
        <is>
          <t>Stage 2</t>
        </is>
      </c>
      <c r="BC122" s="30">
        <f>IF(BB122="Stage 2",20,IF(BB122="Stage 1",0,IF(BB122="Stage 3",5,IF(BB122="Stage 4",-5,0))))</f>
        <v/>
      </c>
      <c r="BD122" s="30" t="inlineStr">
        <is>
          <t>Positive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Close to 52 week high or retracement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More than 20%</t>
        </is>
      </c>
      <c r="BO122" s="30">
        <f>IF(BN122="More than 20%",10,IF(BN122="Between 12 to 20%",5,IF(BN122="Less than 12%",0,0)))</f>
        <v/>
      </c>
      <c r="BP122" s="30" t="inlineStr">
        <is>
          <t>No</t>
        </is>
      </c>
      <c r="BQ122" s="30">
        <f>IF(BP122="No",10,0)</f>
        <v/>
      </c>
      <c r="BR122" s="30" t="inlineStr">
        <is>
          <t>Yes</t>
        </is>
      </c>
      <c r="BS122" s="30">
        <f>IF(BR122="NO",5,0)</f>
        <v/>
      </c>
      <c r="BT122" s="30" t="inlineStr">
        <is>
          <t>Less than 1.5</t>
        </is>
      </c>
      <c r="BU122" s="30">
        <f>IF(BT122="Above 2",0,IF(BT122="Between 1.5 to 2",5,IF(BT122="Less than 1.5",10,0)))</f>
        <v/>
      </c>
      <c r="BV122" s="30" t="inlineStr">
        <is>
          <t>Above 70%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IF(B123=0,"",RANK(B123,$B$2:$B$306,0))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0" t="inlineStr">
        <is>
          <t>APOLLO</t>
        </is>
      </c>
      <c r="D123" s="30" t="inlineStr">
        <is>
          <t>Apollo Micro Systems Ltd</t>
        </is>
      </c>
      <c r="E123" s="30" t="inlineStr">
        <is>
          <t>aerospace &amp; defence</t>
        </is>
      </c>
      <c r="F123" s="30" t="inlineStr">
        <is>
          <t>electronics - components</t>
        </is>
      </c>
      <c r="G123" s="30" t="inlineStr">
        <is>
          <t>midcap</t>
        </is>
      </c>
      <c r="H123" s="31" t="n">
        <v>14977.7</v>
      </c>
      <c r="I123" s="31" t="n">
        <v>421.35</v>
      </c>
      <c r="J123" s="31" t="n">
        <v>0.51</v>
      </c>
      <c r="K123" s="31" t="n">
        <v>27746500</v>
      </c>
      <c r="L123" s="30" t="n">
        <v>93</v>
      </c>
      <c r="M123" s="30" t="inlineStr">
        <is>
          <t>Outperforming</t>
        </is>
      </c>
      <c r="N123" s="31">
        <f>IF(M123="Underperforming",-5,IF(L123&gt;=95,15,IF(L123&gt;=90,10,IF(L123&gt;=80,5,0))))</f>
        <v/>
      </c>
      <c r="O123" s="31" t="n">
        <v>74.81</v>
      </c>
      <c r="P123" s="31" t="n">
        <v>30.38</v>
      </c>
      <c r="Q123" s="31" t="n">
        <v>301.5</v>
      </c>
      <c r="R123" s="30" t="inlineStr">
        <is>
          <t>Volume Spike &amp; Near 52W High Breakout</t>
        </is>
      </c>
      <c r="S123" s="30" t="inlineStr">
        <is>
          <t>Nifty 50</t>
        </is>
      </c>
      <c r="T123" s="31" t="n">
        <v>-6.54</v>
      </c>
      <c r="U123" s="31" t="n">
        <v>105.74</v>
      </c>
      <c r="V123" s="31" t="n">
        <v>120.14</v>
      </c>
      <c r="W123" s="31" t="n">
        <v>40.27</v>
      </c>
      <c r="X123" s="30" t="inlineStr">
        <is>
          <t>Cyclical in an Upturn</t>
        </is>
      </c>
      <c r="Y123" s="30">
        <f>IF(X123="Growing Industry",10,IF(X123="Cyclical in an Upturn",5,0))</f>
        <v/>
      </c>
      <c r="Z123" s="30" t="inlineStr">
        <is>
          <t>Oligopoly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No</t>
        </is>
      </c>
      <c r="AC123" s="30">
        <f>IF(AB123="No",5,0)</f>
        <v/>
      </c>
      <c r="AD123" s="30" t="inlineStr">
        <is>
          <t>Tailwind</t>
        </is>
      </c>
      <c r="AE123" s="30">
        <f>IF(AD123="Tailwind",10,0)</f>
        <v/>
      </c>
      <c r="AF123" s="30" t="inlineStr">
        <is>
          <t>Cyclical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B2C</t>
        </is>
      </c>
      <c r="AO123" s="30">
        <f>IF(AN123="B2C",10,IF(AN123="B2B",5,0))</f>
        <v/>
      </c>
      <c r="AP123" s="30" t="inlineStr">
        <is>
          <t>Yes</t>
        </is>
      </c>
      <c r="AQ123" s="30">
        <f>IF(AP123="Yes",10,0)</f>
        <v/>
      </c>
      <c r="AR123" s="30" t="inlineStr">
        <is>
          <t>Fully One Time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Above 40</t>
        </is>
      </c>
      <c r="AY123" s="30">
        <f>IF(AX123="Above 40",20,IF(AX123="20 to 40",10,IF(AX123="0 to 20",-5,0)))</f>
        <v/>
      </c>
      <c r="AZ123" s="30" t="inlineStr">
        <is>
          <t>Above 75</t>
        </is>
      </c>
      <c r="BA123" s="30">
        <f>IF(AZ123="Between 50 to 75",10,IF(AZ123="Above 75",0,0))</f>
        <v/>
      </c>
      <c r="BB123" s="30" t="inlineStr">
        <is>
          <t>Stage 2</t>
        </is>
      </c>
      <c r="BC123" s="30">
        <f>IF(BB123="Stage 2",20,IF(BB123="Stage 1",0,IF(BB123="Stage 3",5,IF(BB123="Stage 4",-5,0))))</f>
        <v/>
      </c>
      <c r="BD123" s="30" t="inlineStr">
        <is>
          <t>Positive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Close to 52 week high or retracement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More than 20%</t>
        </is>
      </c>
      <c r="BO123" s="30">
        <f>IF(BN123="More than 20%",10,IF(BN123="Between 12 to 20%",5,IF(BN123="Less than 12%",0,0)))</f>
        <v/>
      </c>
      <c r="BP123" s="30" t="inlineStr">
        <is>
          <t>Yes</t>
        </is>
      </c>
      <c r="BQ123" s="30">
        <f>IF(BP123="No",10,0)</f>
        <v/>
      </c>
      <c r="BR123" s="30" t="inlineStr">
        <is>
          <t>Yes</t>
        </is>
      </c>
      <c r="BS123" s="30">
        <f>IF(BR123="NO",5,0)</f>
        <v/>
      </c>
      <c r="BT123" s="30" t="inlineStr">
        <is>
          <t>Between 1.5 to 2</t>
        </is>
      </c>
      <c r="BU123" s="30">
        <f>IF(BT123="Above 2",0,IF(BT123="Between 1.5 to 2",5,IF(BT123="Less than 1.5",10,0)))</f>
        <v/>
      </c>
      <c r="BV123" s="30" t="inlineStr">
        <is>
          <t>Above 70%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Less than 0.7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IF(B124=0,"",RANK(B124,$B$2:$B$306,0))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2" t="inlineStr">
        <is>
          <t>GPTHEALTH</t>
        </is>
      </c>
      <c r="D124" s="32" t="inlineStr">
        <is>
          <t>GPT Healthcare Ltd</t>
        </is>
      </c>
      <c r="E124" s="30" t="inlineStr">
        <is>
          <t>healthcare</t>
        </is>
      </c>
      <c r="F124" s="30" t="inlineStr">
        <is>
          <t>healthcare</t>
        </is>
      </c>
      <c r="G124" s="30" t="inlineStr">
        <is>
          <t>smallcap</t>
        </is>
      </c>
      <c r="H124" s="31" t="n">
        <v>1250.76</v>
      </c>
      <c r="I124" s="31" t="n">
        <v>149.64</v>
      </c>
      <c r="J124" s="31" t="n">
        <v>-1.83</v>
      </c>
      <c r="K124" s="31" t="n">
        <v>128739</v>
      </c>
      <c r="L124" s="30" t="n">
        <v>15</v>
      </c>
      <c r="M124" s="30" t="inlineStr">
        <is>
          <t>Underperforming</t>
        </is>
      </c>
      <c r="N124" s="31">
        <f>IF(M124="Underperforming",-5,IF(L124&gt;=95,15,IF(L124&gt;=90,10,IF(L124&gt;=80,5,0))))</f>
        <v/>
      </c>
      <c r="O124" s="31" t="n">
        <v>62.49</v>
      </c>
      <c r="P124" s="31" t="n">
        <v>27.06</v>
      </c>
      <c r="Q124" s="31" t="n">
        <v>120.65</v>
      </c>
      <c r="R124" s="30" t="inlineStr">
        <is>
          <t>Volume Spike / Accumulation</t>
        </is>
      </c>
      <c r="S124" s="30" t="inlineStr">
        <is>
          <t>Nifty Pharma</t>
        </is>
      </c>
      <c r="T124" s="31" t="n">
        <v>11.82</v>
      </c>
      <c r="U124" s="31" t="n">
        <v>1.39</v>
      </c>
      <c r="V124" s="31" t="n">
        <v>-9.33</v>
      </c>
      <c r="W124" s="31" t="n">
        <v>4.61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Too Many Players with High ROCE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Yes</t>
        </is>
      </c>
      <c r="AC124" s="30">
        <f>IF(AB124="No",5,0)</f>
        <v/>
      </c>
      <c r="AD124" s="30" t="inlineStr">
        <is>
          <t>Tailwind</t>
        </is>
      </c>
      <c r="AE124" s="30">
        <f>IF(AD124="Tailwind",10,0)</f>
        <v/>
      </c>
      <c r="AF124" s="30" t="inlineStr">
        <is>
          <t>Structural (10 Years Consistency)</t>
        </is>
      </c>
      <c r="AG124" s="30">
        <f>IF(AF124="Structural (10 Years Consistency)",10,IF(AF124="Shallow Cyclical (2 to 3 years growth)",5,0))</f>
        <v/>
      </c>
      <c r="AH124" s="30" t="inlineStr">
        <is>
          <t>No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Yes</t>
        </is>
      </c>
      <c r="AQ124" s="30">
        <f>IF(AP124="Yes",10,0)</f>
        <v/>
      </c>
      <c r="AR124" s="30" t="inlineStr">
        <is>
          <t>Higher Annuity, Lower One Time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20 to 40</t>
        </is>
      </c>
      <c r="AY124" s="30">
        <f>IF(AX124="Above 40",20,IF(AX124="20 to 40",10,IF(AX124="0 to 20",-5,0)))</f>
        <v/>
      </c>
      <c r="AZ124" s="30" t="inlineStr">
        <is>
          <t>Between 50 to 75</t>
        </is>
      </c>
      <c r="BA124" s="30">
        <f>IF(AZ124="Between 50 to 75",10,IF(AZ124="Above 75",0,0))</f>
        <v/>
      </c>
      <c r="BB124" s="30" t="inlineStr">
        <is>
          <t>Stage 2</t>
        </is>
      </c>
      <c r="BC124" s="30">
        <f>IF(BB124="Stage 2",20,IF(BB124="Stage 1",0,IF(BB124="Stage 3",5,IF(BB124="Stage 4",-5,0))))</f>
        <v/>
      </c>
      <c r="BD124" s="30" t="inlineStr">
        <is>
          <t>Positive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Close to 52 week high or retracement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Between 12 to 20%</t>
        </is>
      </c>
      <c r="BO124" s="30">
        <f>IF(BN124="More than 20%",10,IF(BN124="Between 12 to 20%",5,IF(BN124="Less than 12%",0,0)))</f>
        <v/>
      </c>
      <c r="BP124" s="30" t="inlineStr">
        <is>
          <t>No</t>
        </is>
      </c>
      <c r="BQ124" s="30">
        <f>IF(BP124="No",10,0)</f>
        <v/>
      </c>
      <c r="BR124" s="30" t="inlineStr">
        <is>
          <t>No</t>
        </is>
      </c>
      <c r="BS124" s="30">
        <f>IF(BR124="NO",5,0)</f>
        <v/>
      </c>
      <c r="BT124" s="30" t="inlineStr">
        <is>
          <t>Above 2</t>
        </is>
      </c>
      <c r="BU124" s="30">
        <f>IF(BT124="Above 2",0,IF(BT124="Between 1.5 to 2",5,IF(BT124="Less than 1.5",10,0)))</f>
        <v/>
      </c>
      <c r="BV124" s="30" t="inlineStr">
        <is>
          <t>Above 70%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IF(B125=0,"",RANK(B125,$B$2:$B$306,0))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0" t="inlineStr">
        <is>
          <t>SBCL</t>
        </is>
      </c>
      <c r="D125" s="30" t="inlineStr">
        <is>
          <t>Shivalik Bimetal Controls Ltd</t>
        </is>
      </c>
      <c r="E125" s="30" t="inlineStr">
        <is>
          <t>metals &amp; mining</t>
        </is>
      </c>
      <c r="F125" s="30" t="inlineStr">
        <is>
          <t>mining / minerals / metals</t>
        </is>
      </c>
      <c r="G125" s="30" t="inlineStr">
        <is>
          <t>smallcap</t>
        </is>
      </c>
      <c r="H125" s="31" t="n">
        <v>4192.43</v>
      </c>
      <c r="I125" s="31" t="n">
        <v>712.7</v>
      </c>
      <c r="J125" s="31" t="n">
        <v>-2.07</v>
      </c>
      <c r="K125" s="31" t="n">
        <v>325013</v>
      </c>
      <c r="L125" s="30" t="n">
        <v>79</v>
      </c>
      <c r="M125" s="30" t="inlineStr">
        <is>
          <t>Outperforming</t>
        </is>
      </c>
      <c r="N125" s="31">
        <f>IF(M125="Underperforming",-5,IF(L125&gt;=95,15,IF(L125&gt;=90,10,IF(L125&gt;=80,5,0))))</f>
        <v/>
      </c>
      <c r="O125" s="31" t="n">
        <v>69.93000000000001</v>
      </c>
      <c r="P125" s="31" t="n">
        <v>30.36</v>
      </c>
      <c r="Q125" s="31" t="n">
        <v>552.04</v>
      </c>
      <c r="R125" s="30" t="inlineStr">
        <is>
          <t>Near 52W High Breakout</t>
        </is>
      </c>
      <c r="S125" s="30" t="inlineStr">
        <is>
          <t>Nifty Metal</t>
        </is>
      </c>
      <c r="T125" s="31" t="n">
        <v>40.56</v>
      </c>
      <c r="U125" s="31" t="n">
        <v>47.71</v>
      </c>
      <c r="V125" s="31" t="n">
        <v>5.09</v>
      </c>
      <c r="W125" s="31" t="n">
        <v>24.82</v>
      </c>
      <c r="X125" s="30" t="inlineStr">
        <is>
          <t>Growing Industry</t>
        </is>
      </c>
      <c r="Y125" s="30">
        <f>IF(X125="Growing Industry",10,IF(X125="Cyclical in an Upturn",5,0))</f>
        <v/>
      </c>
      <c r="Z125" s="30" t="inlineStr">
        <is>
          <t>Monopoly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No</t>
        </is>
      </c>
      <c r="AC125" s="30">
        <f>IF(AB125="No",5,0)</f>
        <v/>
      </c>
      <c r="AD125" s="30" t="inlineStr">
        <is>
          <t>Tailwind</t>
        </is>
      </c>
      <c r="AE125" s="30">
        <f>IF(AD125="Tailwind",10,0)</f>
        <v/>
      </c>
      <c r="AF125" s="30" t="inlineStr">
        <is>
          <t>Shallow Cyclical (2 to 3 Years Growth)</t>
        </is>
      </c>
      <c r="AG125" s="30">
        <f>IF(AF125="Structural (10 Years Consistency)",10,IF(AF125="Shallow Cyclical (2 to 3 years growth)",5,0))</f>
        <v/>
      </c>
      <c r="AH125" s="30" t="inlineStr">
        <is>
          <t>Yes due to Product Mix change or Operating Leverage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Yes</t>
        </is>
      </c>
      <c r="AQ125" s="30">
        <f>IF(AP125="Yes",10,0)</f>
        <v/>
      </c>
      <c r="AR125" s="30" t="inlineStr">
        <is>
          <t>Fully One Time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20 to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2</t>
        </is>
      </c>
      <c r="BC125" s="30">
        <f>IF(BB125="Stage 2",20,IF(BB125="Stage 1",0,IF(BB125="Stage 3",5,IF(BB125="Stage 4",-5,0))))</f>
        <v/>
      </c>
      <c r="BD125" s="30" t="inlineStr">
        <is>
          <t>Positive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Close to 52 week high or retracement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More than 20%</t>
        </is>
      </c>
      <c r="BO125" s="30">
        <f>IF(BN125="More than 20%",10,IF(BN125="Between 12 to 20%",5,IF(BN125="Less than 12%",0,0)))</f>
        <v/>
      </c>
      <c r="BP125" s="30" t="inlineStr">
        <is>
          <t>Yes</t>
        </is>
      </c>
      <c r="BQ125" s="30">
        <f>IF(BP125="No",10,0)</f>
        <v/>
      </c>
      <c r="BR125" s="30" t="inlineStr">
        <is>
          <t>No</t>
        </is>
      </c>
      <c r="BS125" s="30">
        <f>IF(BR125="NO",5,0)</f>
        <v/>
      </c>
      <c r="BT125" s="30" t="inlineStr">
        <is>
          <t>Between 1.5 to 2</t>
        </is>
      </c>
      <c r="BU125" s="30">
        <f>IF(BT125="Above 2",0,IF(BT125="Between 1.5 to 2",5,IF(BT125="Less than 1.5",10,0)))</f>
        <v/>
      </c>
      <c r="BV125" s="30" t="inlineStr">
        <is>
          <t>Less than 50%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Less than 0.7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IF(B126=0,"",RANK(B126,$B$2:$B$306,0))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ITDC</t>
        </is>
      </c>
      <c r="D126" s="30" t="inlineStr">
        <is>
          <t>India Tourism Development Corporation Ltd</t>
        </is>
      </c>
      <c r="E126" s="30" t="inlineStr">
        <is>
          <t>services</t>
        </is>
      </c>
      <c r="F126" s="30" t="inlineStr">
        <is>
          <t>hotels</t>
        </is>
      </c>
      <c r="G126" s="30" t="inlineStr">
        <is>
          <t>midcap</t>
        </is>
      </c>
      <c r="H126" s="31" t="n">
        <v>5053.1</v>
      </c>
      <c r="I126" s="31" t="n">
        <v>669.95</v>
      </c>
      <c r="J126" s="31" t="n">
        <v>13.71</v>
      </c>
      <c r="K126" s="31" t="n">
        <v>18236659</v>
      </c>
      <c r="L126" s="30" t="n">
        <v>41</v>
      </c>
      <c r="M126" s="30" t="inlineStr">
        <is>
          <t>Outperforming</t>
        </is>
      </c>
      <c r="N126" s="31">
        <f>IF(M126="Underperforming",-5,IF(L126&gt;=95,15,IF(L126&gt;=90,10,IF(L126&gt;=80,5,0))))</f>
        <v/>
      </c>
      <c r="O126" s="31" t="n">
        <v>63.23</v>
      </c>
      <c r="P126" s="31" t="n">
        <v>24.15</v>
      </c>
      <c r="Q126" s="31" t="n">
        <v>470.01</v>
      </c>
      <c r="R126" s="30" t="inlineStr">
        <is>
          <t>Volume Spike &amp; Near 52W High Breakout</t>
        </is>
      </c>
      <c r="S126" s="30" t="inlineStr">
        <is>
          <t>Nifty 50</t>
        </is>
      </c>
      <c r="T126" s="31" t="n">
        <v>-6.54</v>
      </c>
      <c r="U126" s="31" t="n">
        <v>8.140000000000001</v>
      </c>
      <c r="V126" s="31" t="n">
        <v>15.71</v>
      </c>
      <c r="W126" s="31" t="n">
        <v>10.94</v>
      </c>
      <c r="X126" s="30" t="inlineStr">
        <is>
          <t>Growing Industry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No</t>
        </is>
      </c>
      <c r="AC126" s="30">
        <f>IF(AB126="No",5,0)</f>
        <v/>
      </c>
      <c r="AD126" s="30" t="inlineStr">
        <is>
          <t>Tailwind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Yes</t>
        </is>
      </c>
      <c r="AQ126" s="30">
        <f>IF(AP126="Yes",10,0)</f>
        <v/>
      </c>
      <c r="AR126" s="30" t="inlineStr">
        <is>
          <t>Higher One Time, Lower Annuity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20 to 40</t>
        </is>
      </c>
      <c r="AY126" s="30">
        <f>IF(AX126="Above 40",20,IF(AX126="20 to 40",10,IF(AX126="0 to 20",-5,0)))</f>
        <v/>
      </c>
      <c r="AZ126" s="30" t="inlineStr">
        <is>
          <t>Between 50 to 75</t>
        </is>
      </c>
      <c r="BA126" s="30">
        <f>IF(AZ126="Between 50 to 75",10,IF(AZ126="Above 75",0,0))</f>
        <v/>
      </c>
      <c r="BB126" s="30" t="inlineStr">
        <is>
          <t>Stage 2</t>
        </is>
      </c>
      <c r="BC126" s="30">
        <f>IF(BB126="Stage 2",20,IF(BB126="Stage 1",0,IF(BB126="Stage 3",5,IF(BB126="Stage 4",-5,0))))</f>
        <v/>
      </c>
      <c r="BD126" s="30" t="inlineStr">
        <is>
          <t>Positive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Close to 52 week high or retracement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Less than 12%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Yes</t>
        </is>
      </c>
      <c r="BS126" s="30">
        <f>IF(BR126="NO",5,0)</f>
        <v/>
      </c>
      <c r="BT126" s="30" t="inlineStr">
        <is>
          <t>Above 2</t>
        </is>
      </c>
      <c r="BU126" s="30">
        <f>IF(BT126="Above 2",0,IF(BT126="Between 1.5 to 2",5,IF(BT126="Less than 1.5",10,0)))</f>
        <v/>
      </c>
      <c r="BV126" s="30" t="inlineStr">
        <is>
          <t>Above 70%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IF(B127=0,"",RANK(B127,$B$2:$B$306,0))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IDEAFORGE</t>
        </is>
      </c>
      <c r="D127" s="30" t="inlineStr">
        <is>
          <t>Ideaforge Technology Ltd</t>
        </is>
      </c>
      <c r="E127" s="30" t="inlineStr">
        <is>
          <t>aerospace &amp; defence</t>
        </is>
      </c>
      <c r="F127" s="30" t="inlineStr">
        <is>
          <t>engineering</t>
        </is>
      </c>
      <c r="G127" s="30" t="inlineStr">
        <is>
          <t>smallcap</t>
        </is>
      </c>
      <c r="H127" s="31" t="n">
        <v>3894.83</v>
      </c>
      <c r="I127" s="31" t="n">
        <v>945</v>
      </c>
      <c r="J127" s="31" t="n">
        <v>5</v>
      </c>
      <c r="K127" s="31" t="n">
        <v>221612</v>
      </c>
      <c r="L127" s="30" t="n">
        <v>92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80.69</v>
      </c>
      <c r="P127" s="31" t="n">
        <v>37.87</v>
      </c>
      <c r="Q127" s="31" t="n">
        <v>682.3</v>
      </c>
      <c r="R127" s="30" t="inlineStr">
        <is>
          <t>Near 52W High Breakout</t>
        </is>
      </c>
      <c r="S127" s="30" t="inlineStr">
        <is>
          <t>Nifty Infra</t>
        </is>
      </c>
      <c r="T127" s="31" t="n">
        <v>1.11</v>
      </c>
      <c r="U127" s="31" t="n">
        <v>59.8</v>
      </c>
      <c r="V127" s="31" t="n">
        <v>58.04</v>
      </c>
      <c r="W127" s="31" t="n">
        <v>40.21</v>
      </c>
      <c r="X127" s="30" t="inlineStr">
        <is>
          <t>Growing Industry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No</t>
        </is>
      </c>
      <c r="AC127" s="30">
        <f>IF(AB127="No",5,0)</f>
        <v/>
      </c>
      <c r="AD127" s="30" t="inlineStr">
        <is>
          <t>Tailwind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Yes</t>
        </is>
      </c>
      <c r="AQ127" s="30">
        <f>IF(AP127="Yes",10,0)</f>
        <v/>
      </c>
      <c r="AR127" s="30" t="inlineStr">
        <is>
          <t>Higher One Time, Lower Annuity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20 to 40</t>
        </is>
      </c>
      <c r="AY127" s="30">
        <f>IF(AX127="Above 40",20,IF(AX127="20 to 40",10,IF(AX127="0 to 20",-5,0)))</f>
        <v/>
      </c>
      <c r="AZ127" s="30" t="inlineStr">
        <is>
          <t>Above 75</t>
        </is>
      </c>
      <c r="BA127" s="30">
        <f>IF(AZ127="Between 50 to 75",10,IF(AZ127="Above 75",0,0))</f>
        <v/>
      </c>
      <c r="BB127" s="30" t="inlineStr">
        <is>
          <t>Stage 2</t>
        </is>
      </c>
      <c r="BC127" s="30">
        <f>IF(BB127="Stage 2",20,IF(BB127="Stage 1",0,IF(BB127="Stage 3",5,IF(BB127="Stage 4",-5,0))))</f>
        <v/>
      </c>
      <c r="BD127" s="30" t="inlineStr">
        <is>
          <t>Positive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Blue sky scenario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More than 20%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No</t>
        </is>
      </c>
      <c r="BS127" s="30">
        <f>IF(BR127="NO",5,0)</f>
        <v/>
      </c>
      <c r="BT127" s="30" t="inlineStr">
        <is>
          <t>Above 2</t>
        </is>
      </c>
      <c r="BU127" s="30">
        <f>IF(BT127="Above 2",0,IF(BT127="Between 1.5 to 2",5,IF(BT127="Less than 1.5",10,0)))</f>
        <v/>
      </c>
      <c r="BV127" s="30" t="inlineStr">
        <is>
          <t>Negative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Less than 0.7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IF(B128=0,"",RANK(B128,$B$2:$B$306,0))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WABAG</t>
        </is>
      </c>
      <c r="D128" s="30" t="inlineStr">
        <is>
          <t>Va Tech Wabag Limited</t>
        </is>
      </c>
      <c r="E128" s="30" t="inlineStr">
        <is>
          <t>realty</t>
        </is>
      </c>
      <c r="F128" s="30" t="inlineStr">
        <is>
          <t>engineering - turnkey services</t>
        </is>
      </c>
      <c r="G128" s="30" t="inlineStr">
        <is>
          <t>midcap</t>
        </is>
      </c>
      <c r="H128" s="31" t="n">
        <v>9724.040000000001</v>
      </c>
      <c r="I128" s="31" t="n">
        <v>1600.4</v>
      </c>
      <c r="J128" s="31" t="n">
        <v>2.55</v>
      </c>
      <c r="K128" s="31" t="n">
        <v>438879</v>
      </c>
      <c r="L128" s="30" t="n">
        <v>29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65.93000000000001</v>
      </c>
      <c r="P128" s="31" t="n">
        <v>15.24</v>
      </c>
      <c r="Q128" s="31" t="n">
        <v>1255.8</v>
      </c>
      <c r="R128" s="30" t="inlineStr">
        <is>
          <t>Near 52W High Breakout</t>
        </is>
      </c>
      <c r="S128" s="30" t="inlineStr">
        <is>
          <t>Nifty Realty</t>
        </is>
      </c>
      <c r="T128" s="31" t="n">
        <v>-26.04</v>
      </c>
      <c r="U128" s="31" t="n">
        <v>1.17</v>
      </c>
      <c r="V128" s="31" t="n">
        <v>36.78</v>
      </c>
      <c r="W128" s="31" t="n">
        <v>7.37</v>
      </c>
      <c r="X128" s="30" t="inlineStr">
        <is>
          <t>Growing Industry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No</t>
        </is>
      </c>
      <c r="AC128" s="30">
        <f>IF(AB128="No",5,0)</f>
        <v/>
      </c>
      <c r="AD128" s="30" t="inlineStr">
        <is>
          <t>Tailwind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Yes</t>
        </is>
      </c>
      <c r="AQ128" s="30">
        <f>IF(AP128="Yes",10,0)</f>
        <v/>
      </c>
      <c r="AR128" s="30" t="inlineStr">
        <is>
          <t>Higher One Time, Lower Annuity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0 to 20</t>
        </is>
      </c>
      <c r="AY128" s="30">
        <f>IF(AX128="Above 40",20,IF(AX128="20 to 40",10,IF(AX128="0 to 20",-5,0)))</f>
        <v/>
      </c>
      <c r="AZ128" s="30" t="inlineStr">
        <is>
          <t>Between 50 to 75</t>
        </is>
      </c>
      <c r="BA128" s="30">
        <f>IF(AZ128="Between 50 to 75",10,IF(AZ128="Above 75",0,0))</f>
        <v/>
      </c>
      <c r="BB128" s="30" t="inlineStr">
        <is>
          <t>Stage 2</t>
        </is>
      </c>
      <c r="BC128" s="30">
        <f>IF(BB128="Stage 2",20,IF(BB128="Stage 1",0,IF(BB128="Stage 3",5,IF(BB128="Stage 4",-5,0))))</f>
        <v/>
      </c>
      <c r="BD128" s="30" t="inlineStr">
        <is>
          <t>Positive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Close to 52 week high or retracement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More than 20%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No</t>
        </is>
      </c>
      <c r="BS128" s="30">
        <f>IF(BR128="NO",5,0)</f>
        <v/>
      </c>
      <c r="BT128" s="30" t="inlineStr">
        <is>
          <t>Less than 1.5</t>
        </is>
      </c>
      <c r="BU128" s="30">
        <f>IF(BT128="Above 2",0,IF(BT128="Between 1.5 to 2",5,IF(BT128="Less than 1.5",10,0)))</f>
        <v/>
      </c>
      <c r="BV128" s="30" t="inlineStr">
        <is>
          <t>Less than 50%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IF(B129=0,"",RANK(B129,$B$2:$B$306,0))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GHCLTEXTIL</t>
        </is>
      </c>
      <c r="D129" s="30" t="inlineStr">
        <is>
          <t>GHCL Textiles Ltd</t>
        </is>
      </c>
      <c r="E129" s="30" t="inlineStr">
        <is>
          <t>textiles</t>
        </is>
      </c>
      <c r="F129" s="30" t="inlineStr">
        <is>
          <t>textiles - spinning - synthetic / blended</t>
        </is>
      </c>
      <c r="G129" s="30" t="inlineStr">
        <is>
          <t>smallcap</t>
        </is>
      </c>
      <c r="H129" s="31" t="n">
        <v>921.45</v>
      </c>
      <c r="I129" s="31" t="n">
        <v>98.77</v>
      </c>
      <c r="J129" s="31" t="n">
        <v>2.46</v>
      </c>
      <c r="K129" s="31" t="n">
        <v>707347</v>
      </c>
      <c r="L129" s="30" t="n">
        <v>38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66.43000000000001</v>
      </c>
      <c r="P129" s="31" t="n">
        <v>16.5</v>
      </c>
      <c r="Q129" s="31" t="n">
        <v>73.43000000000001</v>
      </c>
      <c r="R129" s="30" t="inlineStr">
        <is>
          <t>Near 52W High Breakout</t>
        </is>
      </c>
      <c r="S129" s="30" t="inlineStr">
        <is>
          <t>Nifty 50</t>
        </is>
      </c>
      <c r="T129" s="31" t="n">
        <v>-6.54</v>
      </c>
      <c r="U129" s="31" t="n">
        <v>8.890000000000001</v>
      </c>
      <c r="V129" s="31" t="n">
        <v>16.51</v>
      </c>
      <c r="W129" s="31" t="n">
        <v>10.41</v>
      </c>
      <c r="X129" s="30" t="inlineStr">
        <is>
          <t>Growing Industry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Tailwind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B2B</t>
        </is>
      </c>
      <c r="AO129" s="30">
        <f>IF(AN129="B2C",10,IF(AN129="B2B",5,0))</f>
        <v/>
      </c>
      <c r="AP129" s="30" t="inlineStr">
        <is>
          <t>Yes</t>
        </is>
      </c>
      <c r="AQ129" s="30">
        <f>IF(AP129="Yes",10,0)</f>
        <v/>
      </c>
      <c r="AR129" s="30" t="inlineStr">
        <is>
          <t>Higher One Time, Lower Annuity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0 to 20</t>
        </is>
      </c>
      <c r="AY129" s="30">
        <f>IF(AX129="Above 40",20,IF(AX129="20 to 40",10,IF(AX129="0 to 20",-5,0)))</f>
        <v/>
      </c>
      <c r="AZ129" s="30" t="inlineStr">
        <is>
          <t>Between 50 to 75</t>
        </is>
      </c>
      <c r="BA129" s="30">
        <f>IF(AZ129="Between 50 to 75",10,IF(AZ129="Above 75",0,0))</f>
        <v/>
      </c>
      <c r="BB129" s="30" t="inlineStr">
        <is>
          <t>Stage 2</t>
        </is>
      </c>
      <c r="BC129" s="30">
        <f>IF(BB129="Stage 2",20,IF(BB129="Stage 1",0,IF(BB129="Stage 3",5,IF(BB129="Stage 4",-5,0))))</f>
        <v/>
      </c>
      <c r="BD129" s="30" t="inlineStr">
        <is>
          <t>Positive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Close to 52 week high or retracement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No</t>
        </is>
      </c>
      <c r="BS129" s="30">
        <f>IF(BR129="NO",5,0)</f>
        <v/>
      </c>
      <c r="BT129" s="30" t="inlineStr">
        <is>
          <t>Less than 1.5</t>
        </is>
      </c>
      <c r="BU129" s="30">
        <f>IF(BT129="Above 2",0,IF(BT129="Between 1.5 to 2",5,IF(BT129="Less than 1.5",10,0)))</f>
        <v/>
      </c>
      <c r="BV129" s="30" t="inlineStr">
        <is>
          <t>Less than 50%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Less than 0.7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IF(B130=0,"",RANK(B130,$B$2:$B$306,0))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0" t="inlineStr">
        <is>
          <t>AEGISLOG</t>
        </is>
      </c>
      <c r="D130" s="30" t="inlineStr">
        <is>
          <t>Aegis Logistics Ltd</t>
        </is>
      </c>
      <c r="E130" s="30" t="inlineStr">
        <is>
          <t>services</t>
        </is>
      </c>
      <c r="F130" s="30" t="inlineStr">
        <is>
          <t>trading</t>
        </is>
      </c>
      <c r="G130" s="30" t="inlineStr">
        <is>
          <t>largecap</t>
        </is>
      </c>
      <c r="H130" s="31" t="n">
        <v>26528.58</v>
      </c>
      <c r="I130" s="31" t="n">
        <v>770.4</v>
      </c>
      <c r="J130" s="31" t="n">
        <v>1.93</v>
      </c>
      <c r="K130" s="31" t="n">
        <v>758298</v>
      </c>
      <c r="L130" s="30" t="n">
        <v>9</v>
      </c>
      <c r="M130" s="30" t="inlineStr">
        <is>
          <t>Outperforming</t>
        </is>
      </c>
      <c r="N130" s="31">
        <f>IF(M130="Underperforming",-5,IF(L130&gt;=95,15,IF(L130&gt;=90,10,IF(L130&gt;=80,5,0))))</f>
        <v/>
      </c>
      <c r="O130" s="31" t="n">
        <v>59.14</v>
      </c>
      <c r="P130" s="31" t="n">
        <v>16.52</v>
      </c>
      <c r="Q130" s="31" t="n">
        <v>585.92</v>
      </c>
      <c r="R130" s="30" t="inlineStr">
        <is>
          <t>Earnings / Momentum Support</t>
        </is>
      </c>
      <c r="S130" s="30" t="inlineStr">
        <is>
          <t>Nifty 50</t>
        </is>
      </c>
      <c r="T130" s="31" t="n">
        <v>-6.54</v>
      </c>
      <c r="U130" s="31" t="n">
        <v>-2.67</v>
      </c>
      <c r="V130" s="31" t="n">
        <v>4.14</v>
      </c>
      <c r="W130" s="31" t="n">
        <v>3.15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No</t>
        </is>
      </c>
      <c r="AC130" s="30">
        <f>IF(AB130="No",5,0)</f>
        <v/>
      </c>
      <c r="AD130" s="30" t="inlineStr">
        <is>
          <t>Tailwind</t>
        </is>
      </c>
      <c r="AE130" s="30">
        <f>IF(AD130="Tailwind",10,0)</f>
        <v/>
      </c>
      <c r="AF130" s="30" t="inlineStr">
        <is>
          <t>Structural (10 Years Consistency)</t>
        </is>
      </c>
      <c r="AG130" s="30">
        <f>IF(AF130="Structural (10 Years Consistency)",10,IF(AF130="Shallow Cyclical (2 to 3 years growth)",5,0))</f>
        <v/>
      </c>
      <c r="AH130" s="30" t="inlineStr">
        <is>
          <t>No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B2B</t>
        </is>
      </c>
      <c r="AO130" s="30">
        <f>IF(AN130="B2C",10,IF(AN130="B2B",5,0))</f>
        <v/>
      </c>
      <c r="AP130" s="30" t="inlineStr">
        <is>
          <t>No</t>
        </is>
      </c>
      <c r="AQ130" s="30">
        <f>IF(AP130="Yes",10,0)</f>
        <v/>
      </c>
      <c r="AR130" s="30" t="inlineStr">
        <is>
          <t>Higher One Time, Lower Annuity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0 to 20</t>
        </is>
      </c>
      <c r="AY130" s="30">
        <f>IF(AX130="Above 40",20,IF(AX130="20 to 40",10,IF(AX130="0 to 20",-5,0)))</f>
        <v/>
      </c>
      <c r="AZ130" s="30" t="inlineStr">
        <is>
          <t>Between 50 to 75</t>
        </is>
      </c>
      <c r="BA130" s="30">
        <f>IF(AZ130="Between 50 to 75",10,IF(AZ130="Above 75",0,0))</f>
        <v/>
      </c>
      <c r="BB130" s="30" t="inlineStr">
        <is>
          <t>Stage 2</t>
        </is>
      </c>
      <c r="BC130" s="30">
        <f>IF(BB130="Stage 2",20,IF(BB130="Stage 1",0,IF(BB130="Stage 3",5,IF(BB130="Stage 4",-5,0))))</f>
        <v/>
      </c>
      <c r="BD130" s="30" t="inlineStr">
        <is>
          <t>Positive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Close to 52 week high or retracement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More than 20%</t>
        </is>
      </c>
      <c r="BO130" s="30">
        <f>IF(BN130="More than 20%",10,IF(BN130="Between 12 to 20%",5,IF(BN130="Less than 12%",0,0)))</f>
        <v/>
      </c>
      <c r="BP130" s="30" t="inlineStr">
        <is>
          <t>No</t>
        </is>
      </c>
      <c r="BQ130" s="30">
        <f>IF(BP130="No",10,0)</f>
        <v/>
      </c>
      <c r="BR130" s="30" t="inlineStr">
        <is>
          <t>No</t>
        </is>
      </c>
      <c r="BS130" s="30">
        <f>IF(BR130="NO",5,0)</f>
        <v/>
      </c>
      <c r="BT130" s="30" t="inlineStr">
        <is>
          <t>Less than 1.5</t>
        </is>
      </c>
      <c r="BU130" s="30">
        <f>IF(BT130="Above 2",0,IF(BT130="Between 1.5 to 2",5,IF(BT130="Less than 1.5",10,0)))</f>
        <v/>
      </c>
      <c r="BV130" s="30" t="inlineStr">
        <is>
          <t>Above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IF(B131=0,"",RANK(B131,$B$2:$B$306,0))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NH</t>
        </is>
      </c>
      <c r="D131" s="30" t="inlineStr">
        <is>
          <t>Narayana Hrudayalaya Ltd.</t>
        </is>
      </c>
      <c r="E131" s="30" t="inlineStr">
        <is>
          <t>healthcare</t>
        </is>
      </c>
      <c r="F131" s="30" t="inlineStr">
        <is>
          <t>healthcare</t>
        </is>
      </c>
      <c r="G131" s="30" t="inlineStr">
        <is>
          <t>largecap</t>
        </is>
      </c>
      <c r="H131" s="31" t="n">
        <v>39834.01</v>
      </c>
      <c r="I131" s="31" t="n">
        <v>1969.2</v>
      </c>
      <c r="J131" s="31" t="n">
        <v>1.03</v>
      </c>
      <c r="K131" s="31" t="n">
        <v>224931</v>
      </c>
      <c r="L131" s="30" t="n">
        <v>18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62.28</v>
      </c>
      <c r="P131" s="31" t="n">
        <v>17.35</v>
      </c>
      <c r="Q131" s="31" t="n">
        <v>1626.91</v>
      </c>
      <c r="R131" s="30" t="inlineStr">
        <is>
          <t>Earnings / Momentum Support</t>
        </is>
      </c>
      <c r="S131" s="30" t="inlineStr">
        <is>
          <t>Nifty Pharma</t>
        </is>
      </c>
      <c r="T131" s="31" t="n">
        <v>11.82</v>
      </c>
      <c r="U131" s="31" t="n">
        <v>12.75</v>
      </c>
      <c r="V131" s="31" t="n">
        <v>0.83</v>
      </c>
      <c r="W131" s="31" t="n">
        <v>5.11</v>
      </c>
      <c r="X131" s="30" t="inlineStr">
        <is>
          <t>Growing Industry</t>
        </is>
      </c>
      <c r="Y131" s="30">
        <f>IF(X131="Growing Industry",10,IF(X131="Cyclical in an Upturn",5,0))</f>
        <v/>
      </c>
      <c r="Z131" s="30" t="inlineStr">
        <is>
          <t>Too Many Players with High ROCE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Yes</t>
        </is>
      </c>
      <c r="AC131" s="30">
        <f>IF(AB131="No",5,0)</f>
        <v/>
      </c>
      <c r="AD131" s="30" t="inlineStr">
        <is>
          <t>Tailwind</t>
        </is>
      </c>
      <c r="AE131" s="30">
        <f>IF(AD131="Tailwind",10,0)</f>
        <v/>
      </c>
      <c r="AF131" s="30" t="inlineStr">
        <is>
          <t>Shallow Cyclical (2 to 3 Years Growth)</t>
        </is>
      </c>
      <c r="AG131" s="30">
        <f>IF(AF131="Structural (10 Years Consistency)",10,IF(AF131="Shallow Cyclical (2 to 3 years growth)",5,0))</f>
        <v/>
      </c>
      <c r="AH131" s="30" t="inlineStr">
        <is>
          <t>Yes due to Product Mix change or Operating Leverage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B2C</t>
        </is>
      </c>
      <c r="AO131" s="30">
        <f>IF(AN131="B2C",10,IF(AN131="B2B",5,0))</f>
        <v/>
      </c>
      <c r="AP131" s="30" t="inlineStr">
        <is>
          <t>No</t>
        </is>
      </c>
      <c r="AQ131" s="30">
        <f>IF(AP131="Yes",10,0)</f>
        <v/>
      </c>
      <c r="AR131" s="30" t="inlineStr">
        <is>
          <t>Higher One Time, Lower Annuity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20 to 40</t>
        </is>
      </c>
      <c r="AY131" s="30">
        <f>IF(AX131="Above 40",20,IF(AX131="20 to 40",10,IF(AX131="0 to 20",-5,0)))</f>
        <v/>
      </c>
      <c r="AZ131" s="30" t="inlineStr">
        <is>
          <t>Between 50 to 75</t>
        </is>
      </c>
      <c r="BA131" s="30">
        <f>IF(AZ131="Between 50 to 75",10,IF(AZ131="Above 75",0,0))</f>
        <v/>
      </c>
      <c r="BB131" s="30" t="inlineStr">
        <is>
          <t>Stage 2</t>
        </is>
      </c>
      <c r="BC131" s="30">
        <f>IF(BB131="Stage 2",20,IF(BB131="Stage 1",0,IF(BB131="Stage 3",5,IF(BB131="Stage 4",-5,0))))</f>
        <v/>
      </c>
      <c r="BD131" s="30" t="inlineStr">
        <is>
          <t>Positive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Close to 52 week high or retracement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Between 12 to 20%</t>
        </is>
      </c>
      <c r="BO131" s="30">
        <f>IF(BN131="More than 20%",10,IF(BN131="Between 12 to 20%",5,IF(BN131="Less than 12%",0,0)))</f>
        <v/>
      </c>
      <c r="BP131" s="30" t="inlineStr">
        <is>
          <t>Yes</t>
        </is>
      </c>
      <c r="BQ131" s="30">
        <f>IF(BP131="No",10,0)</f>
        <v/>
      </c>
      <c r="BR131" s="30" t="inlineStr">
        <is>
          <t>No</t>
        </is>
      </c>
      <c r="BS131" s="30">
        <f>IF(BR131="NO",5,0)</f>
        <v/>
      </c>
      <c r="BT131" s="30" t="inlineStr">
        <is>
          <t>Less than 1.5</t>
        </is>
      </c>
      <c r="BU131" s="30">
        <f>IF(BT131="Above 2",0,IF(BT131="Between 1.5 to 2",5,IF(BT131="Less than 1.5",10,0)))</f>
        <v/>
      </c>
      <c r="BV131" s="30" t="inlineStr">
        <is>
          <t>Above 70%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Less than 0.7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IF(B132=0,"",RANK(B132,$B$2:$B$306,0))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AIAENG</t>
        </is>
      </c>
      <c r="D132" s="30" t="inlineStr">
        <is>
          <t>Aia Engineering Limited</t>
        </is>
      </c>
      <c r="E132" s="30" t="inlineStr">
        <is>
          <t>industrials</t>
        </is>
      </c>
      <c r="F132" s="30" t="inlineStr">
        <is>
          <t>castings &amp; forgings</t>
        </is>
      </c>
      <c r="G132" s="30" t="inlineStr">
        <is>
          <t>largecap</t>
        </is>
      </c>
      <c r="H132" s="31" t="n">
        <v>42894.71</v>
      </c>
      <c r="I132" s="31" t="n">
        <v>4630.7</v>
      </c>
      <c r="J132" s="31" t="n">
        <v>0.74</v>
      </c>
      <c r="K132" s="31" t="n">
        <v>206638</v>
      </c>
      <c r="L132" s="30" t="n">
        <v>46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71.56999999999999</v>
      </c>
      <c r="P132" s="31" t="n">
        <v>15.73</v>
      </c>
      <c r="Q132" s="31" t="n">
        <v>3759.83</v>
      </c>
      <c r="R132" s="30" t="inlineStr">
        <is>
          <t>Volume Spike &amp; Near 52W High Breakout</t>
        </is>
      </c>
      <c r="S132" s="30" t="inlineStr">
        <is>
          <t>Nifty 50</t>
        </is>
      </c>
      <c r="T132" s="31" t="n">
        <v>-6.54</v>
      </c>
      <c r="U132" s="31" t="n">
        <v>32.92</v>
      </c>
      <c r="V132" s="31" t="n">
        <v>42.23</v>
      </c>
      <c r="W132" s="31" t="n">
        <v>12.16</v>
      </c>
      <c r="X132" s="30" t="inlineStr">
        <is>
          <t>Cyclical in an Upturn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No</t>
        </is>
      </c>
      <c r="AC132" s="30">
        <f>IF(AB132="No",5,0)</f>
        <v/>
      </c>
      <c r="AD132" s="30" t="inlineStr">
        <is>
          <t>Tailwind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Yes</t>
        </is>
      </c>
      <c r="AQ132" s="30">
        <f>IF(AP132="Yes",10,0)</f>
        <v/>
      </c>
      <c r="AR132" s="30" t="inlineStr">
        <is>
          <t>Higher One Time, Lower Annuity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0 to 20</t>
        </is>
      </c>
      <c r="AY132" s="30">
        <f>IF(AX132="Above 40",20,IF(AX132="20 to 40",10,IF(AX132="0 to 20",-5,0)))</f>
        <v/>
      </c>
      <c r="AZ132" s="30" t="inlineStr">
        <is>
          <t>Between 50 to 75</t>
        </is>
      </c>
      <c r="BA132" s="30">
        <f>IF(AZ132="Between 50 to 75",10,IF(AZ132="Above 75",0,0))</f>
        <v/>
      </c>
      <c r="BB132" s="30" t="inlineStr">
        <is>
          <t>Stage 2</t>
        </is>
      </c>
      <c r="BC132" s="30">
        <f>IF(BB132="Stage 2",20,IF(BB132="Stage 1",0,IF(BB132="Stage 3",5,IF(BB132="Stage 4",-5,0))))</f>
        <v/>
      </c>
      <c r="BD132" s="30" t="inlineStr">
        <is>
          <t>Positive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Blue sky scenario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More than 20%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No</t>
        </is>
      </c>
      <c r="BS132" s="30">
        <f>IF(BR132="NO",5,0)</f>
        <v/>
      </c>
      <c r="BT132" s="30" t="inlineStr">
        <is>
          <t>Less than 1.5</t>
        </is>
      </c>
      <c r="BU132" s="30">
        <f>IF(BT132="Above 2",0,IF(BT132="Between 1.5 to 2",5,IF(BT132="Less than 1.5",10,0)))</f>
        <v/>
      </c>
      <c r="BV132" s="30" t="inlineStr">
        <is>
          <t>Less than 50%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Less than 0.7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IF(B133=0,"",RANK(B133,$B$2:$B$306,0))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SONACOMS</t>
        </is>
      </c>
      <c r="D133" s="30" t="inlineStr">
        <is>
          <t>Sona BLW Precision Forgings Ltd</t>
        </is>
      </c>
      <c r="E133" s="30" t="inlineStr">
        <is>
          <t>auto</t>
        </is>
      </c>
      <c r="F133" s="30" t="inlineStr">
        <is>
          <t>auto ancillaries</t>
        </is>
      </c>
      <c r="G133" s="30" t="inlineStr">
        <is>
          <t>largecap</t>
        </is>
      </c>
      <c r="H133" s="31" t="n">
        <v>37382.33</v>
      </c>
      <c r="I133" s="31" t="n">
        <v>602.3</v>
      </c>
      <c r="J133" s="31" t="n">
        <v>0.19</v>
      </c>
      <c r="K133" s="31" t="n">
        <v>1525449</v>
      </c>
      <c r="L133" s="30" t="n">
        <v>29</v>
      </c>
      <c r="M133" s="30" t="inlineStr">
        <is>
          <t>Outperforming</t>
        </is>
      </c>
      <c r="N133" s="31">
        <f>IF(M133="Underperforming",-5,IF(L133&gt;=95,15,IF(L133&gt;=90,10,IF(L133&gt;=80,5,0))))</f>
        <v/>
      </c>
      <c r="O133" s="31" t="n">
        <v>62.72</v>
      </c>
      <c r="P133" s="31" t="n">
        <v>23.21</v>
      </c>
      <c r="Q133" s="31" t="n">
        <v>493.2</v>
      </c>
      <c r="R133" s="30" t="inlineStr">
        <is>
          <t>Near 52W High Breakout</t>
        </is>
      </c>
      <c r="S133" s="30" t="inlineStr">
        <is>
          <t>Nifty Auto</t>
        </is>
      </c>
      <c r="T133" s="31" t="n">
        <v>10.59</v>
      </c>
      <c r="U133" s="31" t="n">
        <v>18.84</v>
      </c>
      <c r="V133" s="31" t="n">
        <v>7.47</v>
      </c>
      <c r="W133" s="31" t="n">
        <v>7.45</v>
      </c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Tailwind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Yes</t>
        </is>
      </c>
      <c r="AQ133" s="30">
        <f>IF(AP133="Yes",10,0)</f>
        <v/>
      </c>
      <c r="AR133" s="30" t="inlineStr">
        <is>
          <t>Higher One Time, Lower Annuity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20 to 40</t>
        </is>
      </c>
      <c r="AY133" s="30">
        <f>IF(AX133="Above 40",20,IF(AX133="20 to 40",10,IF(AX133="0 to 20",-5,0)))</f>
        <v/>
      </c>
      <c r="AZ133" s="30" t="inlineStr">
        <is>
          <t>Between 50 to 75</t>
        </is>
      </c>
      <c r="BA133" s="30">
        <f>IF(AZ133="Between 50 to 75",10,IF(AZ133="Above 75",0,0))</f>
        <v/>
      </c>
      <c r="BB133" s="30" t="inlineStr">
        <is>
          <t>Stage 2</t>
        </is>
      </c>
      <c r="BC133" s="30">
        <f>IF(BB133="Stage 2",20,IF(BB133="Stage 1",0,IF(BB133="Stage 3",5,IF(BB133="Stage 4",-5,0))))</f>
        <v/>
      </c>
      <c r="BD133" s="30" t="inlineStr">
        <is>
          <t>Positive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Close to 52 week high or retracement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Between 12 to 20%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Yes</t>
        </is>
      </c>
      <c r="BS133" s="30">
        <f>IF(BR133="NO",5,0)</f>
        <v/>
      </c>
      <c r="BT133" s="30" t="inlineStr">
        <is>
          <t>Above 2</t>
        </is>
      </c>
      <c r="BU133" s="30">
        <f>IF(BT133="Above 2",0,IF(BT133="Between 1.5 to 2",5,IF(BT133="Less than 1.5",10,0)))</f>
        <v/>
      </c>
      <c r="BV133" s="30" t="inlineStr">
        <is>
          <t>Between 50% to 70%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IF(B134=0,"",RANK(B134,$B$2:$B$306,0))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WELENT</t>
        </is>
      </c>
      <c r="D134" s="30" t="inlineStr">
        <is>
          <t>Welspun Enterprises Limited</t>
        </is>
      </c>
      <c r="E134" s="30" t="inlineStr">
        <is>
          <t>realty</t>
        </is>
      </c>
      <c r="F134" s="30" t="inlineStr">
        <is>
          <t>construction</t>
        </is>
      </c>
      <c r="G134" s="30" t="inlineStr">
        <is>
          <t>midcap</t>
        </is>
      </c>
      <c r="H134" s="31" t="n">
        <v>7484.73</v>
      </c>
      <c r="I134" s="31" t="n">
        <v>541.4</v>
      </c>
      <c r="J134" s="31" t="n">
        <v>0.12</v>
      </c>
      <c r="K134" s="31" t="n">
        <v>245430</v>
      </c>
      <c r="L134" s="30" t="n">
        <v>18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60.73</v>
      </c>
      <c r="P134" s="31" t="n">
        <v>12.15</v>
      </c>
      <c r="Q134" s="31" t="n">
        <v>419.47</v>
      </c>
      <c r="R134" s="30" t="inlineStr">
        <is>
          <t>Near 52W High Breakout</t>
        </is>
      </c>
      <c r="S134" s="30" t="inlineStr">
        <is>
          <t>Nifty Realty</t>
        </is>
      </c>
      <c r="T134" s="31" t="n">
        <v>-26.04</v>
      </c>
      <c r="U134" s="31" t="n">
        <v>4.5</v>
      </c>
      <c r="V134" s="31" t="n">
        <v>41.29</v>
      </c>
      <c r="W134" s="31" t="n">
        <v>5.19</v>
      </c>
      <c r="X134" s="30" t="inlineStr">
        <is>
          <t>Growing Industry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No</t>
        </is>
      </c>
      <c r="AC134" s="30">
        <f>IF(AB134="No",5,0)</f>
        <v/>
      </c>
      <c r="AD134" s="30" t="inlineStr">
        <is>
          <t>Tailwind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B2B</t>
        </is>
      </c>
      <c r="AO134" s="30">
        <f>IF(AN134="B2C",10,IF(AN134="B2B",5,0))</f>
        <v/>
      </c>
      <c r="AP134" s="30" t="inlineStr">
        <is>
          <t>Yes</t>
        </is>
      </c>
      <c r="AQ134" s="30">
        <f>IF(AP134="Yes",10,0)</f>
        <v/>
      </c>
      <c r="AR134" s="30" t="inlineStr">
        <is>
          <t>Higher One Time, Lower Annuity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0 to 20</t>
        </is>
      </c>
      <c r="AY134" s="30">
        <f>IF(AX134="Above 40",20,IF(AX134="20 to 40",10,IF(AX134="0 to 20",-5,0)))</f>
        <v/>
      </c>
      <c r="AZ134" s="30" t="inlineStr">
        <is>
          <t>Between 50 to 75</t>
        </is>
      </c>
      <c r="BA134" s="30">
        <f>IF(AZ134="Between 50 to 75",10,IF(AZ134="Above 75",0,0))</f>
        <v/>
      </c>
      <c r="BB134" s="30" t="inlineStr">
        <is>
          <t>Stage 2</t>
        </is>
      </c>
      <c r="BC134" s="30">
        <f>IF(BB134="Stage 2",20,IF(BB134="Stage 1",0,IF(BB134="Stage 3",5,IF(BB134="Stage 4",-5,0))))</f>
        <v/>
      </c>
      <c r="BD134" s="30" t="inlineStr">
        <is>
          <t>Positive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Close to 52 week high or retracement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More than 20%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No</t>
        </is>
      </c>
      <c r="BS134" s="30">
        <f>IF(BR134="NO",5,0)</f>
        <v/>
      </c>
      <c r="BT134" s="30" t="inlineStr">
        <is>
          <t>Less than 1.5</t>
        </is>
      </c>
      <c r="BU134" s="30">
        <f>IF(BT134="Above 2",0,IF(BT134="Between 1.5 to 2",5,IF(BT134="Less than 1.5",10,0)))</f>
        <v/>
      </c>
      <c r="BV134" s="30" t="inlineStr">
        <is>
          <t>Less than 50%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Less than 0.7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IF(B135=0,"",RANK(B135,$B$2:$B$306,0))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CGPOWER</t>
        </is>
      </c>
      <c r="D135" s="30" t="inlineStr">
        <is>
          <t>CG Power and Industrial Solutions Ltd</t>
        </is>
      </c>
      <c r="E135" s="30" t="inlineStr">
        <is>
          <t>industrials</t>
        </is>
      </c>
      <c r="F135" s="30" t="inlineStr">
        <is>
          <t>electric equipment</t>
        </is>
      </c>
      <c r="G135" s="30" t="inlineStr">
        <is>
          <t>largecap</t>
        </is>
      </c>
      <c r="H135" s="31" t="n">
        <v>147711.86</v>
      </c>
      <c r="I135" s="31" t="n">
        <v>937.85</v>
      </c>
      <c r="J135" s="31" t="n">
        <v>-0.01</v>
      </c>
      <c r="K135" s="31" t="n">
        <v>4645742</v>
      </c>
      <c r="L135" s="30" t="n">
        <v>52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73.22</v>
      </c>
      <c r="P135" s="31" t="n">
        <v>22.76</v>
      </c>
      <c r="Q135" s="31" t="n">
        <v>767.8</v>
      </c>
      <c r="R135" s="30" t="inlineStr">
        <is>
          <t>Near 52W High Breakout</t>
        </is>
      </c>
      <c r="S135" s="30" t="inlineStr">
        <is>
          <t>Nifty 500</t>
        </is>
      </c>
      <c r="T135" s="31" t="n">
        <v>-3.02</v>
      </c>
      <c r="U135" s="31" t="n">
        <v>37.9</v>
      </c>
      <c r="V135" s="31" t="n">
        <v>42.19</v>
      </c>
      <c r="W135" s="31" t="n">
        <v>13.69</v>
      </c>
      <c r="X135" s="30" t="inlineStr">
        <is>
          <t>Cyclical in an Upturn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No</t>
        </is>
      </c>
      <c r="AC135" s="30">
        <f>IF(AB135="No",5,0)</f>
        <v/>
      </c>
      <c r="AD135" s="30" t="inlineStr">
        <is>
          <t>Tailwind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Yes</t>
        </is>
      </c>
      <c r="AQ135" s="30">
        <f>IF(AP135="Yes",10,0)</f>
        <v/>
      </c>
      <c r="AR135" s="30" t="inlineStr">
        <is>
          <t>Higher One Time, Lower Annuity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20 to 40</t>
        </is>
      </c>
      <c r="AY135" s="30">
        <f>IF(AX135="Above 40",20,IF(AX135="20 to 40",10,IF(AX135="0 to 20",-5,0)))</f>
        <v/>
      </c>
      <c r="AZ135" s="30" t="inlineStr">
        <is>
          <t>Between 50 to 75</t>
        </is>
      </c>
      <c r="BA135" s="30">
        <f>IF(AZ135="Between 50 to 75",10,IF(AZ135="Above 75",0,0))</f>
        <v/>
      </c>
      <c r="BB135" s="30" t="inlineStr">
        <is>
          <t>Stage 2</t>
        </is>
      </c>
      <c r="BC135" s="30">
        <f>IF(BB135="Stage 2",20,IF(BB135="Stage 1",0,IF(BB135="Stage 3",5,IF(BB135="Stage 4",-5,0))))</f>
        <v/>
      </c>
      <c r="BD135" s="30" t="inlineStr">
        <is>
          <t>Positive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Blue sky scenario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More than 20%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Yes</t>
        </is>
      </c>
      <c r="BS135" s="30">
        <f>IF(BR135="NO",5,0)</f>
        <v/>
      </c>
      <c r="BT135" s="30" t="inlineStr">
        <is>
          <t>Above 2</t>
        </is>
      </c>
      <c r="BU135" s="30">
        <f>IF(BT135="Above 2",0,IF(BT135="Between 1.5 to 2",5,IF(BT135="Less than 1.5",10,0)))</f>
        <v/>
      </c>
      <c r="BV135" s="30" t="inlineStr">
        <is>
          <t>Less than 50%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Less than 0.7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IF(B136=0,"",RANK(B136,$B$2:$B$306,0))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0" t="inlineStr">
        <is>
          <t>JNKINDIA</t>
        </is>
      </c>
      <c r="D136" s="30" t="inlineStr">
        <is>
          <t>JNK India Ltd</t>
        </is>
      </c>
      <c r="E136" s="30" t="inlineStr">
        <is>
          <t>realty</t>
        </is>
      </c>
      <c r="F136" s="30" t="inlineStr">
        <is>
          <t>engineering - turnkey services</t>
        </is>
      </c>
      <c r="G136" s="30" t="inlineStr">
        <is>
          <t>smallcap</t>
        </is>
      </c>
      <c r="H136" s="31" t="n">
        <v>2359.02</v>
      </c>
      <c r="I136" s="31" t="n">
        <v>421.3</v>
      </c>
      <c r="J136" s="31" t="n">
        <v>-0.07000000000000001</v>
      </c>
      <c r="K136" s="31" t="n">
        <v>1827501</v>
      </c>
      <c r="L136" s="30" t="n">
        <v>81</v>
      </c>
      <c r="M136" s="30" t="inlineStr">
        <is>
          <t>Outperforming</t>
        </is>
      </c>
      <c r="N136" s="31">
        <f>IF(M136="Underperforming",-5,IF(L136&gt;=95,15,IF(L136&gt;=90,10,IF(L136&gt;=80,5,0))))</f>
        <v/>
      </c>
      <c r="O136" s="31" t="n">
        <v>70.78</v>
      </c>
      <c r="P136" s="31" t="n">
        <v>25.29</v>
      </c>
      <c r="Q136" s="31" t="n">
        <v>287.51</v>
      </c>
      <c r="R136" s="30" t="inlineStr">
        <is>
          <t>Near 52W High Breakout</t>
        </is>
      </c>
      <c r="S136" s="30" t="inlineStr">
        <is>
          <t>Nifty Realty</t>
        </is>
      </c>
      <c r="T136" s="31" t="n">
        <v>-26.04</v>
      </c>
      <c r="U136" s="31" t="n">
        <v>21.97</v>
      </c>
      <c r="V136" s="31" t="n">
        <v>64.91</v>
      </c>
      <c r="W136" s="31" t="n">
        <v>26.03</v>
      </c>
      <c r="X136" s="30" t="inlineStr">
        <is>
          <t>Growing Industry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No</t>
        </is>
      </c>
      <c r="AC136" s="30">
        <f>IF(AB136="No",5,0)</f>
        <v/>
      </c>
      <c r="AD136" s="30" t="inlineStr">
        <is>
          <t>Tailwind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Yes</t>
        </is>
      </c>
      <c r="AQ136" s="30">
        <f>IF(AP136="Yes",10,0)</f>
        <v/>
      </c>
      <c r="AR136" s="30" t="inlineStr">
        <is>
          <t>Higher One Time, Lower Annuity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20 to 40</t>
        </is>
      </c>
      <c r="AY136" s="30">
        <f>IF(AX136="Above 40",20,IF(AX136="20 to 40",10,IF(AX136="0 to 20",-5,0)))</f>
        <v/>
      </c>
      <c r="AZ136" s="30" t="inlineStr">
        <is>
          <t>Between 50 to 75</t>
        </is>
      </c>
      <c r="BA136" s="30">
        <f>IF(AZ136="Between 50 to 75",10,IF(AZ136="Above 75",0,0))</f>
        <v/>
      </c>
      <c r="BB136" s="30" t="inlineStr">
        <is>
          <t>Stage 2</t>
        </is>
      </c>
      <c r="BC136" s="30">
        <f>IF(BB136="Stage 2",20,IF(BB136="Stage 1",0,IF(BB136="Stage 3",5,IF(BB136="Stage 4",-5,0))))</f>
        <v/>
      </c>
      <c r="BD136" s="30" t="inlineStr">
        <is>
          <t>Positive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Close to 52 week high or retracement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More than 20%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No</t>
        </is>
      </c>
      <c r="BS136" s="30">
        <f>IF(BR136="NO",5,0)</f>
        <v/>
      </c>
      <c r="BT136" s="30" t="inlineStr">
        <is>
          <t>Above 2</t>
        </is>
      </c>
      <c r="BU136" s="30">
        <f>IF(BT136="Above 2",0,IF(BT136="Between 1.5 to 2",5,IF(BT136="Less than 1.5",10,0)))</f>
        <v/>
      </c>
      <c r="BV136" s="30" t="inlineStr">
        <is>
          <t>Negative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Less than 0.7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IF(B137=0,"",RANK(B137,$B$2:$B$306,0))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0" t="inlineStr">
        <is>
          <t>POLYCAB</t>
        </is>
      </c>
      <c r="D137" s="30" t="inlineStr">
        <is>
          <t>Polycab India Ltd</t>
        </is>
      </c>
      <c r="E137" s="30" t="inlineStr">
        <is>
          <t>industrials</t>
        </is>
      </c>
      <c r="F137" s="30" t="inlineStr">
        <is>
          <t>cables - power</t>
        </is>
      </c>
      <c r="G137" s="30" t="inlineStr">
        <is>
          <t>largecap</t>
        </is>
      </c>
      <c r="H137" s="31" t="n">
        <v>146297.46</v>
      </c>
      <c r="I137" s="31" t="n">
        <v>9699</v>
      </c>
      <c r="J137" s="31" t="n">
        <v>-0.19</v>
      </c>
      <c r="K137" s="31" t="n">
        <v>256030</v>
      </c>
      <c r="L137" s="30" t="n">
        <v>49</v>
      </c>
      <c r="M137" s="30" t="inlineStr">
        <is>
          <t>Outperforming</t>
        </is>
      </c>
      <c r="N137" s="31">
        <f>IF(M137="Underperforming",-5,IF(L137&gt;=95,15,IF(L137&gt;=90,10,IF(L137&gt;=80,5,0))))</f>
        <v/>
      </c>
      <c r="O137" s="31" t="n">
        <v>70.5</v>
      </c>
      <c r="P137" s="31" t="n">
        <v>22.61</v>
      </c>
      <c r="Q137" s="31" t="n">
        <v>8063.45</v>
      </c>
      <c r="R137" s="30" t="inlineStr">
        <is>
          <t>Near 52W High Breakout</t>
        </is>
      </c>
      <c r="S137" s="30" t="inlineStr">
        <is>
          <t>Nifty Energy</t>
        </is>
      </c>
      <c r="T137" s="31" t="n">
        <v>12.31</v>
      </c>
      <c r="U137" s="31" t="n">
        <v>59.67</v>
      </c>
      <c r="V137" s="31" t="n">
        <v>42.17</v>
      </c>
      <c r="W137" s="31" t="n">
        <v>12.81</v>
      </c>
      <c r="X137" s="30" t="inlineStr">
        <is>
          <t>Cyclical in an Upturn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No</t>
        </is>
      </c>
      <c r="AC137" s="30">
        <f>IF(AB137="No",5,0)</f>
        <v/>
      </c>
      <c r="AD137" s="30" t="inlineStr">
        <is>
          <t>Tailwind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Yes</t>
        </is>
      </c>
      <c r="AQ137" s="30">
        <f>IF(AP137="Yes",10,0)</f>
        <v/>
      </c>
      <c r="AR137" s="30" t="inlineStr">
        <is>
          <t>Higher One Time, Lower Annuity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20 to 40</t>
        </is>
      </c>
      <c r="AY137" s="30">
        <f>IF(AX137="Above 40",20,IF(AX137="20 to 40",10,IF(AX137="0 to 20",-5,0)))</f>
        <v/>
      </c>
      <c r="AZ137" s="30" t="inlineStr">
        <is>
          <t>Between 50 to 75</t>
        </is>
      </c>
      <c r="BA137" s="30">
        <f>IF(AZ137="Between 50 to 75",10,IF(AZ137="Above 75",0,0))</f>
        <v/>
      </c>
      <c r="BB137" s="30" t="inlineStr">
        <is>
          <t>Stage 2</t>
        </is>
      </c>
      <c r="BC137" s="30">
        <f>IF(BB137="Stage 2",20,IF(BB137="Stage 1",0,IF(BB137="Stage 3",5,IF(BB137="Stage 4",-5,0))))</f>
        <v/>
      </c>
      <c r="BD137" s="30" t="inlineStr">
        <is>
          <t>Positive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Blue sky scenario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Less than 12%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Yes</t>
        </is>
      </c>
      <c r="BS137" s="30">
        <f>IF(BR137="NO",5,0)</f>
        <v/>
      </c>
      <c r="BT137" s="30" t="inlineStr">
        <is>
          <t>Above 2</t>
        </is>
      </c>
      <c r="BU137" s="30">
        <f>IF(BT137="Above 2",0,IF(BT137="Between 1.5 to 2",5,IF(BT137="Less than 1.5",10,0)))</f>
        <v/>
      </c>
      <c r="BV137" s="30" t="inlineStr">
        <is>
          <t>Above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Less than 0.7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IF(B138=0,"",RANK(B138,$B$2:$B$306,0))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MINDACORP</t>
        </is>
      </c>
      <c r="D138" s="30" t="inlineStr">
        <is>
          <t>Minda Corporation Limited</t>
        </is>
      </c>
      <c r="E138" s="30" t="inlineStr">
        <is>
          <t>auto</t>
        </is>
      </c>
      <c r="F138" s="30" t="inlineStr">
        <is>
          <t>auto ancillaries</t>
        </is>
      </c>
      <c r="G138" s="30" t="inlineStr">
        <is>
          <t>midcap</t>
        </is>
      </c>
      <c r="H138" s="31" t="n">
        <v>15427.8</v>
      </c>
      <c r="I138" s="31" t="n">
        <v>643.4</v>
      </c>
      <c r="J138" s="31" t="n">
        <v>-0.29</v>
      </c>
      <c r="K138" s="31" t="n">
        <v>465038</v>
      </c>
      <c r="L138" s="30" t="n">
        <v>33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65.58</v>
      </c>
      <c r="P138" s="31" t="n">
        <v>19.59</v>
      </c>
      <c r="Q138" s="31" t="n">
        <v>510.61</v>
      </c>
      <c r="R138" s="30" t="inlineStr">
        <is>
          <t>Volume Spike &amp; Near 52W High Breakout</t>
        </is>
      </c>
      <c r="S138" s="30" t="inlineStr">
        <is>
          <t>Nifty Auto</t>
        </is>
      </c>
      <c r="T138" s="31" t="n">
        <v>10.59</v>
      </c>
      <c r="U138" s="31" t="n">
        <v>15.21</v>
      </c>
      <c r="V138" s="31" t="n">
        <v>4.18</v>
      </c>
      <c r="W138" s="31" t="n">
        <v>8.49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No</t>
        </is>
      </c>
      <c r="AC138" s="30">
        <f>IF(AB138="No",5,0)</f>
        <v/>
      </c>
      <c r="AD138" s="30" t="inlineStr">
        <is>
          <t>Tailwind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Yes</t>
        </is>
      </c>
      <c r="AQ138" s="30">
        <f>IF(AP138="Yes",10,0)</f>
        <v/>
      </c>
      <c r="AR138" s="30" t="inlineStr">
        <is>
          <t>Higher One Time, Lower Annuity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0 to 20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2</t>
        </is>
      </c>
      <c r="BC138" s="30">
        <f>IF(BB138="Stage 2",20,IF(BB138="Stage 1",0,IF(BB138="Stage 3",5,IF(BB138="Stage 4",-5,0))))</f>
        <v/>
      </c>
      <c r="BD138" s="30" t="inlineStr">
        <is>
          <t>Positive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Blue sky scenario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More than 20%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Yes</t>
        </is>
      </c>
      <c r="BS138" s="30">
        <f>IF(BR138="NO",5,0)</f>
        <v/>
      </c>
      <c r="BT138" s="30" t="inlineStr">
        <is>
          <t>Above 2</t>
        </is>
      </c>
      <c r="BU138" s="30">
        <f>IF(BT138="Above 2",0,IF(BT138="Between 1.5 to 2",5,IF(BT138="Less than 1.5",10,0)))</f>
        <v/>
      </c>
      <c r="BV138" s="30" t="inlineStr">
        <is>
          <t>Above 70%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Less than 0.7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IF(B139=0,"",RANK(B139,$B$2:$B$306,0))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CRAFTSMAN</t>
        </is>
      </c>
      <c r="D139" s="30" t="inlineStr">
        <is>
          <t>Craftsman Automation Ltd</t>
        </is>
      </c>
      <c r="E139" s="30" t="inlineStr">
        <is>
          <t>auto</t>
        </is>
      </c>
      <c r="F139" s="30" t="inlineStr">
        <is>
          <t>auto ancillaries</t>
        </is>
      </c>
      <c r="G139" s="30" t="inlineStr">
        <is>
          <t>largecap</t>
        </is>
      </c>
      <c r="H139" s="31" t="n">
        <v>21885.11</v>
      </c>
      <c r="I139" s="31" t="n">
        <v>9065</v>
      </c>
      <c r="J139" s="31" t="n">
        <v>-1.19</v>
      </c>
      <c r="K139" s="31" t="n">
        <v>37933</v>
      </c>
      <c r="L139" s="30" t="n">
        <v>56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66.52</v>
      </c>
      <c r="P139" s="31" t="n">
        <v>29.55</v>
      </c>
      <c r="Q139" s="31" t="n">
        <v>7021.13</v>
      </c>
      <c r="R139" s="30" t="inlineStr">
        <is>
          <t>Near 52W High Breakout</t>
        </is>
      </c>
      <c r="S139" s="30" t="inlineStr">
        <is>
          <t>Nifty Auto</t>
        </is>
      </c>
      <c r="T139" s="31" t="n">
        <v>10.59</v>
      </c>
      <c r="U139" s="31" t="n">
        <v>61.88</v>
      </c>
      <c r="V139" s="31" t="n">
        <v>46.39</v>
      </c>
      <c r="W139" s="31" t="n">
        <v>14.85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No</t>
        </is>
      </c>
      <c r="AC139" s="30">
        <f>IF(AB139="No",5,0)</f>
        <v/>
      </c>
      <c r="AD139" s="30" t="inlineStr">
        <is>
          <t>Tailwind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Yes</t>
        </is>
      </c>
      <c r="AQ139" s="30">
        <f>IF(AP139="Yes",10,0)</f>
        <v/>
      </c>
      <c r="AR139" s="30" t="inlineStr">
        <is>
          <t>Higher One Time, Lower Annuity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20 to 40</t>
        </is>
      </c>
      <c r="AY139" s="30">
        <f>IF(AX139="Above 40",20,IF(AX139="20 to 40",10,IF(AX139="0 to 20",-5,0)))</f>
        <v/>
      </c>
      <c r="AZ139" s="30" t="inlineStr">
        <is>
          <t>Between 50 to 75</t>
        </is>
      </c>
      <c r="BA139" s="30">
        <f>IF(AZ139="Between 50 to 75",10,IF(AZ139="Above 75",0,0))</f>
        <v/>
      </c>
      <c r="BB139" s="30" t="inlineStr">
        <is>
          <t>Stage 2</t>
        </is>
      </c>
      <c r="BC139" s="30">
        <f>IF(BB139="Stage 2",20,IF(BB139="Stage 1",0,IF(BB139="Stage 3",5,IF(BB139="Stage 4",-5,0))))</f>
        <v/>
      </c>
      <c r="BD139" s="30" t="inlineStr">
        <is>
          <t>Positive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Blue sky scenario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More than 20%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Yes</t>
        </is>
      </c>
      <c r="BS139" s="30">
        <f>IF(BR139="NO",5,0)</f>
        <v/>
      </c>
      <c r="BT139" s="30" t="inlineStr">
        <is>
          <t>Less than 1.5</t>
        </is>
      </c>
      <c r="BU139" s="30">
        <f>IF(BT139="Above 2",0,IF(BT139="Between 1.5 to 2",5,IF(BT139="Less than 1.5",10,0)))</f>
        <v/>
      </c>
      <c r="BV139" s="30" t="inlineStr">
        <is>
          <t>Less than 50% and Borrowings are increasing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Between 0.7 to 1.2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IF(B140=0,"",RANK(B140,$B$2:$B$306,0))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ICIL</t>
        </is>
      </c>
      <c r="D140" s="30" t="inlineStr">
        <is>
          <t>Indo Count Industries Limited</t>
        </is>
      </c>
      <c r="E140" s="30" t="inlineStr">
        <is>
          <t>textiles</t>
        </is>
      </c>
      <c r="F140" s="30" t="inlineStr">
        <is>
          <t>textiles - cotton/blended</t>
        </is>
      </c>
      <c r="G140" s="30" t="inlineStr">
        <is>
          <t>midcap</t>
        </is>
      </c>
      <c r="H140" s="31" t="n">
        <v>6597.19</v>
      </c>
      <c r="I140" s="31" t="n">
        <v>328.6</v>
      </c>
      <c r="J140" s="31" t="n">
        <v>-1.35</v>
      </c>
      <c r="K140" s="31" t="n">
        <v>298662</v>
      </c>
      <c r="L140" s="30" t="n">
        <v>40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61.78</v>
      </c>
      <c r="P140" s="31" t="n">
        <v>21.46</v>
      </c>
      <c r="Q140" s="31" t="n">
        <v>231.34</v>
      </c>
      <c r="R140" s="30" t="inlineStr">
        <is>
          <t>Volume Spike &amp; Near 52W High Breakout</t>
        </is>
      </c>
      <c r="S140" s="30" t="inlineStr">
        <is>
          <t>Nifty 50</t>
        </is>
      </c>
      <c r="T140" s="31" t="n">
        <v>-6.54</v>
      </c>
      <c r="U140" s="31" t="n">
        <v>23.46</v>
      </c>
      <c r="V140" s="31" t="n">
        <v>32.11</v>
      </c>
      <c r="W140" s="31" t="n">
        <v>10.84</v>
      </c>
      <c r="X140" s="30" t="inlineStr">
        <is>
          <t>Growing Industry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No</t>
        </is>
      </c>
      <c r="AC140" s="30">
        <f>IF(AB140="No",5,0)</f>
        <v/>
      </c>
      <c r="AD140" s="30" t="inlineStr">
        <is>
          <t>Tailwind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B2B</t>
        </is>
      </c>
      <c r="AO140" s="30">
        <f>IF(AN140="B2C",10,IF(AN140="B2B",5,0))</f>
        <v/>
      </c>
      <c r="AP140" s="30" t="inlineStr">
        <is>
          <t>Yes</t>
        </is>
      </c>
      <c r="AQ140" s="30">
        <f>IF(AP140="Yes",10,0)</f>
        <v/>
      </c>
      <c r="AR140" s="30" t="inlineStr">
        <is>
          <t>Higher One Time, Lower Annuity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20 to 40</t>
        </is>
      </c>
      <c r="AY140" s="30">
        <f>IF(AX140="Above 40",20,IF(AX140="20 to 40",10,IF(AX140="0 to 20",-5,0)))</f>
        <v/>
      </c>
      <c r="AZ140" s="30" t="inlineStr">
        <is>
          <t>Between 50 to 75</t>
        </is>
      </c>
      <c r="BA140" s="30">
        <f>IF(AZ140="Between 50 to 75",10,IF(AZ140="Above 75",0,0))</f>
        <v/>
      </c>
      <c r="BB140" s="30" t="inlineStr">
        <is>
          <t>Stage 2</t>
        </is>
      </c>
      <c r="BC140" s="30">
        <f>IF(BB140="Stage 2",20,IF(BB140="Stage 1",0,IF(BB140="Stage 3",5,IF(BB140="Stage 4",-5,0))))</f>
        <v/>
      </c>
      <c r="BD140" s="30" t="inlineStr">
        <is>
          <t>Positive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Close to 52 week high or retracement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Less than 12%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Yes</t>
        </is>
      </c>
      <c r="BS140" s="30">
        <f>IF(BR140="NO",5,0)</f>
        <v/>
      </c>
      <c r="BT140" s="30" t="inlineStr">
        <is>
          <t>Above 2</t>
        </is>
      </c>
      <c r="BU140" s="30">
        <f>IF(BT140="Above 2",0,IF(BT140="Between 1.5 to 2",5,IF(BT140="Less than 1.5",10,0)))</f>
        <v/>
      </c>
      <c r="BV140" s="30" t="inlineStr">
        <is>
          <t>Above 70%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Less than 0.7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IF(B141=0,"",RANK(B141,$B$2:$B$306,0))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ARVIND</t>
        </is>
      </c>
      <c r="D141" s="30" t="inlineStr">
        <is>
          <t>Arvind Limited</t>
        </is>
      </c>
      <c r="E141" s="30" t="inlineStr">
        <is>
          <t>textiles</t>
        </is>
      </c>
      <c r="F141" s="30" t="inlineStr">
        <is>
          <t>textiles - cotton/blended</t>
        </is>
      </c>
      <c r="G141" s="30" t="inlineStr">
        <is>
          <t>midcap</t>
        </is>
      </c>
      <c r="H141" s="31" t="n">
        <v>13133.25</v>
      </c>
      <c r="I141" s="31" t="n">
        <v>493.7</v>
      </c>
      <c r="J141" s="31" t="n">
        <v>-1.47</v>
      </c>
      <c r="K141" s="31" t="n">
        <v>613084</v>
      </c>
      <c r="L141" s="30" t="n">
        <v>64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76.34</v>
      </c>
      <c r="P141" s="31" t="n">
        <v>33.85</v>
      </c>
      <c r="Q141" s="31" t="n">
        <v>392.4</v>
      </c>
      <c r="R141" s="30" t="inlineStr">
        <is>
          <t>Near 52W High Breakout</t>
        </is>
      </c>
      <c r="S141" s="30" t="inlineStr">
        <is>
          <t>Nifty 50</t>
        </is>
      </c>
      <c r="T141" s="31" t="n">
        <v>-6.54</v>
      </c>
      <c r="U141" s="31" t="n">
        <v>39.99</v>
      </c>
      <c r="V141" s="31" t="n">
        <v>49.79</v>
      </c>
      <c r="W141" s="31" t="n">
        <v>17.54</v>
      </c>
      <c r="X141" s="30" t="inlineStr">
        <is>
          <t>Growing Industry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No</t>
        </is>
      </c>
      <c r="AC141" s="30">
        <f>IF(AB141="No",5,0)</f>
        <v/>
      </c>
      <c r="AD141" s="30" t="inlineStr">
        <is>
          <t>Tailwind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Yes</t>
        </is>
      </c>
      <c r="AQ141" s="30">
        <f>IF(AP141="Yes",10,0)</f>
        <v/>
      </c>
      <c r="AR141" s="30" t="inlineStr">
        <is>
          <t>Higher One Time, Lower Annuity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20 to 40</t>
        </is>
      </c>
      <c r="AY141" s="30">
        <f>IF(AX141="Above 40",20,IF(AX141="20 to 40",10,IF(AX141="0 to 20",-5,0)))</f>
        <v/>
      </c>
      <c r="AZ141" s="30" t="inlineStr">
        <is>
          <t>Above 75</t>
        </is>
      </c>
      <c r="BA141" s="30">
        <f>IF(AZ141="Between 50 to 75",10,IF(AZ141="Above 75",0,0))</f>
        <v/>
      </c>
      <c r="BB141" s="30" t="inlineStr">
        <is>
          <t>Stage 2</t>
        </is>
      </c>
      <c r="BC141" s="30">
        <f>IF(BB141="Stage 2",20,IF(BB141="Stage 1",0,IF(BB141="Stage 3",5,IF(BB141="Stage 4",-5,0))))</f>
        <v/>
      </c>
      <c r="BD141" s="30" t="inlineStr">
        <is>
          <t>Positive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Blue sky scenario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Less than 12%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No</t>
        </is>
      </c>
      <c r="BS141" s="30">
        <f>IF(BR141="NO",5,0)</f>
        <v/>
      </c>
      <c r="BT141" s="30" t="inlineStr">
        <is>
          <t>Above 2</t>
        </is>
      </c>
      <c r="BU141" s="30">
        <f>IF(BT141="Above 2",0,IF(BT141="Between 1.5 to 2",5,IF(BT141="Less than 1.5",10,0)))</f>
        <v/>
      </c>
      <c r="BV141" s="30" t="inlineStr">
        <is>
          <t>Above 70%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Less than 0.7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IF(B142=0,"",RANK(B142,$B$2:$B$306,0))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SIS</t>
        </is>
      </c>
      <c r="D142" s="30" t="inlineStr">
        <is>
          <t>Security &amp; Intelligence Services India</t>
        </is>
      </c>
      <c r="E142" s="30" t="inlineStr">
        <is>
          <t>miscellaneous</t>
        </is>
      </c>
      <c r="F142" s="30" t="inlineStr">
        <is>
          <t>miscellaneous</t>
        </is>
      </c>
      <c r="G142" s="30" t="inlineStr">
        <is>
          <t>midcap</t>
        </is>
      </c>
      <c r="H142" s="31" t="n">
        <v>5989.94</v>
      </c>
      <c r="I142" s="31" t="n">
        <v>417.05</v>
      </c>
      <c r="J142" s="31" t="n">
        <v>-1.64</v>
      </c>
      <c r="K142" s="31" t="n">
        <v>493627</v>
      </c>
      <c r="L142" s="30" t="n">
        <v>47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75.38</v>
      </c>
      <c r="P142" s="31" t="n">
        <v>35.25</v>
      </c>
      <c r="Q142" s="31" t="n">
        <v>333.52</v>
      </c>
      <c r="R142" s="30" t="inlineStr">
        <is>
          <t>Volume Spike &amp; Near 52W High Breakout</t>
        </is>
      </c>
      <c r="S142" s="30" t="inlineStr">
        <is>
          <t>Nifty 50</t>
        </is>
      </c>
      <c r="T142" s="31" t="n">
        <v>-6.54</v>
      </c>
      <c r="U142" s="31" t="n">
        <v>15.03</v>
      </c>
      <c r="V142" s="31" t="n">
        <v>23.08</v>
      </c>
      <c r="W142" s="31" t="n">
        <v>12.21</v>
      </c>
      <c r="X142" s="30" t="inlineStr">
        <is>
          <t>Growing Industry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Tailwind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Yes</t>
        </is>
      </c>
      <c r="AQ142" s="30">
        <f>IF(AP142="Yes",10,0)</f>
        <v/>
      </c>
      <c r="AR142" s="30" t="inlineStr">
        <is>
          <t>Higher One Time, Lower Annuity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20 to 40</t>
        </is>
      </c>
      <c r="AY142" s="30">
        <f>IF(AX142="Above 40",20,IF(AX142="20 to 40",10,IF(AX142="0 to 20",-5,0)))</f>
        <v/>
      </c>
      <c r="AZ142" s="30" t="inlineStr">
        <is>
          <t>Above 75</t>
        </is>
      </c>
      <c r="BA142" s="30">
        <f>IF(AZ142="Between 50 to 75",10,IF(AZ142="Above 75",0,0))</f>
        <v/>
      </c>
      <c r="BB142" s="30" t="inlineStr">
        <is>
          <t>Stage 2</t>
        </is>
      </c>
      <c r="BC142" s="30">
        <f>IF(BB142="Stage 2",20,IF(BB142="Stage 1",0,IF(BB142="Stage 3",5,IF(BB142="Stage 4",-5,0))))</f>
        <v/>
      </c>
      <c r="BD142" s="30" t="inlineStr">
        <is>
          <t>Positive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Close to 52 week high or retracement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More than 20%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Yes</t>
        </is>
      </c>
      <c r="BS142" s="30">
        <f>IF(BR142="NO",5,0)</f>
        <v/>
      </c>
      <c r="BT142" s="30" t="inlineStr">
        <is>
          <t>Less than 1.5</t>
        </is>
      </c>
      <c r="BU142" s="30">
        <f>IF(BT142="Above 2",0,IF(BT142="Between 1.5 to 2",5,IF(BT142="Less than 1.5",10,0)))</f>
        <v/>
      </c>
      <c r="BV142" s="30" t="inlineStr">
        <is>
          <t>Above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Between 0.7 to 1.2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IF(B143=0,"",RANK(B143,$B$2:$B$306,0))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0" t="inlineStr">
        <is>
          <t>PSPPROJECT</t>
        </is>
      </c>
      <c r="D143" s="30" t="inlineStr">
        <is>
          <t>PSP Projects Ltd</t>
        </is>
      </c>
      <c r="E143" s="30" t="inlineStr">
        <is>
          <t>realty</t>
        </is>
      </c>
      <c r="F143" s="30" t="inlineStr">
        <is>
          <t>construction</t>
        </is>
      </c>
      <c r="G143" s="30" t="inlineStr">
        <is>
          <t>smallcap</t>
        </is>
      </c>
      <c r="H143" s="31" t="n">
        <v>3562.41</v>
      </c>
      <c r="I143" s="31" t="n">
        <v>873.45</v>
      </c>
      <c r="J143" s="31" t="n">
        <v>-2.8</v>
      </c>
      <c r="K143" s="31" t="n">
        <v>136987</v>
      </c>
      <c r="L143" s="30" t="n">
        <v>51</v>
      </c>
      <c r="M143" s="30" t="inlineStr">
        <is>
          <t>Outperforming</t>
        </is>
      </c>
      <c r="N143" s="31">
        <f>IF(M143="Underperforming",-5,IF(L143&gt;=95,15,IF(L143&gt;=90,10,IF(L143&gt;=80,5,0))))</f>
        <v/>
      </c>
      <c r="O143" s="31" t="n">
        <v>60.38</v>
      </c>
      <c r="P143" s="31" t="n">
        <v>23.15</v>
      </c>
      <c r="Q143" s="31" t="n">
        <v>632.27</v>
      </c>
      <c r="R143" s="30" t="inlineStr">
        <is>
          <t>Volume Spike / Accumulation</t>
        </is>
      </c>
      <c r="S143" s="30" t="inlineStr">
        <is>
          <t>Nifty Realty</t>
        </is>
      </c>
      <c r="T143" s="31" t="n">
        <v>-26.04</v>
      </c>
      <c r="U143" s="31" t="n">
        <v>35.27</v>
      </c>
      <c r="V143" s="31" t="n">
        <v>82.90000000000001</v>
      </c>
      <c r="W143" s="31" t="n">
        <v>13.19</v>
      </c>
      <c r="X143" s="30" t="inlineStr">
        <is>
          <t>Growing Industry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No</t>
        </is>
      </c>
      <c r="AC143" s="30">
        <f>IF(AB143="No",5,0)</f>
        <v/>
      </c>
      <c r="AD143" s="30" t="inlineStr">
        <is>
          <t>Headwind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Yes</t>
        </is>
      </c>
      <c r="AQ143" s="30">
        <f>IF(AP143="Yes",10,0)</f>
        <v/>
      </c>
      <c r="AR143" s="30" t="inlineStr">
        <is>
          <t>Higher One Time, Lower Annuity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20 to 40</t>
        </is>
      </c>
      <c r="AY143" s="30">
        <f>IF(AX143="Above 40",20,IF(AX143="20 to 40",10,IF(AX143="0 to 20",-5,0)))</f>
        <v/>
      </c>
      <c r="AZ143" s="30" t="inlineStr">
        <is>
          <t>Between 50 to 75</t>
        </is>
      </c>
      <c r="BA143" s="30">
        <f>IF(AZ143="Between 50 to 75",10,IF(AZ143="Above 75",0,0))</f>
        <v/>
      </c>
      <c r="BB143" s="30" t="inlineStr">
        <is>
          <t>Stage 2</t>
        </is>
      </c>
      <c r="BC143" s="30">
        <f>IF(BB143="Stage 2",20,IF(BB143="Stage 1",0,IF(BB143="Stage 3",5,IF(BB143="Stage 4",-5,0))))</f>
        <v/>
      </c>
      <c r="BD143" s="30" t="inlineStr">
        <is>
          <t>Positive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Close to 52 week high or retracement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More than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Yes</t>
        </is>
      </c>
      <c r="BS143" s="30">
        <f>IF(BR143="NO",5,0)</f>
        <v/>
      </c>
      <c r="BT143" s="30" t="inlineStr">
        <is>
          <t>Above 2</t>
        </is>
      </c>
      <c r="BU143" s="30">
        <f>IF(BT143="Above 2",0,IF(BT143="Between 1.5 to 2",5,IF(BT143="Less than 1.5",10,0)))</f>
        <v/>
      </c>
      <c r="BV143" s="30" t="inlineStr">
        <is>
          <t>Above 70%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Less than 0.7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IF(B144=0,"",RANK(B144,$B$2:$B$306,0))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0" t="inlineStr">
        <is>
          <t>BHAGYANGR</t>
        </is>
      </c>
      <c r="D144" s="30" t="inlineStr">
        <is>
          <t>Bhagyanagar India</t>
        </is>
      </c>
      <c r="E144" s="30" t="inlineStr">
        <is>
          <t>power &amp; utilities</t>
        </is>
      </c>
      <c r="F144" s="30" t="inlineStr">
        <is>
          <t>power generation and supply</t>
        </is>
      </c>
      <c r="G144" s="30" t="inlineStr">
        <is>
          <t>smallcap</t>
        </is>
      </c>
      <c r="H144" s="31" t="n">
        <v>1032.64</v>
      </c>
      <c r="I144" s="31" t="n">
        <v>306.65</v>
      </c>
      <c r="J144" s="31" t="n">
        <v>-4.99</v>
      </c>
      <c r="K144" s="31" t="n">
        <v>101526</v>
      </c>
      <c r="L144" s="30" t="n">
        <v>96</v>
      </c>
      <c r="M144" s="30" t="inlineStr">
        <is>
          <t>Outperforming</t>
        </is>
      </c>
      <c r="N144" s="31">
        <f>IF(M144="Underperforming",-5,IF(L144&gt;=95,15,IF(L144&gt;=90,10,IF(L144&gt;=80,5,0))))</f>
        <v/>
      </c>
      <c r="O144" s="31" t="n">
        <v>74.77</v>
      </c>
      <c r="P144" s="31" t="n">
        <v>56.6</v>
      </c>
      <c r="Q144" s="31" t="n">
        <v>220.35</v>
      </c>
      <c r="R144" s="30" t="inlineStr">
        <is>
          <t>Near 52W High Breakout</t>
        </is>
      </c>
      <c r="S144" s="30" t="inlineStr">
        <is>
          <t>Nifty IT</t>
        </is>
      </c>
      <c r="T144" s="31" t="n">
        <v>-22.21</v>
      </c>
      <c r="U144" s="31" t="n">
        <v>288.56</v>
      </c>
      <c r="V144" s="31" t="n">
        <v>399.52</v>
      </c>
      <c r="W144" s="31" t="n">
        <v>52.8</v>
      </c>
      <c r="X144" s="30" t="inlineStr">
        <is>
          <t>Growing Industry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No</t>
        </is>
      </c>
      <c r="AC144" s="30">
        <f>IF(AB144="No",5,0)</f>
        <v/>
      </c>
      <c r="AD144" s="30" t="inlineStr">
        <is>
          <t>Tailwind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Yes</t>
        </is>
      </c>
      <c r="AQ144" s="30">
        <f>IF(AP144="Yes",10,0)</f>
        <v/>
      </c>
      <c r="AR144" s="30" t="inlineStr">
        <is>
          <t>Higher One Time, Lower Annuity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Above 40</t>
        </is>
      </c>
      <c r="AY144" s="30">
        <f>IF(AX144="Above 40",20,IF(AX144="20 to 40",10,IF(AX144="0 to 20",-5,0)))</f>
        <v/>
      </c>
      <c r="AZ144" s="30" t="inlineStr">
        <is>
          <t>Between 50 to 75</t>
        </is>
      </c>
      <c r="BA144" s="30">
        <f>IF(AZ144="Between 50 to 75",10,IF(AZ144="Above 75",0,0))</f>
        <v/>
      </c>
      <c r="BB144" s="30" t="inlineStr">
        <is>
          <t>Stage 2</t>
        </is>
      </c>
      <c r="BC144" s="30">
        <f>IF(BB144="Stage 2",20,IF(BB144="Stage 1",0,IF(BB144="Stage 3",5,IF(BB144="Stage 4",-5,0))))</f>
        <v/>
      </c>
      <c r="BD144" s="30" t="inlineStr">
        <is>
          <t>Negative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Blue sky scenario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More than 20%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No</t>
        </is>
      </c>
      <c r="BS144" s="30">
        <f>IF(BR144="NO",5,0)</f>
        <v/>
      </c>
      <c r="BT144" s="30" t="inlineStr">
        <is>
          <t>Above 2</t>
        </is>
      </c>
      <c r="BU144" s="30">
        <f>IF(BT144="Above 2",0,IF(BT144="Between 1.5 to 2",5,IF(BT144="Less than 1.5",10,0)))</f>
        <v/>
      </c>
      <c r="BV144" s="30" t="inlineStr">
        <is>
          <t>Between 50% to 70%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Between 0.7 to 1.2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IF(B145=0,"",RANK(B145,$B$2:$B$306,0))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2" t="inlineStr">
        <is>
          <t>HESTERBIO</t>
        </is>
      </c>
      <c r="D145" s="32" t="inlineStr">
        <is>
          <t>Hester Biosciences Limited</t>
        </is>
      </c>
      <c r="E145" s="30" t="inlineStr">
        <is>
          <t>healthcare</t>
        </is>
      </c>
      <c r="F145" s="30" t="inlineStr">
        <is>
          <t>pharmaceuticals - indian - formulations</t>
        </is>
      </c>
      <c r="G145" s="30" t="inlineStr">
        <is>
          <t>smallcap</t>
        </is>
      </c>
      <c r="H145" s="31" t="n">
        <v>1635.36</v>
      </c>
      <c r="I145" s="31" t="n">
        <v>1961.6</v>
      </c>
      <c r="J145" s="31" t="n">
        <v>2.04</v>
      </c>
      <c r="K145" s="31" t="n">
        <v>5164</v>
      </c>
      <c r="L145" s="30" t="n">
        <v>36</v>
      </c>
      <c r="M145" s="30" t="inlineStr">
        <is>
          <t>Underperforming</t>
        </is>
      </c>
      <c r="N145" s="31">
        <f>IF(M145="Underperforming",-5,IF(L145&gt;=95,15,IF(L145&gt;=90,10,IF(L145&gt;=80,5,0))))</f>
        <v/>
      </c>
      <c r="O145" s="31" t="n">
        <v>67.64</v>
      </c>
      <c r="P145" s="31" t="n">
        <v>32.52</v>
      </c>
      <c r="Q145" s="31" t="n">
        <v>1533.72</v>
      </c>
      <c r="R145" s="30" t="inlineStr">
        <is>
          <t>Earnings / Momentum Support</t>
        </is>
      </c>
      <c r="S145" s="30" t="inlineStr">
        <is>
          <t>Nifty Pharma</t>
        </is>
      </c>
      <c r="T145" s="31" t="n">
        <v>11.82</v>
      </c>
      <c r="U145" s="31" t="n">
        <v>6.01</v>
      </c>
      <c r="V145" s="31" t="n">
        <v>-5.2</v>
      </c>
      <c r="W145" s="31" t="n">
        <v>9.6</v>
      </c>
      <c r="X145" s="30" t="inlineStr">
        <is>
          <t>Growing Industry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Yes</t>
        </is>
      </c>
      <c r="AC145" s="30">
        <f>IF(AB145="No",5,0)</f>
        <v/>
      </c>
      <c r="AD145" s="30" t="inlineStr">
        <is>
          <t>Tailwind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No</t>
        </is>
      </c>
      <c r="AQ145" s="30">
        <f>IF(AP145="Yes",10,0)</f>
        <v/>
      </c>
      <c r="AR145" s="30" t="inlineStr">
        <is>
          <t>Higher Annuity, Lower One Time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20 to 40</t>
        </is>
      </c>
      <c r="AY145" s="30">
        <f>IF(AX145="Above 40",20,IF(AX145="20 to 40",10,IF(AX145="0 to 20",-5,0)))</f>
        <v/>
      </c>
      <c r="AZ145" s="30" t="inlineStr">
        <is>
          <t>Between 50 to 75</t>
        </is>
      </c>
      <c r="BA145" s="30">
        <f>IF(AZ145="Between 50 to 75",10,IF(AZ145="Above 75",0,0))</f>
        <v/>
      </c>
      <c r="BB145" s="30" t="inlineStr">
        <is>
          <t>Stage 2</t>
        </is>
      </c>
      <c r="BC145" s="30">
        <f>IF(BB145="Stage 2",20,IF(BB145="Stage 1",0,IF(BB145="Stage 3",5,IF(BB145="Stage 4",-5,0))))</f>
        <v/>
      </c>
      <c r="BD145" s="30" t="inlineStr">
        <is>
          <t>Positive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Close to 52 week high or retracement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More than 20%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No</t>
        </is>
      </c>
      <c r="BS145" s="30">
        <f>IF(BR145="NO",5,0)</f>
        <v/>
      </c>
      <c r="BT145" s="30" t="inlineStr">
        <is>
          <t>Above 2</t>
        </is>
      </c>
      <c r="BU145" s="30">
        <f>IF(BT145="Above 2",0,IF(BT145="Between 1.5 to 2",5,IF(BT145="Less than 1.5",10,0)))</f>
        <v/>
      </c>
      <c r="BV145" s="30" t="inlineStr">
        <is>
          <t>Above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IF(B146=0,"",RANK(B146,$B$2:$B$306,0))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0" t="inlineStr">
        <is>
          <t>ORCHPHARMA</t>
        </is>
      </c>
      <c r="D146" s="30" t="inlineStr">
        <is>
          <t>Orchid Pharma Ltd</t>
        </is>
      </c>
      <c r="E146" s="30" t="inlineStr">
        <is>
          <t>healthcare</t>
        </is>
      </c>
      <c r="F146" s="30" t="inlineStr">
        <is>
          <t>pharmaceuticals - indian - bulk drugs &amp; formln</t>
        </is>
      </c>
      <c r="G146" s="30" t="inlineStr">
        <is>
          <t>smallcap</t>
        </is>
      </c>
      <c r="H146" s="31" t="n">
        <v>4234.28</v>
      </c>
      <c r="I146" s="31" t="n">
        <v>844.25</v>
      </c>
      <c r="J146" s="31" t="n">
        <v>1.13</v>
      </c>
      <c r="K146" s="31" t="n">
        <v>46242</v>
      </c>
      <c r="L146" s="30" t="n">
        <v>74</v>
      </c>
      <c r="M146" s="30" t="inlineStr">
        <is>
          <t>Outperforming</t>
        </is>
      </c>
      <c r="N146" s="31">
        <f>IF(M146="Underperforming",-5,IF(L146&gt;=95,15,IF(L146&gt;=90,10,IF(L146&gt;=80,5,0))))</f>
        <v/>
      </c>
      <c r="O146" s="31" t="n">
        <v>67.09999999999999</v>
      </c>
      <c r="P146" s="31" t="n">
        <v>36.08</v>
      </c>
      <c r="Q146" s="31" t="n">
        <v>635.23</v>
      </c>
      <c r="R146" s="30" t="inlineStr">
        <is>
          <t>Near 52W High Breakout</t>
        </is>
      </c>
      <c r="S146" s="30" t="inlineStr">
        <is>
          <t>Nifty Pharma</t>
        </is>
      </c>
      <c r="T146" s="31" t="n">
        <v>11.82</v>
      </c>
      <c r="U146" s="31" t="n">
        <v>17.56</v>
      </c>
      <c r="V146" s="31" t="n">
        <v>5.13</v>
      </c>
      <c r="W146" s="31" t="n">
        <v>22.32</v>
      </c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Yes</t>
        </is>
      </c>
      <c r="AC146" s="30">
        <f>IF(AB146="No",5,0)</f>
        <v/>
      </c>
      <c r="AD146" s="30" t="inlineStr">
        <is>
          <t>Headwind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B2B</t>
        </is>
      </c>
      <c r="AO146" s="30">
        <f>IF(AN146="B2C",10,IF(AN146="B2B",5,0))</f>
        <v/>
      </c>
      <c r="AP146" s="30" t="inlineStr">
        <is>
          <t>Yes</t>
        </is>
      </c>
      <c r="AQ146" s="30">
        <f>IF(AP146="Yes",10,0)</f>
        <v/>
      </c>
      <c r="AR146" s="30" t="inlineStr">
        <is>
          <t>Higher Annuity, Lower One Time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20 to 40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2</t>
        </is>
      </c>
      <c r="BC146" s="30">
        <f>IF(BB146="Stage 2",20,IF(BB146="Stage 1",0,IF(BB146="Stage 3",5,IF(BB146="Stage 4",-5,0))))</f>
        <v/>
      </c>
      <c r="BD146" s="30" t="inlineStr">
        <is>
          <t>Positive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Close to 52 week high or retracement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More than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Yes</t>
        </is>
      </c>
      <c r="BS146" s="30">
        <f>IF(BR146="NO",5,0)</f>
        <v/>
      </c>
      <c r="BT146" s="30" t="inlineStr">
        <is>
          <t>Above 2</t>
        </is>
      </c>
      <c r="BU146" s="30">
        <f>IF(BT146="Above 2",0,IF(BT146="Between 1.5 to 2",5,IF(BT146="Less than 1.5",10,0)))</f>
        <v/>
      </c>
      <c r="BV146" s="30" t="inlineStr">
        <is>
          <t>Above 70%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Less than 0.7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IF(B147=0,"",RANK(B147,$B$2:$B$306,0))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2" t="inlineStr">
        <is>
          <t>CAPLIPOINT</t>
        </is>
      </c>
      <c r="D147" s="32" t="inlineStr">
        <is>
          <t>Caplin Point Laboratories Limited</t>
        </is>
      </c>
      <c r="E147" s="30" t="inlineStr">
        <is>
          <t>healthcare</t>
        </is>
      </c>
      <c r="F147" s="30" t="inlineStr">
        <is>
          <t>pharmaceuticals - indian - formulations</t>
        </is>
      </c>
      <c r="G147" s="30" t="inlineStr">
        <is>
          <t>midcap</t>
        </is>
      </c>
      <c r="H147" s="31" t="n">
        <v>15352.08</v>
      </c>
      <c r="I147" s="31" t="n">
        <v>2033.1</v>
      </c>
      <c r="J147" s="31" t="n">
        <v>0.66</v>
      </c>
      <c r="K147" s="31" t="n">
        <v>84426</v>
      </c>
      <c r="L147" s="30" t="n">
        <v>16</v>
      </c>
      <c r="M147" s="30" t="inlineStr">
        <is>
          <t>Underperforming</t>
        </is>
      </c>
      <c r="N147" s="31">
        <f>IF(M147="Underperforming",-5,IF(L147&gt;=95,15,IF(L147&gt;=90,10,IF(L147&gt;=80,5,0))))</f>
        <v/>
      </c>
      <c r="O147" s="31" t="n">
        <v>63.73</v>
      </c>
      <c r="P147" s="31" t="n">
        <v>23.29</v>
      </c>
      <c r="Q147" s="31" t="n">
        <v>1666.18</v>
      </c>
      <c r="R147" s="30" t="inlineStr">
        <is>
          <t>Earnings / Momentum Support</t>
        </is>
      </c>
      <c r="S147" s="30" t="inlineStr">
        <is>
          <t>Nifty Pharma</t>
        </is>
      </c>
      <c r="T147" s="31" t="n">
        <v>11.82</v>
      </c>
      <c r="U147" s="31" t="n">
        <v>-2.55</v>
      </c>
      <c r="V147" s="31" t="n">
        <v>-12.86</v>
      </c>
      <c r="W147" s="31" t="n">
        <v>4.72</v>
      </c>
      <c r="X147" s="30" t="inlineStr">
        <is>
          <t>Growing Industry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Yes</t>
        </is>
      </c>
      <c r="AC147" s="30">
        <f>IF(AB147="No",5,0)</f>
        <v/>
      </c>
      <c r="AD147" s="30" t="inlineStr">
        <is>
          <t>Tailwind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B2B</t>
        </is>
      </c>
      <c r="AO147" s="30">
        <f>IF(AN147="B2C",10,IF(AN147="B2B",5,0))</f>
        <v/>
      </c>
      <c r="AP147" s="30" t="inlineStr">
        <is>
          <t>No</t>
        </is>
      </c>
      <c r="AQ147" s="30">
        <f>IF(AP147="Yes",10,0)</f>
        <v/>
      </c>
      <c r="AR147" s="30" t="inlineStr">
        <is>
          <t>Higher Annuity, Lower One Time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20 to 40</t>
        </is>
      </c>
      <c r="AY147" s="30">
        <f>IF(AX147="Above 40",20,IF(AX147="20 to 40",10,IF(AX147="0 to 20",-5,0)))</f>
        <v/>
      </c>
      <c r="AZ147" s="30" t="inlineStr">
        <is>
          <t>Between 50 to 75</t>
        </is>
      </c>
      <c r="BA147" s="30">
        <f>IF(AZ147="Between 50 to 75",10,IF(AZ147="Above 75",0,0))</f>
        <v/>
      </c>
      <c r="BB147" s="30" t="inlineStr">
        <is>
          <t>Stage 2</t>
        </is>
      </c>
      <c r="BC147" s="30">
        <f>IF(BB147="Stage 2",20,IF(BB147="Stage 1",0,IF(BB147="Stage 3",5,IF(BB147="Stage 4",-5,0))))</f>
        <v/>
      </c>
      <c r="BD147" s="30" t="inlineStr">
        <is>
          <t>Positive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Close to 52 week high or retracement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Between 12 to 20%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No</t>
        </is>
      </c>
      <c r="BS147" s="30">
        <f>IF(BR147="NO",5,0)</f>
        <v/>
      </c>
      <c r="BT147" s="30" t="inlineStr">
        <is>
          <t>Less than 1.5</t>
        </is>
      </c>
      <c r="BU147" s="30">
        <f>IF(BT147="Above 2",0,IF(BT147="Between 1.5 to 2",5,IF(BT147="Less than 1.5",10,0)))</f>
        <v/>
      </c>
      <c r="BV147" s="30" t="inlineStr">
        <is>
          <t>Between 50% to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Less than 0.7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IF(B148=0,"",RANK(B148,$B$2:$B$306,0))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0" t="inlineStr">
        <is>
          <t>PIXTRANS</t>
        </is>
      </c>
      <c r="D148" s="30" t="inlineStr">
        <is>
          <t>Pix Transmission Ltd</t>
        </is>
      </c>
      <c r="E148" s="30" t="inlineStr">
        <is>
          <t>fmcg</t>
        </is>
      </c>
      <c r="F148" s="30" t="inlineStr">
        <is>
          <t>miscellaneous</t>
        </is>
      </c>
      <c r="G148" s="30" t="inlineStr">
        <is>
          <t>smallcap</t>
        </is>
      </c>
      <c r="H148" s="31" t="n">
        <v>2189.02</v>
      </c>
      <c r="I148" s="31" t="n">
        <v>1608.9</v>
      </c>
      <c r="J148" s="31" t="n">
        <v>0.14</v>
      </c>
      <c r="K148" s="31" t="n">
        <v>28959</v>
      </c>
      <c r="L148" s="30" t="n">
        <v>6</v>
      </c>
      <c r="M148" s="30" t="inlineStr">
        <is>
          <t>Outperforming</t>
        </is>
      </c>
      <c r="N148" s="31">
        <f>IF(M148="Underperforming",-5,IF(L148&gt;=95,15,IF(L148&gt;=90,10,IF(L148&gt;=80,5,0))))</f>
        <v/>
      </c>
      <c r="O148" s="31" t="n">
        <v>60.25</v>
      </c>
      <c r="P148" s="31" t="n">
        <v>17.59</v>
      </c>
      <c r="Q148" s="31" t="n">
        <v>1304.55</v>
      </c>
      <c r="R148" s="30" t="inlineStr">
        <is>
          <t>Near 52W High Breakout</t>
        </is>
      </c>
      <c r="S148" s="30" t="inlineStr">
        <is>
          <t>Nifty FMCG</t>
        </is>
      </c>
      <c r="T148" s="31" t="n">
        <v>-13.44</v>
      </c>
      <c r="U148" s="31" t="n">
        <v>1.11</v>
      </c>
      <c r="V148" s="31" t="n">
        <v>16.81</v>
      </c>
      <c r="W148" s="31" t="n">
        <v>2.54</v>
      </c>
      <c r="X148" s="30" t="inlineStr">
        <is>
          <t>Growing Industry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No</t>
        </is>
      </c>
      <c r="AC148" s="30">
        <f>IF(AB148="No",5,0)</f>
        <v/>
      </c>
      <c r="AD148" s="30" t="inlineStr">
        <is>
          <t>Tailwind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B2C</t>
        </is>
      </c>
      <c r="AO148" s="30">
        <f>IF(AN148="B2C",10,IF(AN148="B2B",5,0))</f>
        <v/>
      </c>
      <c r="AP148" s="30" t="inlineStr">
        <is>
          <t>Yes</t>
        </is>
      </c>
      <c r="AQ148" s="30">
        <f>IF(AP148="Yes",10,0)</f>
        <v/>
      </c>
      <c r="AR148" s="30" t="inlineStr">
        <is>
          <t>Higher Annuity, Lower One Time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0 to 20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2</t>
        </is>
      </c>
      <c r="BC148" s="30">
        <f>IF(BB148="Stage 2",20,IF(BB148="Stage 1",0,IF(BB148="Stage 3",5,IF(BB148="Stage 4",-5,0))))</f>
        <v/>
      </c>
      <c r="BD148" s="30" t="inlineStr">
        <is>
          <t>Positive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Close to 52 week high or retracement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Less than 12%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No</t>
        </is>
      </c>
      <c r="BS148" s="30">
        <f>IF(BR148="NO",5,0)</f>
        <v/>
      </c>
      <c r="BT148" s="30" t="inlineStr">
        <is>
          <t>Above 2</t>
        </is>
      </c>
      <c r="BU148" s="30">
        <f>IF(BT148="Above 2",0,IF(BT148="Between 1.5 to 2",5,IF(BT148="Less than 1.5",10,0)))</f>
        <v/>
      </c>
      <c r="BV148" s="30" t="inlineStr">
        <is>
          <t>Above 70%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Less than 0.7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IF(B149=0,"",RANK(B149,$B$2:$B$306,0))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DIAMONDYD</t>
        </is>
      </c>
      <c r="D149" s="30" t="inlineStr">
        <is>
          <t>Prataap Snacks Ltd</t>
        </is>
      </c>
      <c r="E149" s="30" t="inlineStr">
        <is>
          <t>fmcg</t>
        </is>
      </c>
      <c r="F149" s="30" t="inlineStr">
        <is>
          <t>food - processing - indian</t>
        </is>
      </c>
      <c r="G149" s="30" t="inlineStr">
        <is>
          <t>smallcap</t>
        </is>
      </c>
      <c r="H149" s="31" t="n">
        <v>2786.68</v>
      </c>
      <c r="I149" s="31" t="n">
        <v>1165.9</v>
      </c>
      <c r="J149" s="31" t="n">
        <v>0.01</v>
      </c>
      <c r="K149" s="31" t="n">
        <v>49264</v>
      </c>
      <c r="L149" s="30" t="n">
        <v>17</v>
      </c>
      <c r="M149" s="30" t="inlineStr">
        <is>
          <t>Outperforming</t>
        </is>
      </c>
      <c r="N149" s="31">
        <f>IF(M149="Underperforming",-5,IF(L149&gt;=95,15,IF(L149&gt;=90,10,IF(L149&gt;=80,5,0))))</f>
        <v/>
      </c>
      <c r="O149" s="31" t="n">
        <v>64.52</v>
      </c>
      <c r="P149" s="31" t="n">
        <v>17.89</v>
      </c>
      <c r="Q149" s="31" t="n">
        <v>914.99</v>
      </c>
      <c r="R149" s="30" t="inlineStr">
        <is>
          <t>Near 52W High Breakout</t>
        </is>
      </c>
      <c r="S149" s="30" t="inlineStr">
        <is>
          <t>Nifty FMCG</t>
        </is>
      </c>
      <c r="T149" s="31" t="n">
        <v>-13.44</v>
      </c>
      <c r="U149" s="31" t="n">
        <v>4.23</v>
      </c>
      <c r="V149" s="31" t="n">
        <v>20.41</v>
      </c>
      <c r="W149" s="31" t="n">
        <v>4.94</v>
      </c>
      <c r="X149" s="30" t="inlineStr">
        <is>
          <t>Growing Industry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Tailwind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B2C</t>
        </is>
      </c>
      <c r="AO149" s="30">
        <f>IF(AN149="B2C",10,IF(AN149="B2B",5,0))</f>
        <v/>
      </c>
      <c r="AP149" s="30" t="inlineStr">
        <is>
          <t>Yes</t>
        </is>
      </c>
      <c r="AQ149" s="30">
        <f>IF(AP149="Yes",10,0)</f>
        <v/>
      </c>
      <c r="AR149" s="30" t="inlineStr">
        <is>
          <t>Higher Annuity, Lower One Time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0 to 20</t>
        </is>
      </c>
      <c r="AY149" s="30">
        <f>IF(AX149="Above 40",20,IF(AX149="20 to 40",10,IF(AX149="0 to 20",-5,0)))</f>
        <v/>
      </c>
      <c r="AZ149" s="30" t="inlineStr">
        <is>
          <t>Between 50 to 75</t>
        </is>
      </c>
      <c r="BA149" s="30">
        <f>IF(AZ149="Between 50 to 75",10,IF(AZ149="Above 75",0,0))</f>
        <v/>
      </c>
      <c r="BB149" s="30" t="inlineStr">
        <is>
          <t>Stage 2</t>
        </is>
      </c>
      <c r="BC149" s="30">
        <f>IF(BB149="Stage 2",20,IF(BB149="Stage 1",0,IF(BB149="Stage 3",5,IF(BB149="Stage 4",-5,0))))</f>
        <v/>
      </c>
      <c r="BD149" s="30" t="inlineStr">
        <is>
          <t>Positive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Close to 52 week high or retracement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More than 20%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Yes</t>
        </is>
      </c>
      <c r="BS149" s="30">
        <f>IF(BR149="NO",5,0)</f>
        <v/>
      </c>
      <c r="BT149" s="30" t="inlineStr">
        <is>
          <t>Above 2</t>
        </is>
      </c>
      <c r="BU149" s="30">
        <f>IF(BT149="Above 2",0,IF(BT149="Between 1.5 to 2",5,IF(BT149="Less than 1.5",10,0)))</f>
        <v/>
      </c>
      <c r="BV149" s="30" t="inlineStr">
        <is>
          <t>Between 50% to 70%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Less than 0.7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IF(B150=0,"",RANK(B150,$B$2:$B$306,0))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0" t="inlineStr">
        <is>
          <t>UFBL</t>
        </is>
      </c>
      <c r="D150" s="30" t="inlineStr">
        <is>
          <t>United Foodbrands Ltd</t>
        </is>
      </c>
      <c r="E150" s="30" t="inlineStr">
        <is>
          <t>consumer discretionary</t>
        </is>
      </c>
      <c r="F150" s="30" t="inlineStr">
        <is>
          <t>hotels</t>
        </is>
      </c>
      <c r="G150" s="30" t="inlineStr">
        <is>
          <t>smallcap</t>
        </is>
      </c>
      <c r="H150" s="31" t="n">
        <v>1797.97</v>
      </c>
      <c r="I150" s="31" t="n">
        <v>506</v>
      </c>
      <c r="J150" s="31" t="n">
        <v>10</v>
      </c>
      <c r="K150" s="31" t="n">
        <v>432012</v>
      </c>
      <c r="L150" s="30" t="n">
        <v>93</v>
      </c>
      <c r="M150" s="30" t="inlineStr">
        <is>
          <t>Outperforming</t>
        </is>
      </c>
      <c r="N150" s="31">
        <f>IF(M150="Underperforming",-5,IF(L150&gt;=95,15,IF(L150&gt;=90,10,IF(L150&gt;=80,5,0))))</f>
        <v/>
      </c>
      <c r="O150" s="31" t="n">
        <v>77.15000000000001</v>
      </c>
      <c r="P150" s="31" t="n">
        <v>32.16</v>
      </c>
      <c r="Q150" s="31" t="n">
        <v>351.02</v>
      </c>
      <c r="R150" s="30" t="inlineStr">
        <is>
          <t>Near 52W High Breakout</t>
        </is>
      </c>
      <c r="S150" s="30" t="inlineStr">
        <is>
          <t>Nifty 50</t>
        </is>
      </c>
      <c r="T150" s="31" t="n">
        <v>-6.54</v>
      </c>
      <c r="U150" s="31" t="n">
        <v>62.23</v>
      </c>
      <c r="V150" s="31" t="n">
        <v>73.59</v>
      </c>
      <c r="W150" s="31" t="n">
        <v>42.07</v>
      </c>
      <c r="X150" s="30" t="inlineStr">
        <is>
          <t>Growing Industry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No</t>
        </is>
      </c>
      <c r="AC150" s="30">
        <f>IF(AB150="No",5,0)</f>
        <v/>
      </c>
      <c r="AD150" s="30" t="inlineStr">
        <is>
          <t>Tailwind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Yes</t>
        </is>
      </c>
      <c r="AQ150" s="30">
        <f>IF(AP150="Yes",10,0)</f>
        <v/>
      </c>
      <c r="AR150" s="30" t="inlineStr">
        <is>
          <t>Higher One Time, Lower Annuity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20 to 40</t>
        </is>
      </c>
      <c r="AY150" s="30">
        <f>IF(AX150="Above 40",20,IF(AX150="20 to 40",10,IF(AX150="0 to 20",-5,0)))</f>
        <v/>
      </c>
      <c r="AZ150" s="30" t="inlineStr">
        <is>
          <t>Above 75</t>
        </is>
      </c>
      <c r="BA150" s="30">
        <f>IF(AZ150="Between 50 to 75",10,IF(AZ150="Above 75",0,0))</f>
        <v/>
      </c>
      <c r="BB150" s="30" t="inlineStr">
        <is>
          <t>Stage 2</t>
        </is>
      </c>
      <c r="BC150" s="30">
        <f>IF(BB150="Stage 2",20,IF(BB150="Stage 1",0,IF(BB150="Stage 3",5,IF(BB150="Stage 4",-5,0))))</f>
        <v/>
      </c>
      <c r="BD150" s="30" t="inlineStr">
        <is>
          <t>Positive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Close to 52 week high or retracement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More than 20%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No</t>
        </is>
      </c>
      <c r="BS150" s="30">
        <f>IF(BR150="NO",5,0)</f>
        <v/>
      </c>
      <c r="BT150" s="30" t="inlineStr">
        <is>
          <t>Above 2</t>
        </is>
      </c>
      <c r="BU150" s="30">
        <f>IF(BT150="Above 2",0,IF(BT150="Between 1.5 to 2",5,IF(BT150="Less than 1.5",10,0)))</f>
        <v/>
      </c>
      <c r="BV150" s="30" t="inlineStr">
        <is>
          <t>Above 70%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More than 1.2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IF(B151=0,"",RANK(B151,$B$2:$B$306,0))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0" t="inlineStr">
        <is>
          <t>TIMKEN</t>
        </is>
      </c>
      <c r="D151" s="30" t="inlineStr">
        <is>
          <t>Timken India Limited</t>
        </is>
      </c>
      <c r="E151" s="30" t="inlineStr">
        <is>
          <t>industrials</t>
        </is>
      </c>
      <c r="F151" s="30" t="inlineStr">
        <is>
          <t>bearings</t>
        </is>
      </c>
      <c r="G151" s="30" t="inlineStr">
        <is>
          <t>largecap</t>
        </is>
      </c>
      <c r="H151" s="31" t="n">
        <v>26862.87</v>
      </c>
      <c r="I151" s="31" t="n">
        <v>3643.6</v>
      </c>
      <c r="J151" s="31" t="n">
        <v>2.02</v>
      </c>
      <c r="K151" s="31" t="n">
        <v>81085</v>
      </c>
      <c r="L151" s="30" t="n">
        <v>13</v>
      </c>
      <c r="M151" s="30" t="inlineStr">
        <is>
          <t>Outperforming</t>
        </is>
      </c>
      <c r="N151" s="31">
        <f>IF(M151="Underperforming",-5,IF(L151&gt;=95,15,IF(L151&gt;=90,10,IF(L151&gt;=80,5,0))))</f>
        <v/>
      </c>
      <c r="O151" s="31" t="n">
        <v>60.71</v>
      </c>
      <c r="P151" s="31" t="n">
        <v>32.64</v>
      </c>
      <c r="Q151" s="31" t="n">
        <v>3020.12</v>
      </c>
      <c r="R151" s="30" t="inlineStr">
        <is>
          <t>Near 52W High Breakout</t>
        </is>
      </c>
      <c r="S151" s="30" t="inlineStr">
        <is>
          <t>Nifty 50</t>
        </is>
      </c>
      <c r="T151" s="31" t="n">
        <v>-6.54</v>
      </c>
      <c r="U151" s="31" t="n">
        <v>11.23</v>
      </c>
      <c r="V151" s="31" t="n">
        <v>19.02</v>
      </c>
      <c r="W151" s="31" t="n">
        <v>4.01</v>
      </c>
      <c r="X151" s="30" t="inlineStr">
        <is>
          <t>Cyclical in an Upturn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No</t>
        </is>
      </c>
      <c r="AC151" s="30">
        <f>IF(AB151="No",5,0)</f>
        <v/>
      </c>
      <c r="AD151" s="30" t="inlineStr">
        <is>
          <t>Tailwind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Yes</t>
        </is>
      </c>
      <c r="AQ151" s="30">
        <f>IF(AP151="Yes",10,0)</f>
        <v/>
      </c>
      <c r="AR151" s="30" t="inlineStr">
        <is>
          <t>Higher One Time, Lower Annuity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20 to 40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2</t>
        </is>
      </c>
      <c r="BC151" s="30">
        <f>IF(BB151="Stage 2",20,IF(BB151="Stage 1",0,IF(BB151="Stage 3",5,IF(BB151="Stage 4",-5,0))))</f>
        <v/>
      </c>
      <c r="BD151" s="30" t="inlineStr">
        <is>
          <t>Positive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Close to 52 week high or retracement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Less than 12%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Yes</t>
        </is>
      </c>
      <c r="BS151" s="30">
        <f>IF(BR151="NO",5,0)</f>
        <v/>
      </c>
      <c r="BT151" s="30" t="inlineStr">
        <is>
          <t>Above 2</t>
        </is>
      </c>
      <c r="BU151" s="30">
        <f>IF(BT151="Above 2",0,IF(BT151="Between 1.5 to 2",5,IF(BT151="Less than 1.5",10,0)))</f>
        <v/>
      </c>
      <c r="BV151" s="30" t="inlineStr">
        <is>
          <t>Above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Less than 0.7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IF(B152=0,"",RANK(B152,$B$2:$B$306,0))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0" t="inlineStr">
        <is>
          <t>MGEL</t>
        </is>
      </c>
      <c r="D152" s="30" t="inlineStr">
        <is>
          <t>Mangalam Global Enterprise Ltd</t>
        </is>
      </c>
      <c r="E152" s="30" t="inlineStr">
        <is>
          <t>services</t>
        </is>
      </c>
      <c r="F152" s="30" t="inlineStr">
        <is>
          <t>trading</t>
        </is>
      </c>
      <c r="G152" s="30" t="inlineStr">
        <is>
          <t>smallcap</t>
        </is>
      </c>
      <c r="H152" s="31" t="n">
        <v>500.92</v>
      </c>
      <c r="I152" s="31" t="n">
        <v>15.47</v>
      </c>
      <c r="J152" s="31" t="n">
        <v>1.78</v>
      </c>
      <c r="K152" s="31" t="n">
        <v>324141</v>
      </c>
      <c r="L152" s="30" t="n">
        <v>66</v>
      </c>
      <c r="M152" s="30" t="inlineStr">
        <is>
          <t>Outperforming</t>
        </is>
      </c>
      <c r="N152" s="31">
        <f>IF(M152="Underperforming",-5,IF(L152&gt;=95,15,IF(L152&gt;=90,10,IF(L152&gt;=80,5,0))))</f>
        <v/>
      </c>
      <c r="O152" s="31" t="n">
        <v>62.63</v>
      </c>
      <c r="P152" s="31" t="n">
        <v>30.11</v>
      </c>
      <c r="Q152" s="31" t="n">
        <v>10.78</v>
      </c>
      <c r="R152" s="30" t="inlineStr">
        <is>
          <t>Earnings / Momentum Support</t>
        </is>
      </c>
      <c r="S152" s="30" t="inlineStr">
        <is>
          <t>Nifty 50</t>
        </is>
      </c>
      <c r="T152" s="31" t="n">
        <v>-6.54</v>
      </c>
      <c r="U152" s="31" t="n">
        <v>21.6</v>
      </c>
      <c r="V152" s="31" t="n">
        <v>30.11</v>
      </c>
      <c r="W152" s="31" t="n">
        <v>18.57</v>
      </c>
      <c r="X152" s="30" t="inlineStr">
        <is>
          <t>Growing Industry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No</t>
        </is>
      </c>
      <c r="AC152" s="30">
        <f>IF(AB152="No",5,0)</f>
        <v/>
      </c>
      <c r="AD152" s="30" t="inlineStr">
        <is>
          <t>Tailwind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No</t>
        </is>
      </c>
      <c r="AQ152" s="30">
        <f>IF(AP152="Yes",10,0)</f>
        <v/>
      </c>
      <c r="AR152" s="30" t="inlineStr">
        <is>
          <t>Higher One Time, Lower Annuity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20 to 40</t>
        </is>
      </c>
      <c r="AY152" s="30">
        <f>IF(AX152="Above 40",20,IF(AX152="20 to 40",10,IF(AX152="0 to 20",-5,0)))</f>
        <v/>
      </c>
      <c r="AZ152" s="30" t="inlineStr">
        <is>
          <t>Between 50 to 75</t>
        </is>
      </c>
      <c r="BA152" s="30">
        <f>IF(AZ152="Between 50 to 75",10,IF(AZ152="Above 75",0,0))</f>
        <v/>
      </c>
      <c r="BB152" s="30" t="inlineStr">
        <is>
          <t>Stage 2</t>
        </is>
      </c>
      <c r="BC152" s="30">
        <f>IF(BB152="Stage 2",20,IF(BB152="Stage 1",0,IF(BB152="Stage 3",5,IF(BB152="Stage 4",-5,0))))</f>
        <v/>
      </c>
      <c r="BD152" s="30" t="inlineStr">
        <is>
          <t>Positive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Close to 52 week high or retracement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More than 20%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No</t>
        </is>
      </c>
      <c r="BS152" s="30">
        <f>IF(BR152="NO",5,0)</f>
        <v/>
      </c>
      <c r="BT152" s="30" t="inlineStr">
        <is>
          <t>Above 2</t>
        </is>
      </c>
      <c r="BU152" s="30">
        <f>IF(BT152="Above 2",0,IF(BT152="Between 1.5 to 2",5,IF(BT152="Less than 1.5",10,0)))</f>
        <v/>
      </c>
      <c r="BV152" s="30" t="inlineStr">
        <is>
          <t>Above 70%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Between 0.7 to 1.2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IF(B153=0,"",RANK(B153,$B$2:$B$306,0))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SANGHVIMOV</t>
        </is>
      </c>
      <c r="D153" s="30" t="inlineStr">
        <is>
          <t>Sanghvi Movers Limited</t>
        </is>
      </c>
      <c r="E153" s="30" t="inlineStr">
        <is>
          <t>miscellaneous</t>
        </is>
      </c>
      <c r="F153" s="30" t="inlineStr">
        <is>
          <t>miscellaneous</t>
        </is>
      </c>
      <c r="G153" s="30" t="inlineStr">
        <is>
          <t>smallcap</t>
        </is>
      </c>
      <c r="H153" s="31" t="n">
        <v>3175.17</v>
      </c>
      <c r="I153" s="31" t="n">
        <v>373.15</v>
      </c>
      <c r="J153" s="31" t="n">
        <v>1.75</v>
      </c>
      <c r="K153" s="31" t="n">
        <v>292358</v>
      </c>
      <c r="L153" s="30" t="n">
        <v>65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62.17</v>
      </c>
      <c r="P153" s="31" t="n">
        <v>18.61</v>
      </c>
      <c r="Q153" s="31" t="n">
        <v>261.47</v>
      </c>
      <c r="R153" s="30" t="inlineStr">
        <is>
          <t>Earnings / Momentum Support</t>
        </is>
      </c>
      <c r="S153" s="30" t="inlineStr">
        <is>
          <t>Nifty 50</t>
        </is>
      </c>
      <c r="T153" s="31" t="n">
        <v>-6.54</v>
      </c>
      <c r="U153" s="31" t="n">
        <v>26.38</v>
      </c>
      <c r="V153" s="31" t="n">
        <v>35.23</v>
      </c>
      <c r="W153" s="31" t="n">
        <v>17.85</v>
      </c>
      <c r="X153" s="30" t="inlineStr">
        <is>
          <t>Growing Industry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No</t>
        </is>
      </c>
      <c r="AC153" s="30">
        <f>IF(AB153="No",5,0)</f>
        <v/>
      </c>
      <c r="AD153" s="30" t="inlineStr">
        <is>
          <t>Tailwind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No</t>
        </is>
      </c>
      <c r="AQ153" s="30">
        <f>IF(AP153="Yes",10,0)</f>
        <v/>
      </c>
      <c r="AR153" s="30" t="inlineStr">
        <is>
          <t>Higher One Time, Lower Annuity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0 to 20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2</t>
        </is>
      </c>
      <c r="BC153" s="30">
        <f>IF(BB153="Stage 2",20,IF(BB153="Stage 1",0,IF(BB153="Stage 3",5,IF(BB153="Stage 4",-5,0))))</f>
        <v/>
      </c>
      <c r="BD153" s="30" t="inlineStr">
        <is>
          <t>Positive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Close to 52 week high or retracement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More than 20%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No</t>
        </is>
      </c>
      <c r="BS153" s="30">
        <f>IF(BR153="NO",5,0)</f>
        <v/>
      </c>
      <c r="BT153" s="30" t="inlineStr">
        <is>
          <t>Less than 1.5</t>
        </is>
      </c>
      <c r="BU153" s="30">
        <f>IF(BT153="Above 2",0,IF(BT153="Between 1.5 to 2",5,IF(BT153="Less than 1.5",10,0)))</f>
        <v/>
      </c>
      <c r="BV153" s="30" t="inlineStr">
        <is>
          <t>Between 50% to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Less than 0.7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IF(B154=0,"",RANK(B154,$B$2:$B$306,0))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0" t="inlineStr">
        <is>
          <t>FINEORG</t>
        </is>
      </c>
      <c r="D154" s="30" t="inlineStr">
        <is>
          <t>Fine Organic Industries Ltd</t>
        </is>
      </c>
      <c r="E154" s="30" t="inlineStr">
        <is>
          <t>chemicals</t>
        </is>
      </c>
      <c r="F154" s="30" t="inlineStr">
        <is>
          <t>chemicals</t>
        </is>
      </c>
      <c r="G154" s="30" t="inlineStr">
        <is>
          <t>midcap</t>
        </is>
      </c>
      <c r="H154" s="31" t="n">
        <v>14378.61</v>
      </c>
      <c r="I154" s="31" t="n">
        <v>4754.4</v>
      </c>
      <c r="J154" s="31" t="n">
        <v>1.38</v>
      </c>
      <c r="K154" s="31" t="n">
        <v>17984</v>
      </c>
      <c r="L154" s="30" t="n">
        <v>5</v>
      </c>
      <c r="M154" s="30" t="inlineStr">
        <is>
          <t>Outperforming</t>
        </is>
      </c>
      <c r="N154" s="31">
        <f>IF(M154="Underperforming",-5,IF(L154&gt;=95,15,IF(L154&gt;=90,10,IF(L154&gt;=80,5,0))))</f>
        <v/>
      </c>
      <c r="O154" s="31" t="n">
        <v>56.73</v>
      </c>
      <c r="P154" s="31" t="n">
        <v>11.54</v>
      </c>
      <c r="Q154" s="31" t="n">
        <v>3944.31</v>
      </c>
      <c r="R154" s="30" t="inlineStr">
        <is>
          <t>Earnings / Momentum Support</t>
        </is>
      </c>
      <c r="S154" s="30" t="inlineStr">
        <is>
          <t>Nifty 50</t>
        </is>
      </c>
      <c r="T154" s="31" t="n">
        <v>-6.54</v>
      </c>
      <c r="U154" s="31" t="n">
        <v>-0.6899999999999999</v>
      </c>
      <c r="V154" s="31" t="n">
        <v>6.27</v>
      </c>
      <c r="W154" s="31" t="n">
        <v>2.3</v>
      </c>
      <c r="X154" s="30" t="inlineStr">
        <is>
          <t>Growing Industry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No</t>
        </is>
      </c>
      <c r="AC154" s="30">
        <f>IF(AB154="No",5,0)</f>
        <v/>
      </c>
      <c r="AD154" s="30" t="inlineStr">
        <is>
          <t>Tailwind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No</t>
        </is>
      </c>
      <c r="AQ154" s="30">
        <f>IF(AP154="Yes",10,0)</f>
        <v/>
      </c>
      <c r="AR154" s="30" t="inlineStr">
        <is>
          <t>Higher One Time, Lower Annuity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0 to 20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2</t>
        </is>
      </c>
      <c r="BC154" s="30">
        <f>IF(BB154="Stage 2",20,IF(BB154="Stage 1",0,IF(BB154="Stage 3",5,IF(BB154="Stage 4",-5,0))))</f>
        <v/>
      </c>
      <c r="BD154" s="30" t="inlineStr">
        <is>
          <t>Positive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Close to 52 week high or retracement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More than 20%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No</t>
        </is>
      </c>
      <c r="BS154" s="30">
        <f>IF(BR154="NO",5,0)</f>
        <v/>
      </c>
      <c r="BT154" s="30" t="inlineStr">
        <is>
          <t>Between 1.5 to 2</t>
        </is>
      </c>
      <c r="BU154" s="30">
        <f>IF(BT154="Above 2",0,IF(BT154="Between 1.5 to 2",5,IF(BT154="Less than 1.5",10,0)))</f>
        <v/>
      </c>
      <c r="BV154" s="30" t="inlineStr">
        <is>
          <t>Above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Less than 0.7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IF(B155=0,"",RANK(B155,$B$2:$B$306,0))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APARINDS</t>
        </is>
      </c>
      <c r="D155" s="30" t="inlineStr">
        <is>
          <t>Apar Industries Limited</t>
        </is>
      </c>
      <c r="E155" s="30" t="inlineStr">
        <is>
          <t>industrials</t>
        </is>
      </c>
      <c r="F155" s="30" t="inlineStr">
        <is>
          <t>electric equipment</t>
        </is>
      </c>
      <c r="G155" s="30" t="inlineStr">
        <is>
          <t>largecap</t>
        </is>
      </c>
      <c r="H155" s="31" t="n">
        <v>55066.74</v>
      </c>
      <c r="I155" s="31" t="n">
        <v>13878</v>
      </c>
      <c r="J155" s="31" t="n">
        <v>1.23</v>
      </c>
      <c r="K155" s="31" t="n">
        <v>100710</v>
      </c>
      <c r="L155" s="30" t="n">
        <v>68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72.16</v>
      </c>
      <c r="P155" s="31" t="n">
        <v>37.25</v>
      </c>
      <c r="Q155" s="31" t="n">
        <v>10681.09</v>
      </c>
      <c r="R155" s="30" t="inlineStr">
        <is>
          <t>Near 52W High Breakout</t>
        </is>
      </c>
      <c r="S155" s="30" t="inlineStr">
        <is>
          <t>Nifty 50</t>
        </is>
      </c>
      <c r="T155" s="31" t="n">
        <v>-6.54</v>
      </c>
      <c r="U155" s="31" t="n">
        <v>72.26000000000001</v>
      </c>
      <c r="V155" s="31" t="n">
        <v>84.33</v>
      </c>
      <c r="W155" s="31" t="n">
        <v>18.96</v>
      </c>
      <c r="X155" s="30" t="inlineStr">
        <is>
          <t>Cyclical in an Upturn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No</t>
        </is>
      </c>
      <c r="AC155" s="30">
        <f>IF(AB155="No",5,0)</f>
        <v/>
      </c>
      <c r="AD155" s="30" t="inlineStr">
        <is>
          <t>Tailwind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Yes</t>
        </is>
      </c>
      <c r="AQ155" s="30">
        <f>IF(AP155="Yes",10,0)</f>
        <v/>
      </c>
      <c r="AR155" s="30" t="inlineStr">
        <is>
          <t>Higher One Time, Lower Annuity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20 to 40</t>
        </is>
      </c>
      <c r="AY155" s="30">
        <f>IF(AX155="Above 40",20,IF(AX155="20 to 40",10,IF(AX155="0 to 20",-5,0)))</f>
        <v/>
      </c>
      <c r="AZ155" s="30" t="inlineStr">
        <is>
          <t>Between 50 to 75</t>
        </is>
      </c>
      <c r="BA155" s="30">
        <f>IF(AZ155="Between 50 to 75",10,IF(AZ155="Above 75",0,0))</f>
        <v/>
      </c>
      <c r="BB155" s="30" t="inlineStr">
        <is>
          <t>Stage 2</t>
        </is>
      </c>
      <c r="BC155" s="30">
        <f>IF(BB155="Stage 2",20,IF(BB155="Stage 1",0,IF(BB155="Stage 3",5,IF(BB155="Stage 4",-5,0))))</f>
        <v/>
      </c>
      <c r="BD155" s="30" t="inlineStr">
        <is>
          <t>Positive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Blue sky scenario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Less than 12%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Yes</t>
        </is>
      </c>
      <c r="BS155" s="30">
        <f>IF(BR155="NO",5,0)</f>
        <v/>
      </c>
      <c r="BT155" s="30" t="inlineStr">
        <is>
          <t>Above 2</t>
        </is>
      </c>
      <c r="BU155" s="30">
        <f>IF(BT155="Above 2",0,IF(BT155="Between 1.5 to 2",5,IF(BT155="Less than 1.5",10,0)))</f>
        <v/>
      </c>
      <c r="BV155" s="30" t="inlineStr">
        <is>
          <t>Between 50% to 70%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Less than 0.7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IF(B156=0,"",RANK(B156,$B$2:$B$306,0))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RAIN</t>
        </is>
      </c>
      <c r="D156" s="30" t="inlineStr">
        <is>
          <t>Rain Industries Limited</t>
        </is>
      </c>
      <c r="E156" s="30" t="inlineStr">
        <is>
          <t>miscellaneous</t>
        </is>
      </c>
      <c r="F156" s="30" t="inlineStr">
        <is>
          <t>miscellaneous</t>
        </is>
      </c>
      <c r="G156" s="30" t="inlineStr">
        <is>
          <t>midcap</t>
        </is>
      </c>
      <c r="H156" s="31" t="n">
        <v>6575.89</v>
      </c>
      <c r="I156" s="31" t="n">
        <v>197.09</v>
      </c>
      <c r="J156" s="31" t="n">
        <v>0.8100000000000001</v>
      </c>
      <c r="K156" s="31" t="n">
        <v>4579100</v>
      </c>
      <c r="L156" s="30" t="n">
        <v>67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72.51000000000001</v>
      </c>
      <c r="P156" s="31" t="n">
        <v>18.85</v>
      </c>
      <c r="Q156" s="31" t="n">
        <v>147.01</v>
      </c>
      <c r="R156" s="30" t="inlineStr">
        <is>
          <t>Near 52W High Breakout</t>
        </is>
      </c>
      <c r="S156" s="30" t="inlineStr">
        <is>
          <t>Nifty 50</t>
        </is>
      </c>
      <c r="T156" s="31" t="n">
        <v>-6.54</v>
      </c>
      <c r="U156" s="31" t="n">
        <v>35.54</v>
      </c>
      <c r="V156" s="31" t="n">
        <v>45.03</v>
      </c>
      <c r="W156" s="31" t="n">
        <v>18.87</v>
      </c>
      <c r="X156" s="30" t="inlineStr">
        <is>
          <t>Growing Industry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No</t>
        </is>
      </c>
      <c r="AC156" s="30">
        <f>IF(AB156="No",5,0)</f>
        <v/>
      </c>
      <c r="AD156" s="30" t="inlineStr">
        <is>
          <t>Tailwind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Yes</t>
        </is>
      </c>
      <c r="AQ156" s="30">
        <f>IF(AP156="Yes",10,0)</f>
        <v/>
      </c>
      <c r="AR156" s="30" t="inlineStr">
        <is>
          <t>Higher One Time, Lower Annuity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0 to 20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2</t>
        </is>
      </c>
      <c r="BC156" s="30">
        <f>IF(BB156="Stage 2",20,IF(BB156="Stage 1",0,IF(BB156="Stage 3",5,IF(BB156="Stage 4",-5,0))))</f>
        <v/>
      </c>
      <c r="BD156" s="30" t="inlineStr">
        <is>
          <t>Positive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Blue sky scenario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More than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No</t>
        </is>
      </c>
      <c r="BS156" s="30">
        <f>IF(BR156="NO",5,0)</f>
        <v/>
      </c>
      <c r="BT156" s="30" t="inlineStr">
        <is>
          <t>Less than 1.5</t>
        </is>
      </c>
      <c r="BU156" s="30">
        <f>IF(BT156="Above 2",0,IF(BT156="Between 1.5 to 2",5,IF(BT156="Less than 1.5",10,0)))</f>
        <v/>
      </c>
      <c r="BV156" s="30" t="inlineStr">
        <is>
          <t>Above 70%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More than 1.2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IF(B157=0,"",RANK(B157,$B$2:$B$306,0))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GLOBAL</t>
        </is>
      </c>
      <c r="D157" s="30" t="inlineStr">
        <is>
          <t>Global Education Ltd</t>
        </is>
      </c>
      <c r="E157" s="30" t="inlineStr">
        <is>
          <t>services</t>
        </is>
      </c>
      <c r="F157" s="30" t="inlineStr">
        <is>
          <t>miscellaneous</t>
        </is>
      </c>
      <c r="G157" s="30" t="inlineStr">
        <is>
          <t>smallcap</t>
        </is>
      </c>
      <c r="H157" s="31" t="n">
        <v>549.84</v>
      </c>
      <c r="I157" s="31" t="n">
        <v>108.72</v>
      </c>
      <c r="J157" s="31" t="n">
        <v>0.65</v>
      </c>
      <c r="K157" s="31" t="n">
        <v>98296</v>
      </c>
      <c r="L157" s="30" t="n">
        <v>55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60.56</v>
      </c>
      <c r="P157" s="31" t="n">
        <v>49.2</v>
      </c>
      <c r="Q157" s="31" t="n">
        <v>88.62</v>
      </c>
      <c r="R157" s="30" t="inlineStr">
        <is>
          <t>Earnings / Momentum Support</t>
        </is>
      </c>
      <c r="S157" s="30" t="inlineStr">
        <is>
          <t>Nifty 50</t>
        </is>
      </c>
      <c r="T157" s="31" t="n">
        <v>-6.54</v>
      </c>
      <c r="U157" s="31" t="n">
        <v>78.04000000000001</v>
      </c>
      <c r="V157" s="31" t="n">
        <v>90.51000000000001</v>
      </c>
      <c r="W157" s="31" t="n">
        <v>14.64</v>
      </c>
      <c r="X157" s="30" t="inlineStr">
        <is>
          <t>Growing Industry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Tailwind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No</t>
        </is>
      </c>
      <c r="AQ157" s="30">
        <f>IF(AP157="Yes",10,0)</f>
        <v/>
      </c>
      <c r="AR157" s="30" t="inlineStr">
        <is>
          <t>Higher One Time, Lower Annuity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Above 40</t>
        </is>
      </c>
      <c r="AY157" s="30">
        <f>IF(AX157="Above 40",20,IF(AX157="20 to 40",10,IF(AX157="0 to 20",-5,0)))</f>
        <v/>
      </c>
      <c r="AZ157" s="30" t="inlineStr">
        <is>
          <t>Between 50 to 75</t>
        </is>
      </c>
      <c r="BA157" s="30">
        <f>IF(AZ157="Between 50 to 75",10,IF(AZ157="Above 75",0,0))</f>
        <v/>
      </c>
      <c r="BB157" s="30" t="inlineStr">
        <is>
          <t>Stage 2</t>
        </is>
      </c>
      <c r="BC157" s="30">
        <f>IF(BB157="Stage 2",20,IF(BB157="Stage 1",0,IF(BB157="Stage 3",5,IF(BB157="Stage 4",-5,0))))</f>
        <v/>
      </c>
      <c r="BD157" s="30" t="inlineStr">
        <is>
          <t>Negative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Close to 52 week high or retracement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More than 20%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No</t>
        </is>
      </c>
      <c r="BS157" s="30">
        <f>IF(BR157="NO",5,0)</f>
        <v/>
      </c>
      <c r="BT157" s="30" t="inlineStr">
        <is>
          <t>Less than 1.5</t>
        </is>
      </c>
      <c r="BU157" s="30">
        <f>IF(BT157="Above 2",0,IF(BT157="Between 1.5 to 2",5,IF(BT157="Less than 1.5",10,0)))</f>
        <v/>
      </c>
      <c r="BV157" s="30" t="inlineStr">
        <is>
          <t>Above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Less than 0.7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IF(B158=0,"",RANK(B158,$B$2:$B$306,0))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0" t="inlineStr">
        <is>
          <t>RUBYMILLS</t>
        </is>
      </c>
      <c r="D158" s="30" t="inlineStr">
        <is>
          <t>The Ruby Mills Limited</t>
        </is>
      </c>
      <c r="E158" s="30" t="inlineStr">
        <is>
          <t>textiles</t>
        </is>
      </c>
      <c r="F158" s="30" t="inlineStr">
        <is>
          <t>textiles - composite</t>
        </is>
      </c>
      <c r="G158" s="30" t="inlineStr">
        <is>
          <t>smallcap</t>
        </is>
      </c>
      <c r="H158" s="31" t="n">
        <v>1124.25</v>
      </c>
      <c r="I158" s="31" t="n">
        <v>337.85</v>
      </c>
      <c r="J158" s="31" t="n">
        <v>0.49</v>
      </c>
      <c r="K158" s="31" t="n">
        <v>127037</v>
      </c>
      <c r="L158" s="30" t="n">
        <v>75</v>
      </c>
      <c r="M158" s="30" t="inlineStr">
        <is>
          <t>Outperforming</t>
        </is>
      </c>
      <c r="N158" s="31">
        <f>IF(M158="Underperforming",-5,IF(L158&gt;=95,15,IF(L158&gt;=90,10,IF(L158&gt;=80,5,0))))</f>
        <v/>
      </c>
      <c r="O158" s="31" t="n">
        <v>76.73999999999999</v>
      </c>
      <c r="P158" s="31" t="n">
        <v>34.89</v>
      </c>
      <c r="Q158" s="31" t="n">
        <v>254.42</v>
      </c>
      <c r="R158" s="30" t="inlineStr">
        <is>
          <t>Volume Spike &amp; Near 52W High Breakout</t>
        </is>
      </c>
      <c r="S158" s="30" t="inlineStr">
        <is>
          <t>Nifty 50</t>
        </is>
      </c>
      <c r="T158" s="31" t="n">
        <v>-6.54</v>
      </c>
      <c r="U158" s="31" t="n">
        <v>56.28</v>
      </c>
      <c r="V158" s="31" t="n">
        <v>67.22</v>
      </c>
      <c r="W158" s="31" t="n">
        <v>22.85</v>
      </c>
      <c r="X158" s="30" t="inlineStr">
        <is>
          <t>Growing Industry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No</t>
        </is>
      </c>
      <c r="AC158" s="30">
        <f>IF(AB158="No",5,0)</f>
        <v/>
      </c>
      <c r="AD158" s="30" t="inlineStr">
        <is>
          <t>Tailwind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Yes</t>
        </is>
      </c>
      <c r="AQ158" s="30">
        <f>IF(AP158="Yes",10,0)</f>
        <v/>
      </c>
      <c r="AR158" s="30" t="inlineStr">
        <is>
          <t>Higher One Time, Lower Annuity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20 to 40</t>
        </is>
      </c>
      <c r="AY158" s="30">
        <f>IF(AX158="Above 40",20,IF(AX158="20 to 40",10,IF(AX158="0 to 20",-5,0)))</f>
        <v/>
      </c>
      <c r="AZ158" s="30" t="inlineStr">
        <is>
          <t>Above 75</t>
        </is>
      </c>
      <c r="BA158" s="30">
        <f>IF(AZ158="Between 50 to 75",10,IF(AZ158="Above 75",0,0))</f>
        <v/>
      </c>
      <c r="BB158" s="30" t="inlineStr">
        <is>
          <t>Stage 2</t>
        </is>
      </c>
      <c r="BC158" s="30">
        <f>IF(BB158="Stage 2",20,IF(BB158="Stage 1",0,IF(BB158="Stage 3",5,IF(BB158="Stage 4",-5,0))))</f>
        <v/>
      </c>
      <c r="BD158" s="30" t="inlineStr">
        <is>
          <t>Positive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Blue sky scenario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Less than 12%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No</t>
        </is>
      </c>
      <c r="BS158" s="30">
        <f>IF(BR158="NO",5,0)</f>
        <v/>
      </c>
      <c r="BT158" s="30" t="inlineStr">
        <is>
          <t>Above 2</t>
        </is>
      </c>
      <c r="BU158" s="30">
        <f>IF(BT158="Above 2",0,IF(BT158="Between 1.5 to 2",5,IF(BT158="Less than 1.5",10,0)))</f>
        <v/>
      </c>
      <c r="BV158" s="30" t="inlineStr">
        <is>
          <t>Between 50% to 70%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Less than 0.7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IF(B159=0,"",RANK(B159,$B$2:$B$306,0))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2" t="inlineStr">
        <is>
          <t>ZENTEC</t>
        </is>
      </c>
      <c r="D159" s="32" t="inlineStr">
        <is>
          <t>Zen Technologies Limited</t>
        </is>
      </c>
      <c r="E159" s="30" t="inlineStr">
        <is>
          <t>aerospace &amp; defence</t>
        </is>
      </c>
      <c r="F159" s="30" t="inlineStr">
        <is>
          <t>miscellaneous</t>
        </is>
      </c>
      <c r="G159" s="30" t="inlineStr">
        <is>
          <t>midcap</t>
        </is>
      </c>
      <c r="H159" s="31" t="n">
        <v>16340.75</v>
      </c>
      <c r="I159" s="31" t="n">
        <v>1815.3</v>
      </c>
      <c r="J159" s="31" t="n">
        <v>0.3</v>
      </c>
      <c r="K159" s="31" t="n">
        <v>1598541</v>
      </c>
      <c r="L159" s="30" t="n">
        <v>14</v>
      </c>
      <c r="M159" s="30" t="inlineStr">
        <is>
          <t>Underperforming</t>
        </is>
      </c>
      <c r="N159" s="31">
        <f>IF(M159="Underperforming",-5,IF(L159&gt;=95,15,IF(L159&gt;=90,10,IF(L159&gt;=80,5,0))))</f>
        <v/>
      </c>
      <c r="O159" s="31" t="n">
        <v>69.43000000000001</v>
      </c>
      <c r="P159" s="31" t="n">
        <v>21.13</v>
      </c>
      <c r="Q159" s="31" t="n">
        <v>1373.18</v>
      </c>
      <c r="R159" s="30" t="inlineStr">
        <is>
          <t>Volume Spike / Accumulation</t>
        </is>
      </c>
      <c r="S159" s="30" t="inlineStr">
        <is>
          <t>Nifty 50</t>
        </is>
      </c>
      <c r="T159" s="31" t="n">
        <v>-6.54</v>
      </c>
      <c r="U159" s="31" t="n">
        <v>-12.75</v>
      </c>
      <c r="V159" s="31" t="n">
        <v>-6.64</v>
      </c>
      <c r="W159" s="31" t="n">
        <v>4.44</v>
      </c>
      <c r="X159" s="30" t="inlineStr">
        <is>
          <t>Growing Industry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Tailwind</t>
        </is>
      </c>
      <c r="AE159" s="30">
        <f>IF(AD159="Tailwind",10,0)</f>
        <v/>
      </c>
      <c r="AF159" s="30" t="inlineStr">
        <is>
          <t>Structural (10 Years Consistency)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Yes</t>
        </is>
      </c>
      <c r="AQ159" s="30">
        <f>IF(AP159="Yes",10,0)</f>
        <v/>
      </c>
      <c r="AR159" s="30" t="inlineStr">
        <is>
          <t>Higher One Time, Lower Annuity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20 to 40</t>
        </is>
      </c>
      <c r="AY159" s="30">
        <f>IF(AX159="Above 40",20,IF(AX159="20 to 40",10,IF(AX159="0 to 20",-5,0)))</f>
        <v/>
      </c>
      <c r="AZ159" s="30" t="inlineStr">
        <is>
          <t>Between 50 to 75</t>
        </is>
      </c>
      <c r="BA159" s="30">
        <f>IF(AZ159="Between 50 to 75",10,IF(AZ159="Above 75",0,0))</f>
        <v/>
      </c>
      <c r="BB159" s="30" t="inlineStr">
        <is>
          <t>Stage 2</t>
        </is>
      </c>
      <c r="BC159" s="30">
        <f>IF(BB159="Stage 2",20,IF(BB159="Stage 1",0,IF(BB159="Stage 3",5,IF(BB159="Stage 4",-5,0))))</f>
        <v/>
      </c>
      <c r="BD159" s="30" t="inlineStr">
        <is>
          <t>Positive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Close to 52 week high or retracement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Less than 12%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Yes</t>
        </is>
      </c>
      <c r="BS159" s="30">
        <f>IF(BR159="NO",5,0)</f>
        <v/>
      </c>
      <c r="BT159" s="30" t="inlineStr">
        <is>
          <t>Above 2</t>
        </is>
      </c>
      <c r="BU159" s="30">
        <f>IF(BT159="Above 2",0,IF(BT159="Between 1.5 to 2",5,IF(BT159="Less than 1.5",10,0)))</f>
        <v/>
      </c>
      <c r="BV159" s="30" t="inlineStr">
        <is>
          <t>Above 70%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Less than 0.7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IF(B160=0,"",RANK(B160,$B$2:$B$306,0))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0" t="inlineStr">
        <is>
          <t>PREMIERENE</t>
        </is>
      </c>
      <c r="D160" s="30" t="inlineStr">
        <is>
          <t>Premier Energies Ltd</t>
        </is>
      </c>
      <c r="E160" s="30" t="inlineStr">
        <is>
          <t>services</t>
        </is>
      </c>
      <c r="F160" s="30" t="inlineStr">
        <is>
          <t>trading</t>
        </is>
      </c>
      <c r="G160" s="30" t="inlineStr">
        <is>
          <t>largecap</t>
        </is>
      </c>
      <c r="H160" s="31" t="n">
        <v>48823.73</v>
      </c>
      <c r="I160" s="31" t="n">
        <v>1080.1</v>
      </c>
      <c r="J160" s="31" t="n">
        <v>0.21</v>
      </c>
      <c r="K160" s="31" t="n">
        <v>1147886</v>
      </c>
      <c r="L160" s="30" t="n">
        <v>49</v>
      </c>
      <c r="M160" s="30" t="inlineStr">
        <is>
          <t>Outperforming</t>
        </is>
      </c>
      <c r="N160" s="31">
        <f>IF(M160="Underperforming",-5,IF(L160&gt;=95,15,IF(L160&gt;=90,10,IF(L160&gt;=80,5,0))))</f>
        <v/>
      </c>
      <c r="O160" s="31" t="n">
        <v>65.43000000000001</v>
      </c>
      <c r="P160" s="31" t="n">
        <v>18.7</v>
      </c>
      <c r="Q160" s="31" t="n">
        <v>849.1799999999999</v>
      </c>
      <c r="R160" s="30" t="inlineStr">
        <is>
          <t>Near 52W High Breakout</t>
        </is>
      </c>
      <c r="S160" s="30" t="inlineStr">
        <is>
          <t>Nifty 500</t>
        </is>
      </c>
      <c r="T160" s="31" t="n">
        <v>-3.02</v>
      </c>
      <c r="U160" s="31" t="n">
        <v>2.66</v>
      </c>
      <c r="V160" s="31" t="n">
        <v>5.85</v>
      </c>
      <c r="W160" s="31" t="n">
        <v>12.82</v>
      </c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No</t>
        </is>
      </c>
      <c r="AC160" s="30">
        <f>IF(AB160="No",5,0)</f>
        <v/>
      </c>
      <c r="AD160" s="30" t="inlineStr">
        <is>
          <t>Tailwind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Yes</t>
        </is>
      </c>
      <c r="AQ160" s="30">
        <f>IF(AP160="Yes",10,0)</f>
        <v/>
      </c>
      <c r="AR160" s="30" t="inlineStr">
        <is>
          <t>Higher One Time, Lower Annuity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0 to 20</t>
        </is>
      </c>
      <c r="AY160" s="30">
        <f>IF(AX160="Above 40",20,IF(AX160="20 to 40",10,IF(AX160="0 to 20",-5,0)))</f>
        <v/>
      </c>
      <c r="AZ160" s="30" t="inlineStr">
        <is>
          <t>Between 50 to 75</t>
        </is>
      </c>
      <c r="BA160" s="30">
        <f>IF(AZ160="Between 50 to 75",10,IF(AZ160="Above 75",0,0))</f>
        <v/>
      </c>
      <c r="BB160" s="30" t="inlineStr">
        <is>
          <t>Stage 2</t>
        </is>
      </c>
      <c r="BC160" s="30">
        <f>IF(BB160="Stage 2",20,IF(BB160="Stage 1",0,IF(BB160="Stage 3",5,IF(BB160="Stage 4",-5,0))))</f>
        <v/>
      </c>
      <c r="BD160" s="30" t="inlineStr">
        <is>
          <t>Positive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Close to 52 week high or retracement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More than 20%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No</t>
        </is>
      </c>
      <c r="BS160" s="30">
        <f>IF(BR160="NO",5,0)</f>
        <v/>
      </c>
      <c r="BT160" s="30" t="inlineStr">
        <is>
          <t>Less than 1.5</t>
        </is>
      </c>
      <c r="BU160" s="30">
        <f>IF(BT160="Above 2",0,IF(BT160="Between 1.5 to 2",5,IF(BT160="Less than 1.5",10,0)))</f>
        <v/>
      </c>
      <c r="BV160" s="30" t="inlineStr">
        <is>
          <t>Between 50% to 70%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Between 0.7 to 1.2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IF(B161=0,"",RANK(B161,$B$2:$B$306,0))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0" t="inlineStr">
        <is>
          <t>RRKABEL</t>
        </is>
      </c>
      <c r="D161" s="30" t="inlineStr">
        <is>
          <t>R R Kabel Ltd</t>
        </is>
      </c>
      <c r="E161" s="30" t="inlineStr">
        <is>
          <t>industrials</t>
        </is>
      </c>
      <c r="F161" s="30" t="inlineStr">
        <is>
          <t>cables - power</t>
        </is>
      </c>
      <c r="G161" s="30" t="inlineStr">
        <is>
          <t>largecap</t>
        </is>
      </c>
      <c r="H161" s="31" t="n">
        <v>25143.35</v>
      </c>
      <c r="I161" s="31" t="n">
        <v>2223.4</v>
      </c>
      <c r="J161" s="31" t="n">
        <v>0.02</v>
      </c>
      <c r="K161" s="31" t="n">
        <v>564015</v>
      </c>
      <c r="L161" s="30" t="n">
        <v>71</v>
      </c>
      <c r="M161" s="30" t="inlineStr">
        <is>
          <t>Outperforming</t>
        </is>
      </c>
      <c r="N161" s="31">
        <f>IF(M161="Underperforming",-5,IF(L161&gt;=95,15,IF(L161&gt;=90,10,IF(L161&gt;=80,5,0))))</f>
        <v/>
      </c>
      <c r="O161" s="31" t="n">
        <v>78.59</v>
      </c>
      <c r="P161" s="31" t="n">
        <v>32.21</v>
      </c>
      <c r="Q161" s="31" t="n">
        <v>1758.31</v>
      </c>
      <c r="R161" s="30" t="inlineStr">
        <is>
          <t>Near 52W High Breakout</t>
        </is>
      </c>
      <c r="S161" s="30" t="inlineStr">
        <is>
          <t>Nifty Energy</t>
        </is>
      </c>
      <c r="T161" s="31" t="n">
        <v>12.31</v>
      </c>
      <c r="U161" s="31" t="n">
        <v>58.13</v>
      </c>
      <c r="V161" s="31" t="n">
        <v>40.8</v>
      </c>
      <c r="W161" s="31" t="n">
        <v>20.39</v>
      </c>
      <c r="X161" s="30" t="inlineStr">
        <is>
          <t>Cyclical in an Upturn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No</t>
        </is>
      </c>
      <c r="AC161" s="30">
        <f>IF(AB161="No",5,0)</f>
        <v/>
      </c>
      <c r="AD161" s="30" t="inlineStr">
        <is>
          <t>Tailwind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Yes</t>
        </is>
      </c>
      <c r="AQ161" s="30">
        <f>IF(AP161="Yes",10,0)</f>
        <v/>
      </c>
      <c r="AR161" s="30" t="inlineStr">
        <is>
          <t>Higher One Time, Lower Annuity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20 to 40</t>
        </is>
      </c>
      <c r="AY161" s="30">
        <f>IF(AX161="Above 40",20,IF(AX161="20 to 40",10,IF(AX161="0 to 20",-5,0)))</f>
        <v/>
      </c>
      <c r="AZ161" s="30" t="inlineStr">
        <is>
          <t>Above 75</t>
        </is>
      </c>
      <c r="BA161" s="30">
        <f>IF(AZ161="Between 50 to 75",10,IF(AZ161="Above 75",0,0))</f>
        <v/>
      </c>
      <c r="BB161" s="30" t="inlineStr">
        <is>
          <t>Stage 2</t>
        </is>
      </c>
      <c r="BC161" s="30">
        <f>IF(BB161="Stage 2",20,IF(BB161="Stage 1",0,IF(BB161="Stage 3",5,IF(BB161="Stage 4",-5,0))))</f>
        <v/>
      </c>
      <c r="BD161" s="30" t="inlineStr">
        <is>
          <t>Positive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Blue sky scenario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More than 20%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Yes</t>
        </is>
      </c>
      <c r="BS161" s="30">
        <f>IF(BR161="NO",5,0)</f>
        <v/>
      </c>
      <c r="BT161" s="30" t="inlineStr">
        <is>
          <t>Between 1.5 to 2</t>
        </is>
      </c>
      <c r="BU161" s="30">
        <f>IF(BT161="Above 2",0,IF(BT161="Between 1.5 to 2",5,IF(BT161="Less than 1.5",10,0)))</f>
        <v/>
      </c>
      <c r="BV161" s="30" t="inlineStr">
        <is>
          <t>Less than 50%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Less than 0.7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IF(B162=0,"",RANK(B162,$B$2:$B$306,0))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0" t="inlineStr">
        <is>
          <t>CUMMINSIND</t>
        </is>
      </c>
      <c r="D162" s="30" t="inlineStr">
        <is>
          <t>Cummins India Limited</t>
        </is>
      </c>
      <c r="E162" s="30" t="inlineStr">
        <is>
          <t>industrials</t>
        </is>
      </c>
      <c r="F162" s="30" t="inlineStr">
        <is>
          <t>engines</t>
        </is>
      </c>
      <c r="G162" s="30" t="inlineStr">
        <is>
          <t>largecap</t>
        </is>
      </c>
      <c r="H162" s="31" t="n">
        <v>160429.5</v>
      </c>
      <c r="I162" s="31" t="n">
        <v>5784</v>
      </c>
      <c r="J162" s="31" t="n">
        <v>-0.06</v>
      </c>
      <c r="K162" s="31" t="n">
        <v>381090</v>
      </c>
      <c r="L162" s="30" t="n">
        <v>60</v>
      </c>
      <c r="M162" s="30" t="inlineStr">
        <is>
          <t>Outperforming</t>
        </is>
      </c>
      <c r="N162" s="31">
        <f>IF(M162="Underperforming",-5,IF(L162&gt;=95,15,IF(L162&gt;=90,10,IF(L162&gt;=80,5,0))))</f>
        <v/>
      </c>
      <c r="O162" s="31" t="n">
        <v>75.88</v>
      </c>
      <c r="P162" s="31" t="n">
        <v>38.7</v>
      </c>
      <c r="Q162" s="31" t="n">
        <v>4943.41</v>
      </c>
      <c r="R162" s="30" t="inlineStr">
        <is>
          <t>Near 52W High Breakout</t>
        </is>
      </c>
      <c r="S162" s="30" t="inlineStr">
        <is>
          <t>Nifty 500</t>
        </is>
      </c>
      <c r="T162" s="31" t="n">
        <v>-3.02</v>
      </c>
      <c r="U162" s="31" t="n">
        <v>73.31</v>
      </c>
      <c r="V162" s="31" t="n">
        <v>78.70999999999999</v>
      </c>
      <c r="W162" s="31" t="n">
        <v>15.96</v>
      </c>
      <c r="X162" s="30" t="inlineStr">
        <is>
          <t>Cyclical in an Upturn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No</t>
        </is>
      </c>
      <c r="AC162" s="30">
        <f>IF(AB162="No",5,0)</f>
        <v/>
      </c>
      <c r="AD162" s="30" t="inlineStr">
        <is>
          <t>Tailwind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Yes</t>
        </is>
      </c>
      <c r="AQ162" s="30">
        <f>IF(AP162="Yes",10,0)</f>
        <v/>
      </c>
      <c r="AR162" s="30" t="inlineStr">
        <is>
          <t>Higher One Time, Lower Annuity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20 to 40</t>
        </is>
      </c>
      <c r="AY162" s="30">
        <f>IF(AX162="Above 40",20,IF(AX162="20 to 40",10,IF(AX162="0 to 20",-5,0)))</f>
        <v/>
      </c>
      <c r="AZ162" s="30" t="inlineStr">
        <is>
          <t>Above 75</t>
        </is>
      </c>
      <c r="BA162" s="30">
        <f>IF(AZ162="Between 50 to 75",10,IF(AZ162="Above 75",0,0))</f>
        <v/>
      </c>
      <c r="BB162" s="30" t="inlineStr">
        <is>
          <t>Stage 2</t>
        </is>
      </c>
      <c r="BC162" s="30">
        <f>IF(BB162="Stage 2",20,IF(BB162="Stage 1",0,IF(BB162="Stage 3",5,IF(BB162="Stage 4",-5,0))))</f>
        <v/>
      </c>
      <c r="BD162" s="30" t="inlineStr">
        <is>
          <t>Positive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Blue sky scenario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More than 20%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Yes</t>
        </is>
      </c>
      <c r="BS162" s="30">
        <f>IF(BR162="NO",5,0)</f>
        <v/>
      </c>
      <c r="BT162" s="30" t="inlineStr">
        <is>
          <t>Above 2</t>
        </is>
      </c>
      <c r="BU162" s="30">
        <f>IF(BT162="Above 2",0,IF(BT162="Between 1.5 to 2",5,IF(BT162="Less than 1.5",10,0)))</f>
        <v/>
      </c>
      <c r="BV162" s="30" t="inlineStr">
        <is>
          <t>Between 50% to 70%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IF(B163=0,"",RANK(B163,$B$2:$B$306,0))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HONASA</t>
        </is>
      </c>
      <c r="D163" s="30" t="inlineStr">
        <is>
          <t>Honasa Consumer Ltd</t>
        </is>
      </c>
      <c r="E163" s="30" t="inlineStr">
        <is>
          <t>services</t>
        </is>
      </c>
      <c r="F163" s="30" t="inlineStr">
        <is>
          <t>trading</t>
        </is>
      </c>
      <c r="G163" s="30" t="inlineStr">
        <is>
          <t>midcap</t>
        </is>
      </c>
      <c r="H163" s="31" t="n">
        <v>13569.55</v>
      </c>
      <c r="I163" s="31" t="n">
        <v>416.1</v>
      </c>
      <c r="J163" s="31" t="n">
        <v>-0.23</v>
      </c>
      <c r="K163" s="31" t="n">
        <v>733175</v>
      </c>
      <c r="L163" s="30" t="n">
        <v>58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76.38</v>
      </c>
      <c r="P163" s="31" t="n">
        <v>27.04</v>
      </c>
      <c r="Q163" s="31" t="n">
        <v>334.48</v>
      </c>
      <c r="R163" s="30" t="inlineStr">
        <is>
          <t>Near 52W High Breakout</t>
        </is>
      </c>
      <c r="S163" s="30" t="inlineStr">
        <is>
          <t>Nifty 50</t>
        </is>
      </c>
      <c r="T163" s="31" t="n">
        <v>-6.54</v>
      </c>
      <c r="U163" s="31" t="n">
        <v>30.03</v>
      </c>
      <c r="V163" s="31" t="n">
        <v>39.14</v>
      </c>
      <c r="W163" s="31" t="n">
        <v>15.47</v>
      </c>
      <c r="X163" s="30" t="inlineStr">
        <is>
          <t>Growing Industry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No</t>
        </is>
      </c>
      <c r="AC163" s="30">
        <f>IF(AB163="No",5,0)</f>
        <v/>
      </c>
      <c r="AD163" s="30" t="inlineStr">
        <is>
          <t>Tailwind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Yes</t>
        </is>
      </c>
      <c r="AQ163" s="30">
        <f>IF(AP163="Yes",10,0)</f>
        <v/>
      </c>
      <c r="AR163" s="30" t="inlineStr">
        <is>
          <t>Higher One Time, Lower Annuity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20 to 40</t>
        </is>
      </c>
      <c r="AY163" s="30">
        <f>IF(AX163="Above 40",20,IF(AX163="20 to 40",10,IF(AX163="0 to 20",-5,0)))</f>
        <v/>
      </c>
      <c r="AZ163" s="30" t="inlineStr">
        <is>
          <t>Above 75</t>
        </is>
      </c>
      <c r="BA163" s="30">
        <f>IF(AZ163="Between 50 to 75",10,IF(AZ163="Above 75",0,0))</f>
        <v/>
      </c>
      <c r="BB163" s="30" t="inlineStr">
        <is>
          <t>Stage 2</t>
        </is>
      </c>
      <c r="BC163" s="30">
        <f>IF(BB163="Stage 2",20,IF(BB163="Stage 1",0,IF(BB163="Stage 3",5,IF(BB163="Stage 4",-5,0))))</f>
        <v/>
      </c>
      <c r="BD163" s="30" t="inlineStr">
        <is>
          <t>Positive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Close to 52 week high or retracement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More than 20%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Yes</t>
        </is>
      </c>
      <c r="BS163" s="30">
        <f>IF(BR163="NO",5,0)</f>
        <v/>
      </c>
      <c r="BT163" s="30" t="inlineStr">
        <is>
          <t>Above 2</t>
        </is>
      </c>
      <c r="BU163" s="30">
        <f>IF(BT163="Above 2",0,IF(BT163="Between 1.5 to 2",5,IF(BT163="Less than 1.5",10,0)))</f>
        <v/>
      </c>
      <c r="BV163" s="30" t="inlineStr">
        <is>
          <t>Between 50% to 70%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Less than 0.7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IF(B164=0,"",RANK(B164,$B$2:$B$306,0))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FCL</t>
        </is>
      </c>
      <c r="D164" s="30" t="inlineStr">
        <is>
          <t>Fineotex Chemical Limited</t>
        </is>
      </c>
      <c r="E164" s="30" t="inlineStr">
        <is>
          <t>chemicals</t>
        </is>
      </c>
      <c r="F164" s="30" t="inlineStr">
        <is>
          <t>chemicals</t>
        </is>
      </c>
      <c r="G164" s="30" t="inlineStr">
        <is>
          <t>smallcap</t>
        </is>
      </c>
      <c r="H164" s="31" t="n">
        <v>4777.95</v>
      </c>
      <c r="I164" s="31" t="n">
        <v>40.73</v>
      </c>
      <c r="J164" s="31" t="n">
        <v>-0.73</v>
      </c>
      <c r="K164" s="31" t="n">
        <v>15341694</v>
      </c>
      <c r="L164" s="30" t="n">
        <v>87</v>
      </c>
      <c r="M164" s="30" t="inlineStr">
        <is>
          <t>Outperforming</t>
        </is>
      </c>
      <c r="N164" s="31">
        <f>IF(M164="Underperforming",-5,IF(L164&gt;=95,15,IF(L164&gt;=90,10,IF(L164&gt;=80,5,0))))</f>
        <v/>
      </c>
      <c r="O164" s="31" t="n">
        <v>76.69</v>
      </c>
      <c r="P164" s="31" t="n">
        <v>27.71</v>
      </c>
      <c r="Q164" s="31" t="n">
        <v>30.26</v>
      </c>
      <c r="R164" s="30" t="inlineStr">
        <is>
          <t>Near 52W High Breakout</t>
        </is>
      </c>
      <c r="S164" s="30" t="inlineStr">
        <is>
          <t>Nifty IT</t>
        </is>
      </c>
      <c r="T164" s="31" t="n">
        <v>-22.21</v>
      </c>
      <c r="U164" s="31" t="n">
        <v>61.05</v>
      </c>
      <c r="V164" s="31" t="n">
        <v>107.04</v>
      </c>
      <c r="W164" s="31" t="n">
        <v>31.8</v>
      </c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No</t>
        </is>
      </c>
      <c r="AC164" s="30">
        <f>IF(AB164="No",5,0)</f>
        <v/>
      </c>
      <c r="AD164" s="30" t="inlineStr">
        <is>
          <t>Tailwind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Yes</t>
        </is>
      </c>
      <c r="AQ164" s="30">
        <f>IF(AP164="Yes",10,0)</f>
        <v/>
      </c>
      <c r="AR164" s="30" t="inlineStr">
        <is>
          <t>Higher One Time, Lower Annuity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20 to 40</t>
        </is>
      </c>
      <c r="AY164" s="30">
        <f>IF(AX164="Above 40",20,IF(AX164="20 to 40",10,IF(AX164="0 to 20",-5,0)))</f>
        <v/>
      </c>
      <c r="AZ164" s="30" t="inlineStr">
        <is>
          <t>Above 75</t>
        </is>
      </c>
      <c r="BA164" s="30">
        <f>IF(AZ164="Between 50 to 75",10,IF(AZ164="Above 75",0,0))</f>
        <v/>
      </c>
      <c r="BB164" s="30" t="inlineStr">
        <is>
          <t>Stage 2</t>
        </is>
      </c>
      <c r="BC164" s="30">
        <f>IF(BB164="Stage 2",20,IF(BB164="Stage 1",0,IF(BB164="Stage 3",5,IF(BB164="Stage 4",-5,0))))</f>
        <v/>
      </c>
      <c r="BD164" s="30" t="inlineStr">
        <is>
          <t>Positive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Blue sky scenario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More than 20%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No</t>
        </is>
      </c>
      <c r="BS164" s="30">
        <f>IF(BR164="NO",5,0)</f>
        <v/>
      </c>
      <c r="BT164" s="30" t="inlineStr">
        <is>
          <t>Above 2</t>
        </is>
      </c>
      <c r="BU164" s="30">
        <f>IF(BT164="Above 2",0,IF(BT164="Between 1.5 to 2",5,IF(BT164="Less than 1.5",10,0)))</f>
        <v/>
      </c>
      <c r="BV164" s="30" t="inlineStr">
        <is>
          <t>Negative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Less than 0.7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IF(B165=0,"",RANK(B165,$B$2:$B$306,0))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CHENNPETRO</t>
        </is>
      </c>
      <c r="D165" s="30" t="inlineStr">
        <is>
          <t>Chennai Petroleum Corporation Limited</t>
        </is>
      </c>
      <c r="E165" s="30" t="inlineStr">
        <is>
          <t>energy</t>
        </is>
      </c>
      <c r="F165" s="30" t="inlineStr">
        <is>
          <t>refineries</t>
        </is>
      </c>
      <c r="G165" s="30" t="inlineStr">
        <is>
          <t>midcap</t>
        </is>
      </c>
      <c r="H165" s="31" t="n">
        <v>17729.39</v>
      </c>
      <c r="I165" s="31" t="n">
        <v>1181.4</v>
      </c>
      <c r="J165" s="31" t="n">
        <v>-0.77</v>
      </c>
      <c r="K165" s="31" t="n">
        <v>1196141</v>
      </c>
      <c r="L165" s="30" t="n">
        <v>63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64.16</v>
      </c>
      <c r="P165" s="31" t="n">
        <v>43.09</v>
      </c>
      <c r="Q165" s="31" t="n">
        <v>879.16</v>
      </c>
      <c r="R165" s="30" t="inlineStr">
        <is>
          <t>Near 52W High Breakout</t>
        </is>
      </c>
      <c r="S165" s="30" t="inlineStr">
        <is>
          <t>Nifty Energy</t>
        </is>
      </c>
      <c r="T165" s="31" t="n">
        <v>12.31</v>
      </c>
      <c r="U165" s="31" t="n">
        <v>85.02</v>
      </c>
      <c r="V165" s="31" t="n">
        <v>64.73999999999999</v>
      </c>
      <c r="W165" s="31" t="n">
        <v>17.24</v>
      </c>
      <c r="X165" s="30" t="inlineStr">
        <is>
          <t>Cyclical in an Upturn</t>
        </is>
      </c>
      <c r="Y165" s="30">
        <f>IF(X165="Growing Industry",10,IF(X165="Cyclical in an Upturn",5,0))</f>
        <v/>
      </c>
      <c r="Z165" s="30" t="inlineStr">
        <is>
          <t>Oligopoly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Yes</t>
        </is>
      </c>
      <c r="AC165" s="30">
        <f>IF(AB165="No",5,0)</f>
        <v/>
      </c>
      <c r="AD165" s="30" t="inlineStr">
        <is>
          <t>Tailwind</t>
        </is>
      </c>
      <c r="AE165" s="30">
        <f>IF(AD165="Tailwind",10,0)</f>
        <v/>
      </c>
      <c r="AF165" s="30" t="inlineStr">
        <is>
          <t>Cyclical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Volatile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Yes</t>
        </is>
      </c>
      <c r="AQ165" s="30">
        <f>IF(AP165="Yes",10,0)</f>
        <v/>
      </c>
      <c r="AR165" s="30" t="inlineStr">
        <is>
          <t>Higher One Time, Lower Annuity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Above 40</t>
        </is>
      </c>
      <c r="AY165" s="30">
        <f>IF(AX165="Above 40",20,IF(AX165="20 to 40",10,IF(AX165="0 to 20",-5,0)))</f>
        <v/>
      </c>
      <c r="AZ165" s="30" t="inlineStr">
        <is>
          <t>Between 50 to 75</t>
        </is>
      </c>
      <c r="BA165" s="30">
        <f>IF(AZ165="Between 50 to 75",10,IF(AZ165="Above 75",0,0))</f>
        <v/>
      </c>
      <c r="BB165" s="30" t="inlineStr">
        <is>
          <t>Stage 2</t>
        </is>
      </c>
      <c r="BC165" s="30">
        <f>IF(BB165="Stage 2",20,IF(BB165="Stage 1",0,IF(BB165="Stage 3",5,IF(BB165="Stage 4",-5,0))))</f>
        <v/>
      </c>
      <c r="BD165" s="30" t="inlineStr">
        <is>
          <t>Positive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Blue sky scenario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More than 20%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No</t>
        </is>
      </c>
      <c r="BS165" s="30">
        <f>IF(BR165="NO",5,0)</f>
        <v/>
      </c>
      <c r="BT165" s="30" t="inlineStr">
        <is>
          <t>Above 2</t>
        </is>
      </c>
      <c r="BU165" s="30">
        <f>IF(BT165="Above 2",0,IF(BT165="Between 1.5 to 2",5,IF(BT165="Less than 1.5",10,0)))</f>
        <v/>
      </c>
      <c r="BV165" s="30" t="inlineStr">
        <is>
          <t>Between 50% to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IF(B166=0,"",RANK(B166,$B$2:$B$306,0))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0" t="inlineStr">
        <is>
          <t>THERMAX</t>
        </is>
      </c>
      <c r="D166" s="30" t="inlineStr">
        <is>
          <t>Thermax Limited</t>
        </is>
      </c>
      <c r="E166" s="30" t="inlineStr">
        <is>
          <t>industrials</t>
        </is>
      </c>
      <c r="F166" s="30" t="inlineStr">
        <is>
          <t>electric equipment</t>
        </is>
      </c>
      <c r="G166" s="30" t="inlineStr">
        <is>
          <t>largecap</t>
        </is>
      </c>
      <c r="H166" s="31" t="n">
        <v>58099.42</v>
      </c>
      <c r="I166" s="31" t="n">
        <v>4832.1</v>
      </c>
      <c r="J166" s="31" t="n">
        <v>-0.9</v>
      </c>
      <c r="K166" s="31" t="n">
        <v>203060</v>
      </c>
      <c r="L166" s="30" t="n">
        <v>69</v>
      </c>
      <c r="M166" s="30" t="inlineStr">
        <is>
          <t>Outperforming</t>
        </is>
      </c>
      <c r="N166" s="31">
        <f>IF(M166="Underperforming",-5,IF(L166&gt;=95,15,IF(L166&gt;=90,10,IF(L166&gt;=80,5,0))))</f>
        <v/>
      </c>
      <c r="O166" s="31" t="n">
        <v>74.08</v>
      </c>
      <c r="P166" s="31" t="n">
        <v>34.22</v>
      </c>
      <c r="Q166" s="31" t="n">
        <v>3993.74</v>
      </c>
      <c r="R166" s="30" t="inlineStr">
        <is>
          <t>Near 52W High Breakout</t>
        </is>
      </c>
      <c r="S166" s="30" t="inlineStr">
        <is>
          <t>Nifty 50</t>
        </is>
      </c>
      <c r="T166" s="31" t="n">
        <v>-6.54</v>
      </c>
      <c r="U166" s="31" t="n">
        <v>37.35</v>
      </c>
      <c r="V166" s="31" t="n">
        <v>46.96</v>
      </c>
      <c r="W166" s="31" t="n">
        <v>19.35</v>
      </c>
      <c r="X166" s="30" t="inlineStr">
        <is>
          <t>Cyclical in an Upturn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No</t>
        </is>
      </c>
      <c r="AC166" s="30">
        <f>IF(AB166="No",5,0)</f>
        <v/>
      </c>
      <c r="AD166" s="30" t="inlineStr">
        <is>
          <t>Tailwind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Yes</t>
        </is>
      </c>
      <c r="AQ166" s="30">
        <f>IF(AP166="Yes",10,0)</f>
        <v/>
      </c>
      <c r="AR166" s="30" t="inlineStr">
        <is>
          <t>Higher One Time, Lower Annuity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20 to 40</t>
        </is>
      </c>
      <c r="AY166" s="30">
        <f>IF(AX166="Above 40",20,IF(AX166="20 to 40",10,IF(AX166="0 to 20",-5,0)))</f>
        <v/>
      </c>
      <c r="AZ166" s="30" t="inlineStr">
        <is>
          <t>Between 50 to 75</t>
        </is>
      </c>
      <c r="BA166" s="30">
        <f>IF(AZ166="Between 50 to 75",10,IF(AZ166="Above 75",0,0))</f>
        <v/>
      </c>
      <c r="BB166" s="30" t="inlineStr">
        <is>
          <t>Stage 2</t>
        </is>
      </c>
      <c r="BC166" s="30">
        <f>IF(BB166="Stage 2",20,IF(BB166="Stage 1",0,IF(BB166="Stage 3",5,IF(BB166="Stage 4",-5,0))))</f>
        <v/>
      </c>
      <c r="BD166" s="30" t="inlineStr">
        <is>
          <t>Positive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Close to 52 week high or retracement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Between 12 to 20%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Yes</t>
        </is>
      </c>
      <c r="BS166" s="30">
        <f>IF(BR166="NO",5,0)</f>
        <v/>
      </c>
      <c r="BT166" s="30" t="inlineStr">
        <is>
          <t>Above 2</t>
        </is>
      </c>
      <c r="BU166" s="30">
        <f>IF(BT166="Above 2",0,IF(BT166="Between 1.5 to 2",5,IF(BT166="Less than 1.5",10,0)))</f>
        <v/>
      </c>
      <c r="BV166" s="30" t="inlineStr">
        <is>
          <t>Between 50% to 70%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Less than 0.7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IF(B167=0,"",RANK(B167,$B$2:$B$306,0))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SANDHAR</t>
        </is>
      </c>
      <c r="D167" s="30" t="inlineStr">
        <is>
          <t>Sandhar Technologies Limited</t>
        </is>
      </c>
      <c r="E167" s="30" t="inlineStr">
        <is>
          <t>auto</t>
        </is>
      </c>
      <c r="F167" s="30" t="inlineStr">
        <is>
          <t>auto ancillaries</t>
        </is>
      </c>
      <c r="G167" s="30" t="inlineStr">
        <is>
          <t>smallcap</t>
        </is>
      </c>
      <c r="H167" s="31" t="n">
        <v>4284.07</v>
      </c>
      <c r="I167" s="31" t="n">
        <v>703.1</v>
      </c>
      <c r="J167" s="31" t="n">
        <v>-1.22</v>
      </c>
      <c r="K167" s="31" t="n">
        <v>222897</v>
      </c>
      <c r="L167" s="30" t="n">
        <v>61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71.37</v>
      </c>
      <c r="P167" s="31" t="n">
        <v>15.64</v>
      </c>
      <c r="Q167" s="31" t="n">
        <v>523.08</v>
      </c>
      <c r="R167" s="30" t="inlineStr">
        <is>
          <t>Near 52W High Breakout</t>
        </is>
      </c>
      <c r="S167" s="30" t="inlineStr">
        <is>
          <t>Nifty Auto</t>
        </is>
      </c>
      <c r="T167" s="31" t="n">
        <v>10.59</v>
      </c>
      <c r="U167" s="31" t="n">
        <v>38.03</v>
      </c>
      <c r="V167" s="31" t="n">
        <v>24.82</v>
      </c>
      <c r="W167" s="31" t="n">
        <v>16.59</v>
      </c>
      <c r="X167" s="30" t="inlineStr">
        <is>
          <t>Growing Industry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No</t>
        </is>
      </c>
      <c r="AC167" s="30">
        <f>IF(AB167="No",5,0)</f>
        <v/>
      </c>
      <c r="AD167" s="30" t="inlineStr">
        <is>
          <t>Tailwind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Yes</t>
        </is>
      </c>
      <c r="AQ167" s="30">
        <f>IF(AP167="Yes",10,0)</f>
        <v/>
      </c>
      <c r="AR167" s="30" t="inlineStr">
        <is>
          <t>Higher One Time, Lower Annuity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0 to 20</t>
        </is>
      </c>
      <c r="AY167" s="30">
        <f>IF(AX167="Above 40",20,IF(AX167="20 to 40",10,IF(AX167="0 to 20",-5,0)))</f>
        <v/>
      </c>
      <c r="AZ167" s="30" t="inlineStr">
        <is>
          <t>Between 50 to 75</t>
        </is>
      </c>
      <c r="BA167" s="30">
        <f>IF(AZ167="Between 50 to 75",10,IF(AZ167="Above 75",0,0))</f>
        <v/>
      </c>
      <c r="BB167" s="30" t="inlineStr">
        <is>
          <t>Stage 2</t>
        </is>
      </c>
      <c r="BC167" s="30">
        <f>IF(BB167="Stage 2",20,IF(BB167="Stage 1",0,IF(BB167="Stage 3",5,IF(BB167="Stage 4",-5,0))))</f>
        <v/>
      </c>
      <c r="BD167" s="30" t="inlineStr">
        <is>
          <t>Positive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Blue sky scenario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More than 20%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No</t>
        </is>
      </c>
      <c r="BS167" s="30">
        <f>IF(BR167="NO",5,0)</f>
        <v/>
      </c>
      <c r="BT167" s="30" t="inlineStr">
        <is>
          <t>Less than 1.5</t>
        </is>
      </c>
      <c r="BU167" s="30">
        <f>IF(BT167="Above 2",0,IF(BT167="Between 1.5 to 2",5,IF(BT167="Less than 1.5",10,0)))</f>
        <v/>
      </c>
      <c r="BV167" s="30" t="inlineStr">
        <is>
          <t>Less than 50%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Between 0.7 to 1.2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IF(B168=0,"",RANK(B168,$B$2:$B$306,0))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KIRLOSENG</t>
        </is>
      </c>
      <c r="D168" s="30" t="inlineStr">
        <is>
          <t>Kirloskar Oil Engines Limited</t>
        </is>
      </c>
      <c r="E168" s="30" t="inlineStr">
        <is>
          <t>industrials</t>
        </is>
      </c>
      <c r="F168" s="30" t="inlineStr">
        <is>
          <t>engines</t>
        </is>
      </c>
      <c r="G168" s="30" t="inlineStr">
        <is>
          <t>largecap</t>
        </is>
      </c>
      <c r="H168" s="31" t="n">
        <v>28343.59</v>
      </c>
      <c r="I168" s="31" t="n">
        <v>1913.3</v>
      </c>
      <c r="J168" s="31" t="n">
        <v>-1.88</v>
      </c>
      <c r="K168" s="31" t="n">
        <v>248496</v>
      </c>
      <c r="L168" s="30" t="n">
        <v>76</v>
      </c>
      <c r="M168" s="30" t="inlineStr">
        <is>
          <t>Outperforming</t>
        </is>
      </c>
      <c r="N168" s="31">
        <f>IF(M168="Underperforming",-5,IF(L168&gt;=95,15,IF(L168&gt;=90,10,IF(L168&gt;=80,5,0))))</f>
        <v/>
      </c>
      <c r="O168" s="31" t="n">
        <v>74.93000000000001</v>
      </c>
      <c r="P168" s="31" t="n">
        <v>40.11</v>
      </c>
      <c r="Q168" s="31" t="n">
        <v>1492.03</v>
      </c>
      <c r="R168" s="30" t="inlineStr">
        <is>
          <t>Near 52W High Breakout</t>
        </is>
      </c>
      <c r="S168" s="30" t="inlineStr">
        <is>
          <t>Nifty 50</t>
        </is>
      </c>
      <c r="T168" s="31" t="n">
        <v>-6.54</v>
      </c>
      <c r="U168" s="31" t="n">
        <v>121.36</v>
      </c>
      <c r="V168" s="31" t="n">
        <v>136.86</v>
      </c>
      <c r="W168" s="31" t="n">
        <v>23.54</v>
      </c>
      <c r="X168" s="30" t="inlineStr">
        <is>
          <t>Cyclical in an Upturn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No</t>
        </is>
      </c>
      <c r="AC168" s="30">
        <f>IF(AB168="No",5,0)</f>
        <v/>
      </c>
      <c r="AD168" s="30" t="inlineStr">
        <is>
          <t>Tailwind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B2B</t>
        </is>
      </c>
      <c r="AO168" s="30">
        <f>IF(AN168="B2C",10,IF(AN168="B2B",5,0))</f>
        <v/>
      </c>
      <c r="AP168" s="30" t="inlineStr">
        <is>
          <t>Yes</t>
        </is>
      </c>
      <c r="AQ168" s="30">
        <f>IF(AP168="Yes",10,0)</f>
        <v/>
      </c>
      <c r="AR168" s="30" t="inlineStr">
        <is>
          <t>Higher One Time, Lower Annuity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Above 40</t>
        </is>
      </c>
      <c r="AY168" s="30">
        <f>IF(AX168="Above 40",20,IF(AX168="20 to 40",10,IF(AX168="0 to 20",-5,0)))</f>
        <v/>
      </c>
      <c r="AZ168" s="30" t="inlineStr">
        <is>
          <t>Between 50 to 75</t>
        </is>
      </c>
      <c r="BA168" s="30">
        <f>IF(AZ168="Between 50 to 75",10,IF(AZ168="Above 75",0,0))</f>
        <v/>
      </c>
      <c r="BB168" s="30" t="inlineStr">
        <is>
          <t>Stage 2</t>
        </is>
      </c>
      <c r="BC168" s="30">
        <f>IF(BB168="Stage 2",20,IF(BB168="Stage 1",0,IF(BB168="Stage 3",5,IF(BB168="Stage 4",-5,0))))</f>
        <v/>
      </c>
      <c r="BD168" s="30" t="inlineStr">
        <is>
          <t>Positive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Blue sky scenario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More than 20%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Yes</t>
        </is>
      </c>
      <c r="BS168" s="30">
        <f>IF(BR168="NO",5,0)</f>
        <v/>
      </c>
      <c r="BT168" s="30" t="inlineStr">
        <is>
          <t>Above 2</t>
        </is>
      </c>
      <c r="BU168" s="30">
        <f>IF(BT168="Above 2",0,IF(BT168="Between 1.5 to 2",5,IF(BT168="Less than 1.5",10,0)))</f>
        <v/>
      </c>
      <c r="BV168" s="30" t="inlineStr">
        <is>
          <t>Between 50% to 70%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More than 1.2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IF(B169=0,"",RANK(B169,$B$2:$B$306,0))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ELGIEQUIP</t>
        </is>
      </c>
      <c r="D169" s="30" t="inlineStr">
        <is>
          <t>Elgi Equipments Limited</t>
        </is>
      </c>
      <c r="E169" s="30" t="inlineStr">
        <is>
          <t>industrials</t>
        </is>
      </c>
      <c r="F169" s="30" t="inlineStr">
        <is>
          <t>compressors / drilling equipment</t>
        </is>
      </c>
      <c r="G169" s="30" t="inlineStr">
        <is>
          <t>midcap</t>
        </is>
      </c>
      <c r="H169" s="31" t="n">
        <v>19716.49</v>
      </c>
      <c r="I169" s="31" t="n">
        <v>610.3</v>
      </c>
      <c r="J169" s="31" t="n">
        <v>-1.9</v>
      </c>
      <c r="K169" s="31" t="n">
        <v>378367</v>
      </c>
      <c r="L169" s="30" t="n">
        <v>26</v>
      </c>
      <c r="M169" s="30" t="inlineStr">
        <is>
          <t>Outperforming</t>
        </is>
      </c>
      <c r="N169" s="31">
        <f>IF(M169="Underperforming",-5,IF(L169&gt;=95,15,IF(L169&gt;=90,10,IF(L169&gt;=80,5,0))))</f>
        <v/>
      </c>
      <c r="O169" s="31" t="n">
        <v>66.67</v>
      </c>
      <c r="P169" s="31" t="n">
        <v>15.78</v>
      </c>
      <c r="Q169" s="31" t="n">
        <v>476.98</v>
      </c>
      <c r="R169" s="30" t="inlineStr">
        <is>
          <t>Volume Spike &amp; Near 52W High Breakout</t>
        </is>
      </c>
      <c r="S169" s="30" t="inlineStr">
        <is>
          <t>Nifty 50</t>
        </is>
      </c>
      <c r="T169" s="31" t="n">
        <v>-6.54</v>
      </c>
      <c r="U169" s="31" t="n">
        <v>15.74</v>
      </c>
      <c r="V169" s="31" t="n">
        <v>23.85</v>
      </c>
      <c r="W169" s="31" t="n">
        <v>6.85</v>
      </c>
      <c r="X169" s="30" t="inlineStr">
        <is>
          <t>Cyclical in an Upturn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No</t>
        </is>
      </c>
      <c r="AC169" s="30">
        <f>IF(AB169="No",5,0)</f>
        <v/>
      </c>
      <c r="AD169" s="30" t="inlineStr">
        <is>
          <t>Tailwind</t>
        </is>
      </c>
      <c r="AE169" s="30">
        <f>IF(AD169="Tailwind",10,0)</f>
        <v/>
      </c>
      <c r="AF169" s="30" t="inlineStr">
        <is>
          <t>Structural (10 Years Consistency)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Stable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Yes</t>
        </is>
      </c>
      <c r="AQ169" s="30">
        <f>IF(AP169="Yes",10,0)</f>
        <v/>
      </c>
      <c r="AR169" s="30" t="inlineStr">
        <is>
          <t>Higher One Time, Lower Annuity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0 to 20</t>
        </is>
      </c>
      <c r="AY169" s="30">
        <f>IF(AX169="Above 40",20,IF(AX169="20 to 40",10,IF(AX169="0 to 20",-5,0)))</f>
        <v/>
      </c>
      <c r="AZ169" s="30" t="inlineStr">
        <is>
          <t>Between 50 to 75</t>
        </is>
      </c>
      <c r="BA169" s="30">
        <f>IF(AZ169="Between 50 to 75",10,IF(AZ169="Above 75",0,0))</f>
        <v/>
      </c>
      <c r="BB169" s="30" t="inlineStr">
        <is>
          <t>Stage 2</t>
        </is>
      </c>
      <c r="BC169" s="30">
        <f>IF(BB169="Stage 2",20,IF(BB169="Stage 1",0,IF(BB169="Stage 3",5,IF(BB169="Stage 4",-5,0))))</f>
        <v/>
      </c>
      <c r="BD169" s="30" t="inlineStr">
        <is>
          <t>Positive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Close to 52 week high or retracement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More than 20%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Yes</t>
        </is>
      </c>
      <c r="BS169" s="30">
        <f>IF(BR169="NO",5,0)</f>
        <v/>
      </c>
      <c r="BT169" s="30" t="inlineStr">
        <is>
          <t>Between 1.5 to 2</t>
        </is>
      </c>
      <c r="BU169" s="30">
        <f>IF(BT169="Above 2",0,IF(BT169="Between 1.5 to 2",5,IF(BT169="Less than 1.5",10,0)))</f>
        <v/>
      </c>
      <c r="BV169" s="30" t="inlineStr">
        <is>
          <t>Above 70%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IF(B170=0,"",RANK(B170,$B$2:$B$306,0))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DREDGECORP</t>
        </is>
      </c>
      <c r="D170" s="30" t="inlineStr">
        <is>
          <t>Dredging Corporation Of India Limited</t>
        </is>
      </c>
      <c r="E170" s="30" t="inlineStr">
        <is>
          <t>miscellaneous</t>
        </is>
      </c>
      <c r="F170" s="30" t="inlineStr">
        <is>
          <t>miscellaneous</t>
        </is>
      </c>
      <c r="G170" s="30" t="inlineStr">
        <is>
          <t>smallcap</t>
        </is>
      </c>
      <c r="H170" s="31" t="n">
        <v>3370.08</v>
      </c>
      <c r="I170" s="31" t="n">
        <v>1178.3</v>
      </c>
      <c r="J170" s="31" t="n">
        <v>-2.1</v>
      </c>
      <c r="K170" s="31" t="n">
        <v>261288</v>
      </c>
      <c r="L170" s="30" t="n">
        <v>53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65.09999999999999</v>
      </c>
      <c r="P170" s="31" t="n">
        <v>36.75</v>
      </c>
      <c r="Q170" s="31" t="n">
        <v>776.8099999999999</v>
      </c>
      <c r="R170" s="30" t="inlineStr">
        <is>
          <t>Near 52W High Breakout</t>
        </is>
      </c>
      <c r="S170" s="30" t="inlineStr">
        <is>
          <t>Nifty 50</t>
        </is>
      </c>
      <c r="T170" s="31" t="n">
        <v>-6.54</v>
      </c>
      <c r="U170" s="31" t="n">
        <v>49.01</v>
      </c>
      <c r="V170" s="31" t="n">
        <v>59.45</v>
      </c>
      <c r="W170" s="31" t="n">
        <v>14.18</v>
      </c>
      <c r="X170" s="30" t="inlineStr">
        <is>
          <t>Growing Industry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No</t>
        </is>
      </c>
      <c r="AC170" s="30">
        <f>IF(AB170="No",5,0)</f>
        <v/>
      </c>
      <c r="AD170" s="30" t="inlineStr">
        <is>
          <t>Tailwind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Yes</t>
        </is>
      </c>
      <c r="AQ170" s="30">
        <f>IF(AP170="Yes",10,0)</f>
        <v/>
      </c>
      <c r="AR170" s="30" t="inlineStr">
        <is>
          <t>Higher One Time, Lower Annuity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20 to 40</t>
        </is>
      </c>
      <c r="AY170" s="30">
        <f>IF(AX170="Above 40",20,IF(AX170="20 to 40",10,IF(AX170="0 to 20",-5,0)))</f>
        <v/>
      </c>
      <c r="AZ170" s="30" t="inlineStr">
        <is>
          <t>Between 50 to 75</t>
        </is>
      </c>
      <c r="BA170" s="30">
        <f>IF(AZ170="Between 50 to 75",10,IF(AZ170="Above 75",0,0))</f>
        <v/>
      </c>
      <c r="BB170" s="30" t="inlineStr">
        <is>
          <t>Stage 2</t>
        </is>
      </c>
      <c r="BC170" s="30">
        <f>IF(BB170="Stage 2",20,IF(BB170="Stage 1",0,IF(BB170="Stage 3",5,IF(BB170="Stage 4",-5,0))))</f>
        <v/>
      </c>
      <c r="BD170" s="30" t="inlineStr">
        <is>
          <t>Positive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Close to 52 week high or retracement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More than 20%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Yes</t>
        </is>
      </c>
      <c r="BS170" s="30">
        <f>IF(BR170="NO",5,0)</f>
        <v/>
      </c>
      <c r="BT170" s="30" t="inlineStr">
        <is>
          <t>Above 2</t>
        </is>
      </c>
      <c r="BU170" s="30">
        <f>IF(BT170="Above 2",0,IF(BT170="Between 1.5 to 2",5,IF(BT170="Less than 1.5",10,0)))</f>
        <v/>
      </c>
      <c r="BV170" s="30" t="inlineStr">
        <is>
          <t>Between 50% to 70%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Between 0.7 to 1.2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IF(B171=0,"",RANK(B171,$B$2:$B$306,0))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PARACABLES</t>
        </is>
      </c>
      <c r="D171" s="30" t="inlineStr">
        <is>
          <t>Paramount Communications Limited</t>
        </is>
      </c>
      <c r="E171" s="30" t="inlineStr">
        <is>
          <t>industrials</t>
        </is>
      </c>
      <c r="F171" s="30" t="inlineStr">
        <is>
          <t>cables - power</t>
        </is>
      </c>
      <c r="G171" s="30" t="inlineStr">
        <is>
          <t>smallcap</t>
        </is>
      </c>
      <c r="H171" s="31" t="n">
        <v>2116.94</v>
      </c>
      <c r="I171" s="31" t="n">
        <v>67.31999999999999</v>
      </c>
      <c r="J171" s="31" t="n">
        <v>-2.94</v>
      </c>
      <c r="K171" s="31" t="n">
        <v>5519490</v>
      </c>
      <c r="L171" s="30" t="n">
        <v>88</v>
      </c>
      <c r="M171" s="30" t="inlineStr">
        <is>
          <t>Outperforming</t>
        </is>
      </c>
      <c r="N171" s="31">
        <f>IF(M171="Underperforming",-5,IF(L171&gt;=95,15,IF(L171&gt;=90,10,IF(L171&gt;=80,5,0))))</f>
        <v/>
      </c>
      <c r="O171" s="31" t="n">
        <v>75.16</v>
      </c>
      <c r="P171" s="31" t="n">
        <v>30.02</v>
      </c>
      <c r="Q171" s="31" t="n">
        <v>46.88</v>
      </c>
      <c r="R171" s="30" t="inlineStr">
        <is>
          <t>Volume Spike &amp; Near 52W High Breakout</t>
        </is>
      </c>
      <c r="S171" s="30" t="inlineStr">
        <is>
          <t>Nifty Energy</t>
        </is>
      </c>
      <c r="T171" s="31" t="n">
        <v>12.31</v>
      </c>
      <c r="U171" s="31" t="n">
        <v>23.61</v>
      </c>
      <c r="V171" s="31" t="n">
        <v>10.07</v>
      </c>
      <c r="W171" s="31" t="n">
        <v>33.05</v>
      </c>
      <c r="X171" s="30" t="inlineStr">
        <is>
          <t>Cyclical in an Upturn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No</t>
        </is>
      </c>
      <c r="AC171" s="30">
        <f>IF(AB171="No",5,0)</f>
        <v/>
      </c>
      <c r="AD171" s="30" t="inlineStr">
        <is>
          <t>Tailwind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Yes</t>
        </is>
      </c>
      <c r="AQ171" s="30">
        <f>IF(AP171="Yes",10,0)</f>
        <v/>
      </c>
      <c r="AR171" s="30" t="inlineStr">
        <is>
          <t>Higher One Time, Lower Annuity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20 to 40</t>
        </is>
      </c>
      <c r="AY171" s="30">
        <f>IF(AX171="Above 40",20,IF(AX171="20 to 40",10,IF(AX171="0 to 20",-5,0)))</f>
        <v/>
      </c>
      <c r="AZ171" s="30" t="inlineStr">
        <is>
          <t>Above 75</t>
        </is>
      </c>
      <c r="BA171" s="30">
        <f>IF(AZ171="Between 50 to 75",10,IF(AZ171="Above 75",0,0))</f>
        <v/>
      </c>
      <c r="BB171" s="30" t="inlineStr">
        <is>
          <t>Stage 2</t>
        </is>
      </c>
      <c r="BC171" s="30">
        <f>IF(BB171="Stage 2",20,IF(BB171="Stage 1",0,IF(BB171="Stage 3",5,IF(BB171="Stage 4",-5,0))))</f>
        <v/>
      </c>
      <c r="BD171" s="30" t="inlineStr">
        <is>
          <t>Positive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Close to 52 week high or retracement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Less than 12%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No</t>
        </is>
      </c>
      <c r="BS171" s="30">
        <f>IF(BR171="NO",5,0)</f>
        <v/>
      </c>
      <c r="BT171" s="30" t="inlineStr">
        <is>
          <t>Above 2</t>
        </is>
      </c>
      <c r="BU171" s="30">
        <f>IF(BT171="Above 2",0,IF(BT171="Between 1.5 to 2",5,IF(BT171="Less than 1.5",10,0)))</f>
        <v/>
      </c>
      <c r="BV171" s="30" t="inlineStr">
        <is>
          <t>Above 70%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Less than 0.7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IF(B172=0,"",RANK(B172,$B$2:$B$306,0))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SALSTEEL</t>
        </is>
      </c>
      <c r="D172" s="30" t="inlineStr">
        <is>
          <t>SAL Steel</t>
        </is>
      </c>
      <c r="E172" s="30" t="inlineStr">
        <is>
          <t>metals &amp; mining</t>
        </is>
      </c>
      <c r="F172" s="30" t="inlineStr">
        <is>
          <t>steel - sponge iron</t>
        </is>
      </c>
      <c r="G172" s="30" t="inlineStr">
        <is>
          <t>smallcap</t>
        </is>
      </c>
      <c r="H172" s="31" t="n">
        <v>910.29</v>
      </c>
      <c r="I172" s="31" t="n">
        <v>60.77</v>
      </c>
      <c r="J172" s="31" t="n">
        <v>-3.36</v>
      </c>
      <c r="K172" s="31" t="n">
        <v>72126</v>
      </c>
      <c r="L172" s="30" t="n">
        <v>91</v>
      </c>
      <c r="M172" s="30" t="inlineStr">
        <is>
          <t>Outperforming</t>
        </is>
      </c>
      <c r="N172" s="31">
        <f>IF(M172="Underperforming",-5,IF(L172&gt;=95,15,IF(L172&gt;=90,10,IF(L172&gt;=80,5,0))))</f>
        <v/>
      </c>
      <c r="O172" s="31" t="n">
        <v>67.55</v>
      </c>
      <c r="P172" s="31" t="n">
        <v>28.29</v>
      </c>
      <c r="Q172" s="31" t="n">
        <v>42.83</v>
      </c>
      <c r="R172" s="30" t="inlineStr">
        <is>
          <t>Near 52W High Breakout</t>
        </is>
      </c>
      <c r="S172" s="30" t="inlineStr">
        <is>
          <t>Nifty Metal</t>
        </is>
      </c>
      <c r="T172" s="31" t="n">
        <v>40.56</v>
      </c>
      <c r="U172" s="31" t="n">
        <v>235.19</v>
      </c>
      <c r="V172" s="31" t="n">
        <v>138.47</v>
      </c>
      <c r="W172" s="31" t="n">
        <v>36.15</v>
      </c>
      <c r="X172" s="30" t="inlineStr">
        <is>
          <t>Cyclical in an Upturn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Tailwind</t>
        </is>
      </c>
      <c r="AE172" s="30">
        <f>IF(AD172="Tailwind",10,0)</f>
        <v/>
      </c>
      <c r="AF172" s="30" t="inlineStr">
        <is>
          <t>Cyclical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Volatile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Yes</t>
        </is>
      </c>
      <c r="AQ172" s="30">
        <f>IF(AP172="Yes",10,0)</f>
        <v/>
      </c>
      <c r="AR172" s="30" t="inlineStr">
        <is>
          <t>Higher One Time, Lower Annuity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20 to 40</t>
        </is>
      </c>
      <c r="AY172" s="30">
        <f>IF(AX172="Above 40",20,IF(AX172="20 to 40",10,IF(AX172="0 to 20",-5,0)))</f>
        <v/>
      </c>
      <c r="AZ172" s="30" t="inlineStr">
        <is>
          <t>Between 50 to 75</t>
        </is>
      </c>
      <c r="BA172" s="30">
        <f>IF(AZ172="Between 50 to 75",10,IF(AZ172="Above 75",0,0))</f>
        <v/>
      </c>
      <c r="BB172" s="30" t="inlineStr">
        <is>
          <t>Stage 2</t>
        </is>
      </c>
      <c r="BC172" s="30">
        <f>IF(BB172="Stage 2",20,IF(BB172="Stage 1",0,IF(BB172="Stage 3",5,IF(BB172="Stage 4",-5,0))))</f>
        <v/>
      </c>
      <c r="BD172" s="30" t="inlineStr">
        <is>
          <t>Positive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Blue sky scenario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More than 20%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No</t>
        </is>
      </c>
      <c r="BS172" s="30">
        <f>IF(BR172="NO",5,0)</f>
        <v/>
      </c>
      <c r="BT172" s="30" t="inlineStr">
        <is>
          <t>Less than 1.5</t>
        </is>
      </c>
      <c r="BU172" s="30">
        <f>IF(BT172="Above 2",0,IF(BT172="Between 1.5 to 2",5,IF(BT172="Less than 1.5",10,0)))</f>
        <v/>
      </c>
      <c r="BV172" s="30" t="inlineStr">
        <is>
          <t>Above 70%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More than 1.2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IF(B173=0,"",RANK(B173,$B$2:$B$306,0))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2" t="inlineStr">
        <is>
          <t>JINDALSAW</t>
        </is>
      </c>
      <c r="D173" s="32" t="inlineStr">
        <is>
          <t>Jindal Saw Limited</t>
        </is>
      </c>
      <c r="E173" s="30" t="inlineStr">
        <is>
          <t>industrials</t>
        </is>
      </c>
      <c r="F173" s="30" t="inlineStr">
        <is>
          <t>steel - large</t>
        </is>
      </c>
      <c r="G173" s="30" t="inlineStr">
        <is>
          <t>midcap</t>
        </is>
      </c>
      <c r="H173" s="31" t="n">
        <v>16627.21</v>
      </c>
      <c r="I173" s="31" t="n">
        <v>250.57</v>
      </c>
      <c r="J173" s="31" t="n">
        <v>-3.63</v>
      </c>
      <c r="K173" s="31" t="n">
        <v>2553060</v>
      </c>
      <c r="L173" s="30" t="n">
        <v>60</v>
      </c>
      <c r="M173" s="30" t="inlineStr">
        <is>
          <t>Underperforming</t>
        </is>
      </c>
      <c r="N173" s="31">
        <f>IF(M173="Underperforming",-5,IF(L173&gt;=95,15,IF(L173&gt;=90,10,IF(L173&gt;=80,5,0))))</f>
        <v/>
      </c>
      <c r="O173" s="31" t="n">
        <v>64.01000000000001</v>
      </c>
      <c r="P173" s="31" t="n">
        <v>27.75</v>
      </c>
      <c r="Q173" s="31" t="n">
        <v>185.37</v>
      </c>
      <c r="R173" s="30" t="inlineStr">
        <is>
          <t>Near 52W High Breakout</t>
        </is>
      </c>
      <c r="S173" s="30" t="inlineStr">
        <is>
          <t>Nifty Metal</t>
        </is>
      </c>
      <c r="T173" s="31" t="n">
        <v>40.56</v>
      </c>
      <c r="U173" s="31" t="n">
        <v>17.16</v>
      </c>
      <c r="V173" s="31" t="n">
        <v>-16.65</v>
      </c>
      <c r="W173" s="31" t="n">
        <v>16</v>
      </c>
      <c r="X173" s="30" t="inlineStr">
        <is>
          <t>Cyclical in an Upturn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Tailwind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Yes</t>
        </is>
      </c>
      <c r="AQ173" s="30">
        <f>IF(AP173="Yes",10,0)</f>
        <v/>
      </c>
      <c r="AR173" s="30" t="inlineStr">
        <is>
          <t>Higher One Time, Lower Annuity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20 to 40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2</t>
        </is>
      </c>
      <c r="BC173" s="30">
        <f>IF(BB173="Stage 2",20,IF(BB173="Stage 1",0,IF(BB173="Stage 3",5,IF(BB173="Stage 4",-5,0))))</f>
        <v/>
      </c>
      <c r="BD173" s="30" t="inlineStr">
        <is>
          <t>Positive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Close to 52 week high or retracement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Less than 12%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No</t>
        </is>
      </c>
      <c r="BS173" s="30">
        <f>IF(BR173="NO",5,0)</f>
        <v/>
      </c>
      <c r="BT173" s="30" t="inlineStr">
        <is>
          <t>Above 2</t>
        </is>
      </c>
      <c r="BU173" s="30">
        <f>IF(BT173="Above 2",0,IF(BT173="Between 1.5 to 2",5,IF(BT173="Less than 1.5",10,0)))</f>
        <v/>
      </c>
      <c r="BV173" s="30" t="inlineStr">
        <is>
          <t>Above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Less than 0.7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IF(B174=0,"",RANK(B174,$B$2:$B$306,0))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2" t="inlineStr">
        <is>
          <t>GUFICBIO</t>
        </is>
      </c>
      <c r="D174" s="32" t="inlineStr">
        <is>
          <t>Gufic Biosciences Limited</t>
        </is>
      </c>
      <c r="E174" s="30" t="inlineStr">
        <is>
          <t>healthcare</t>
        </is>
      </c>
      <c r="F174" s="30" t="inlineStr">
        <is>
          <t>pharmaceuticals - indian - bulk drugs &amp; formln</t>
        </is>
      </c>
      <c r="G174" s="30" t="inlineStr">
        <is>
          <t>smallcap</t>
        </is>
      </c>
      <c r="H174" s="31" t="n">
        <v>3553.51</v>
      </c>
      <c r="I174" s="31" t="n">
        <v>369.95</v>
      </c>
      <c r="J174" s="31" t="n">
        <v>4.4</v>
      </c>
      <c r="K174" s="31" t="n">
        <v>243828</v>
      </c>
      <c r="L174" s="30" t="n">
        <v>30</v>
      </c>
      <c r="M174" s="30" t="inlineStr">
        <is>
          <t>Underperforming</t>
        </is>
      </c>
      <c r="N174" s="31">
        <f>IF(M174="Underperforming",-5,IF(L174&gt;=95,15,IF(L174&gt;=90,10,IF(L174&gt;=80,5,0))))</f>
        <v/>
      </c>
      <c r="O174" s="31" t="n">
        <v>65.29000000000001</v>
      </c>
      <c r="P174" s="31" t="n">
        <v>22.26</v>
      </c>
      <c r="Q174" s="31" t="n">
        <v>289.33</v>
      </c>
      <c r="R174" s="30" t="inlineStr">
        <is>
          <t>Volume Spike &amp; Near 52W High Breakout</t>
        </is>
      </c>
      <c r="S174" s="30" t="inlineStr">
        <is>
          <t>Nifty Pharma</t>
        </is>
      </c>
      <c r="T174" s="31" t="n">
        <v>11.82</v>
      </c>
      <c r="U174" s="31" t="n">
        <v>0.53</v>
      </c>
      <c r="V174" s="31" t="n">
        <v>-10.1</v>
      </c>
      <c r="W174" s="31" t="n">
        <v>8.029999999999999</v>
      </c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Yes</t>
        </is>
      </c>
      <c r="AC174" s="30">
        <f>IF(AB174="No",5,0)</f>
        <v/>
      </c>
      <c r="AD174" s="30" t="inlineStr">
        <is>
          <t>Tailwind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Yes</t>
        </is>
      </c>
      <c r="AQ174" s="30">
        <f>IF(AP174="Yes",10,0)</f>
        <v/>
      </c>
      <c r="AR174" s="30" t="inlineStr">
        <is>
          <t>Higher Annuity, Lower One Time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20 to 40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2</t>
        </is>
      </c>
      <c r="BC174" s="30">
        <f>IF(BB174="Stage 2",20,IF(BB174="Stage 1",0,IF(BB174="Stage 3",5,IF(BB174="Stage 4",-5,0))))</f>
        <v/>
      </c>
      <c r="BD174" s="30" t="inlineStr">
        <is>
          <t>Positive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Close to 52 week high or retracement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Less than 12%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Yes</t>
        </is>
      </c>
      <c r="BS174" s="30">
        <f>IF(BR174="NO",5,0)</f>
        <v/>
      </c>
      <c r="BT174" s="30" t="inlineStr">
        <is>
          <t>Above 2</t>
        </is>
      </c>
      <c r="BU174" s="30">
        <f>IF(BT174="Above 2",0,IF(BT174="Between 1.5 to 2",5,IF(BT174="Less than 1.5",10,0)))</f>
        <v/>
      </c>
      <c r="BV174" s="30" t="inlineStr">
        <is>
          <t>Above 70%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Less than 0.7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IF(B175=0,"",RANK(B175,$B$2:$B$306,0))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NOVARTIND</t>
        </is>
      </c>
      <c r="D175" s="30" t="inlineStr">
        <is>
          <t>Novartis India Ltd</t>
        </is>
      </c>
      <c r="E175" s="30" t="inlineStr">
        <is>
          <t>healthcare</t>
        </is>
      </c>
      <c r="F175" s="30" t="inlineStr">
        <is>
          <t>pharmaceuticals - multinational</t>
        </is>
      </c>
      <c r="G175" s="30" t="inlineStr">
        <is>
          <t>smallcap</t>
        </is>
      </c>
      <c r="H175" s="31" t="n">
        <v>3340.66</v>
      </c>
      <c r="I175" s="31" t="n">
        <v>1391.1</v>
      </c>
      <c r="J175" s="31" t="n">
        <v>2.82</v>
      </c>
      <c r="K175" s="31" t="n">
        <v>23113</v>
      </c>
      <c r="L175" s="30" t="n">
        <v>69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69.33</v>
      </c>
      <c r="P175" s="31" t="n">
        <v>60.89</v>
      </c>
      <c r="Q175" s="31" t="n">
        <v>1205.97</v>
      </c>
      <c r="R175" s="30" t="inlineStr">
        <is>
          <t>Earnings / Momentum Support</t>
        </is>
      </c>
      <c r="S175" s="30" t="inlineStr">
        <is>
          <t>Nifty Pharma</t>
        </is>
      </c>
      <c r="T175" s="31" t="n">
        <v>11.82</v>
      </c>
      <c r="U175" s="31" t="n">
        <v>40.54</v>
      </c>
      <c r="V175" s="31" t="n">
        <v>25.68</v>
      </c>
      <c r="W175" s="31" t="n">
        <v>19.13</v>
      </c>
      <c r="X175" s="30" t="inlineStr">
        <is>
          <t>Growing Industry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Yes</t>
        </is>
      </c>
      <c r="AC175" s="30">
        <f>IF(AB175="No",5,0)</f>
        <v/>
      </c>
      <c r="AD175" s="30" t="inlineStr">
        <is>
          <t>Tailwind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No</t>
        </is>
      </c>
      <c r="AQ175" s="30">
        <f>IF(AP175="Yes",10,0)</f>
        <v/>
      </c>
      <c r="AR175" s="30" t="inlineStr">
        <is>
          <t>Higher Annuity, Lower One Time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Above 40</t>
        </is>
      </c>
      <c r="AY175" s="30">
        <f>IF(AX175="Above 40",20,IF(AX175="20 to 40",10,IF(AX175="0 to 20",-5,0)))</f>
        <v/>
      </c>
      <c r="AZ175" s="30" t="inlineStr">
        <is>
          <t>Between 50 to 75</t>
        </is>
      </c>
      <c r="BA175" s="30">
        <f>IF(AZ175="Between 50 to 75",10,IF(AZ175="Above 75",0,0))</f>
        <v/>
      </c>
      <c r="BB175" s="30" t="inlineStr">
        <is>
          <t>Stage 2</t>
        </is>
      </c>
      <c r="BC175" s="30">
        <f>IF(BB175="Stage 2",20,IF(BB175="Stage 1",0,IF(BB175="Stage 3",5,IF(BB175="Stage 4",-5,0))))</f>
        <v/>
      </c>
      <c r="BD175" s="30" t="inlineStr">
        <is>
          <t>Positive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Close to 52 week high or retracement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Less than 12%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No</t>
        </is>
      </c>
      <c r="BS175" s="30">
        <f>IF(BR175="NO",5,0)</f>
        <v/>
      </c>
      <c r="BT175" s="30" t="inlineStr">
        <is>
          <t>Above 2</t>
        </is>
      </c>
      <c r="BU175" s="30">
        <f>IF(BT175="Above 2",0,IF(BT175="Between 1.5 to 2",5,IF(BT175="Less than 1.5",10,0)))</f>
        <v/>
      </c>
      <c r="BV175" s="30" t="inlineStr">
        <is>
          <t>Less than 50%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Less than 0.7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IF(B176=0,"",RANK(B176,$B$2:$B$306,0))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APOLLOHOSP</t>
        </is>
      </c>
      <c r="D176" s="30" t="inlineStr">
        <is>
          <t>Apollo Hospitals Enterprise Limited</t>
        </is>
      </c>
      <c r="E176" s="30" t="inlineStr">
        <is>
          <t>healthcare</t>
        </is>
      </c>
      <c r="F176" s="30" t="inlineStr">
        <is>
          <t>healthcare</t>
        </is>
      </c>
      <c r="G176" s="30" t="inlineStr">
        <is>
          <t>largecap</t>
        </is>
      </c>
      <c r="H176" s="31" t="n">
        <v>118607.96</v>
      </c>
      <c r="I176" s="31" t="n">
        <v>8304.5</v>
      </c>
      <c r="J176" s="31" t="n">
        <v>0.67</v>
      </c>
      <c r="K176" s="31" t="n">
        <v>187969</v>
      </c>
      <c r="L176" s="30" t="n">
        <v>19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63.76</v>
      </c>
      <c r="P176" s="31" t="n">
        <v>13.03</v>
      </c>
      <c r="Q176" s="31" t="n">
        <v>7255.87</v>
      </c>
      <c r="R176" s="30" t="inlineStr">
        <is>
          <t>Near 52W High Breakout</t>
        </is>
      </c>
      <c r="S176" s="30" t="inlineStr">
        <is>
          <t>Nifty Pharma</t>
        </is>
      </c>
      <c r="T176" s="31" t="n">
        <v>11.82</v>
      </c>
      <c r="U176" s="31" t="n">
        <v>19.93</v>
      </c>
      <c r="V176" s="31" t="n">
        <v>7.25</v>
      </c>
      <c r="W176" s="31" t="n">
        <v>5.46</v>
      </c>
      <c r="X176" s="30" t="inlineStr">
        <is>
          <t>Cyclical in an Upturn</t>
        </is>
      </c>
      <c r="Y176" s="30">
        <f>IF(X176="Growing Industry",10,IF(X176="Cyclical in an Upturn",5,0))</f>
        <v/>
      </c>
      <c r="Z176" s="30" t="inlineStr">
        <is>
          <t>Oligopoly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No</t>
        </is>
      </c>
      <c r="AC176" s="30">
        <f>IF(AB176="No",5,0)</f>
        <v/>
      </c>
      <c r="AD176" s="30" t="inlineStr">
        <is>
          <t>Tailwind</t>
        </is>
      </c>
      <c r="AE176" s="30">
        <f>IF(AD176="Tailwind",10,0)</f>
        <v/>
      </c>
      <c r="AF176" s="30" t="inlineStr">
        <is>
          <t>Cyclical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B2C</t>
        </is>
      </c>
      <c r="AO176" s="30">
        <f>IF(AN176="B2C",10,IF(AN176="B2B",5,0))</f>
        <v/>
      </c>
      <c r="AP176" s="30" t="inlineStr">
        <is>
          <t>Yes</t>
        </is>
      </c>
      <c r="AQ176" s="30">
        <f>IF(AP176="Yes",10,0)</f>
        <v/>
      </c>
      <c r="AR176" s="30" t="inlineStr">
        <is>
          <t>Fully One Time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Above 40</t>
        </is>
      </c>
      <c r="AY176" s="30">
        <f>IF(AX176="Above 40",20,IF(AX176="20 to 40",10,IF(AX176="0 to 20",-5,0)))</f>
        <v/>
      </c>
      <c r="AZ176" s="30" t="inlineStr">
        <is>
          <t>Above 75</t>
        </is>
      </c>
      <c r="BA176" s="30">
        <f>IF(AZ176="Between 50 to 75",10,IF(AZ176="Above 75",0,0))</f>
        <v/>
      </c>
      <c r="BB176" s="30" t="inlineStr">
        <is>
          <t>Stage 2</t>
        </is>
      </c>
      <c r="BC176" s="30">
        <f>IF(BB176="Stage 2",20,IF(BB176="Stage 1",0,IF(BB176="Stage 3",5,IF(BB176="Stage 4",-5,0))))</f>
        <v/>
      </c>
      <c r="BD176" s="30" t="inlineStr">
        <is>
          <t>Positive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Close to 52 week high or retracement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More than 20%</t>
        </is>
      </c>
      <c r="BO176" s="30">
        <f>IF(BN176="More than 20%",10,IF(BN176="Between 12 to 20%",5,IF(BN176="Less than 12%",0,0)))</f>
        <v/>
      </c>
      <c r="BP176" s="30" t="inlineStr">
        <is>
          <t>Yes</t>
        </is>
      </c>
      <c r="BQ176" s="30">
        <f>IF(BP176="No",10,0)</f>
        <v/>
      </c>
      <c r="BR176" s="30" t="inlineStr">
        <is>
          <t>Yes</t>
        </is>
      </c>
      <c r="BS176" s="30">
        <f>IF(BR176="NO",5,0)</f>
        <v/>
      </c>
      <c r="BT176" s="30" t="inlineStr">
        <is>
          <t>Between 1.5 to 2</t>
        </is>
      </c>
      <c r="BU176" s="30">
        <f>IF(BT176="Above 2",0,IF(BT176="Between 1.5 to 2",5,IF(BT176="Less than 1.5",10,0)))</f>
        <v/>
      </c>
      <c r="BV176" s="30" t="inlineStr">
        <is>
          <t>Above 70%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Less than 0.7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IF(B177=0,"",RANK(B177,$B$2:$B$306,0))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2" t="inlineStr">
        <is>
          <t>RAINBOW</t>
        </is>
      </c>
      <c r="D177" s="32" t="inlineStr">
        <is>
          <t>Rainbow Childrens Medicare Ltd</t>
        </is>
      </c>
      <c r="E177" s="30" t="inlineStr">
        <is>
          <t>healthcare</t>
        </is>
      </c>
      <c r="F177" s="30" t="inlineStr">
        <is>
          <t>healthcare</t>
        </is>
      </c>
      <c r="G177" s="30" t="inlineStr">
        <is>
          <t>midcap</t>
        </is>
      </c>
      <c r="H177" s="31" t="n">
        <v>13680.02</v>
      </c>
      <c r="I177" s="31" t="n">
        <v>1343.3</v>
      </c>
      <c r="J177" s="31" t="n">
        <v>-0.27</v>
      </c>
      <c r="K177" s="31" t="n">
        <v>76791</v>
      </c>
      <c r="L177" s="30" t="n">
        <v>4</v>
      </c>
      <c r="M177" s="30" t="inlineStr">
        <is>
          <t>Underperforming</t>
        </is>
      </c>
      <c r="N177" s="31">
        <f>IF(M177="Underperforming",-5,IF(L177&gt;=95,15,IF(L177&gt;=90,10,IF(L177&gt;=80,5,0))))</f>
        <v/>
      </c>
      <c r="O177" s="31" t="n">
        <v>57.73</v>
      </c>
      <c r="P177" s="31" t="n">
        <v>26.1</v>
      </c>
      <c r="Q177" s="31" t="n">
        <v>1145.51</v>
      </c>
      <c r="R177" s="30" t="inlineStr">
        <is>
          <t>Earnings / Momentum Support</t>
        </is>
      </c>
      <c r="S177" s="30" t="inlineStr">
        <is>
          <t>Nifty Pharma</t>
        </is>
      </c>
      <c r="T177" s="31" t="n">
        <v>11.82</v>
      </c>
      <c r="U177" s="31" t="n">
        <v>-4.79</v>
      </c>
      <c r="V177" s="31" t="n">
        <v>-14.86</v>
      </c>
      <c r="W177" s="31" t="n">
        <v>1.85</v>
      </c>
      <c r="X177" s="30" t="inlineStr">
        <is>
          <t>Growing Industry</t>
        </is>
      </c>
      <c r="Y177" s="30">
        <f>IF(X177="Growing Industry",10,IF(X177="Cyclical in an Upturn",5,0))</f>
        <v/>
      </c>
      <c r="Z177" s="30" t="inlineStr">
        <is>
          <t>Too Many Players with High ROCE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Yes</t>
        </is>
      </c>
      <c r="AC177" s="30">
        <f>IF(AB177="No",5,0)</f>
        <v/>
      </c>
      <c r="AD177" s="30" t="inlineStr">
        <is>
          <t>Headwind</t>
        </is>
      </c>
      <c r="AE177" s="30">
        <f>IF(AD177="Tailwind",10,0)</f>
        <v/>
      </c>
      <c r="AF177" s="30" t="inlineStr">
        <is>
          <t>Structural (10 Years Consistency)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B2B</t>
        </is>
      </c>
      <c r="AO177" s="30">
        <f>IF(AN177="B2C",10,IF(AN177="B2B",5,0))</f>
        <v/>
      </c>
      <c r="AP177" s="30" t="inlineStr">
        <is>
          <t>No</t>
        </is>
      </c>
      <c r="AQ177" s="30">
        <f>IF(AP177="Yes",10,0)</f>
        <v/>
      </c>
      <c r="AR177" s="30" t="inlineStr">
        <is>
          <t>Higher Annuity, Lower One Time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20 to 40</t>
        </is>
      </c>
      <c r="AY177" s="30">
        <f>IF(AX177="Above 40",20,IF(AX177="20 to 40",10,IF(AX177="0 to 20",-5,0)))</f>
        <v/>
      </c>
      <c r="AZ177" s="30" t="inlineStr">
        <is>
          <t>Between 50 to 75</t>
        </is>
      </c>
      <c r="BA177" s="30">
        <f>IF(AZ177="Between 50 to 75",10,IF(AZ177="Above 75",0,0))</f>
        <v/>
      </c>
      <c r="BB177" s="30" t="inlineStr">
        <is>
          <t>Stage 2</t>
        </is>
      </c>
      <c r="BC177" s="30">
        <f>IF(BB177="Stage 2",20,IF(BB177="Stage 1",0,IF(BB177="Stage 3",5,IF(BB177="Stage 4",-5,0))))</f>
        <v/>
      </c>
      <c r="BD177" s="30" t="inlineStr">
        <is>
          <t>Positive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Close to 52 week high or retracement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More than 20%</t>
        </is>
      </c>
      <c r="BO177" s="30">
        <f>IF(BN177="More than 20%",10,IF(BN177="Between 12 to 20%",5,IF(BN177="Less than 12%",0,0)))</f>
        <v/>
      </c>
      <c r="BP177" s="30" t="inlineStr">
        <is>
          <t>No</t>
        </is>
      </c>
      <c r="BQ177" s="30">
        <f>IF(BP177="No",10,0)</f>
        <v/>
      </c>
      <c r="BR177" s="30" t="inlineStr">
        <is>
          <t>Yes</t>
        </is>
      </c>
      <c r="BS177" s="30">
        <f>IF(BR177="NO",5,0)</f>
        <v/>
      </c>
      <c r="BT177" s="30" t="inlineStr">
        <is>
          <t>Less than 1.5</t>
        </is>
      </c>
      <c r="BU177" s="30">
        <f>IF(BT177="Above 2",0,IF(BT177="Between 1.5 to 2",5,IF(BT177="Less than 1.5",10,0)))</f>
        <v/>
      </c>
      <c r="BV177" s="30" t="inlineStr">
        <is>
          <t>Above 70%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IF(B178=0,"",RANK(B178,$B$2:$B$306,0))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0" t="inlineStr">
        <is>
          <t>RSWM</t>
        </is>
      </c>
      <c r="D178" s="30" t="inlineStr">
        <is>
          <t>Rswm Limited</t>
        </is>
      </c>
      <c r="E178" s="30" t="inlineStr">
        <is>
          <t>textiles</t>
        </is>
      </c>
      <c r="F178" s="30" t="inlineStr">
        <is>
          <t>textiles - cotton/blended</t>
        </is>
      </c>
      <c r="G178" s="30" t="inlineStr">
        <is>
          <t>smallcap</t>
        </is>
      </c>
      <c r="H178" s="31" t="n">
        <v>834.74</v>
      </c>
      <c r="I178" s="31" t="n">
        <v>197.1</v>
      </c>
      <c r="J178" s="31" t="n">
        <v>11.22</v>
      </c>
      <c r="K178" s="31" t="n">
        <v>3701180</v>
      </c>
      <c r="L178" s="30" t="n">
        <v>39</v>
      </c>
      <c r="M178" s="30" t="inlineStr">
        <is>
          <t>Outperforming</t>
        </is>
      </c>
      <c r="N178" s="31">
        <f>IF(M178="Underperforming",-5,IF(L178&gt;=95,15,IF(L178&gt;=90,10,IF(L178&gt;=80,5,0))))</f>
        <v/>
      </c>
      <c r="O178" s="31" t="n">
        <v>67.73999999999999</v>
      </c>
      <c r="P178" s="31" t="n">
        <v>19.7</v>
      </c>
      <c r="Q178" s="31" t="n">
        <v>148.77</v>
      </c>
      <c r="R178" s="30" t="inlineStr">
        <is>
          <t>Volume Spike &amp; Near 52W High Breakout</t>
        </is>
      </c>
      <c r="S178" s="30" t="inlineStr">
        <is>
          <t>Nifty 50</t>
        </is>
      </c>
      <c r="T178" s="31" t="n">
        <v>-6.54</v>
      </c>
      <c r="U178" s="31" t="n">
        <v>13.45</v>
      </c>
      <c r="V178" s="31" t="n">
        <v>21.4</v>
      </c>
      <c r="W178" s="31" t="n">
        <v>10.7</v>
      </c>
      <c r="X178" s="30" t="inlineStr">
        <is>
          <t>Growing Industry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No</t>
        </is>
      </c>
      <c r="AC178" s="30">
        <f>IF(AB178="No",5,0)</f>
        <v/>
      </c>
      <c r="AD178" s="30" t="inlineStr">
        <is>
          <t>Tailwind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Yes</t>
        </is>
      </c>
      <c r="AQ178" s="30">
        <f>IF(AP178="Yes",10,0)</f>
        <v/>
      </c>
      <c r="AR178" s="30" t="inlineStr">
        <is>
          <t>Higher One Time, Lower Annuity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0 to 20</t>
        </is>
      </c>
      <c r="AY178" s="30">
        <f>IF(AX178="Above 40",20,IF(AX178="20 to 40",10,IF(AX178="0 to 20",-5,0)))</f>
        <v/>
      </c>
      <c r="AZ178" s="30" t="inlineStr">
        <is>
          <t>Between 50 to 75</t>
        </is>
      </c>
      <c r="BA178" s="30">
        <f>IF(AZ178="Between 50 to 75",10,IF(AZ178="Above 75",0,0))</f>
        <v/>
      </c>
      <c r="BB178" s="30" t="inlineStr">
        <is>
          <t>Stage 2</t>
        </is>
      </c>
      <c r="BC178" s="30">
        <f>IF(BB178="Stage 2",20,IF(BB178="Stage 1",0,IF(BB178="Stage 3",5,IF(BB178="Stage 4",-5,0))))</f>
        <v/>
      </c>
      <c r="BD178" s="30" t="inlineStr">
        <is>
          <t>Positive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Close to 52 week high or retracement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More than 20%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No</t>
        </is>
      </c>
      <c r="BS178" s="30">
        <f>IF(BR178="NO",5,0)</f>
        <v/>
      </c>
      <c r="BT178" s="30" t="inlineStr">
        <is>
          <t>Less than 1.5</t>
        </is>
      </c>
      <c r="BU178" s="30">
        <f>IF(BT178="Above 2",0,IF(BT178="Between 1.5 to 2",5,IF(BT178="Less than 1.5",10,0)))</f>
        <v/>
      </c>
      <c r="BV178" s="30" t="inlineStr">
        <is>
          <t>Above 70%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More than 1.2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IF(B179=0,"",RANK(B179,$B$2:$B$306,0))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0" t="inlineStr">
        <is>
          <t>MUNJALAU</t>
        </is>
      </c>
      <c r="D179" s="30" t="inlineStr">
        <is>
          <t>Munjal Auto Industries Limited</t>
        </is>
      </c>
      <c r="E179" s="30" t="inlineStr">
        <is>
          <t>auto</t>
        </is>
      </c>
      <c r="F179" s="30" t="inlineStr">
        <is>
          <t>auto ancillaries</t>
        </is>
      </c>
      <c r="G179" s="30" t="inlineStr">
        <is>
          <t>smallcap</t>
        </is>
      </c>
      <c r="H179" s="31" t="n">
        <v>881.7</v>
      </c>
      <c r="I179" s="31" t="n">
        <v>96.28</v>
      </c>
      <c r="J179" s="31" t="n">
        <v>9.199999999999999</v>
      </c>
      <c r="K179" s="31" t="n">
        <v>2122594</v>
      </c>
      <c r="L179" s="30" t="n">
        <v>36</v>
      </c>
      <c r="M179" s="30" t="inlineStr">
        <is>
          <t>Outperforming</t>
        </is>
      </c>
      <c r="N179" s="31">
        <f>IF(M179="Underperforming",-5,IF(L179&gt;=95,15,IF(L179&gt;=90,10,IF(L179&gt;=80,5,0))))</f>
        <v/>
      </c>
      <c r="O179" s="31" t="n">
        <v>66.25</v>
      </c>
      <c r="P179" s="31" t="n">
        <v>19.37</v>
      </c>
      <c r="Q179" s="31" t="n">
        <v>72.93000000000001</v>
      </c>
      <c r="R179" s="30" t="inlineStr">
        <is>
          <t>Volume Spike / Accumulation</t>
        </is>
      </c>
      <c r="S179" s="30" t="inlineStr">
        <is>
          <t>Nifty Auto</t>
        </is>
      </c>
      <c r="T179" s="31" t="n">
        <v>10.59</v>
      </c>
      <c r="U179" s="31" t="n">
        <v>19.06</v>
      </c>
      <c r="V179" s="31" t="n">
        <v>7.66</v>
      </c>
      <c r="W179" s="31" t="n">
        <v>9.619999999999999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Tailwind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Yes</t>
        </is>
      </c>
      <c r="AQ179" s="30">
        <f>IF(AP179="Yes",10,0)</f>
        <v/>
      </c>
      <c r="AR179" s="30" t="inlineStr">
        <is>
          <t>Higher One Time, Lower Annuity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0 to 20</t>
        </is>
      </c>
      <c r="AY179" s="30">
        <f>IF(AX179="Above 40",20,IF(AX179="20 to 40",10,IF(AX179="0 to 20",-5,0)))</f>
        <v/>
      </c>
      <c r="AZ179" s="30" t="inlineStr">
        <is>
          <t>Between 50 to 75</t>
        </is>
      </c>
      <c r="BA179" s="30">
        <f>IF(AZ179="Between 50 to 75",10,IF(AZ179="Above 75",0,0))</f>
        <v/>
      </c>
      <c r="BB179" s="30" t="inlineStr">
        <is>
          <t>Stage 2</t>
        </is>
      </c>
      <c r="BC179" s="30">
        <f>IF(BB179="Stage 2",20,IF(BB179="Stage 1",0,IF(BB179="Stage 3",5,IF(BB179="Stage 4",-5,0))))</f>
        <v/>
      </c>
      <c r="BD179" s="30" t="inlineStr">
        <is>
          <t>Positive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Close to 52 week high or retracement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More than 20%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No</t>
        </is>
      </c>
      <c r="BS179" s="30">
        <f>IF(BR179="NO",5,0)</f>
        <v/>
      </c>
      <c r="BT179" s="30" t="inlineStr">
        <is>
          <t>Less than 1.5</t>
        </is>
      </c>
      <c r="BU179" s="30">
        <f>IF(BT179="Above 2",0,IF(BT179="Between 1.5 to 2",5,IF(BT179="Less than 1.5",10,0)))</f>
        <v/>
      </c>
      <c r="BV179" s="30" t="inlineStr">
        <is>
          <t>Less than 50%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Between 0.7 to 1.2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IF(B180=0,"",RANK(B180,$B$2:$B$306,0))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2" t="inlineStr">
        <is>
          <t>IGIL</t>
        </is>
      </c>
      <c r="D180" s="32" t="inlineStr">
        <is>
          <t>International Gemmological Institute (India) Ltd</t>
        </is>
      </c>
      <c r="E180" s="30" t="inlineStr">
        <is>
          <t>miscellaneous</t>
        </is>
      </c>
      <c r="F180" s="30" t="inlineStr">
        <is>
          <t>miscellaneous</t>
        </is>
      </c>
      <c r="G180" s="30" t="inlineStr">
        <is>
          <t>midcap</t>
        </is>
      </c>
      <c r="H180" s="31" t="n">
        <v>15644.18</v>
      </c>
      <c r="I180" s="31" t="n">
        <v>368.4</v>
      </c>
      <c r="J180" s="31" t="n">
        <v>1.77</v>
      </c>
      <c r="K180" s="31" t="n">
        <v>835243</v>
      </c>
      <c r="L180" s="30" t="n">
        <v>3</v>
      </c>
      <c r="M180" s="30" t="inlineStr">
        <is>
          <t>Underperforming</t>
        </is>
      </c>
      <c r="N180" s="31">
        <f>IF(M180="Underperforming",-5,IF(L180&gt;=95,15,IF(L180&gt;=90,10,IF(L180&gt;=80,5,0))))</f>
        <v/>
      </c>
      <c r="O180" s="31" t="n">
        <v>55.98</v>
      </c>
      <c r="P180" s="31" t="n">
        <v>16.93</v>
      </c>
      <c r="Q180" s="31" t="n">
        <v>281.32</v>
      </c>
      <c r="R180" s="30" t="inlineStr">
        <is>
          <t>Earnings / Momentum Support</t>
        </is>
      </c>
      <c r="S180" s="30" t="inlineStr">
        <is>
          <t>Nifty 50</t>
        </is>
      </c>
      <c r="T180" s="31" t="n">
        <v>-6.54</v>
      </c>
      <c r="U180" s="31" t="n">
        <v>-6.98</v>
      </c>
      <c r="V180" s="31" t="n">
        <v>-0.47</v>
      </c>
      <c r="W180" s="31" t="n">
        <v>0.93</v>
      </c>
      <c r="X180" s="30" t="inlineStr">
        <is>
          <t>Growing Industry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No</t>
        </is>
      </c>
      <c r="AC180" s="30">
        <f>IF(AB180="No",5,0)</f>
        <v/>
      </c>
      <c r="AD180" s="30" t="inlineStr">
        <is>
          <t>Tailwind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No</t>
        </is>
      </c>
      <c r="AQ180" s="30">
        <f>IF(AP180="Yes",10,0)</f>
        <v/>
      </c>
      <c r="AR180" s="30" t="inlineStr">
        <is>
          <t>Higher One Time, Lower Annuity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0 to 20</t>
        </is>
      </c>
      <c r="AY180" s="30">
        <f>IF(AX180="Above 40",20,IF(AX180="20 to 40",10,IF(AX180="0 to 20",-5,0)))</f>
        <v/>
      </c>
      <c r="AZ180" s="30" t="inlineStr">
        <is>
          <t>Between 50 to 75</t>
        </is>
      </c>
      <c r="BA180" s="30">
        <f>IF(AZ180="Between 50 to 75",10,IF(AZ180="Above 75",0,0))</f>
        <v/>
      </c>
      <c r="BB180" s="30" t="inlineStr">
        <is>
          <t>Stage 2</t>
        </is>
      </c>
      <c r="BC180" s="30">
        <f>IF(BB180="Stage 2",20,IF(BB180="Stage 1",0,IF(BB180="Stage 3",5,IF(BB180="Stage 4",-5,0))))</f>
        <v/>
      </c>
      <c r="BD180" s="30" t="inlineStr">
        <is>
          <t>Positive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Close to 52 week high or retracement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More than 20%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No</t>
        </is>
      </c>
      <c r="BS180" s="30">
        <f>IF(BR180="NO",5,0)</f>
        <v/>
      </c>
      <c r="BT180" s="30" t="inlineStr">
        <is>
          <t>Less than 1.5</t>
        </is>
      </c>
      <c r="BU180" s="30">
        <f>IF(BT180="Above 2",0,IF(BT180="Between 1.5 to 2",5,IF(BT180="Less than 1.5",10,0)))</f>
        <v/>
      </c>
      <c r="BV180" s="30" t="inlineStr">
        <is>
          <t>Between 50% to 70%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Less than 0.7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IF(B181=0,"",RANK(B181,$B$2:$B$306,0))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0" t="inlineStr">
        <is>
          <t>CARBORUNIV</t>
        </is>
      </c>
      <c r="D181" s="30" t="inlineStr">
        <is>
          <t>Carborundum Universal Limited</t>
        </is>
      </c>
      <c r="E181" s="30" t="inlineStr">
        <is>
          <t>industrials</t>
        </is>
      </c>
      <c r="F181" s="30" t="inlineStr">
        <is>
          <t>abrasives and grinding wheels</t>
        </is>
      </c>
      <c r="G181" s="30" t="inlineStr">
        <is>
          <t>midcap</t>
        </is>
      </c>
      <c r="H181" s="31" t="n">
        <v>19594.06</v>
      </c>
      <c r="I181" s="31" t="n">
        <v>1039.8</v>
      </c>
      <c r="J181" s="31" t="n">
        <v>1.09</v>
      </c>
      <c r="K181" s="31" t="n">
        <v>311452</v>
      </c>
      <c r="L181" s="30" t="n">
        <v>33</v>
      </c>
      <c r="M181" s="30" t="inlineStr">
        <is>
          <t>Outperforming</t>
        </is>
      </c>
      <c r="N181" s="31">
        <f>IF(M181="Underperforming",-5,IF(L181&gt;=95,15,IF(L181&gt;=90,10,IF(L181&gt;=80,5,0))))</f>
        <v/>
      </c>
      <c r="O181" s="31" t="n">
        <v>63.5</v>
      </c>
      <c r="P181" s="31" t="n">
        <v>31.11</v>
      </c>
      <c r="Q181" s="31" t="n">
        <v>886.95</v>
      </c>
      <c r="R181" s="30" t="inlineStr">
        <is>
          <t>Earnings / Momentum Support</t>
        </is>
      </c>
      <c r="S181" s="30" t="inlineStr">
        <is>
          <t>Nifty 50</t>
        </is>
      </c>
      <c r="T181" s="31" t="n">
        <v>-6.54</v>
      </c>
      <c r="U181" s="31" t="n">
        <v>10.01</v>
      </c>
      <c r="V181" s="31" t="n">
        <v>17.71</v>
      </c>
      <c r="W181" s="31" t="n">
        <v>8.609999999999999</v>
      </c>
      <c r="X181" s="30" t="inlineStr">
        <is>
          <t>Cyclical in an Upturn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No</t>
        </is>
      </c>
      <c r="AC181" s="30">
        <f>IF(AB181="No",5,0)</f>
        <v/>
      </c>
      <c r="AD181" s="30" t="inlineStr">
        <is>
          <t>Tailwind</t>
        </is>
      </c>
      <c r="AE181" s="30">
        <f>IF(AD181="Tailwind",10,0)</f>
        <v/>
      </c>
      <c r="AF181" s="30" t="inlineStr">
        <is>
          <t>Structural (10 Years Consistency)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Stable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No</t>
        </is>
      </c>
      <c r="AQ181" s="30">
        <f>IF(AP181="Yes",10,0)</f>
        <v/>
      </c>
      <c r="AR181" s="30" t="inlineStr">
        <is>
          <t>Higher One Time, Lower Annuity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20 to 40</t>
        </is>
      </c>
      <c r="AY181" s="30">
        <f>IF(AX181="Above 40",20,IF(AX181="20 to 40",10,IF(AX181="0 to 20",-5,0)))</f>
        <v/>
      </c>
      <c r="AZ181" s="30" t="inlineStr">
        <is>
          <t>Between 50 to 75</t>
        </is>
      </c>
      <c r="BA181" s="30">
        <f>IF(AZ181="Between 50 to 75",10,IF(AZ181="Above 75",0,0))</f>
        <v/>
      </c>
      <c r="BB181" s="30" t="inlineStr">
        <is>
          <t>Stage 2</t>
        </is>
      </c>
      <c r="BC181" s="30">
        <f>IF(BB181="Stage 2",20,IF(BB181="Stage 1",0,IF(BB181="Stage 3",5,IF(BB181="Stage 4",-5,0))))</f>
        <v/>
      </c>
      <c r="BD181" s="30" t="inlineStr">
        <is>
          <t>Positive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Close to 52 week high or retracement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More than 20%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Yes</t>
        </is>
      </c>
      <c r="BS181" s="30">
        <f>IF(BR181="NO",5,0)</f>
        <v/>
      </c>
      <c r="BT181" s="30" t="inlineStr">
        <is>
          <t>Above 2</t>
        </is>
      </c>
      <c r="BU181" s="30">
        <f>IF(BT181="Above 2",0,IF(BT181="Between 1.5 to 2",5,IF(BT181="Less than 1.5",10,0)))</f>
        <v/>
      </c>
      <c r="BV181" s="30" t="inlineStr">
        <is>
          <t>Between 50% to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Less than 0.7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IF(B182=0,"",RANK(B182,$B$2:$B$306,0))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0" t="inlineStr">
        <is>
          <t>JAYBARMARU</t>
        </is>
      </c>
      <c r="D182" s="30" t="inlineStr">
        <is>
          <t>Jay Bharat Maruti Limited</t>
        </is>
      </c>
      <c r="E182" s="30" t="inlineStr">
        <is>
          <t>auto</t>
        </is>
      </c>
      <c r="F182" s="30" t="inlineStr">
        <is>
          <t>auto ancillaries</t>
        </is>
      </c>
      <c r="G182" s="30" t="inlineStr">
        <is>
          <t>smallcap</t>
        </is>
      </c>
      <c r="H182" s="31" t="n">
        <v>1370.45</v>
      </c>
      <c r="I182" s="31" t="n">
        <v>127.97</v>
      </c>
      <c r="J182" s="31" t="n">
        <v>1.08</v>
      </c>
      <c r="K182" s="31" t="n">
        <v>952101</v>
      </c>
      <c r="L182" s="30" t="n">
        <v>67</v>
      </c>
      <c r="M182" s="30" t="inlineStr">
        <is>
          <t>Outperforming</t>
        </is>
      </c>
      <c r="N182" s="31">
        <f>IF(M182="Underperforming",-5,IF(L182&gt;=95,15,IF(L182&gt;=90,10,IF(L182&gt;=80,5,0))))</f>
        <v/>
      </c>
      <c r="O182" s="31" t="n">
        <v>65.44</v>
      </c>
      <c r="P182" s="31" t="n">
        <v>15.35</v>
      </c>
      <c r="Q182" s="31" t="n">
        <v>90.14</v>
      </c>
      <c r="R182" s="30" t="inlineStr">
        <is>
          <t>Volume Spike &amp; Near 52W High Breakout</t>
        </is>
      </c>
      <c r="S182" s="30" t="inlineStr">
        <is>
          <t>Nifty Auto</t>
        </is>
      </c>
      <c r="T182" s="31" t="n">
        <v>10.59</v>
      </c>
      <c r="U182" s="31" t="n">
        <v>64.98999999999999</v>
      </c>
      <c r="V182" s="31" t="n">
        <v>49.2</v>
      </c>
      <c r="W182" s="31" t="n">
        <v>18.86</v>
      </c>
      <c r="X182" s="30" t="inlineStr">
        <is>
          <t>Growing Industry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No</t>
        </is>
      </c>
      <c r="AC182" s="30">
        <f>IF(AB182="No",5,0)</f>
        <v/>
      </c>
      <c r="AD182" s="30" t="inlineStr">
        <is>
          <t>Tailwind</t>
        </is>
      </c>
      <c r="AE182" s="30">
        <f>IF(AD182="Tailwind",10,0)</f>
        <v/>
      </c>
      <c r="AF182" s="30" t="inlineStr">
        <is>
          <t>Structural (10 Years Consistency)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Yes</t>
        </is>
      </c>
      <c r="AQ182" s="30">
        <f>IF(AP182="Yes",10,0)</f>
        <v/>
      </c>
      <c r="AR182" s="30" t="inlineStr">
        <is>
          <t>Higher One Time, Lower Annuity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0 to 20</t>
        </is>
      </c>
      <c r="AY182" s="30">
        <f>IF(AX182="Above 40",20,IF(AX182="20 to 40",10,IF(AX182="0 to 20",-5,0)))</f>
        <v/>
      </c>
      <c r="AZ182" s="30" t="inlineStr">
        <is>
          <t>Between 50 to 75</t>
        </is>
      </c>
      <c r="BA182" s="30">
        <f>IF(AZ182="Between 50 to 75",10,IF(AZ182="Above 75",0,0))</f>
        <v/>
      </c>
      <c r="BB182" s="30" t="inlineStr">
        <is>
          <t>Stage 2</t>
        </is>
      </c>
      <c r="BC182" s="30">
        <f>IF(BB182="Stage 2",20,IF(BB182="Stage 1",0,IF(BB182="Stage 3",5,IF(BB182="Stage 4",-5,0))))</f>
        <v/>
      </c>
      <c r="BD182" s="30" t="inlineStr">
        <is>
          <t>Positive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Blue sky scenario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More than 20%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No</t>
        </is>
      </c>
      <c r="BS182" s="30">
        <f>IF(BR182="NO",5,0)</f>
        <v/>
      </c>
      <c r="BT182" s="30" t="inlineStr">
        <is>
          <t>Above 2</t>
        </is>
      </c>
      <c r="BU182" s="30">
        <f>IF(BT182="Above 2",0,IF(BT182="Between 1.5 to 2",5,IF(BT182="Less than 1.5",10,0)))</f>
        <v/>
      </c>
      <c r="BV182" s="30" t="inlineStr">
        <is>
          <t>Between 50% to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Between 0.7 to 1.2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IF(B183=0,"",RANK(B183,$B$2:$B$306,0))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2" t="inlineStr">
        <is>
          <t>HONAUT</t>
        </is>
      </c>
      <c r="D183" s="32" t="inlineStr">
        <is>
          <t>Honeywell Automation India Limited</t>
        </is>
      </c>
      <c r="E183" s="30" t="inlineStr">
        <is>
          <t>consumer discretionary</t>
        </is>
      </c>
      <c r="F183" s="30" t="inlineStr">
        <is>
          <t>electronics - components</t>
        </is>
      </c>
      <c r="G183" s="30" t="inlineStr">
        <is>
          <t>largecap</t>
        </is>
      </c>
      <c r="H183" s="31" t="n">
        <v>30489.99</v>
      </c>
      <c r="I183" s="31" t="n">
        <v>34700</v>
      </c>
      <c r="J183" s="31" t="n">
        <v>0.62</v>
      </c>
      <c r="K183" s="31" t="n">
        <v>4364</v>
      </c>
      <c r="L183" s="30" t="n">
        <v>4</v>
      </c>
      <c r="M183" s="30" t="inlineStr">
        <is>
          <t>Underperforming</t>
        </is>
      </c>
      <c r="N183" s="31">
        <f>IF(M183="Underperforming",-5,IF(L183&gt;=95,15,IF(L183&gt;=90,10,IF(L183&gt;=80,5,0))))</f>
        <v/>
      </c>
      <c r="O183" s="31" t="n">
        <v>56.83</v>
      </c>
      <c r="P183" s="31" t="n">
        <v>24.61</v>
      </c>
      <c r="Q183" s="31" t="n">
        <v>28410.53</v>
      </c>
      <c r="R183" s="30" t="inlineStr">
        <is>
          <t>Earnings / Momentum Support</t>
        </is>
      </c>
      <c r="S183" s="30" t="inlineStr">
        <is>
          <t>Nifty 500</t>
        </is>
      </c>
      <c r="T183" s="31" t="n">
        <v>-3.02</v>
      </c>
      <c r="U183" s="31" t="n">
        <v>-10.94</v>
      </c>
      <c r="V183" s="31" t="n">
        <v>-8.17</v>
      </c>
      <c r="W183" s="31" t="n">
        <v>1.38</v>
      </c>
      <c r="X183" s="30" t="inlineStr">
        <is>
          <t>Growing Industry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No</t>
        </is>
      </c>
      <c r="AC183" s="30">
        <f>IF(AB183="No",5,0)</f>
        <v/>
      </c>
      <c r="AD183" s="30" t="inlineStr">
        <is>
          <t>Tailwind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No</t>
        </is>
      </c>
      <c r="AQ183" s="30">
        <f>IF(AP183="Yes",10,0)</f>
        <v/>
      </c>
      <c r="AR183" s="30" t="inlineStr">
        <is>
          <t>Higher One Time, Lower Annuity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20 to 40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2</t>
        </is>
      </c>
      <c r="BC183" s="30">
        <f>IF(BB183="Stage 2",20,IF(BB183="Stage 1",0,IF(BB183="Stage 3",5,IF(BB183="Stage 4",-5,0))))</f>
        <v/>
      </c>
      <c r="BD183" s="30" t="inlineStr">
        <is>
          <t>Positive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Close to 52 week high or retracement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Between 12 to 20%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Yes</t>
        </is>
      </c>
      <c r="BS183" s="30">
        <f>IF(BR183="NO",5,0)</f>
        <v/>
      </c>
      <c r="BT183" s="30" t="inlineStr">
        <is>
          <t>Above 2</t>
        </is>
      </c>
      <c r="BU183" s="30">
        <f>IF(BT183="Above 2",0,IF(BT183="Between 1.5 to 2",5,IF(BT183="Less than 1.5",10,0)))</f>
        <v/>
      </c>
      <c r="BV183" s="30" t="inlineStr">
        <is>
          <t>Above 70%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Less than 0.7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IF(B184=0,"",RANK(B184,$B$2:$B$306,0))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0" t="inlineStr">
        <is>
          <t>NAHARSPING</t>
        </is>
      </c>
      <c r="D184" s="30" t="inlineStr">
        <is>
          <t>Nahar Spinning Mills Limited</t>
        </is>
      </c>
      <c r="E184" s="30" t="inlineStr">
        <is>
          <t>textiles</t>
        </is>
      </c>
      <c r="F184" s="30" t="inlineStr">
        <is>
          <t>textiles - cotton/blended</t>
        </is>
      </c>
      <c r="G184" s="30" t="inlineStr">
        <is>
          <t>smallcap</t>
        </is>
      </c>
      <c r="H184" s="31" t="n">
        <v>1006.22</v>
      </c>
      <c r="I184" s="31" t="n">
        <v>280.05</v>
      </c>
      <c r="J184" s="31" t="n">
        <v>0.38</v>
      </c>
      <c r="K184" s="31" t="n">
        <v>16759</v>
      </c>
      <c r="L184" s="30" t="n">
        <v>39</v>
      </c>
      <c r="M184" s="30" t="inlineStr">
        <is>
          <t>Outperforming</t>
        </is>
      </c>
      <c r="N184" s="31">
        <f>IF(M184="Underperforming",-5,IF(L184&gt;=95,15,IF(L184&gt;=90,10,IF(L184&gt;=80,5,0))))</f>
        <v/>
      </c>
      <c r="O184" s="31" t="n">
        <v>66.58</v>
      </c>
      <c r="P184" s="31" t="n">
        <v>19.68</v>
      </c>
      <c r="Q184" s="31" t="n">
        <v>214.54</v>
      </c>
      <c r="R184" s="30" t="inlineStr">
        <is>
          <t>Near 52W High Breakout</t>
        </is>
      </c>
      <c r="S184" s="30" t="inlineStr">
        <is>
          <t>Nifty 50</t>
        </is>
      </c>
      <c r="T184" s="31" t="n">
        <v>-6.54</v>
      </c>
      <c r="U184" s="31" t="n">
        <v>-0.27</v>
      </c>
      <c r="V184" s="31" t="n">
        <v>6.71</v>
      </c>
      <c r="W184" s="31" t="n">
        <v>10.46</v>
      </c>
      <c r="X184" s="30" t="inlineStr">
        <is>
          <t>Growing Industry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Tailwind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Yes</t>
        </is>
      </c>
      <c r="AQ184" s="30">
        <f>IF(AP184="Yes",10,0)</f>
        <v/>
      </c>
      <c r="AR184" s="30" t="inlineStr">
        <is>
          <t>Higher One Time, Lower Annuity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0 to 20</t>
        </is>
      </c>
      <c r="AY184" s="30">
        <f>IF(AX184="Above 40",20,IF(AX184="20 to 40",10,IF(AX184="0 to 20",-5,0)))</f>
        <v/>
      </c>
      <c r="AZ184" s="30" t="inlineStr">
        <is>
          <t>Between 50 to 75</t>
        </is>
      </c>
      <c r="BA184" s="30">
        <f>IF(AZ184="Between 50 to 75",10,IF(AZ184="Above 75",0,0))</f>
        <v/>
      </c>
      <c r="BB184" s="30" t="inlineStr">
        <is>
          <t>Stage 2</t>
        </is>
      </c>
      <c r="BC184" s="30">
        <f>IF(BB184="Stage 2",20,IF(BB184="Stage 1",0,IF(BB184="Stage 3",5,IF(BB184="Stage 4",-5,0))))</f>
        <v/>
      </c>
      <c r="BD184" s="30" t="inlineStr">
        <is>
          <t>Positive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Close to 52 week high or retracement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Between 12 to 20%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Yes</t>
        </is>
      </c>
      <c r="BS184" s="30">
        <f>IF(BR184="NO",5,0)</f>
        <v/>
      </c>
      <c r="BT184" s="30" t="inlineStr">
        <is>
          <t>Above 2</t>
        </is>
      </c>
      <c r="BU184" s="30">
        <f>IF(BT184="Above 2",0,IF(BT184="Between 1.5 to 2",5,IF(BT184="Less than 1.5",10,0)))</f>
        <v/>
      </c>
      <c r="BV184" s="30" t="inlineStr">
        <is>
          <t>Above 70%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IF(B185=0,"",RANK(B185,$B$2:$B$306,0))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PIDILITIND</t>
        </is>
      </c>
      <c r="D185" s="30" t="inlineStr">
        <is>
          <t>Pidilite Industries Limited</t>
        </is>
      </c>
      <c r="E185" s="30" t="inlineStr">
        <is>
          <t>chemicals</t>
        </is>
      </c>
      <c r="F185" s="30" t="inlineStr">
        <is>
          <t>chemicals</t>
        </is>
      </c>
      <c r="G185" s="30" t="inlineStr">
        <is>
          <t>largecap</t>
        </is>
      </c>
      <c r="H185" s="31" t="n">
        <v>149723.6</v>
      </c>
      <c r="I185" s="31" t="n">
        <v>1476.6</v>
      </c>
      <c r="J185" s="31" t="n">
        <v>0.37</v>
      </c>
      <c r="K185" s="31" t="n">
        <v>489330</v>
      </c>
      <c r="L185" s="30" t="n">
        <v>2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55.48</v>
      </c>
      <c r="P185" s="31" t="n">
        <v>19.82</v>
      </c>
      <c r="Q185" s="31" t="n">
        <v>1276.9</v>
      </c>
      <c r="R185" s="30" t="inlineStr">
        <is>
          <t>Near 52W High Breakout</t>
        </is>
      </c>
      <c r="S185" s="30" t="inlineStr">
        <is>
          <t>Nifty 500</t>
        </is>
      </c>
      <c r="T185" s="31" t="n">
        <v>-3.02</v>
      </c>
      <c r="U185" s="31" t="n">
        <v>-2.5</v>
      </c>
      <c r="V185" s="31" t="n">
        <v>0.53</v>
      </c>
      <c r="W185" s="31" t="n">
        <v>0.13</v>
      </c>
      <c r="X185" s="30" t="inlineStr">
        <is>
          <t>Growing Industry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Headwind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Yes</t>
        </is>
      </c>
      <c r="AQ185" s="30">
        <f>IF(AP185="Yes",10,0)</f>
        <v/>
      </c>
      <c r="AR185" s="30" t="inlineStr">
        <is>
          <t>Higher One Time, Lower Annuity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0 to 20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2</t>
        </is>
      </c>
      <c r="BC185" s="30">
        <f>IF(BB185="Stage 2",20,IF(BB185="Stage 1",0,IF(BB185="Stage 3",5,IF(BB185="Stage 4",-5,0))))</f>
        <v/>
      </c>
      <c r="BD185" s="30" t="inlineStr">
        <is>
          <t>Positive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Close to 52 week high or retracement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More than 20%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Yes</t>
        </is>
      </c>
      <c r="BS185" s="30">
        <f>IF(BR185="NO",5,0)</f>
        <v/>
      </c>
      <c r="BT185" s="30" t="inlineStr">
        <is>
          <t>Between 1.5 to 2</t>
        </is>
      </c>
      <c r="BU185" s="30">
        <f>IF(BT185="Above 2",0,IF(BT185="Between 1.5 to 2",5,IF(BT185="Less than 1.5",10,0)))</f>
        <v/>
      </c>
      <c r="BV185" s="30" t="inlineStr">
        <is>
          <t>Above 70%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Less than 0.7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IF(B186=0,"",RANK(B186,$B$2:$B$306,0))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0" t="inlineStr">
        <is>
          <t>MARINE</t>
        </is>
      </c>
      <c r="D186" s="30" t="inlineStr">
        <is>
          <t>Marine Electricals (India) Ltd</t>
        </is>
      </c>
      <c r="E186" s="30" t="inlineStr">
        <is>
          <t>industrials</t>
        </is>
      </c>
      <c r="F186" s="30" t="inlineStr">
        <is>
          <t>electric equipment</t>
        </is>
      </c>
      <c r="G186" s="30" t="inlineStr">
        <is>
          <t>smallcap</t>
        </is>
      </c>
      <c r="H186" s="31" t="n">
        <v>613.6900000000001</v>
      </c>
      <c r="I186" s="31" t="n">
        <v>248.85</v>
      </c>
      <c r="J186" s="31" t="n">
        <v>-0.52</v>
      </c>
      <c r="K186" s="31" t="n">
        <v>560240</v>
      </c>
      <c r="L186" s="30" t="n">
        <v>34</v>
      </c>
      <c r="M186" s="30" t="inlineStr">
        <is>
          <t>Outperforming</t>
        </is>
      </c>
      <c r="N186" s="31">
        <f>IF(M186="Underperforming",-5,IF(L186&gt;=95,15,IF(L186&gt;=90,10,IF(L186&gt;=80,5,0))))</f>
        <v/>
      </c>
      <c r="O186" s="31" t="n">
        <v>59.9</v>
      </c>
      <c r="P186" s="31" t="n">
        <v>24.31</v>
      </c>
      <c r="Q186" s="31" t="n">
        <v>191.62</v>
      </c>
      <c r="R186" s="30" t="inlineStr">
        <is>
          <t>Volume Spike / Accumulation</t>
        </is>
      </c>
      <c r="S186" s="30" t="inlineStr">
        <is>
          <t>Nifty 50</t>
        </is>
      </c>
      <c r="T186" s="31" t="n">
        <v>-6.54</v>
      </c>
      <c r="U186" s="31" t="n">
        <v>5.53</v>
      </c>
      <c r="V186" s="31" t="n">
        <v>12.92</v>
      </c>
      <c r="W186" s="31" t="n">
        <v>8.970000000000001</v>
      </c>
      <c r="X186" s="30" t="inlineStr">
        <is>
          <t>Cyclical in an Upturn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No</t>
        </is>
      </c>
      <c r="AC186" s="30">
        <f>IF(AB186="No",5,0)</f>
        <v/>
      </c>
      <c r="AD186" s="30" t="inlineStr">
        <is>
          <t>Tailwind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Yes</t>
        </is>
      </c>
      <c r="AQ186" s="30">
        <f>IF(AP186="Yes",10,0)</f>
        <v/>
      </c>
      <c r="AR186" s="30" t="inlineStr">
        <is>
          <t>Higher One Time, Lower Annuity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20 to 40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2</t>
        </is>
      </c>
      <c r="BC186" s="30">
        <f>IF(BB186="Stage 2",20,IF(BB186="Stage 1",0,IF(BB186="Stage 3",5,IF(BB186="Stage 4",-5,0))))</f>
        <v/>
      </c>
      <c r="BD186" s="30" t="inlineStr">
        <is>
          <t>Positive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More than 20%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Yes</t>
        </is>
      </c>
      <c r="BS186" s="30">
        <f>IF(BR186="NO",5,0)</f>
        <v/>
      </c>
      <c r="BT186" s="30" t="inlineStr">
        <is>
          <t>Between 1.5 to 2</t>
        </is>
      </c>
      <c r="BU186" s="30">
        <f>IF(BT186="Above 2",0,IF(BT186="Between 1.5 to 2",5,IF(BT186="Less than 1.5",10,0)))</f>
        <v/>
      </c>
      <c r="BV186" s="30" t="inlineStr">
        <is>
          <t>Negative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Less than 0.7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IF(B187=0,"",RANK(B187,$B$2:$B$306,0))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2" t="inlineStr">
        <is>
          <t>SSWL</t>
        </is>
      </c>
      <c r="D187" s="32" t="inlineStr">
        <is>
          <t>Steel Strips Wheels Limited</t>
        </is>
      </c>
      <c r="E187" s="30" t="inlineStr">
        <is>
          <t>auto</t>
        </is>
      </c>
      <c r="F187" s="30" t="inlineStr">
        <is>
          <t>auto ancillaries</t>
        </is>
      </c>
      <c r="G187" s="30" t="inlineStr">
        <is>
          <t>smallcap</t>
        </is>
      </c>
      <c r="H187" s="31" t="n">
        <v>3584.97</v>
      </c>
      <c r="I187" s="31" t="n">
        <v>226.89</v>
      </c>
      <c r="J187" s="31" t="n">
        <v>-0.52</v>
      </c>
      <c r="K187" s="31" t="n">
        <v>586948</v>
      </c>
      <c r="L187" s="30" t="n">
        <v>6</v>
      </c>
      <c r="M187" s="30" t="inlineStr">
        <is>
          <t>Underperforming</t>
        </is>
      </c>
      <c r="N187" s="31">
        <f>IF(M187="Underperforming",-5,IF(L187&gt;=95,15,IF(L187&gt;=90,10,IF(L187&gt;=80,5,0))))</f>
        <v/>
      </c>
      <c r="O187" s="31" t="n">
        <v>57.87</v>
      </c>
      <c r="P187" s="31" t="n">
        <v>7.91</v>
      </c>
      <c r="Q187" s="31" t="n">
        <v>168.86</v>
      </c>
      <c r="R187" s="30" t="inlineStr">
        <is>
          <t>Volume Spike / Accumulation</t>
        </is>
      </c>
      <c r="S187" s="30" t="inlineStr">
        <is>
          <t>Nifty Auto</t>
        </is>
      </c>
      <c r="T187" s="31" t="n">
        <v>10.59</v>
      </c>
      <c r="U187" s="31" t="n">
        <v>-6.32</v>
      </c>
      <c r="V187" s="31" t="n">
        <v>-15.29</v>
      </c>
      <c r="W187" s="31" t="n">
        <v>2.4</v>
      </c>
      <c r="X187" s="30" t="inlineStr">
        <is>
          <t>Growing Industry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Tailwind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Yes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0 to 20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2</t>
        </is>
      </c>
      <c r="BC187" s="30">
        <f>IF(BB187="Stage 2",20,IF(BB187="Stage 1",0,IF(BB187="Stage 3",5,IF(BB187="Stage 4",-5,0))))</f>
        <v/>
      </c>
      <c r="BD187" s="30" t="inlineStr">
        <is>
          <t>Positive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Close to 52 week high or retracement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Less than 12%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No</t>
        </is>
      </c>
      <c r="BS187" s="30">
        <f>IF(BR187="NO",5,0)</f>
        <v/>
      </c>
      <c r="BT187" s="30" t="inlineStr">
        <is>
          <t>Less than 1.5</t>
        </is>
      </c>
      <c r="BU187" s="30">
        <f>IF(BT187="Above 2",0,IF(BT187="Between 1.5 to 2",5,IF(BT187="Less than 1.5",10,0)))</f>
        <v/>
      </c>
      <c r="BV187" s="30" t="inlineStr">
        <is>
          <t>Between 50% to 70%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Less than 0.7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IF(B188=0,"",RANK(B188,$B$2:$B$306,0))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SOTL</t>
        </is>
      </c>
      <c r="D188" s="30" t="inlineStr">
        <is>
          <t>Savita Oil Technologies Limited</t>
        </is>
      </c>
      <c r="E188" s="30" t="inlineStr">
        <is>
          <t>energy</t>
        </is>
      </c>
      <c r="F188" s="30" t="inlineStr">
        <is>
          <t>petrochemicals</t>
        </is>
      </c>
      <c r="G188" s="30" t="inlineStr">
        <is>
          <t>smallcap</t>
        </is>
      </c>
      <c r="H188" s="31" t="n">
        <v>3868.86</v>
      </c>
      <c r="I188" s="31" t="n">
        <v>560.5</v>
      </c>
      <c r="J188" s="31" t="n">
        <v>-0.67</v>
      </c>
      <c r="K188" s="31" t="n">
        <v>1747443</v>
      </c>
      <c r="L188" s="30" t="n">
        <v>71</v>
      </c>
      <c r="M188" s="30" t="inlineStr">
        <is>
          <t>Outperforming</t>
        </is>
      </c>
      <c r="N188" s="31">
        <f>IF(M188="Underperforming",-5,IF(L188&gt;=95,15,IF(L188&gt;=90,10,IF(L188&gt;=80,5,0))))</f>
        <v/>
      </c>
      <c r="O188" s="31" t="n">
        <v>74.61</v>
      </c>
      <c r="P188" s="31" t="n">
        <v>23.58</v>
      </c>
      <c r="Q188" s="31" t="n">
        <v>422.23</v>
      </c>
      <c r="R188" s="30" t="inlineStr">
        <is>
          <t>Volume Spike &amp; Near 52W High Breakout</t>
        </is>
      </c>
      <c r="S188" s="30" t="inlineStr">
        <is>
          <t>Nifty Energy</t>
        </is>
      </c>
      <c r="T188" s="31" t="n">
        <v>12.31</v>
      </c>
      <c r="U188" s="31" t="n">
        <v>33.41</v>
      </c>
      <c r="V188" s="31" t="n">
        <v>18.79</v>
      </c>
      <c r="W188" s="31" t="n">
        <v>19.99</v>
      </c>
      <c r="X188" s="30" t="inlineStr">
        <is>
          <t>Cyclical in an Upturn</t>
        </is>
      </c>
      <c r="Y188" s="30">
        <f>IF(X188="Growing Industry",10,IF(X188="Cyclical in an Upturn",5,0))</f>
        <v/>
      </c>
      <c r="Z188" s="30" t="inlineStr">
        <is>
          <t>Oligopoly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Yes</t>
        </is>
      </c>
      <c r="AC188" s="30">
        <f>IF(AB188="No",5,0)</f>
        <v/>
      </c>
      <c r="AD188" s="30" t="inlineStr">
        <is>
          <t>Tailwind</t>
        </is>
      </c>
      <c r="AE188" s="30">
        <f>IF(AD188="Tailwind",10,0)</f>
        <v/>
      </c>
      <c r="AF188" s="30" t="inlineStr">
        <is>
          <t>Cyclical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Volatile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Yes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20 to 40</t>
        </is>
      </c>
      <c r="AY188" s="30">
        <f>IF(AX188="Above 40",20,IF(AX188="20 to 40",10,IF(AX188="0 to 20",-5,0)))</f>
        <v/>
      </c>
      <c r="AZ188" s="30" t="inlineStr">
        <is>
          <t>Between 50 to 75</t>
        </is>
      </c>
      <c r="BA188" s="30">
        <f>IF(AZ188="Between 50 to 75",10,IF(AZ188="Above 75",0,0))</f>
        <v/>
      </c>
      <c r="BB188" s="30" t="inlineStr">
        <is>
          <t>Stage 2</t>
        </is>
      </c>
      <c r="BC188" s="30">
        <f>IF(BB188="Stage 2",20,IF(BB188="Stage 1",0,IF(BB188="Stage 3",5,IF(BB188="Stage 4",-5,0))))</f>
        <v/>
      </c>
      <c r="BD188" s="30" t="inlineStr">
        <is>
          <t>Positive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Close to 52 week high or retracement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More than 20%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No</t>
        </is>
      </c>
      <c r="BS188" s="30">
        <f>IF(BR188="NO",5,0)</f>
        <v/>
      </c>
      <c r="BT188" s="30" t="inlineStr">
        <is>
          <t>Less than 1.5</t>
        </is>
      </c>
      <c r="BU188" s="30">
        <f>IF(BT188="Above 2",0,IF(BT188="Between 1.5 to 2",5,IF(BT188="Less than 1.5",10,0)))</f>
        <v/>
      </c>
      <c r="BV188" s="30" t="inlineStr">
        <is>
          <t>Between 50% to 70%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Less than 0.7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IF(B189=0,"",RANK(B189,$B$2:$B$306,0))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0" t="inlineStr">
        <is>
          <t>HIRECT</t>
        </is>
      </c>
      <c r="D189" s="30" t="inlineStr">
        <is>
          <t>Hind Rectifiers Limited</t>
        </is>
      </c>
      <c r="E189" s="30" t="inlineStr">
        <is>
          <t>consumer discretionary</t>
        </is>
      </c>
      <c r="F189" s="30" t="inlineStr">
        <is>
          <t>electronics - components</t>
        </is>
      </c>
      <c r="G189" s="30" t="inlineStr">
        <is>
          <t>smallcap</t>
        </is>
      </c>
      <c r="H189" s="31" t="n">
        <v>3910.35</v>
      </c>
      <c r="I189" s="31" t="n">
        <v>1128.4</v>
      </c>
      <c r="J189" s="31" t="n">
        <v>-0.83</v>
      </c>
      <c r="K189" s="31" t="n">
        <v>137804</v>
      </c>
      <c r="L189" s="30" t="n">
        <v>80</v>
      </c>
      <c r="M189" s="30" t="inlineStr">
        <is>
          <t>Outperforming</t>
        </is>
      </c>
      <c r="N189" s="31">
        <f>IF(M189="Underperforming",-5,IF(L189&gt;=95,15,IF(L189&gt;=90,10,IF(L189&gt;=80,5,0))))</f>
        <v/>
      </c>
      <c r="O189" s="31" t="n">
        <v>76.65000000000001</v>
      </c>
      <c r="P189" s="31" t="n">
        <v>23.28</v>
      </c>
      <c r="Q189" s="31" t="n">
        <v>790.77</v>
      </c>
      <c r="R189" s="30" t="inlineStr">
        <is>
          <t>Near 52W High Breakout</t>
        </is>
      </c>
      <c r="S189" s="30" t="inlineStr">
        <is>
          <t>Nifty Infra</t>
        </is>
      </c>
      <c r="T189" s="31" t="n">
        <v>1.11</v>
      </c>
      <c r="U189" s="31" t="n">
        <v>73.17</v>
      </c>
      <c r="V189" s="31" t="n">
        <v>71.26000000000001</v>
      </c>
      <c r="W189" s="31" t="n">
        <v>25.01</v>
      </c>
      <c r="X189" s="30" t="inlineStr">
        <is>
          <t>Growing Industry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Tailwind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Yes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20 to 40</t>
        </is>
      </c>
      <c r="AY189" s="30">
        <f>IF(AX189="Above 40",20,IF(AX189="20 to 40",10,IF(AX189="0 to 20",-5,0)))</f>
        <v/>
      </c>
      <c r="AZ189" s="30" t="inlineStr">
        <is>
          <t>Above 75</t>
        </is>
      </c>
      <c r="BA189" s="30">
        <f>IF(AZ189="Between 50 to 75",10,IF(AZ189="Above 75",0,0))</f>
        <v/>
      </c>
      <c r="BB189" s="30" t="inlineStr">
        <is>
          <t>Stage 2</t>
        </is>
      </c>
      <c r="BC189" s="30">
        <f>IF(BB189="Stage 2",20,IF(BB189="Stage 1",0,IF(BB189="Stage 3",5,IF(BB189="Stage 4",-5,0))))</f>
        <v/>
      </c>
      <c r="BD189" s="30" t="inlineStr">
        <is>
          <t>Positive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Blue sky scenario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Less than 12%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Yes</t>
        </is>
      </c>
      <c r="BS189" s="30">
        <f>IF(BR189="NO",5,0)</f>
        <v/>
      </c>
      <c r="BT189" s="30" t="inlineStr">
        <is>
          <t>Above 2</t>
        </is>
      </c>
      <c r="BU189" s="30">
        <f>IF(BT189="Above 2",0,IF(BT189="Between 1.5 to 2",5,IF(BT189="Less than 1.5",10,0)))</f>
        <v/>
      </c>
      <c r="BV189" s="30" t="inlineStr">
        <is>
          <t>Above 70%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Between 0.7 to 1.2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IF(B190=0,"",RANK(B190,$B$2:$B$306,0))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0" t="inlineStr">
        <is>
          <t>INDNIPPON</t>
        </is>
      </c>
      <c r="D190" s="30" t="inlineStr">
        <is>
          <t>India Nippon Electricals Limited</t>
        </is>
      </c>
      <c r="E190" s="30" t="inlineStr">
        <is>
          <t>auto</t>
        </is>
      </c>
      <c r="F190" s="30" t="inlineStr">
        <is>
          <t>auto ancillaries</t>
        </is>
      </c>
      <c r="G190" s="30" t="inlineStr">
        <is>
          <t>smallcap</t>
        </is>
      </c>
      <c r="H190" s="31" t="n">
        <v>2072.01</v>
      </c>
      <c r="I190" s="31" t="n">
        <v>905.9</v>
      </c>
      <c r="J190" s="31" t="n">
        <v>-1.1</v>
      </c>
      <c r="K190" s="31" t="n">
        <v>34230</v>
      </c>
      <c r="L190" s="30" t="n">
        <v>37</v>
      </c>
      <c r="M190" s="30" t="inlineStr">
        <is>
          <t>Outperforming</t>
        </is>
      </c>
      <c r="N190" s="31">
        <f>IF(M190="Underperforming",-5,IF(L190&gt;=95,15,IF(L190&gt;=90,10,IF(L190&gt;=80,5,0))))</f>
        <v/>
      </c>
      <c r="O190" s="31" t="n">
        <v>61.07</v>
      </c>
      <c r="P190" s="31" t="n">
        <v>10.62</v>
      </c>
      <c r="Q190" s="31" t="n">
        <v>713.83</v>
      </c>
      <c r="R190" s="30" t="inlineStr">
        <is>
          <t>Earnings / Momentum Support</t>
        </is>
      </c>
      <c r="S190" s="30" t="inlineStr">
        <is>
          <t>Nifty Auto</t>
        </is>
      </c>
      <c r="T190" s="31" t="n">
        <v>10.59</v>
      </c>
      <c r="U190" s="31" t="n">
        <v>33.91</v>
      </c>
      <c r="V190" s="31" t="n">
        <v>21.1</v>
      </c>
      <c r="W190" s="31" t="n">
        <v>9.66</v>
      </c>
      <c r="X190" s="30" t="inlineStr">
        <is>
          <t>Growing Industry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Tailwind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No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0 to 20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2</t>
        </is>
      </c>
      <c r="BC190" s="30">
        <f>IF(BB190="Stage 2",20,IF(BB190="Stage 1",0,IF(BB190="Stage 3",5,IF(BB190="Stage 4",-5,0))))</f>
        <v/>
      </c>
      <c r="BD190" s="30" t="inlineStr">
        <is>
          <t>Positive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Close to 52 week high or retracement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More than 20%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No</t>
        </is>
      </c>
      <c r="BS190" s="30">
        <f>IF(BR190="NO",5,0)</f>
        <v/>
      </c>
      <c r="BT190" s="30" t="inlineStr">
        <is>
          <t>Less than 1.5</t>
        </is>
      </c>
      <c r="BU190" s="30">
        <f>IF(BT190="Above 2",0,IF(BT190="Between 1.5 to 2",5,IF(BT190="Less than 1.5",10,0)))</f>
        <v/>
      </c>
      <c r="BV190" s="30" t="inlineStr">
        <is>
          <t>Less than 50%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Less than 0.7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IF(B191=0,"",RANK(B191,$B$2:$B$306,0))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KDDL</t>
        </is>
      </c>
      <c r="D191" s="30" t="inlineStr">
        <is>
          <t>Kddl Limited</t>
        </is>
      </c>
      <c r="E191" s="30" t="inlineStr">
        <is>
          <t>consumer discretionary</t>
        </is>
      </c>
      <c r="F191" s="30" t="inlineStr">
        <is>
          <t>miscellaneous</t>
        </is>
      </c>
      <c r="G191" s="30" t="inlineStr">
        <is>
          <t>smallcap</t>
        </is>
      </c>
      <c r="H191" s="31" t="n">
        <v>3623.49</v>
      </c>
      <c r="I191" s="31" t="n">
        <v>2904.7</v>
      </c>
      <c r="J191" s="31" t="n">
        <v>-1.41</v>
      </c>
      <c r="K191" s="31" t="n">
        <v>29820</v>
      </c>
      <c r="L191" s="30" t="n">
        <v>24</v>
      </c>
      <c r="M191" s="30" t="inlineStr">
        <is>
          <t>Outperforming</t>
        </is>
      </c>
      <c r="N191" s="31">
        <f>IF(M191="Underperforming",-5,IF(L191&gt;=95,15,IF(L191&gt;=90,10,IF(L191&gt;=80,5,0))))</f>
        <v/>
      </c>
      <c r="O191" s="31" t="n">
        <v>62.56</v>
      </c>
      <c r="P191" s="31" t="n">
        <v>13.15</v>
      </c>
      <c r="Q191" s="31" t="n">
        <v>2092.5</v>
      </c>
      <c r="R191" s="30" t="inlineStr">
        <is>
          <t>Near 52W High Breakout</t>
        </is>
      </c>
      <c r="S191" s="30" t="inlineStr">
        <is>
          <t>Nifty 50</t>
        </is>
      </c>
      <c r="T191" s="31" t="n">
        <v>-6.54</v>
      </c>
      <c r="U191" s="31" t="n">
        <v>10.64</v>
      </c>
      <c r="V191" s="31" t="n">
        <v>18.39</v>
      </c>
      <c r="W191" s="31" t="n">
        <v>6.49</v>
      </c>
      <c r="X191" s="30" t="inlineStr">
        <is>
          <t>Growing Industry</t>
        </is>
      </c>
      <c r="Y191" s="30">
        <f>IF(X191="Growing Industry",10,IF(X191="Cyclical in an Upturn",5,0))</f>
        <v/>
      </c>
      <c r="Z191" s="30" t="inlineStr">
        <is>
          <t>Too Many Players with High ROCE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No</t>
        </is>
      </c>
      <c r="AC191" s="30">
        <f>IF(AB191="No",5,0)</f>
        <v/>
      </c>
      <c r="AD191" s="30" t="inlineStr">
        <is>
          <t>Tailwind</t>
        </is>
      </c>
      <c r="AE191" s="30">
        <f>IF(AD191="Tailwind",10,0)</f>
        <v/>
      </c>
      <c r="AF191" s="30" t="inlineStr">
        <is>
          <t>Structural (10 Years Consistency)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Stable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Yes</t>
        </is>
      </c>
      <c r="AQ191" s="30">
        <f>IF(AP191="Yes",10,0)</f>
        <v/>
      </c>
      <c r="AR191" s="30" t="inlineStr">
        <is>
          <t>Higher One Time, Lower Annuity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0 to 20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2</t>
        </is>
      </c>
      <c r="BC191" s="30">
        <f>IF(BB191="Stage 2",20,IF(BB191="Stage 1",0,IF(BB191="Stage 3",5,IF(BB191="Stage 4",-5,0))))</f>
        <v/>
      </c>
      <c r="BD191" s="30" t="inlineStr">
        <is>
          <t>Positive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Close to 52 week high or retracement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More than 20%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Yes</t>
        </is>
      </c>
      <c r="BS191" s="30">
        <f>IF(BR191="NO",5,0)</f>
        <v/>
      </c>
      <c r="BT191" s="30" t="inlineStr">
        <is>
          <t>Between 1.5 to 2</t>
        </is>
      </c>
      <c r="BU191" s="30">
        <f>IF(BT191="Above 2",0,IF(BT191="Between 1.5 to 2",5,IF(BT191="Less than 1.5",10,0)))</f>
        <v/>
      </c>
      <c r="BV191" s="30" t="inlineStr">
        <is>
          <t>Less than 50%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IF(B192=0,"",RANK(B192,$B$2:$B$306,0))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MAHASTEEL</t>
        </is>
      </c>
      <c r="D192" s="30" t="inlineStr">
        <is>
          <t>Mahamaya Steel Industries Limited</t>
        </is>
      </c>
      <c r="E192" s="30" t="inlineStr">
        <is>
          <t>metals &amp; mining</t>
        </is>
      </c>
      <c r="F192" s="30" t="inlineStr">
        <is>
          <t>steel - medium / small</t>
        </is>
      </c>
      <c r="G192" s="30" t="inlineStr">
        <is>
          <t>smallcap</t>
        </is>
      </c>
      <c r="H192" s="31" t="n">
        <v>1546.56</v>
      </c>
      <c r="I192" s="31" t="n">
        <v>911.95</v>
      </c>
      <c r="J192" s="31" t="n">
        <v>-3.09</v>
      </c>
      <c r="K192" s="31" t="n">
        <v>2299</v>
      </c>
      <c r="L192" s="30" t="n">
        <v>86</v>
      </c>
      <c r="M192" s="30" t="inlineStr">
        <is>
          <t>Outperforming</t>
        </is>
      </c>
      <c r="N192" s="31">
        <f>IF(M192="Underperforming",-5,IF(L192&gt;=95,15,IF(L192&gt;=90,10,IF(L192&gt;=80,5,0))))</f>
        <v/>
      </c>
      <c r="O192" s="31" t="n">
        <v>58.66</v>
      </c>
      <c r="P192" s="31" t="n">
        <v>40.56</v>
      </c>
      <c r="Q192" s="31" t="n">
        <v>734.99</v>
      </c>
      <c r="R192" s="30" t="inlineStr">
        <is>
          <t>Earnings / Momentum Support</t>
        </is>
      </c>
      <c r="S192" s="30" t="inlineStr">
        <is>
          <t>Nifty Metal</t>
        </is>
      </c>
      <c r="T192" s="31" t="n">
        <v>40.56</v>
      </c>
      <c r="U192" s="31" t="n">
        <v>201.97</v>
      </c>
      <c r="V192" s="31" t="n">
        <v>114.83</v>
      </c>
      <c r="W192" s="31" t="n">
        <v>30.77</v>
      </c>
      <c r="X192" s="30" t="inlineStr">
        <is>
          <t>Cyclical in an Upturn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Tailwind</t>
        </is>
      </c>
      <c r="AE192" s="30">
        <f>IF(AD192="Tailwind",10,0)</f>
        <v/>
      </c>
      <c r="AF192" s="30" t="inlineStr">
        <is>
          <t>Cyclical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Volatile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No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Above 40</t>
        </is>
      </c>
      <c r="AY192" s="30">
        <f>IF(AX192="Above 40",20,IF(AX192="20 to 40",10,IF(AX192="0 to 20",-5,0)))</f>
        <v/>
      </c>
      <c r="AZ192" s="30" t="inlineStr">
        <is>
          <t>Between 50 to 75</t>
        </is>
      </c>
      <c r="BA192" s="30">
        <f>IF(AZ192="Between 50 to 75",10,IF(AZ192="Above 75",0,0))</f>
        <v/>
      </c>
      <c r="BB192" s="30" t="inlineStr">
        <is>
          <t>Stage 2</t>
        </is>
      </c>
      <c r="BC192" s="30">
        <f>IF(BB192="Stage 2",20,IF(BB192="Stage 1",0,IF(BB192="Stage 3",5,IF(BB192="Stage 4",-5,0))))</f>
        <v/>
      </c>
      <c r="BD192" s="30" t="inlineStr">
        <is>
          <t>Positive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Close to 52 week high or retracement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More than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Yes</t>
        </is>
      </c>
      <c r="BS192" s="30">
        <f>IF(BR192="NO",5,0)</f>
        <v/>
      </c>
      <c r="BT192" s="30" t="inlineStr">
        <is>
          <t>Above 2</t>
        </is>
      </c>
      <c r="BU192" s="30">
        <f>IF(BT192="Above 2",0,IF(BT192="Between 1.5 to 2",5,IF(BT192="Less than 1.5",10,0)))</f>
        <v/>
      </c>
      <c r="BV192" s="30" t="inlineStr">
        <is>
          <t>Above 70%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Less than 0.7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IF(B193=0,"",RANK(B193,$B$2:$B$306,0))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BIRLACABLE</t>
        </is>
      </c>
      <c r="D193" s="30" t="inlineStr">
        <is>
          <t>Birla Cable Limited</t>
        </is>
      </c>
      <c r="E193" s="30" t="inlineStr">
        <is>
          <t>industrials</t>
        </is>
      </c>
      <c r="F193" s="30" t="inlineStr">
        <is>
          <t>cables - telephone</t>
        </is>
      </c>
      <c r="G193" s="30" t="inlineStr">
        <is>
          <t>smallcap</t>
        </is>
      </c>
      <c r="H193" s="31" t="n">
        <v>707.04</v>
      </c>
      <c r="I193" s="31" t="n">
        <v>223.9</v>
      </c>
      <c r="J193" s="31" t="n">
        <v>-5</v>
      </c>
      <c r="K193" s="31" t="n">
        <v>318293</v>
      </c>
      <c r="L193" s="30" t="n">
        <v>70</v>
      </c>
      <c r="M193" s="30" t="inlineStr">
        <is>
          <t>Outperforming</t>
        </is>
      </c>
      <c r="N193" s="31">
        <f>IF(M193="Underperforming",-5,IF(L193&gt;=95,15,IF(L193&gt;=90,10,IF(L193&gt;=80,5,0))))</f>
        <v/>
      </c>
      <c r="O193" s="31" t="n">
        <v>73.64</v>
      </c>
      <c r="P193" s="31" t="n">
        <v>27.4</v>
      </c>
      <c r="Q193" s="31" t="n">
        <v>164.75</v>
      </c>
      <c r="R193" s="30" t="inlineStr">
        <is>
          <t>Volume Spike &amp; Near 52W High Breakout</t>
        </is>
      </c>
      <c r="S193" s="30" t="inlineStr">
        <is>
          <t>Nifty Infra</t>
        </is>
      </c>
      <c r="T193" s="31" t="n">
        <v>1.11</v>
      </c>
      <c r="U193" s="31" t="n">
        <v>23.39</v>
      </c>
      <c r="V193" s="31" t="n">
        <v>22.04</v>
      </c>
      <c r="W193" s="31" t="n">
        <v>19.42</v>
      </c>
      <c r="X193" s="30" t="inlineStr">
        <is>
          <t>Cyclical in an Upturn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Tailwind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Yes</t>
        </is>
      </c>
      <c r="AQ193" s="30">
        <f>IF(AP193="Yes",10,0)</f>
        <v/>
      </c>
      <c r="AR193" s="30" t="inlineStr">
        <is>
          <t>Higher One Time, Lower Annuity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20 to 40</t>
        </is>
      </c>
      <c r="AY193" s="30">
        <f>IF(AX193="Above 40",20,IF(AX193="20 to 40",10,IF(AX193="0 to 20",-5,0)))</f>
        <v/>
      </c>
      <c r="AZ193" s="30" t="inlineStr">
        <is>
          <t>Between 50 to 75</t>
        </is>
      </c>
      <c r="BA193" s="30">
        <f>IF(AZ193="Between 50 to 75",10,IF(AZ193="Above 75",0,0))</f>
        <v/>
      </c>
      <c r="BB193" s="30" t="inlineStr">
        <is>
          <t>Stage 2</t>
        </is>
      </c>
      <c r="BC193" s="30">
        <f>IF(BB193="Stage 2",20,IF(BB193="Stage 1",0,IF(BB193="Stage 3",5,IF(BB193="Stage 4",-5,0))))</f>
        <v/>
      </c>
      <c r="BD193" s="30" t="inlineStr">
        <is>
          <t>Positive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Close to 52 week high or retracement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More than 20%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No</t>
        </is>
      </c>
      <c r="BS193" s="30">
        <f>IF(BR193="NO",5,0)</f>
        <v/>
      </c>
      <c r="BT193" s="30" t="inlineStr">
        <is>
          <t>Above 2</t>
        </is>
      </c>
      <c r="BU193" s="30">
        <f>IF(BT193="Above 2",0,IF(BT193="Between 1.5 to 2",5,IF(BT193="Less than 1.5",10,0)))</f>
        <v/>
      </c>
      <c r="BV193" s="30" t="inlineStr">
        <is>
          <t>Negative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Less than 0.7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IF(B194=0,"",RANK(B194,$B$2:$B$306,0))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0" t="inlineStr">
        <is>
          <t>VINDHYATEL</t>
        </is>
      </c>
      <c r="D194" s="30" t="inlineStr">
        <is>
          <t>Vindhya Telelinks Limited</t>
        </is>
      </c>
      <c r="E194" s="30" t="inlineStr">
        <is>
          <t>realty</t>
        </is>
      </c>
      <c r="F194" s="30" t="inlineStr">
        <is>
          <t>construction</t>
        </is>
      </c>
      <c r="G194" s="30" t="inlineStr">
        <is>
          <t>smallcap</t>
        </is>
      </c>
      <c r="H194" s="31" t="n">
        <v>2562.28</v>
      </c>
      <c r="I194" s="31" t="n">
        <v>1993.3</v>
      </c>
      <c r="J194" s="31" t="n">
        <v>-7.81</v>
      </c>
      <c r="K194" s="31" t="n">
        <v>108244</v>
      </c>
      <c r="L194" s="30" t="n">
        <v>86</v>
      </c>
      <c r="M194" s="30" t="inlineStr">
        <is>
          <t>Outperforming</t>
        </is>
      </c>
      <c r="N194" s="31">
        <f>IF(M194="Underperforming",-5,IF(L194&gt;=95,15,IF(L194&gt;=90,10,IF(L194&gt;=80,5,0))))</f>
        <v/>
      </c>
      <c r="O194" s="31" t="n">
        <v>64.73999999999999</v>
      </c>
      <c r="P194" s="31" t="n">
        <v>32.3</v>
      </c>
      <c r="Q194" s="31" t="n">
        <v>1543.43</v>
      </c>
      <c r="R194" s="30" t="inlineStr">
        <is>
          <t>Volume Spike / Accumulation</t>
        </is>
      </c>
      <c r="S194" s="30" t="inlineStr">
        <is>
          <t>Nifty Realty</t>
        </is>
      </c>
      <c r="T194" s="31" t="n">
        <v>-26.04</v>
      </c>
      <c r="U194" s="31" t="n">
        <v>19.62</v>
      </c>
      <c r="V194" s="31" t="n">
        <v>61.73</v>
      </c>
      <c r="W194" s="31" t="n">
        <v>30.71</v>
      </c>
      <c r="X194" s="30" t="inlineStr">
        <is>
          <t>Growing Industry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No</t>
        </is>
      </c>
      <c r="AC194" s="30">
        <f>IF(AB194="No",5,0)</f>
        <v/>
      </c>
      <c r="AD194" s="30" t="inlineStr">
        <is>
          <t>Tailwind</t>
        </is>
      </c>
      <c r="AE194" s="30">
        <f>IF(AD194="Tailwind",10,0)</f>
        <v/>
      </c>
      <c r="AF194" s="30" t="inlineStr">
        <is>
          <t>Structural (10 Years Consistency)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Stable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Yes</t>
        </is>
      </c>
      <c r="AQ194" s="30">
        <f>IF(AP194="Yes",10,0)</f>
        <v/>
      </c>
      <c r="AR194" s="30" t="inlineStr">
        <is>
          <t>Higher One Time, Lower Annuity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20 to 40</t>
        </is>
      </c>
      <c r="AY194" s="30">
        <f>IF(AX194="Above 40",20,IF(AX194="20 to 40",10,IF(AX194="0 to 20",-5,0)))</f>
        <v/>
      </c>
      <c r="AZ194" s="30" t="inlineStr">
        <is>
          <t>Between 50 to 75</t>
        </is>
      </c>
      <c r="BA194" s="30">
        <f>IF(AZ194="Between 50 to 75",10,IF(AZ194="Above 75",0,0))</f>
        <v/>
      </c>
      <c r="BB194" s="30" t="inlineStr">
        <is>
          <t>Stage 2</t>
        </is>
      </c>
      <c r="BC194" s="30">
        <f>IF(BB194="Stage 2",20,IF(BB194="Stage 1",0,IF(BB194="Stage 3",5,IF(BB194="Stage 4",-5,0))))</f>
        <v/>
      </c>
      <c r="BD194" s="30" t="inlineStr">
        <is>
          <t>Positive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Close to 52 week high or retracement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Less than 12%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No</t>
        </is>
      </c>
      <c r="BS194" s="30">
        <f>IF(BR194="NO",5,0)</f>
        <v/>
      </c>
      <c r="BT194" s="30" t="inlineStr">
        <is>
          <t>Above 2</t>
        </is>
      </c>
      <c r="BU194" s="30">
        <f>IF(BT194="Above 2",0,IF(BT194="Between 1.5 to 2",5,IF(BT194="Less than 1.5",10,0)))</f>
        <v/>
      </c>
      <c r="BV194" s="30" t="inlineStr">
        <is>
          <t>Negative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IF(B195=0,"",RANK(B195,$B$2:$B$306,0))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0" t="inlineStr">
        <is>
          <t>RAMCOSYS</t>
        </is>
      </c>
      <c r="D195" s="30" t="inlineStr">
        <is>
          <t>Ramco Systems Limited</t>
        </is>
      </c>
      <c r="E195" s="30" t="inlineStr">
        <is>
          <t>i.t</t>
        </is>
      </c>
      <c r="F195" s="30" t="inlineStr">
        <is>
          <t>computers - software - medium / small</t>
        </is>
      </c>
      <c r="G195" s="30" t="inlineStr">
        <is>
          <t>smallcap</t>
        </is>
      </c>
      <c r="H195" s="31" t="n">
        <v>1783.24</v>
      </c>
      <c r="I195" s="31" t="n">
        <v>562.25</v>
      </c>
      <c r="J195" s="31" t="n">
        <v>17.96</v>
      </c>
      <c r="K195" s="31" t="n">
        <v>10906275</v>
      </c>
      <c r="L195" s="30" t="n">
        <v>59</v>
      </c>
      <c r="M195" s="30" t="inlineStr">
        <is>
          <t>Outperforming</t>
        </is>
      </c>
      <c r="N195" s="31">
        <f>IF(M195="Underperforming",-5,IF(L195&gt;=95,15,IF(L195&gt;=90,10,IF(L195&gt;=80,5,0))))</f>
        <v/>
      </c>
      <c r="O195" s="31" t="n">
        <v>61.24</v>
      </c>
      <c r="P195" s="31" t="n">
        <v>15.77</v>
      </c>
      <c r="Q195" s="31" t="n">
        <v>382.77</v>
      </c>
      <c r="R195" s="30" t="inlineStr">
        <is>
          <t>Volume Spike / Accumulation</t>
        </is>
      </c>
      <c r="S195" s="30" t="inlineStr">
        <is>
          <t>Nifty IT</t>
        </is>
      </c>
      <c r="T195" s="31" t="n">
        <v>-22.21</v>
      </c>
      <c r="U195" s="31" t="n">
        <v>21.92</v>
      </c>
      <c r="V195" s="31" t="n">
        <v>56.74</v>
      </c>
      <c r="W195" s="31" t="n">
        <v>15.59</v>
      </c>
      <c r="X195" s="30" t="inlineStr">
        <is>
          <t>Growing Industry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No</t>
        </is>
      </c>
      <c r="AC195" s="30">
        <f>IF(AB195="No",5,0)</f>
        <v/>
      </c>
      <c r="AD195" s="30" t="inlineStr">
        <is>
          <t>Headwind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Yes</t>
        </is>
      </c>
      <c r="AQ195" s="30">
        <f>IF(AP195="Yes",10,0)</f>
        <v/>
      </c>
      <c r="AR195" s="30" t="inlineStr">
        <is>
          <t>Higher Annuity, Lower One Time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0 to 20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2</t>
        </is>
      </c>
      <c r="BC195" s="30">
        <f>IF(BB195="Stage 2",20,IF(BB195="Stage 1",0,IF(BB195="Stage 3",5,IF(BB195="Stage 4",-5,0))))</f>
        <v/>
      </c>
      <c r="BD195" s="30" t="inlineStr">
        <is>
          <t>Positive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Close to 52 week high or retracement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More than 20%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Yes</t>
        </is>
      </c>
      <c r="BS195" s="30">
        <f>IF(BR195="NO",5,0)</f>
        <v/>
      </c>
      <c r="BT195" s="30" t="inlineStr">
        <is>
          <t>Above 2</t>
        </is>
      </c>
      <c r="BU195" s="30">
        <f>IF(BT195="Above 2",0,IF(BT195="Between 1.5 to 2",5,IF(BT195="Less than 1.5",10,0)))</f>
        <v/>
      </c>
      <c r="BV195" s="30" t="inlineStr">
        <is>
          <t>Above 70%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Less than 0.7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IF(B196=0,"",RANK(B196,$B$2:$B$306,0))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0" t="inlineStr">
        <is>
          <t>FORTIS</t>
        </is>
      </c>
      <c r="D196" s="30" t="inlineStr">
        <is>
          <t>Fortis Healthcare Limited</t>
        </is>
      </c>
      <c r="E196" s="30" t="inlineStr">
        <is>
          <t>healthcare</t>
        </is>
      </c>
      <c r="F196" s="30" t="inlineStr">
        <is>
          <t>healthcare</t>
        </is>
      </c>
      <c r="G196" s="30" t="inlineStr">
        <is>
          <t>largecap</t>
        </is>
      </c>
      <c r="H196" s="31" t="n">
        <v>71015.14</v>
      </c>
      <c r="I196" s="31" t="n">
        <v>968.65</v>
      </c>
      <c r="J196" s="31" t="n">
        <v>2.98</v>
      </c>
      <c r="K196" s="31" t="n">
        <v>1545060</v>
      </c>
      <c r="L196" s="30" t="n">
        <v>28</v>
      </c>
      <c r="M196" s="30" t="inlineStr">
        <is>
          <t>Outperforming</t>
        </is>
      </c>
      <c r="N196" s="31">
        <f>IF(M196="Underperforming",-5,IF(L196&gt;=95,15,IF(L196&gt;=90,10,IF(L196&gt;=80,5,0))))</f>
        <v/>
      </c>
      <c r="O196" s="31" t="n">
        <v>59.17</v>
      </c>
      <c r="P196" s="31" t="n">
        <v>13.61</v>
      </c>
      <c r="Q196" s="31" t="n">
        <v>802.2</v>
      </c>
      <c r="R196" s="30" t="inlineStr">
        <is>
          <t>Earnings / Momentum Support</t>
        </is>
      </c>
      <c r="S196" s="30" t="inlineStr">
        <is>
          <t>Nifty Pharma</t>
        </is>
      </c>
      <c r="T196" s="31" t="n">
        <v>11.82</v>
      </c>
      <c r="U196" s="31" t="n">
        <v>27.05</v>
      </c>
      <c r="V196" s="31" t="n">
        <v>13.62</v>
      </c>
      <c r="W196" s="31" t="n">
        <v>7.11</v>
      </c>
      <c r="X196" s="30" t="inlineStr">
        <is>
          <t>Growing Industry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Yes</t>
        </is>
      </c>
      <c r="AC196" s="30">
        <f>IF(AB196="No",5,0)</f>
        <v/>
      </c>
      <c r="AD196" s="30" t="inlineStr">
        <is>
          <t>Tailwind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No</t>
        </is>
      </c>
      <c r="AQ196" s="30">
        <f>IF(AP196="Yes",10,0)</f>
        <v/>
      </c>
      <c r="AR196" s="30" t="inlineStr">
        <is>
          <t>Higher Annuity, Lower One Time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0 to 20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2</t>
        </is>
      </c>
      <c r="BC196" s="30">
        <f>IF(BB196="Stage 2",20,IF(BB196="Stage 1",0,IF(BB196="Stage 3",5,IF(BB196="Stage 4",-5,0))))</f>
        <v/>
      </c>
      <c r="BD196" s="30" t="inlineStr">
        <is>
          <t>Positive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Close to 52 week high or retracement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More than 20%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Yes</t>
        </is>
      </c>
      <c r="BS196" s="30">
        <f>IF(BR196="NO",5,0)</f>
        <v/>
      </c>
      <c r="BT196" s="30" t="inlineStr">
        <is>
          <t>Between 1.5 to 2</t>
        </is>
      </c>
      <c r="BU196" s="30">
        <f>IF(BT196="Above 2",0,IF(BT196="Between 1.5 to 2",5,IF(BT196="Less than 1.5",10,0)))</f>
        <v/>
      </c>
      <c r="BV196" s="30" t="inlineStr">
        <is>
          <t>Above 70%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Less than 0.7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IF(B197=0,"",RANK(B197,$B$2:$B$306,0))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0" t="inlineStr">
        <is>
          <t>GOKULAGRO</t>
        </is>
      </c>
      <c r="D197" s="30" t="inlineStr">
        <is>
          <t>Gokul Agro Resources Limited</t>
        </is>
      </c>
      <c r="E197" s="30" t="inlineStr">
        <is>
          <t>fmcg</t>
        </is>
      </c>
      <c r="F197" s="30" t="inlineStr">
        <is>
          <t>solvent extraction</t>
        </is>
      </c>
      <c r="G197" s="30" t="inlineStr">
        <is>
          <t>midcap</t>
        </is>
      </c>
      <c r="H197" s="31" t="n">
        <v>6840.11</v>
      </c>
      <c r="I197" s="31" t="n">
        <v>232.85</v>
      </c>
      <c r="J197" s="31" t="n">
        <v>0.45</v>
      </c>
      <c r="K197" s="31" t="n">
        <v>128711</v>
      </c>
      <c r="L197" s="30" t="n">
        <v>71</v>
      </c>
      <c r="M197" s="30" t="inlineStr">
        <is>
          <t>Outperforming</t>
        </is>
      </c>
      <c r="N197" s="31">
        <f>IF(M197="Underperforming",-5,IF(L197&gt;=95,15,IF(L197&gt;=90,10,IF(L197&gt;=80,5,0))))</f>
        <v/>
      </c>
      <c r="O197" s="31" t="n">
        <v>66.16</v>
      </c>
      <c r="P197" s="31" t="n">
        <v>35.42</v>
      </c>
      <c r="Q197" s="31" t="n">
        <v>180.11</v>
      </c>
      <c r="R197" s="30" t="inlineStr">
        <is>
          <t>Near 52W High Breakout</t>
        </is>
      </c>
      <c r="S197" s="30" t="inlineStr">
        <is>
          <t>Nifty FMCG</t>
        </is>
      </c>
      <c r="T197" s="31" t="n">
        <v>-13.44</v>
      </c>
      <c r="U197" s="31" t="n">
        <v>66.19</v>
      </c>
      <c r="V197" s="31" t="n">
        <v>92</v>
      </c>
      <c r="W197" s="31" t="n">
        <v>20.4</v>
      </c>
      <c r="X197" s="30" t="inlineStr">
        <is>
          <t>Growing Industry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No</t>
        </is>
      </c>
      <c r="AC197" s="30">
        <f>IF(AB197="No",5,0)</f>
        <v/>
      </c>
      <c r="AD197" s="30" t="inlineStr">
        <is>
          <t>Tailwind</t>
        </is>
      </c>
      <c r="AE197" s="30">
        <f>IF(AD197="Tailwind",10,0)</f>
        <v/>
      </c>
      <c r="AF197" s="30" t="inlineStr">
        <is>
          <t>Structural (10 Years Consistency)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B2C</t>
        </is>
      </c>
      <c r="AO197" s="30">
        <f>IF(AN197="B2C",10,IF(AN197="B2B",5,0))</f>
        <v/>
      </c>
      <c r="AP197" s="30" t="inlineStr">
        <is>
          <t>Yes</t>
        </is>
      </c>
      <c r="AQ197" s="30">
        <f>IF(AP197="Yes",10,0)</f>
        <v/>
      </c>
      <c r="AR197" s="30" t="inlineStr">
        <is>
          <t>Higher Annuity, Lower One Time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20 to 40</t>
        </is>
      </c>
      <c r="AY197" s="30">
        <f>IF(AX197="Above 40",20,IF(AX197="20 to 40",10,IF(AX197="0 to 20",-5,0)))</f>
        <v/>
      </c>
      <c r="AZ197" s="30" t="inlineStr">
        <is>
          <t>Between 50 to 75</t>
        </is>
      </c>
      <c r="BA197" s="30">
        <f>IF(AZ197="Between 50 to 75",10,IF(AZ197="Above 75",0,0))</f>
        <v/>
      </c>
      <c r="BB197" s="30" t="inlineStr">
        <is>
          <t>Stage 2</t>
        </is>
      </c>
      <c r="BC197" s="30">
        <f>IF(BB197="Stage 2",20,IF(BB197="Stage 1",0,IF(BB197="Stage 3",5,IF(BB197="Stage 4",-5,0))))</f>
        <v/>
      </c>
      <c r="BD197" s="30" t="inlineStr">
        <is>
          <t>Negative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Blue sky scenario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More than 20%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No</t>
        </is>
      </c>
      <c r="BS197" s="30">
        <f>IF(BR197="NO",5,0)</f>
        <v/>
      </c>
      <c r="BT197" s="30" t="inlineStr">
        <is>
          <t>Above 2</t>
        </is>
      </c>
      <c r="BU197" s="30">
        <f>IF(BT197="Above 2",0,IF(BT197="Between 1.5 to 2",5,IF(BT197="Less than 1.5",10,0)))</f>
        <v/>
      </c>
      <c r="BV197" s="30" t="inlineStr">
        <is>
          <t>Less than 50%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IF(B198=0,"",RANK(B198,$B$2:$B$306,0))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0" t="inlineStr">
        <is>
          <t>BBOX</t>
        </is>
      </c>
      <c r="D198" s="30" t="inlineStr">
        <is>
          <t>Black Box Ltd</t>
        </is>
      </c>
      <c r="E198" s="30" t="inlineStr">
        <is>
          <t>i.t</t>
        </is>
      </c>
      <c r="F198" s="30" t="inlineStr">
        <is>
          <t>computers - software - medium / small</t>
        </is>
      </c>
      <c r="G198" s="30" t="inlineStr">
        <is>
          <t>midcap</t>
        </is>
      </c>
      <c r="H198" s="31" t="n">
        <v>19137.54</v>
      </c>
      <c r="I198" s="31" t="n">
        <v>1072.9</v>
      </c>
      <c r="J198" s="31" t="n">
        <v>-0.49</v>
      </c>
      <c r="K198" s="31" t="n">
        <v>616162</v>
      </c>
      <c r="L198" s="30" t="n">
        <v>94</v>
      </c>
      <c r="M198" s="30" t="inlineStr">
        <is>
          <t>Outperforming</t>
        </is>
      </c>
      <c r="N198" s="31">
        <f>IF(M198="Underperforming",-5,IF(L198&gt;=95,15,IF(L198&gt;=90,10,IF(L198&gt;=80,5,0))))</f>
        <v/>
      </c>
      <c r="O198" s="31" t="n">
        <v>85.91</v>
      </c>
      <c r="P198" s="31" t="n">
        <v>31.4</v>
      </c>
      <c r="Q198" s="31" t="n">
        <v>845.74</v>
      </c>
      <c r="R198" s="30" t="inlineStr">
        <is>
          <t>Near 52W High Breakout</t>
        </is>
      </c>
      <c r="S198" s="30" t="inlineStr">
        <is>
          <t>Nifty IT</t>
        </is>
      </c>
      <c r="T198" s="31" t="n">
        <v>-22.21</v>
      </c>
      <c r="U198" s="31" t="n">
        <v>91.81999999999999</v>
      </c>
      <c r="V198" s="31" t="n">
        <v>146.6</v>
      </c>
      <c r="W198" s="31" t="n">
        <v>42.85</v>
      </c>
      <c r="X198" s="30" t="inlineStr">
        <is>
          <t>Growing Industry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No</t>
        </is>
      </c>
      <c r="AC198" s="30">
        <f>IF(AB198="No",5,0)</f>
        <v/>
      </c>
      <c r="AD198" s="30" t="inlineStr">
        <is>
          <t>Tailwind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Yes</t>
        </is>
      </c>
      <c r="AQ198" s="30">
        <f>IF(AP198="Yes",10,0)</f>
        <v/>
      </c>
      <c r="AR198" s="30" t="inlineStr">
        <is>
          <t>Higher Annuity, Lower One Time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20 to 40</t>
        </is>
      </c>
      <c r="AY198" s="30">
        <f>IF(AX198="Above 40",20,IF(AX198="20 to 40",10,IF(AX198="0 to 20",-5,0)))</f>
        <v/>
      </c>
      <c r="AZ198" s="30" t="inlineStr">
        <is>
          <t>Above 75</t>
        </is>
      </c>
      <c r="BA198" s="30">
        <f>IF(AZ198="Between 50 to 75",10,IF(AZ198="Above 75",0,0))</f>
        <v/>
      </c>
      <c r="BB198" s="30" t="inlineStr">
        <is>
          <t>Stage 2</t>
        </is>
      </c>
      <c r="BC198" s="30">
        <f>IF(BB198="Stage 2",20,IF(BB198="Stage 1",0,IF(BB198="Stage 3",5,IF(BB198="Stage 4",-5,0))))</f>
        <v/>
      </c>
      <c r="BD198" s="30" t="inlineStr">
        <is>
          <t>Positive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Blue sky scenario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Less than 12%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Yes</t>
        </is>
      </c>
      <c r="BS198" s="30">
        <f>IF(BR198="NO",5,0)</f>
        <v/>
      </c>
      <c r="BT198" s="30" t="inlineStr">
        <is>
          <t>Above 2</t>
        </is>
      </c>
      <c r="BU198" s="30">
        <f>IF(BT198="Above 2",0,IF(BT198="Between 1.5 to 2",5,IF(BT198="Less than 1.5",10,0)))</f>
        <v/>
      </c>
      <c r="BV198" s="30" t="inlineStr">
        <is>
          <t>Less than 50%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Between 0.7 to 1.2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IF(B199=0,"",RANK(B199,$B$2:$B$306,0))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0" t="inlineStr">
        <is>
          <t>ADANIGREEN</t>
        </is>
      </c>
      <c r="D199" s="30" t="inlineStr">
        <is>
          <t>Adani Green Energy Ltd</t>
        </is>
      </c>
      <c r="E199" s="30" t="inlineStr">
        <is>
          <t>power &amp; utilities</t>
        </is>
      </c>
      <c r="F199" s="30" t="inlineStr">
        <is>
          <t>power generation and supply</t>
        </is>
      </c>
      <c r="G199" s="30" t="inlineStr">
        <is>
          <t>largecap</t>
        </is>
      </c>
      <c r="H199" s="31" t="n">
        <v>234442.58</v>
      </c>
      <c r="I199" s="31" t="n">
        <v>1525.7</v>
      </c>
      <c r="J199" s="31" t="n">
        <v>7.19</v>
      </c>
      <c r="K199" s="31" t="n">
        <v>10448500</v>
      </c>
      <c r="L199" s="30" t="n">
        <v>84</v>
      </c>
      <c r="M199" s="30" t="inlineStr">
        <is>
          <t>Outperforming</t>
        </is>
      </c>
      <c r="N199" s="31">
        <f>IF(M199="Underperforming",-5,IF(L199&gt;=95,15,IF(L199&gt;=90,10,IF(L199&gt;=80,5,0))))</f>
        <v/>
      </c>
      <c r="O199" s="31" t="n">
        <v>76.55</v>
      </c>
      <c r="P199" s="31" t="n">
        <v>34.21</v>
      </c>
      <c r="Q199" s="31" t="n">
        <v>1199.47</v>
      </c>
      <c r="R199" s="30" t="inlineStr">
        <is>
          <t>Near 52W High Breakout</t>
        </is>
      </c>
      <c r="S199" s="30" t="inlineStr">
        <is>
          <t>Nifty IT</t>
        </is>
      </c>
      <c r="T199" s="31" t="n">
        <v>-22.21</v>
      </c>
      <c r="U199" s="31" t="n">
        <v>49.75</v>
      </c>
      <c r="V199" s="31" t="n">
        <v>92.52</v>
      </c>
      <c r="W199" s="31" t="n">
        <v>28.11</v>
      </c>
      <c r="X199" s="30" t="inlineStr">
        <is>
          <t>Growing Industry</t>
        </is>
      </c>
      <c r="Y199" s="30">
        <f>IF(X199="Growing Industry",10,IF(X199="Cyclical in an Upturn",5,0))</f>
        <v/>
      </c>
      <c r="Z199" s="30" t="inlineStr">
        <is>
          <t>Too Many Players with High ROCE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No</t>
        </is>
      </c>
      <c r="AC199" s="30">
        <f>IF(AB199="No",5,0)</f>
        <v/>
      </c>
      <c r="AD199" s="30" t="inlineStr">
        <is>
          <t>Tailwind</t>
        </is>
      </c>
      <c r="AE199" s="30">
        <f>IF(AD199="Tailwind",10,0)</f>
        <v/>
      </c>
      <c r="AF199" s="30" t="inlineStr">
        <is>
          <t>Structural (10 Years Consistency)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B2B</t>
        </is>
      </c>
      <c r="AO199" s="30">
        <f>IF(AN199="B2C",10,IF(AN199="B2B",5,0))</f>
        <v/>
      </c>
      <c r="AP199" s="30" t="inlineStr">
        <is>
          <t>Yes</t>
        </is>
      </c>
      <c r="AQ199" s="30">
        <f>IF(AP199="Yes",10,0)</f>
        <v/>
      </c>
      <c r="AR199" s="30" t="inlineStr">
        <is>
          <t>Higher One Time, Lower Annuity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20 to 40</t>
        </is>
      </c>
      <c r="AY199" s="30">
        <f>IF(AX199="Above 40",20,IF(AX199="20 to 40",10,IF(AX199="0 to 20",-5,0)))</f>
        <v/>
      </c>
      <c r="AZ199" s="30" t="inlineStr">
        <is>
          <t>Above 75</t>
        </is>
      </c>
      <c r="BA199" s="30">
        <f>IF(AZ199="Between 50 to 75",10,IF(AZ199="Above 75",0,0))</f>
        <v/>
      </c>
      <c r="BB199" s="30" t="inlineStr">
        <is>
          <t>Stage 2</t>
        </is>
      </c>
      <c r="BC199" s="30">
        <f>IF(BB199="Stage 2",20,IF(BB199="Stage 1",0,IF(BB199="Stage 3",5,IF(BB199="Stage 4",-5,0))))</f>
        <v/>
      </c>
      <c r="BD199" s="30" t="inlineStr">
        <is>
          <t>Positive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Close to 52 week high or retracement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More than 20%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Yes</t>
        </is>
      </c>
      <c r="BS199" s="30">
        <f>IF(BR199="NO",5,0)</f>
        <v/>
      </c>
      <c r="BT199" s="30" t="inlineStr">
        <is>
          <t>Above 2</t>
        </is>
      </c>
      <c r="BU199" s="30">
        <f>IF(BT199="Above 2",0,IF(BT199="Between 1.5 to 2",5,IF(BT199="Less than 1.5",10,0)))</f>
        <v/>
      </c>
      <c r="BV199" s="30" t="inlineStr">
        <is>
          <t>Above 70%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More than 1.2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IF(B200=0,"",RANK(B200,$B$2:$B$306,0))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0" t="inlineStr">
        <is>
          <t>DIACABS</t>
        </is>
      </c>
      <c r="D200" s="30" t="inlineStr">
        <is>
          <t>Diamond Power Infrastructure Ltd</t>
        </is>
      </c>
      <c r="E200" s="30" t="inlineStr">
        <is>
          <t>industrials</t>
        </is>
      </c>
      <c r="F200" s="30" t="inlineStr">
        <is>
          <t>cables - power</t>
        </is>
      </c>
      <c r="G200" s="30" t="inlineStr">
        <is>
          <t>midcap</t>
        </is>
      </c>
      <c r="H200" s="31" t="n">
        <v>10154.21</v>
      </c>
      <c r="I200" s="31" t="n">
        <v>203.6</v>
      </c>
      <c r="J200" s="31" t="n">
        <v>5.66</v>
      </c>
      <c r="K200" s="31" t="n">
        <v>10037123</v>
      </c>
      <c r="L200" s="30" t="n">
        <v>83</v>
      </c>
      <c r="M200" s="30" t="inlineStr">
        <is>
          <t>Outperforming</t>
        </is>
      </c>
      <c r="N200" s="31">
        <f>IF(M200="Underperforming",-5,IF(L200&gt;=95,15,IF(L200&gt;=90,10,IF(L200&gt;=80,5,0))))</f>
        <v/>
      </c>
      <c r="O200" s="31" t="n">
        <v>76.54000000000001</v>
      </c>
      <c r="P200" s="31" t="n">
        <v>29.5</v>
      </c>
      <c r="Q200" s="31" t="n">
        <v>151.68</v>
      </c>
      <c r="R200" s="30" t="inlineStr">
        <is>
          <t>Near 52W High Breakout</t>
        </is>
      </c>
      <c r="S200" s="30" t="inlineStr">
        <is>
          <t>Nifty Energy</t>
        </is>
      </c>
      <c r="T200" s="31" t="n">
        <v>12.31</v>
      </c>
      <c r="U200" s="31" t="n">
        <v>101.03</v>
      </c>
      <c r="V200" s="31" t="n">
        <v>78.98999999999999</v>
      </c>
      <c r="W200" s="31" t="n">
        <v>27.43</v>
      </c>
      <c r="X200" s="30" t="inlineStr">
        <is>
          <t>Cyclical in an Upturn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No</t>
        </is>
      </c>
      <c r="AC200" s="30">
        <f>IF(AB200="No",5,0)</f>
        <v/>
      </c>
      <c r="AD200" s="30" t="inlineStr">
        <is>
          <t>Tailwind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Yes</t>
        </is>
      </c>
      <c r="AQ200" s="30">
        <f>IF(AP200="Yes",10,0)</f>
        <v/>
      </c>
      <c r="AR200" s="30" t="inlineStr">
        <is>
          <t>Higher One Time, Lower Annuity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20 to 40</t>
        </is>
      </c>
      <c r="AY200" s="30">
        <f>IF(AX200="Above 40",20,IF(AX200="20 to 40",10,IF(AX200="0 to 20",-5,0)))</f>
        <v/>
      </c>
      <c r="AZ200" s="30" t="inlineStr">
        <is>
          <t>Above 75</t>
        </is>
      </c>
      <c r="BA200" s="30">
        <f>IF(AZ200="Between 50 to 75",10,IF(AZ200="Above 75",0,0))</f>
        <v/>
      </c>
      <c r="BB200" s="30" t="inlineStr">
        <is>
          <t>Stage 2</t>
        </is>
      </c>
      <c r="BC200" s="30">
        <f>IF(BB200="Stage 2",20,IF(BB200="Stage 1",0,IF(BB200="Stage 3",5,IF(BB200="Stage 4",-5,0))))</f>
        <v/>
      </c>
      <c r="BD200" s="30" t="inlineStr">
        <is>
          <t>Positive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Blue sky scenario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More than 20%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Yes</t>
        </is>
      </c>
      <c r="BS200" s="30">
        <f>IF(BR200="NO",5,0)</f>
        <v/>
      </c>
      <c r="BT200" s="30" t="inlineStr">
        <is>
          <t>Above 2</t>
        </is>
      </c>
      <c r="BU200" s="30">
        <f>IF(BT200="Above 2",0,IF(BT200="Between 1.5 to 2",5,IF(BT200="Less than 1.5",10,0)))</f>
        <v/>
      </c>
      <c r="BV200" s="30" t="inlineStr">
        <is>
          <t>Negative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Less than 0.7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IF(B201=0,"",RANK(B201,$B$2:$B$306,0))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0" t="inlineStr">
        <is>
          <t>RICOAUTO</t>
        </is>
      </c>
      <c r="D201" s="30" t="inlineStr">
        <is>
          <t>Rico Auto Industries Limited</t>
        </is>
      </c>
      <c r="E201" s="30" t="inlineStr">
        <is>
          <t>auto</t>
        </is>
      </c>
      <c r="F201" s="30" t="inlineStr">
        <is>
          <t>auto ancillaries</t>
        </is>
      </c>
      <c r="G201" s="30" t="inlineStr">
        <is>
          <t>smallcap</t>
        </is>
      </c>
      <c r="H201" s="31" t="n">
        <v>1777.24</v>
      </c>
      <c r="I201" s="31" t="n">
        <v>136.85</v>
      </c>
      <c r="J201" s="31" t="n">
        <v>4.17</v>
      </c>
      <c r="K201" s="31" t="n">
        <v>20107949</v>
      </c>
      <c r="L201" s="30" t="n">
        <v>58</v>
      </c>
      <c r="M201" s="30" t="inlineStr">
        <is>
          <t>Outperforming</t>
        </is>
      </c>
      <c r="N201" s="31">
        <f>IF(M201="Underperforming",-5,IF(L201&gt;=95,15,IF(L201&gt;=90,10,IF(L201&gt;=80,5,0))))</f>
        <v/>
      </c>
      <c r="O201" s="31" t="n">
        <v>61.47</v>
      </c>
      <c r="P201" s="31" t="n">
        <v>16.5</v>
      </c>
      <c r="Q201" s="31" t="n">
        <v>95.73</v>
      </c>
      <c r="R201" s="30" t="inlineStr">
        <is>
          <t>Volume Spike &amp; Near 52W High Breakout</t>
        </is>
      </c>
      <c r="S201" s="30" t="inlineStr">
        <is>
          <t>Nifty Auto</t>
        </is>
      </c>
      <c r="T201" s="31" t="n">
        <v>10.59</v>
      </c>
      <c r="U201" s="31" t="n">
        <v>67.75</v>
      </c>
      <c r="V201" s="31" t="n">
        <v>51.7</v>
      </c>
      <c r="W201" s="31" t="n">
        <v>15.48</v>
      </c>
      <c r="X201" s="30" t="inlineStr">
        <is>
          <t>Growing Industry</t>
        </is>
      </c>
      <c r="Y201" s="30">
        <f>IF(X201="Growing Industry",10,IF(X201="Cyclical in an Upturn",5,0))</f>
        <v/>
      </c>
      <c r="Z201" s="30" t="inlineStr">
        <is>
          <t>Too Many Players with High ROCE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No</t>
        </is>
      </c>
      <c r="AC201" s="30">
        <f>IF(AB201="No",5,0)</f>
        <v/>
      </c>
      <c r="AD201" s="30" t="inlineStr">
        <is>
          <t>Tailwind</t>
        </is>
      </c>
      <c r="AE201" s="30">
        <f>IF(AD201="Tailwind",10,0)</f>
        <v/>
      </c>
      <c r="AF201" s="30" t="inlineStr">
        <is>
          <t>Structural (10 Years Consistency)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Stable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B2B</t>
        </is>
      </c>
      <c r="AO201" s="30">
        <f>IF(AN201="B2C",10,IF(AN201="B2B",5,0))</f>
        <v/>
      </c>
      <c r="AP201" s="30" t="inlineStr">
        <is>
          <t>Yes</t>
        </is>
      </c>
      <c r="AQ201" s="30">
        <f>IF(AP201="Yes",10,0)</f>
        <v/>
      </c>
      <c r="AR201" s="30" t="inlineStr">
        <is>
          <t>Higher One Time, Lower Annuity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0 to 20</t>
        </is>
      </c>
      <c r="AY201" s="30">
        <f>IF(AX201="Above 40",20,IF(AX201="20 to 40",10,IF(AX201="0 to 20",-5,0)))</f>
        <v/>
      </c>
      <c r="AZ201" s="30" t="inlineStr">
        <is>
          <t>Between 50 to 75</t>
        </is>
      </c>
      <c r="BA201" s="30">
        <f>IF(AZ201="Between 50 to 75",10,IF(AZ201="Above 75",0,0))</f>
        <v/>
      </c>
      <c r="BB201" s="30" t="inlineStr">
        <is>
          <t>Stage 2</t>
        </is>
      </c>
      <c r="BC201" s="30">
        <f>IF(BB201="Stage 2",20,IF(BB201="Stage 1",0,IF(BB201="Stage 3",5,IF(BB201="Stage 4",-5,0))))</f>
        <v/>
      </c>
      <c r="BD201" s="30" t="inlineStr">
        <is>
          <t>Positive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Blue sky scenario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Less than 12%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No</t>
        </is>
      </c>
      <c r="BS201" s="30">
        <f>IF(BR201="NO",5,0)</f>
        <v/>
      </c>
      <c r="BT201" s="30" t="inlineStr">
        <is>
          <t>Above 2</t>
        </is>
      </c>
      <c r="BU201" s="30">
        <f>IF(BT201="Above 2",0,IF(BT201="Between 1.5 to 2",5,IF(BT201="Less than 1.5",10,0)))</f>
        <v/>
      </c>
      <c r="BV201" s="30" t="inlineStr">
        <is>
          <t>Above 70%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Between 0.7 to 1.2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IF(B202=0,"",RANK(B202,$B$2:$B$306,0))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0" t="inlineStr">
        <is>
          <t>SFL</t>
        </is>
      </c>
      <c r="D202" s="30" t="inlineStr">
        <is>
          <t>Sheela Foam Limited</t>
        </is>
      </c>
      <c r="E202" s="30" t="inlineStr">
        <is>
          <t>consumer discretionary</t>
        </is>
      </c>
      <c r="F202" s="30" t="inlineStr">
        <is>
          <t>miscellaneous</t>
        </is>
      </c>
      <c r="G202" s="30" t="inlineStr">
        <is>
          <t>midcap</t>
        </is>
      </c>
      <c r="H202" s="31" t="n">
        <v>6774.31</v>
      </c>
      <c r="I202" s="31" t="n">
        <v>642.75</v>
      </c>
      <c r="J202" s="31" t="n">
        <v>3.15</v>
      </c>
      <c r="K202" s="31" t="n">
        <v>500842</v>
      </c>
      <c r="L202" s="30" t="n">
        <v>20</v>
      </c>
      <c r="M202" s="30" t="inlineStr">
        <is>
          <t>Outperforming</t>
        </is>
      </c>
      <c r="N202" s="31">
        <f>IF(M202="Underperforming",-5,IF(L202&gt;=95,15,IF(L202&gt;=90,10,IF(L202&gt;=80,5,0))))</f>
        <v/>
      </c>
      <c r="O202" s="31" t="n">
        <v>59.66</v>
      </c>
      <c r="P202" s="31" t="n">
        <v>17.78</v>
      </c>
      <c r="Q202" s="31" t="n">
        <v>481.17</v>
      </c>
      <c r="R202" s="30" t="inlineStr">
        <is>
          <t>Earnings / Momentum Support</t>
        </is>
      </c>
      <c r="S202" s="30" t="inlineStr">
        <is>
          <t>Nifty 50</t>
        </is>
      </c>
      <c r="T202" s="31" t="n">
        <v>-6.54</v>
      </c>
      <c r="U202" s="31" t="n">
        <v>-0.09</v>
      </c>
      <c r="V202" s="31" t="n">
        <v>6.91</v>
      </c>
      <c r="W202" s="31" t="n">
        <v>5.64</v>
      </c>
      <c r="X202" s="30" t="inlineStr">
        <is>
          <t>Growing Industry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No</t>
        </is>
      </c>
      <c r="AC202" s="30">
        <f>IF(AB202="No",5,0)</f>
        <v/>
      </c>
      <c r="AD202" s="30" t="inlineStr">
        <is>
          <t>Tailwind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No</t>
        </is>
      </c>
      <c r="AQ202" s="30">
        <f>IF(AP202="Yes",10,0)</f>
        <v/>
      </c>
      <c r="AR202" s="30" t="inlineStr">
        <is>
          <t>Higher One Time, Lower Annuity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0 to 20</t>
        </is>
      </c>
      <c r="AY202" s="30">
        <f>IF(AX202="Above 40",20,IF(AX202="20 to 40",10,IF(AX202="0 to 20",-5,0)))</f>
        <v/>
      </c>
      <c r="AZ202" s="30" t="inlineStr">
        <is>
          <t>Between 50 to 75</t>
        </is>
      </c>
      <c r="BA202" s="30">
        <f>IF(AZ202="Between 50 to 75",10,IF(AZ202="Above 75",0,0))</f>
        <v/>
      </c>
      <c r="BB202" s="30" t="inlineStr">
        <is>
          <t>Stage 2</t>
        </is>
      </c>
      <c r="BC202" s="30">
        <f>IF(BB202="Stage 2",20,IF(BB202="Stage 1",0,IF(BB202="Stage 3",5,IF(BB202="Stage 4",-5,0))))</f>
        <v/>
      </c>
      <c r="BD202" s="30" t="inlineStr">
        <is>
          <t>Positive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Close to 52 week high or retracement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More than 20%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Yes</t>
        </is>
      </c>
      <c r="BS202" s="30">
        <f>IF(BR202="NO",5,0)</f>
        <v/>
      </c>
      <c r="BT202" s="30" t="inlineStr">
        <is>
          <t>Above 2</t>
        </is>
      </c>
      <c r="BU202" s="30">
        <f>IF(BT202="Above 2",0,IF(BT202="Between 1.5 to 2",5,IF(BT202="Less than 1.5",10,0)))</f>
        <v/>
      </c>
      <c r="BV202" s="30" t="inlineStr">
        <is>
          <t>Above 70%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Less than 0.7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IF(B203=0,"",RANK(B203,$B$2:$B$306,0))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2" t="inlineStr">
        <is>
          <t>SUPRAJIT</t>
        </is>
      </c>
      <c r="D203" s="32" t="inlineStr">
        <is>
          <t>Suprajit Engineering Limited</t>
        </is>
      </c>
      <c r="E203" s="30" t="inlineStr">
        <is>
          <t>auto</t>
        </is>
      </c>
      <c r="F203" s="30" t="inlineStr">
        <is>
          <t>auto ancillaries</t>
        </is>
      </c>
      <c r="G203" s="30" t="inlineStr">
        <is>
          <t>midcap</t>
        </is>
      </c>
      <c r="H203" s="31" t="n">
        <v>6456.65</v>
      </c>
      <c r="I203" s="31" t="n">
        <v>475.75</v>
      </c>
      <c r="J203" s="31" t="n">
        <v>1.07</v>
      </c>
      <c r="K203" s="31" t="n">
        <v>230617</v>
      </c>
      <c r="L203" s="30" t="n">
        <v>7</v>
      </c>
      <c r="M203" s="30" t="inlineStr">
        <is>
          <t>Underperforming</t>
        </is>
      </c>
      <c r="N203" s="31">
        <f>IF(M203="Underperforming",-5,IF(L203&gt;=95,15,IF(L203&gt;=90,10,IF(L203&gt;=80,5,0))))</f>
        <v/>
      </c>
      <c r="O203" s="31" t="n">
        <v>58.74</v>
      </c>
      <c r="P203" s="31" t="n">
        <v>16.7</v>
      </c>
      <c r="Q203" s="31" t="n">
        <v>372.09</v>
      </c>
      <c r="R203" s="30" t="inlineStr">
        <is>
          <t>Near 52W High Breakout</t>
        </is>
      </c>
      <c r="S203" s="30" t="inlineStr">
        <is>
          <t>Nifty Auto</t>
        </is>
      </c>
      <c r="T203" s="31" t="n">
        <v>10.59</v>
      </c>
      <c r="U203" s="31" t="n">
        <v>0.32</v>
      </c>
      <c r="V203" s="31" t="n">
        <v>-9.279999999999999</v>
      </c>
      <c r="W203" s="31" t="n">
        <v>2.63</v>
      </c>
      <c r="X203" s="30" t="inlineStr">
        <is>
          <t>Growing Industry</t>
        </is>
      </c>
      <c r="Y203" s="30">
        <f>IF(X203="Growing Industry",10,IF(X203="Cyclical in an Upturn",5,0))</f>
        <v/>
      </c>
      <c r="Z203" s="30" t="inlineStr">
        <is>
          <t>Too Many Players with High ROCE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No</t>
        </is>
      </c>
      <c r="AC203" s="30">
        <f>IF(AB203="No",5,0)</f>
        <v/>
      </c>
      <c r="AD203" s="30" t="inlineStr">
        <is>
          <t>Tailwind</t>
        </is>
      </c>
      <c r="AE203" s="30">
        <f>IF(AD203="Tailwind",10,0)</f>
        <v/>
      </c>
      <c r="AF203" s="30" t="inlineStr">
        <is>
          <t>Structural (10 Years Consistency)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Yes</t>
        </is>
      </c>
      <c r="AQ203" s="30">
        <f>IF(AP203="Yes",10,0)</f>
        <v/>
      </c>
      <c r="AR203" s="30" t="inlineStr">
        <is>
          <t>Higher One Time, Lower Annuity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0 to 20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2</t>
        </is>
      </c>
      <c r="BC203" s="30">
        <f>IF(BB203="Stage 2",20,IF(BB203="Stage 1",0,IF(BB203="Stage 3",5,IF(BB203="Stage 4",-5,0))))</f>
        <v/>
      </c>
      <c r="BD203" s="30" t="inlineStr">
        <is>
          <t>Positive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Close to 52 week high or retracement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More than 20%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No</t>
        </is>
      </c>
      <c r="BS203" s="30">
        <f>IF(BR203="NO",5,0)</f>
        <v/>
      </c>
      <c r="BT203" s="30" t="inlineStr">
        <is>
          <t>Above 2</t>
        </is>
      </c>
      <c r="BU203" s="30">
        <f>IF(BT203="Above 2",0,IF(BT203="Between 1.5 to 2",5,IF(BT203="Less than 1.5",10,0)))</f>
        <v/>
      </c>
      <c r="BV203" s="30" t="inlineStr">
        <is>
          <t>Less than 50%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Less than 0.7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IF(B204=0,"",RANK(B204,$B$2:$B$306,0))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0" t="inlineStr">
        <is>
          <t>ASIANPAINT</t>
        </is>
      </c>
      <c r="D204" s="30" t="inlineStr">
        <is>
          <t>Asian Paints Limited</t>
        </is>
      </c>
      <c r="E204" s="30" t="inlineStr">
        <is>
          <t>building materials</t>
        </is>
      </c>
      <c r="F204" s="30" t="inlineStr">
        <is>
          <t>paints / varnishes</t>
        </is>
      </c>
      <c r="G204" s="30" t="inlineStr">
        <is>
          <t>largecap</t>
        </is>
      </c>
      <c r="H204" s="31" t="n">
        <v>255300.08</v>
      </c>
      <c r="I204" s="31" t="n">
        <v>2686.7</v>
      </c>
      <c r="J204" s="31" t="n">
        <v>0.9399999999999999</v>
      </c>
      <c r="K204" s="31" t="n">
        <v>1615011</v>
      </c>
      <c r="L204" s="30" t="n">
        <v>34</v>
      </c>
      <c r="M204" s="30" t="inlineStr">
        <is>
          <t>Outperforming</t>
        </is>
      </c>
      <c r="N204" s="31">
        <f>IF(M204="Underperforming",-5,IF(L204&gt;=95,15,IF(L204&gt;=90,10,IF(L204&gt;=80,5,0))))</f>
        <v/>
      </c>
      <c r="O204" s="31" t="n">
        <v>60.77</v>
      </c>
      <c r="P204" s="31" t="n">
        <v>19.92</v>
      </c>
      <c r="Q204" s="31" t="n">
        <v>2256.44</v>
      </c>
      <c r="R204" s="30" t="inlineStr">
        <is>
          <t>Earnings / Momentum Support</t>
        </is>
      </c>
      <c r="S204" s="30" t="inlineStr">
        <is>
          <t>Nifty Infra</t>
        </is>
      </c>
      <c r="T204" s="31" t="n">
        <v>1.11</v>
      </c>
      <c r="U204" s="31" t="n">
        <v>20.96</v>
      </c>
      <c r="V204" s="31" t="n">
        <v>19.62</v>
      </c>
      <c r="W204" s="31" t="n">
        <v>8.75</v>
      </c>
      <c r="X204" s="30" t="inlineStr">
        <is>
          <t>Growing Industry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Headwind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No</t>
        </is>
      </c>
      <c r="AQ204" s="30">
        <f>IF(AP204="Yes",10,0)</f>
        <v/>
      </c>
      <c r="AR204" s="30" t="inlineStr">
        <is>
          <t>Higher One Time, Lower Annuity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0 to 20</t>
        </is>
      </c>
      <c r="AY204" s="30">
        <f>IF(AX204="Above 40",20,IF(AX204="20 to 40",10,IF(AX204="0 to 20",-5,0)))</f>
        <v/>
      </c>
      <c r="AZ204" s="30" t="inlineStr">
        <is>
          <t>Between 50 to 75</t>
        </is>
      </c>
      <c r="BA204" s="30">
        <f>IF(AZ204="Between 50 to 75",10,IF(AZ204="Above 75",0,0))</f>
        <v/>
      </c>
      <c r="BB204" s="30" t="inlineStr">
        <is>
          <t>Stage 2</t>
        </is>
      </c>
      <c r="BC204" s="30">
        <f>IF(BB204="Stage 2",20,IF(BB204="Stage 1",0,IF(BB204="Stage 3",5,IF(BB204="Stage 4",-5,0))))</f>
        <v/>
      </c>
      <c r="BD204" s="30" t="inlineStr">
        <is>
          <t>Positive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Close to 52 week high or retracement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More than 20%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Yes</t>
        </is>
      </c>
      <c r="BS204" s="30">
        <f>IF(BR204="NO",5,0)</f>
        <v/>
      </c>
      <c r="BT204" s="30" t="inlineStr">
        <is>
          <t>Less than 1.5</t>
        </is>
      </c>
      <c r="BU204" s="30">
        <f>IF(BT204="Above 2",0,IF(BT204="Between 1.5 to 2",5,IF(BT204="Less than 1.5",10,0)))</f>
        <v/>
      </c>
      <c r="BV204" s="30" t="inlineStr">
        <is>
          <t>Above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Less than 0.7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IF(B205=0,"",RANK(B205,$B$2:$B$306,0))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0" t="inlineStr">
        <is>
          <t>SJS</t>
        </is>
      </c>
      <c r="D205" s="30" t="inlineStr">
        <is>
          <t>S J S Enterprises Ltd</t>
        </is>
      </c>
      <c r="E205" s="30" t="inlineStr">
        <is>
          <t>auto</t>
        </is>
      </c>
      <c r="F205" s="30" t="inlineStr">
        <is>
          <t>plastics products</t>
        </is>
      </c>
      <c r="G205" s="30" t="inlineStr">
        <is>
          <t>midcap</t>
        </is>
      </c>
      <c r="H205" s="31" t="n">
        <v>6366.72</v>
      </c>
      <c r="I205" s="31" t="n">
        <v>2003.8</v>
      </c>
      <c r="J205" s="31" t="n">
        <v>0.7</v>
      </c>
      <c r="K205" s="31" t="n">
        <v>49604</v>
      </c>
      <c r="L205" s="30" t="n">
        <v>65</v>
      </c>
      <c r="M205" s="30" t="inlineStr">
        <is>
          <t>Outperforming</t>
        </is>
      </c>
      <c r="N205" s="31">
        <f>IF(M205="Underperforming",-5,IF(L205&gt;=95,15,IF(L205&gt;=90,10,IF(L205&gt;=80,5,0))))</f>
        <v/>
      </c>
      <c r="O205" s="31" t="n">
        <v>60.58</v>
      </c>
      <c r="P205" s="31" t="n">
        <v>19.45</v>
      </c>
      <c r="Q205" s="31" t="n">
        <v>1629.77</v>
      </c>
      <c r="R205" s="30" t="inlineStr">
        <is>
          <t>Near 52W High Breakout</t>
        </is>
      </c>
      <c r="S205" s="30" t="inlineStr">
        <is>
          <t>Nifty Auto</t>
        </is>
      </c>
      <c r="T205" s="31" t="n">
        <v>10.59</v>
      </c>
      <c r="U205" s="31" t="n">
        <v>79.81</v>
      </c>
      <c r="V205" s="31" t="n">
        <v>62.6</v>
      </c>
      <c r="W205" s="31" t="n">
        <v>17.63</v>
      </c>
      <c r="X205" s="30" t="inlineStr">
        <is>
          <t>Growing Industry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No</t>
        </is>
      </c>
      <c r="AC205" s="30">
        <f>IF(AB205="No",5,0)</f>
        <v/>
      </c>
      <c r="AD205" s="30" t="inlineStr">
        <is>
          <t>Tailwind</t>
        </is>
      </c>
      <c r="AE205" s="30">
        <f>IF(AD205="Tailwind",10,0)</f>
        <v/>
      </c>
      <c r="AF205" s="30" t="inlineStr">
        <is>
          <t>Structural (10 Years Consistency)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Stable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Yes</t>
        </is>
      </c>
      <c r="AQ205" s="30">
        <f>IF(AP205="Yes",10,0)</f>
        <v/>
      </c>
      <c r="AR205" s="30" t="inlineStr">
        <is>
          <t>Higher One Time, Lower Annuity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0 to 20</t>
        </is>
      </c>
      <c r="AY205" s="30">
        <f>IF(AX205="Above 40",20,IF(AX205="20 to 40",10,IF(AX205="0 to 20",-5,0)))</f>
        <v/>
      </c>
      <c r="AZ205" s="30" t="inlineStr">
        <is>
          <t>Between 50 to 75</t>
        </is>
      </c>
      <c r="BA205" s="30">
        <f>IF(AZ205="Between 50 to 75",10,IF(AZ205="Above 75",0,0))</f>
        <v/>
      </c>
      <c r="BB205" s="30" t="inlineStr">
        <is>
          <t>Stage 2</t>
        </is>
      </c>
      <c r="BC205" s="30">
        <f>IF(BB205="Stage 2",20,IF(BB205="Stage 1",0,IF(BB205="Stage 3",5,IF(BB205="Stage 4",-5,0))))</f>
        <v/>
      </c>
      <c r="BD205" s="30" t="inlineStr">
        <is>
          <t>Negative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Blue sky scenario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More than 20%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No</t>
        </is>
      </c>
      <c r="BS205" s="30">
        <f>IF(BR205="NO",5,0)</f>
        <v/>
      </c>
      <c r="BT205" s="30" t="inlineStr">
        <is>
          <t>Less than 1.5</t>
        </is>
      </c>
      <c r="BU205" s="30">
        <f>IF(BT205="Above 2",0,IF(BT205="Between 1.5 to 2",5,IF(BT205="Less than 1.5",10,0)))</f>
        <v/>
      </c>
      <c r="BV205" s="30" t="inlineStr">
        <is>
          <t>Above 70%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Less than 0.7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IF(B206=0,"",RANK(B206,$B$2:$B$306,0))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PREMEXPLN</t>
        </is>
      </c>
      <c r="D206" s="30" t="inlineStr">
        <is>
          <t>Premier Explosives Limited</t>
        </is>
      </c>
      <c r="E206" s="30" t="inlineStr">
        <is>
          <t>aerospace &amp; defence</t>
        </is>
      </c>
      <c r="F206" s="30" t="inlineStr">
        <is>
          <t>chemicals</t>
        </is>
      </c>
      <c r="G206" s="30" t="inlineStr">
        <is>
          <t>smallcap</t>
        </is>
      </c>
      <c r="H206" s="31" t="n">
        <v>3679.42</v>
      </c>
      <c r="I206" s="31" t="n">
        <v>685.65</v>
      </c>
      <c r="J206" s="31" t="n">
        <v>0.18</v>
      </c>
      <c r="K206" s="31" t="n">
        <v>1518822</v>
      </c>
      <c r="L206" s="30" t="n">
        <v>42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67.47</v>
      </c>
      <c r="P206" s="31" t="n">
        <v>16.34</v>
      </c>
      <c r="Q206" s="31" t="n">
        <v>481.9</v>
      </c>
      <c r="R206" s="30" t="inlineStr">
        <is>
          <t>Near 52W High Breakout</t>
        </is>
      </c>
      <c r="S206" s="30" t="inlineStr">
        <is>
          <t>Nifty 50</t>
        </is>
      </c>
      <c r="T206" s="31" t="n">
        <v>-6.54</v>
      </c>
      <c r="U206" s="31" t="n">
        <v>15.65</v>
      </c>
      <c r="V206" s="31" t="n">
        <v>23.75</v>
      </c>
      <c r="W206" s="31" t="n">
        <v>11.01</v>
      </c>
      <c r="X206" s="30" t="inlineStr">
        <is>
          <t>Growing Industry</t>
        </is>
      </c>
      <c r="Y206" s="30">
        <f>IF(X206="Growing Industry",10,IF(X206="Cyclical in an Upturn",5,0))</f>
        <v/>
      </c>
      <c r="Z206" s="30" t="inlineStr">
        <is>
          <t>Too Many Players with High ROCE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No</t>
        </is>
      </c>
      <c r="AC206" s="30">
        <f>IF(AB206="No",5,0)</f>
        <v/>
      </c>
      <c r="AD206" s="30" t="inlineStr">
        <is>
          <t>Tailwind</t>
        </is>
      </c>
      <c r="AE206" s="30">
        <f>IF(AD206="Tailwind",10,0)</f>
        <v/>
      </c>
      <c r="AF206" s="30" t="inlineStr">
        <is>
          <t>Structural (10 Years Consistency)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Yes</t>
        </is>
      </c>
      <c r="AQ206" s="30">
        <f>IF(AP206="Yes",10,0)</f>
        <v/>
      </c>
      <c r="AR206" s="30" t="inlineStr">
        <is>
          <t>Higher One Time, Lower Annuity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0 to 20</t>
        </is>
      </c>
      <c r="AY206" s="30">
        <f>IF(AX206="Above 40",20,IF(AX206="20 to 40",10,IF(AX206="0 to 20",-5,0)))</f>
        <v/>
      </c>
      <c r="AZ206" s="30" t="inlineStr">
        <is>
          <t>Between 50 to 75</t>
        </is>
      </c>
      <c r="BA206" s="30">
        <f>IF(AZ206="Between 50 to 75",10,IF(AZ206="Above 75",0,0))</f>
        <v/>
      </c>
      <c r="BB206" s="30" t="inlineStr">
        <is>
          <t>Stage 2</t>
        </is>
      </c>
      <c r="BC206" s="30">
        <f>IF(BB206="Stage 2",20,IF(BB206="Stage 1",0,IF(BB206="Stage 3",5,IF(BB206="Stage 4",-5,0))))</f>
        <v/>
      </c>
      <c r="BD206" s="30" t="inlineStr">
        <is>
          <t>Positive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Close to 52 week high or retracement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Less than 12%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Yes</t>
        </is>
      </c>
      <c r="BS206" s="30">
        <f>IF(BR206="NO",5,0)</f>
        <v/>
      </c>
      <c r="BT206" s="30" t="inlineStr">
        <is>
          <t>Above 2</t>
        </is>
      </c>
      <c r="BU206" s="30">
        <f>IF(BT206="Above 2",0,IF(BT206="Between 1.5 to 2",5,IF(BT206="Less than 1.5",10,0)))</f>
        <v/>
      </c>
      <c r="BV206" s="30" t="inlineStr">
        <is>
          <t>Above 70%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Less than 0.7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IF(B207=0,"",RANK(B207,$B$2:$B$306,0))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0" t="inlineStr">
        <is>
          <t>CEIGALL</t>
        </is>
      </c>
      <c r="D207" s="30" t="inlineStr">
        <is>
          <t>Ceigall India Ltd</t>
        </is>
      </c>
      <c r="E207" s="30" t="inlineStr">
        <is>
          <t>realty</t>
        </is>
      </c>
      <c r="F207" s="30" t="inlineStr">
        <is>
          <t>construction</t>
        </is>
      </c>
      <c r="G207" s="30" t="inlineStr">
        <is>
          <t>midcap</t>
        </is>
      </c>
      <c r="H207" s="31" t="n">
        <v>6245.24</v>
      </c>
      <c r="I207" s="31" t="n">
        <v>358.5</v>
      </c>
      <c r="J207" s="31" t="n">
        <v>0</v>
      </c>
      <c r="K207" s="31" t="n">
        <v>595015</v>
      </c>
      <c r="L207" s="30" t="n">
        <v>56</v>
      </c>
      <c r="M207" s="30" t="inlineStr">
        <is>
          <t>Outperforming</t>
        </is>
      </c>
      <c r="N207" s="31">
        <f>IF(M207="Underperforming",-5,IF(L207&gt;=95,15,IF(L207&gt;=90,10,IF(L207&gt;=80,5,0))))</f>
        <v/>
      </c>
      <c r="O207" s="31" t="n">
        <v>68.81</v>
      </c>
      <c r="P207" s="31" t="n">
        <v>41.58</v>
      </c>
      <c r="Q207" s="31" t="n">
        <v>298.02</v>
      </c>
      <c r="R207" s="30" t="inlineStr">
        <is>
          <t>Near 52W High Breakout</t>
        </is>
      </c>
      <c r="S207" s="30" t="inlineStr">
        <is>
          <t>Nifty Realty</t>
        </is>
      </c>
      <c r="T207" s="31" t="n">
        <v>-26.04</v>
      </c>
      <c r="U207" s="31" t="n">
        <v>46.43</v>
      </c>
      <c r="V207" s="31" t="n">
        <v>97.98</v>
      </c>
      <c r="W207" s="31" t="n">
        <v>14.86</v>
      </c>
      <c r="X207" s="30" t="inlineStr">
        <is>
          <t>Growing Industry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No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Yes</t>
        </is>
      </c>
      <c r="AQ207" s="30">
        <f>IF(AP207="Yes",10,0)</f>
        <v/>
      </c>
      <c r="AR207" s="30" t="inlineStr">
        <is>
          <t>Higher One Time, Lower Annuity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Above 40</t>
        </is>
      </c>
      <c r="AY207" s="30">
        <f>IF(AX207="Above 40",20,IF(AX207="20 to 40",10,IF(AX207="0 to 20",-5,0)))</f>
        <v/>
      </c>
      <c r="AZ207" s="30" t="inlineStr">
        <is>
          <t>Between 50 to 75</t>
        </is>
      </c>
      <c r="BA207" s="30">
        <f>IF(AZ207="Between 50 to 75",10,IF(AZ207="Above 75",0,0))</f>
        <v/>
      </c>
      <c r="BB207" s="30" t="inlineStr">
        <is>
          <t>Stage 2</t>
        </is>
      </c>
      <c r="BC207" s="30">
        <f>IF(BB207="Stage 2",20,IF(BB207="Stage 1",0,IF(BB207="Stage 3",5,IF(BB207="Stage 4",-5,0))))</f>
        <v/>
      </c>
      <c r="BD207" s="30" t="inlineStr">
        <is>
          <t>Negative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Close to 52 week high or retracement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More than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No</t>
        </is>
      </c>
      <c r="BS207" s="30">
        <f>IF(BR207="NO",5,0)</f>
        <v/>
      </c>
      <c r="BT207" s="30" t="inlineStr">
        <is>
          <t>Less than 1.5</t>
        </is>
      </c>
      <c r="BU207" s="30">
        <f>IF(BT207="Above 2",0,IF(BT207="Between 1.5 to 2",5,IF(BT207="Less than 1.5",10,0)))</f>
        <v/>
      </c>
      <c r="BV207" s="30" t="inlineStr">
        <is>
          <t>Negative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Less than 0.7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IF(B208=0,"",RANK(B208,$B$2:$B$306,0))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0" t="inlineStr">
        <is>
          <t>KINGFA</t>
        </is>
      </c>
      <c r="D208" s="30" t="inlineStr">
        <is>
          <t>Kingfa Science &amp; Technology (india) Limited</t>
        </is>
      </c>
      <c r="E208" s="30" t="inlineStr">
        <is>
          <t>plastic products</t>
        </is>
      </c>
      <c r="F208" s="30" t="inlineStr">
        <is>
          <t>plastics products</t>
        </is>
      </c>
      <c r="G208" s="30" t="inlineStr">
        <is>
          <t>midcap</t>
        </is>
      </c>
      <c r="H208" s="31" t="n">
        <v>7277.09</v>
      </c>
      <c r="I208" s="31" t="n">
        <v>5367</v>
      </c>
      <c r="J208" s="31" t="n">
        <v>-0.06</v>
      </c>
      <c r="K208" s="31" t="n">
        <v>3752</v>
      </c>
      <c r="L208" s="30" t="n">
        <v>65</v>
      </c>
      <c r="M208" s="30" t="inlineStr">
        <is>
          <t>Outperforming</t>
        </is>
      </c>
      <c r="N208" s="31">
        <f>IF(M208="Underperforming",-5,IF(L208&gt;=95,15,IF(L208&gt;=90,10,IF(L208&gt;=80,5,0))))</f>
        <v/>
      </c>
      <c r="O208" s="31" t="n">
        <v>64.42</v>
      </c>
      <c r="P208" s="31" t="n">
        <v>22.02</v>
      </c>
      <c r="Q208" s="31" t="n">
        <v>4205.08</v>
      </c>
      <c r="R208" s="30" t="inlineStr">
        <is>
          <t>Near 52W High Breakout</t>
        </is>
      </c>
      <c r="S208" s="30" t="inlineStr">
        <is>
          <t>Nifty 50</t>
        </is>
      </c>
      <c r="T208" s="31" t="n">
        <v>-6.54</v>
      </c>
      <c r="U208" s="31" t="n">
        <v>66.93000000000001</v>
      </c>
      <c r="V208" s="31" t="n">
        <v>78.62</v>
      </c>
      <c r="W208" s="31" t="n">
        <v>17.59</v>
      </c>
      <c r="X208" s="30" t="inlineStr">
        <is>
          <t>Growing Industry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No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Structural (10 Years Consistency)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Stable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Yes</t>
        </is>
      </c>
      <c r="AQ208" s="30">
        <f>IF(AP208="Yes",10,0)</f>
        <v/>
      </c>
      <c r="AR208" s="30" t="inlineStr">
        <is>
          <t>Higher One Time, Lower Annuity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20 to 40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2</t>
        </is>
      </c>
      <c r="BC208" s="30">
        <f>IF(BB208="Stage 2",20,IF(BB208="Stage 1",0,IF(BB208="Stage 3",5,IF(BB208="Stage 4",-5,0))))</f>
        <v/>
      </c>
      <c r="BD208" s="30" t="inlineStr">
        <is>
          <t>Negative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Blue sky scenario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Between 12 to 20%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No</t>
        </is>
      </c>
      <c r="BS208" s="30">
        <f>IF(BR208="NO",5,0)</f>
        <v/>
      </c>
      <c r="BT208" s="30" t="inlineStr">
        <is>
          <t>Above 2</t>
        </is>
      </c>
      <c r="BU208" s="30">
        <f>IF(BT208="Above 2",0,IF(BT208="Between 1.5 to 2",5,IF(BT208="Less than 1.5",10,0)))</f>
        <v/>
      </c>
      <c r="BV208" s="30" t="inlineStr">
        <is>
          <t>Above 70%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IF(B209=0,"",RANK(B209,$B$2:$B$306,0))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2" t="inlineStr">
        <is>
          <t>SHYAMMETL</t>
        </is>
      </c>
      <c r="D209" s="32" t="inlineStr">
        <is>
          <t>Shyam Metalics &amp; Energy Ltd</t>
        </is>
      </c>
      <c r="E209" s="30" t="inlineStr">
        <is>
          <t>metals &amp; mining</t>
        </is>
      </c>
      <c r="F209" s="30" t="inlineStr">
        <is>
          <t>steel - large</t>
        </is>
      </c>
      <c r="G209" s="30" t="inlineStr">
        <is>
          <t>largecap</t>
        </is>
      </c>
      <c r="H209" s="31" t="n">
        <v>27969.01</v>
      </c>
      <c r="I209" s="31" t="n">
        <v>1001.3</v>
      </c>
      <c r="J209" s="31" t="n">
        <v>-0.07000000000000001</v>
      </c>
      <c r="K209" s="31" t="n">
        <v>663549</v>
      </c>
      <c r="L209" s="30" t="n">
        <v>34</v>
      </c>
      <c r="M209" s="30" t="inlineStr">
        <is>
          <t>Underperforming</t>
        </is>
      </c>
      <c r="N209" s="31">
        <f>IF(M209="Underperforming",-5,IF(L209&gt;=95,15,IF(L209&gt;=90,10,IF(L209&gt;=80,5,0))))</f>
        <v/>
      </c>
      <c r="O209" s="31" t="n">
        <v>65.81</v>
      </c>
      <c r="P209" s="31" t="n">
        <v>14.17</v>
      </c>
      <c r="Q209" s="31" t="n">
        <v>806.87</v>
      </c>
      <c r="R209" s="30" t="inlineStr">
        <is>
          <t>Near 52W High Breakout</t>
        </is>
      </c>
      <c r="S209" s="30" t="inlineStr">
        <is>
          <t>Nifty Metal</t>
        </is>
      </c>
      <c r="T209" s="31" t="n">
        <v>40.56</v>
      </c>
      <c r="U209" s="31" t="n">
        <v>15.57</v>
      </c>
      <c r="V209" s="31" t="n">
        <v>-17.78</v>
      </c>
      <c r="W209" s="31" t="n">
        <v>8.92</v>
      </c>
      <c r="X209" s="30" t="inlineStr">
        <is>
          <t>Cyclical in an Upturn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No</t>
        </is>
      </c>
      <c r="AC209" s="30">
        <f>IF(AB209="No",5,0)</f>
        <v/>
      </c>
      <c r="AD209" s="30" t="inlineStr">
        <is>
          <t>Tailwind</t>
        </is>
      </c>
      <c r="AE209" s="30">
        <f>IF(AD209="Tailwind",10,0)</f>
        <v/>
      </c>
      <c r="AF209" s="30" t="inlineStr">
        <is>
          <t>Cyclical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Volatile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Yes</t>
        </is>
      </c>
      <c r="AQ209" s="30">
        <f>IF(AP209="Yes",10,0)</f>
        <v/>
      </c>
      <c r="AR209" s="30" t="inlineStr">
        <is>
          <t>Higher One Time, Lower Annuity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0 to 20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2</t>
        </is>
      </c>
      <c r="BC209" s="30">
        <f>IF(BB209="Stage 2",20,IF(BB209="Stage 1",0,IF(BB209="Stage 3",5,IF(BB209="Stage 4",-5,0))))</f>
        <v/>
      </c>
      <c r="BD209" s="30" t="inlineStr">
        <is>
          <t>Positive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Blue sky scenario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More than 20%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No</t>
        </is>
      </c>
      <c r="BS209" s="30">
        <f>IF(BR209="NO",5,0)</f>
        <v/>
      </c>
      <c r="BT209" s="30" t="inlineStr">
        <is>
          <t>Less than 1.5</t>
        </is>
      </c>
      <c r="BU209" s="30">
        <f>IF(BT209="Above 2",0,IF(BT209="Between 1.5 to 2",5,IF(BT209="Less than 1.5",10,0)))</f>
        <v/>
      </c>
      <c r="BV209" s="30" t="inlineStr">
        <is>
          <t>Above 70%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Less than 0.7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IF(B210=0,"",RANK(B210,$B$2:$B$306,0))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0" t="inlineStr">
        <is>
          <t>DLINKINDIA</t>
        </is>
      </c>
      <c r="D210" s="30" t="inlineStr">
        <is>
          <t>D-link (india) Limited</t>
        </is>
      </c>
      <c r="E210" s="30" t="inlineStr">
        <is>
          <t>services</t>
        </is>
      </c>
      <c r="F210" s="30" t="inlineStr">
        <is>
          <t>trading</t>
        </is>
      </c>
      <c r="G210" s="30" t="inlineStr">
        <is>
          <t>smallcap</t>
        </is>
      </c>
      <c r="H210" s="31" t="n">
        <v>1704.06</v>
      </c>
      <c r="I210" s="31" t="n">
        <v>477.5</v>
      </c>
      <c r="J210" s="31" t="n">
        <v>-0.51</v>
      </c>
      <c r="K210" s="31" t="n">
        <v>114871</v>
      </c>
      <c r="L210" s="30" t="n">
        <v>15</v>
      </c>
      <c r="M210" s="30" t="inlineStr">
        <is>
          <t>Outperforming</t>
        </is>
      </c>
      <c r="N210" s="31">
        <f>IF(M210="Underperforming",-5,IF(L210&gt;=95,15,IF(L210&gt;=90,10,IF(L210&gt;=80,5,0))))</f>
        <v/>
      </c>
      <c r="O210" s="31" t="n">
        <v>60.84</v>
      </c>
      <c r="P210" s="31" t="n">
        <v>23.25</v>
      </c>
      <c r="Q210" s="31" t="n">
        <v>389.36</v>
      </c>
      <c r="R210" s="30" t="inlineStr">
        <is>
          <t>Earnings / Momentum Support</t>
        </is>
      </c>
      <c r="S210" s="30" t="inlineStr">
        <is>
          <t>Nifty 50</t>
        </is>
      </c>
      <c r="T210" s="31" t="n">
        <v>-6.54</v>
      </c>
      <c r="U210" s="31" t="n">
        <v>-0.34</v>
      </c>
      <c r="V210" s="31" t="n">
        <v>6.64</v>
      </c>
      <c r="W210" s="31" t="n">
        <v>4.46</v>
      </c>
      <c r="X210" s="30" t="inlineStr">
        <is>
          <t>Growing Industry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No</t>
        </is>
      </c>
      <c r="AC210" s="30">
        <f>IF(AB210="No",5,0)</f>
        <v/>
      </c>
      <c r="AD210" s="30" t="inlineStr">
        <is>
          <t>Tailwind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No</t>
        </is>
      </c>
      <c r="AQ210" s="30">
        <f>IF(AP210="Yes",10,0)</f>
        <v/>
      </c>
      <c r="AR210" s="30" t="inlineStr">
        <is>
          <t>Higher One Time, Lower Annuity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20 to 40</t>
        </is>
      </c>
      <c r="AY210" s="30">
        <f>IF(AX210="Above 40",20,IF(AX210="20 to 40",10,IF(AX210="0 to 20",-5,0)))</f>
        <v/>
      </c>
      <c r="AZ210" s="30" t="inlineStr">
        <is>
          <t>Between 50 to 75</t>
        </is>
      </c>
      <c r="BA210" s="30">
        <f>IF(AZ210="Between 50 to 75",10,IF(AZ210="Above 75",0,0))</f>
        <v/>
      </c>
      <c r="BB210" s="30" t="inlineStr">
        <is>
          <t>Stage 2</t>
        </is>
      </c>
      <c r="BC210" s="30">
        <f>IF(BB210="Stage 2",20,IF(BB210="Stage 1",0,IF(BB210="Stage 3",5,IF(BB210="Stage 4",-5,0))))</f>
        <v/>
      </c>
      <c r="BD210" s="30" t="inlineStr">
        <is>
          <t>Positive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Close to 52 week high or retracement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Less than 12%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No</t>
        </is>
      </c>
      <c r="BS210" s="30">
        <f>IF(BR210="NO",5,0)</f>
        <v/>
      </c>
      <c r="BT210" s="30" t="inlineStr">
        <is>
          <t>Above 2</t>
        </is>
      </c>
      <c r="BU210" s="30">
        <f>IF(BT210="Above 2",0,IF(BT210="Between 1.5 to 2",5,IF(BT210="Less than 1.5",10,0)))</f>
        <v/>
      </c>
      <c r="BV210" s="30" t="inlineStr">
        <is>
          <t>Less than 50%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Less than 0.7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IF(B211=0,"",RANK(B211,$B$2:$B$306,0))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0" t="inlineStr">
        <is>
          <t>GRASIM</t>
        </is>
      </c>
      <c r="D211" s="30" t="inlineStr">
        <is>
          <t>Grasim Industries Limited</t>
        </is>
      </c>
      <c r="E211" s="30" t="inlineStr">
        <is>
          <t>textiles</t>
        </is>
      </c>
      <c r="F211" s="30" t="inlineStr">
        <is>
          <t>textiles - manmade</t>
        </is>
      </c>
      <c r="G211" s="30" t="inlineStr">
        <is>
          <t>largecap</t>
        </is>
      </c>
      <c r="H211" s="31" t="n">
        <v>211218.18</v>
      </c>
      <c r="I211" s="31" t="n">
        <v>3087.7</v>
      </c>
      <c r="J211" s="31" t="n">
        <v>-0.51</v>
      </c>
      <c r="K211" s="31" t="n">
        <v>697168</v>
      </c>
      <c r="L211" s="30" t="n">
        <v>25</v>
      </c>
      <c r="M211" s="30" t="inlineStr">
        <is>
          <t>Outperforming</t>
        </is>
      </c>
      <c r="N211" s="31">
        <f>IF(M211="Underperforming",-5,IF(L211&gt;=95,15,IF(L211&gt;=90,10,IF(L211&gt;=80,5,0))))</f>
        <v/>
      </c>
      <c r="O211" s="31" t="n">
        <v>63.81</v>
      </c>
      <c r="P211" s="31" t="n">
        <v>21.55</v>
      </c>
      <c r="Q211" s="31" t="n">
        <v>2732.23</v>
      </c>
      <c r="R211" s="30" t="inlineStr">
        <is>
          <t>Near 52W High Breakout</t>
        </is>
      </c>
      <c r="S211" s="30" t="inlineStr">
        <is>
          <t>Nifty 50</t>
        </is>
      </c>
      <c r="T211" s="31" t="n">
        <v>-6.54</v>
      </c>
      <c r="U211" s="31" t="n">
        <v>20.37</v>
      </c>
      <c r="V211" s="31" t="n">
        <v>28.8</v>
      </c>
      <c r="W211" s="31" t="n">
        <v>6.68</v>
      </c>
      <c r="X211" s="30" t="inlineStr">
        <is>
          <t>Growing Industry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No</t>
        </is>
      </c>
      <c r="AC211" s="30">
        <f>IF(AB211="No",5,0)</f>
        <v/>
      </c>
      <c r="AD211" s="30" t="inlineStr">
        <is>
          <t>Tailwind</t>
        </is>
      </c>
      <c r="AE211" s="30">
        <f>IF(AD211="Tailwind",10,0)</f>
        <v/>
      </c>
      <c r="AF211" s="30" t="inlineStr">
        <is>
          <t>Structural (10 Years Consistency)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Stable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Yes</t>
        </is>
      </c>
      <c r="AQ211" s="30">
        <f>IF(AP211="Yes",10,0)</f>
        <v/>
      </c>
      <c r="AR211" s="30" t="inlineStr">
        <is>
          <t>Higher One Time, Lower Annuity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20 to 40</t>
        </is>
      </c>
      <c r="AY211" s="30">
        <f>IF(AX211="Above 40",20,IF(AX211="20 to 40",10,IF(AX211="0 to 20",-5,0)))</f>
        <v/>
      </c>
      <c r="AZ211" s="30" t="inlineStr">
        <is>
          <t>Between 50 to 75</t>
        </is>
      </c>
      <c r="BA211" s="30">
        <f>IF(AZ211="Between 50 to 75",10,IF(AZ211="Above 75",0,0))</f>
        <v/>
      </c>
      <c r="BB211" s="30" t="inlineStr">
        <is>
          <t>Stage 2</t>
        </is>
      </c>
      <c r="BC211" s="30">
        <f>IF(BB211="Stage 2",20,IF(BB211="Stage 1",0,IF(BB211="Stage 3",5,IF(BB211="Stage 4",-5,0))))</f>
        <v/>
      </c>
      <c r="BD211" s="30" t="inlineStr">
        <is>
          <t>Positive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Blue sky scenario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More than 20%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Yes</t>
        </is>
      </c>
      <c r="BS211" s="30">
        <f>IF(BR211="NO",5,0)</f>
        <v/>
      </c>
      <c r="BT211" s="30" t="inlineStr">
        <is>
          <t>Less than 1.5</t>
        </is>
      </c>
      <c r="BU211" s="30">
        <f>IF(BT211="Above 2",0,IF(BT211="Between 1.5 to 2",5,IF(BT211="Less than 1.5",10,0)))</f>
        <v/>
      </c>
      <c r="BV211" s="30" t="inlineStr">
        <is>
          <t>Negative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More than 1.2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IF(B212=0,"",RANK(B212,$B$2:$B$306,0))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0" t="inlineStr">
        <is>
          <t>WELSPUNLIV</t>
        </is>
      </c>
      <c r="D212" s="30" t="inlineStr">
        <is>
          <t>Welspun Living Ltd</t>
        </is>
      </c>
      <c r="E212" s="30" t="inlineStr">
        <is>
          <t>textiles</t>
        </is>
      </c>
      <c r="F212" s="30" t="inlineStr">
        <is>
          <t>textiles - products</t>
        </is>
      </c>
      <c r="G212" s="30" t="inlineStr">
        <is>
          <t>midcap</t>
        </is>
      </c>
      <c r="H212" s="31" t="n">
        <v>13838.65</v>
      </c>
      <c r="I212" s="31" t="n">
        <v>143.13</v>
      </c>
      <c r="J212" s="31" t="n">
        <v>-0.8</v>
      </c>
      <c r="K212" s="31" t="n">
        <v>637847</v>
      </c>
      <c r="L212" s="30" t="n">
        <v>22</v>
      </c>
      <c r="M212" s="30" t="inlineStr">
        <is>
          <t>Outperforming</t>
        </is>
      </c>
      <c r="N212" s="31">
        <f>IF(M212="Underperforming",-5,IF(L212&gt;=95,15,IF(L212&gt;=90,10,IF(L212&gt;=80,5,0))))</f>
        <v/>
      </c>
      <c r="O212" s="31" t="n">
        <v>61.16</v>
      </c>
      <c r="P212" s="31" t="n">
        <v>16.23</v>
      </c>
      <c r="Q212" s="31" t="n">
        <v>110.91</v>
      </c>
      <c r="R212" s="30" t="inlineStr">
        <is>
          <t>Near 52W High Breakout</t>
        </is>
      </c>
      <c r="S212" s="30" t="inlineStr">
        <is>
          <t>Nifty 50</t>
        </is>
      </c>
      <c r="T212" s="31" t="n">
        <v>-6.54</v>
      </c>
      <c r="U212" s="31" t="n">
        <v>5.56</v>
      </c>
      <c r="V212" s="31" t="n">
        <v>12.95</v>
      </c>
      <c r="W212" s="31" t="n">
        <v>5.88</v>
      </c>
      <c r="X212" s="30" t="inlineStr">
        <is>
          <t>Growing Industry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No</t>
        </is>
      </c>
      <c r="AC212" s="30">
        <f>IF(AB212="No",5,0)</f>
        <v/>
      </c>
      <c r="AD212" s="30" t="inlineStr">
        <is>
          <t>Tailwind</t>
        </is>
      </c>
      <c r="AE212" s="30">
        <f>IF(AD212="Tailwind",10,0)</f>
        <v/>
      </c>
      <c r="AF212" s="30" t="inlineStr">
        <is>
          <t>Structural (10 Years Consistency)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Stable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Yes</t>
        </is>
      </c>
      <c r="AQ212" s="30">
        <f>IF(AP212="Yes",10,0)</f>
        <v/>
      </c>
      <c r="AR212" s="30" t="inlineStr">
        <is>
          <t>Higher One Time, Lower Annuity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0 to 20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2</t>
        </is>
      </c>
      <c r="BC212" s="30">
        <f>IF(BB212="Stage 2",20,IF(BB212="Stage 1",0,IF(BB212="Stage 3",5,IF(BB212="Stage 4",-5,0))))</f>
        <v/>
      </c>
      <c r="BD212" s="30" t="inlineStr">
        <is>
          <t>Positive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Close to 52 week high or retracement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Less than 12%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Yes</t>
        </is>
      </c>
      <c r="BS212" s="30">
        <f>IF(BR212="NO",5,0)</f>
        <v/>
      </c>
      <c r="BT212" s="30" t="inlineStr">
        <is>
          <t>Above 2</t>
        </is>
      </c>
      <c r="BU212" s="30">
        <f>IF(BT212="Above 2",0,IF(BT212="Between 1.5 to 2",5,IF(BT212="Less than 1.5",10,0)))</f>
        <v/>
      </c>
      <c r="BV212" s="30" t="inlineStr">
        <is>
          <t>Above 70%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Less than 0.7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IF(B213=0,"",RANK(B213,$B$2:$B$306,0))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0" t="inlineStr">
        <is>
          <t>ANTELOPUS</t>
        </is>
      </c>
      <c r="D213" s="30" t="inlineStr">
        <is>
          <t>Antelopus Selan Energy Ltd</t>
        </is>
      </c>
      <c r="E213" s="30" t="inlineStr">
        <is>
          <t>energy</t>
        </is>
      </c>
      <c r="F213" s="30" t="inlineStr">
        <is>
          <t>oil drilling / allied services</t>
        </is>
      </c>
      <c r="G213" s="30" t="inlineStr">
        <is>
          <t>smallcap</t>
        </is>
      </c>
      <c r="H213" s="31" t="n">
        <v>3218.59</v>
      </c>
      <c r="I213" s="31" t="n">
        <v>899.35</v>
      </c>
      <c r="J213" s="31" t="n">
        <v>-1.75</v>
      </c>
      <c r="K213" s="31" t="n">
        <v>218479</v>
      </c>
      <c r="L213" s="30" t="n">
        <v>77</v>
      </c>
      <c r="M213" s="30" t="inlineStr">
        <is>
          <t>Outperforming</t>
        </is>
      </c>
      <c r="N213" s="31">
        <f>IF(M213="Underperforming",-5,IF(L213&gt;=95,15,IF(L213&gt;=90,10,IF(L213&gt;=80,5,0))))</f>
        <v/>
      </c>
      <c r="O213" s="31" t="n">
        <v>71.73999999999999</v>
      </c>
      <c r="P213" s="31" t="n">
        <v>39.6</v>
      </c>
      <c r="Q213" s="31" t="n">
        <v>628.8099999999999</v>
      </c>
      <c r="R213" s="30" t="inlineStr">
        <is>
          <t>Near 52W High Breakout</t>
        </is>
      </c>
      <c r="S213" s="30" t="inlineStr">
        <is>
          <t>Nifty Energy</t>
        </is>
      </c>
      <c r="T213" s="31" t="n">
        <v>12.31</v>
      </c>
      <c r="U213" s="31" t="n">
        <v>49.28</v>
      </c>
      <c r="V213" s="31" t="n">
        <v>32.92</v>
      </c>
      <c r="W213" s="31" t="n">
        <v>24.04</v>
      </c>
      <c r="X213" s="30" t="inlineStr">
        <is>
          <t>Cyclical in an Upturn</t>
        </is>
      </c>
      <c r="Y213" s="30">
        <f>IF(X213="Growing Industry",10,IF(X213="Cyclical in an Upturn",5,0))</f>
        <v/>
      </c>
      <c r="Z213" s="30" t="inlineStr">
        <is>
          <t>Oligopoly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Yes</t>
        </is>
      </c>
      <c r="AC213" s="30">
        <f>IF(AB213="No",5,0)</f>
        <v/>
      </c>
      <c r="AD213" s="30" t="inlineStr">
        <is>
          <t>Tailwind</t>
        </is>
      </c>
      <c r="AE213" s="30">
        <f>IF(AD213="Tailwind",10,0)</f>
        <v/>
      </c>
      <c r="AF213" s="30" t="inlineStr">
        <is>
          <t>Cyclical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Volatile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Yes</t>
        </is>
      </c>
      <c r="AQ213" s="30">
        <f>IF(AP213="Yes",10,0)</f>
        <v/>
      </c>
      <c r="AR213" s="30" t="inlineStr">
        <is>
          <t>Higher One Time, Lower Annuity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20 to 40</t>
        </is>
      </c>
      <c r="AY213" s="30">
        <f>IF(AX213="Above 40",20,IF(AX213="20 to 40",10,IF(AX213="0 to 20",-5,0)))</f>
        <v/>
      </c>
      <c r="AZ213" s="30" t="inlineStr">
        <is>
          <t>Between 50 to 75</t>
        </is>
      </c>
      <c r="BA213" s="30">
        <f>IF(AZ213="Between 50 to 75",10,IF(AZ213="Above 75",0,0))</f>
        <v/>
      </c>
      <c r="BB213" s="30" t="inlineStr">
        <is>
          <t>Stage 2</t>
        </is>
      </c>
      <c r="BC213" s="30">
        <f>IF(BB213="Stage 2",20,IF(BB213="Stage 1",0,IF(BB213="Stage 3",5,IF(BB213="Stage 4",-5,0))))</f>
        <v/>
      </c>
      <c r="BD213" s="30" t="inlineStr">
        <is>
          <t>Positive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Close to 52 week high or retracement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More than 20%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No</t>
        </is>
      </c>
      <c r="BS213" s="30">
        <f>IF(BR213="NO",5,0)</f>
        <v/>
      </c>
      <c r="BT213" s="30" t="inlineStr">
        <is>
          <t>Above 2</t>
        </is>
      </c>
      <c r="BU213" s="30">
        <f>IF(BT213="Above 2",0,IF(BT213="Between 1.5 to 2",5,IF(BT213="Less than 1.5",10,0)))</f>
        <v/>
      </c>
      <c r="BV213" s="30" t="inlineStr">
        <is>
          <t>Above 70%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Less than 0.7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IF(B214=0,"",RANK(B214,$B$2:$B$306,0))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0" t="inlineStr">
        <is>
          <t>GOLDIAM</t>
        </is>
      </c>
      <c r="D214" s="30" t="inlineStr">
        <is>
          <t>Goldiam International Limited</t>
        </is>
      </c>
      <c r="E214" s="30" t="inlineStr">
        <is>
          <t>consumer discretionary</t>
        </is>
      </c>
      <c r="F214" s="30" t="inlineStr">
        <is>
          <t>diamond cutting / jewellery</t>
        </is>
      </c>
      <c r="G214" s="30" t="inlineStr">
        <is>
          <t>smallcap</t>
        </is>
      </c>
      <c r="H214" s="31" t="n">
        <v>4875.23</v>
      </c>
      <c r="I214" s="31" t="n">
        <v>421.6</v>
      </c>
      <c r="J214" s="31" t="n">
        <v>-2.35</v>
      </c>
      <c r="K214" s="31" t="n">
        <v>510424</v>
      </c>
      <c r="L214" s="30" t="n">
        <v>40</v>
      </c>
      <c r="M214" s="30" t="inlineStr">
        <is>
          <t>Outperforming</t>
        </is>
      </c>
      <c r="N214" s="31">
        <f>IF(M214="Underperforming",-5,IF(L214&gt;=95,15,IF(L214&gt;=90,10,IF(L214&gt;=80,5,0))))</f>
        <v/>
      </c>
      <c r="O214" s="31" t="n">
        <v>58.61</v>
      </c>
      <c r="P214" s="31" t="n">
        <v>22</v>
      </c>
      <c r="Q214" s="31" t="n">
        <v>306.78</v>
      </c>
      <c r="R214" s="30" t="inlineStr">
        <is>
          <t>Volume Spike &amp; Near 52W High Breakout</t>
        </is>
      </c>
      <c r="S214" s="30" t="inlineStr">
        <is>
          <t>Nifty 50</t>
        </is>
      </c>
      <c r="T214" s="31" t="n">
        <v>-6.54</v>
      </c>
      <c r="U214" s="31" t="n">
        <v>18.38</v>
      </c>
      <c r="V214" s="31" t="n">
        <v>26.67</v>
      </c>
      <c r="W214" s="31" t="n">
        <v>10.77</v>
      </c>
      <c r="X214" s="30" t="inlineStr">
        <is>
          <t>Growing Industry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No</t>
        </is>
      </c>
      <c r="AC214" s="30">
        <f>IF(AB214="No",5,0)</f>
        <v/>
      </c>
      <c r="AD214" s="30" t="inlineStr">
        <is>
          <t>Tailwind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Yes</t>
        </is>
      </c>
      <c r="AQ214" s="30">
        <f>IF(AP214="Yes",10,0)</f>
        <v/>
      </c>
      <c r="AR214" s="30" t="inlineStr">
        <is>
          <t>Higher One Time, Lower Annuity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20 to 40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2</t>
        </is>
      </c>
      <c r="BC214" s="30">
        <f>IF(BB214="Stage 2",20,IF(BB214="Stage 1",0,IF(BB214="Stage 3",5,IF(BB214="Stage 4",-5,0))))</f>
        <v/>
      </c>
      <c r="BD214" s="30" t="inlineStr">
        <is>
          <t>Negative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Close to 52 week high or retracement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More than 20%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No</t>
        </is>
      </c>
      <c r="BS214" s="30">
        <f>IF(BR214="NO",5,0)</f>
        <v/>
      </c>
      <c r="BT214" s="30" t="inlineStr">
        <is>
          <t>Less than 1.5</t>
        </is>
      </c>
      <c r="BU214" s="30">
        <f>IF(BT214="Above 2",0,IF(BT214="Between 1.5 to 2",5,IF(BT214="Less than 1.5",10,0)))</f>
        <v/>
      </c>
      <c r="BV214" s="30" t="inlineStr">
        <is>
          <t>Less than 50%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Less than 0.7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IF(B215=0,"",RANK(B215,$B$2:$B$306,0))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0" t="inlineStr">
        <is>
          <t>V2RETAIL</t>
        </is>
      </c>
      <c r="D215" s="30" t="inlineStr">
        <is>
          <t>V2 Retail Limited</t>
        </is>
      </c>
      <c r="E215" s="30" t="inlineStr">
        <is>
          <t>consumer discretionary</t>
        </is>
      </c>
      <c r="F215" s="30" t="inlineStr">
        <is>
          <t>textiles - products</t>
        </is>
      </c>
      <c r="G215" s="30" t="inlineStr">
        <is>
          <t>midcap</t>
        </is>
      </c>
      <c r="H215" s="31" t="n">
        <v>9349.309999999999</v>
      </c>
      <c r="I215" s="31" t="n">
        <v>247.99</v>
      </c>
      <c r="J215" s="31" t="n">
        <v>-3.28</v>
      </c>
      <c r="K215" s="31" t="n">
        <v>1871365</v>
      </c>
      <c r="L215" s="30" t="n">
        <v>52</v>
      </c>
      <c r="M215" s="30" t="inlineStr">
        <is>
          <t>Outperforming</t>
        </is>
      </c>
      <c r="N215" s="31">
        <f>IF(M215="Underperforming",-5,IF(L215&gt;=95,15,IF(L215&gt;=90,10,IF(L215&gt;=80,5,0))))</f>
        <v/>
      </c>
      <c r="O215" s="31" t="n">
        <v>66.48</v>
      </c>
      <c r="P215" s="31" t="n">
        <v>26.15</v>
      </c>
      <c r="Q215" s="31" t="n">
        <v>182.91</v>
      </c>
      <c r="R215" s="30" t="inlineStr">
        <is>
          <t>Volume Spike &amp; Near 52W High Breakout</t>
        </is>
      </c>
      <c r="S215" s="30" t="inlineStr">
        <is>
          <t>Nifty 50</t>
        </is>
      </c>
      <c r="T215" s="31" t="n">
        <v>-6.54</v>
      </c>
      <c r="U215" s="31" t="n">
        <v>36.2</v>
      </c>
      <c r="V215" s="31" t="n">
        <v>45.74</v>
      </c>
      <c r="W215" s="31" t="n">
        <v>13.87</v>
      </c>
      <c r="X215" s="30" t="inlineStr">
        <is>
          <t>Growing Industry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No</t>
        </is>
      </c>
      <c r="AC215" s="30">
        <f>IF(AB215="No",5,0)</f>
        <v/>
      </c>
      <c r="AD215" s="30" t="inlineStr">
        <is>
          <t>Tailwind</t>
        </is>
      </c>
      <c r="AE215" s="30">
        <f>IF(AD215="Tailwind",10,0)</f>
        <v/>
      </c>
      <c r="AF215" s="30" t="inlineStr">
        <is>
          <t>Structural (10 Years Consistency)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Yes</t>
        </is>
      </c>
      <c r="AQ215" s="30">
        <f>IF(AP215="Yes",10,0)</f>
        <v/>
      </c>
      <c r="AR215" s="30" t="inlineStr">
        <is>
          <t>Higher One Time, Lower Annuity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20 to 40</t>
        </is>
      </c>
      <c r="AY215" s="30">
        <f>IF(AX215="Above 40",20,IF(AX215="20 to 40",10,IF(AX215="0 to 20",-5,0)))</f>
        <v/>
      </c>
      <c r="AZ215" s="30" t="inlineStr">
        <is>
          <t>Between 50 to 75</t>
        </is>
      </c>
      <c r="BA215" s="30">
        <f>IF(AZ215="Between 50 to 75",10,IF(AZ215="Above 75",0,0))</f>
        <v/>
      </c>
      <c r="BB215" s="30" t="inlineStr">
        <is>
          <t>Stage 2</t>
        </is>
      </c>
      <c r="BC215" s="30">
        <f>IF(BB215="Stage 2",20,IF(BB215="Stage 1",0,IF(BB215="Stage 3",5,IF(BB215="Stage 4",-5,0))))</f>
        <v/>
      </c>
      <c r="BD215" s="30" t="inlineStr">
        <is>
          <t>Positive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Blue sky scenario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More than 20%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Yes</t>
        </is>
      </c>
      <c r="BS215" s="30">
        <f>IF(BR215="NO",5,0)</f>
        <v/>
      </c>
      <c r="BT215" s="30" t="inlineStr">
        <is>
          <t>Above 2</t>
        </is>
      </c>
      <c r="BU215" s="30">
        <f>IF(BT215="Above 2",0,IF(BT215="Between 1.5 to 2",5,IF(BT215="Less than 1.5",10,0)))</f>
        <v/>
      </c>
      <c r="BV215" s="30" t="inlineStr">
        <is>
          <t>Negative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Between 0.7 to 1.2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IF(B216=0,"",RANK(B216,$B$2:$B$306,0))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0" t="inlineStr">
        <is>
          <t>VADILALIND</t>
        </is>
      </c>
      <c r="D216" s="30" t="inlineStr">
        <is>
          <t>Vadilal Industries Limited</t>
        </is>
      </c>
      <c r="E216" s="30" t="inlineStr">
        <is>
          <t>fmcg</t>
        </is>
      </c>
      <c r="F216" s="30" t="inlineStr">
        <is>
          <t>food - processing - indian</t>
        </is>
      </c>
      <c r="G216" s="30" t="inlineStr">
        <is>
          <t>smallcap</t>
        </is>
      </c>
      <c r="H216" s="31" t="n">
        <v>3948.28</v>
      </c>
      <c r="I216" s="31" t="n">
        <v>5780.7</v>
      </c>
      <c r="J216" s="31" t="n">
        <v>5.24</v>
      </c>
      <c r="K216" s="31" t="n">
        <v>121955</v>
      </c>
      <c r="L216" s="30" t="n">
        <v>14</v>
      </c>
      <c r="M216" s="30" t="inlineStr">
        <is>
          <t>Outperforming</t>
        </is>
      </c>
      <c r="N216" s="31">
        <f>IF(M216="Underperforming",-5,IF(L216&gt;=95,15,IF(L216&gt;=90,10,IF(L216&gt;=80,5,0))))</f>
        <v/>
      </c>
      <c r="O216" s="31" t="n">
        <v>64.17</v>
      </c>
      <c r="P216" s="31" t="n">
        <v>11.06</v>
      </c>
      <c r="Q216" s="31" t="n">
        <v>4390.09</v>
      </c>
      <c r="R216" s="30" t="inlineStr">
        <is>
          <t>Volume Spike &amp; Near 52W High Breakout</t>
        </is>
      </c>
      <c r="S216" s="30" t="inlineStr">
        <is>
          <t>Nifty FMCG</t>
        </is>
      </c>
      <c r="T216" s="31" t="n">
        <v>-13.44</v>
      </c>
      <c r="U216" s="31" t="n">
        <v>6.54</v>
      </c>
      <c r="V216" s="31" t="n">
        <v>23.08</v>
      </c>
      <c r="W216" s="31" t="n">
        <v>4.13</v>
      </c>
      <c r="X216" s="30" t="inlineStr">
        <is>
          <t>Growing Industry</t>
        </is>
      </c>
      <c r="Y216" s="30">
        <f>IF(X216="Growing Industry",10,IF(X216="Cyclical in an Upturn",5,0))</f>
        <v/>
      </c>
      <c r="Z216" s="30" t="inlineStr">
        <is>
          <t>Too Many Players with High ROCE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No</t>
        </is>
      </c>
      <c r="AC216" s="30">
        <f>IF(AB216="No",5,0)</f>
        <v/>
      </c>
      <c r="AD216" s="30" t="inlineStr">
        <is>
          <t>Tailwind</t>
        </is>
      </c>
      <c r="AE216" s="30">
        <f>IF(AD216="Tailwind",10,0)</f>
        <v/>
      </c>
      <c r="AF216" s="30" t="inlineStr">
        <is>
          <t>Structural (10 Years Consistency)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Stable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B2C</t>
        </is>
      </c>
      <c r="AO216" s="30">
        <f>IF(AN216="B2C",10,IF(AN216="B2B",5,0))</f>
        <v/>
      </c>
      <c r="AP216" s="30" t="inlineStr">
        <is>
          <t>Yes</t>
        </is>
      </c>
      <c r="AQ216" s="30">
        <f>IF(AP216="Yes",10,0)</f>
        <v/>
      </c>
      <c r="AR216" s="30" t="inlineStr">
        <is>
          <t>Higher Annuity, Lower One Time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0 to 20</t>
        </is>
      </c>
      <c r="AY216" s="30">
        <f>IF(AX216="Above 40",20,IF(AX216="20 to 40",10,IF(AX216="0 to 20",-5,0)))</f>
        <v/>
      </c>
      <c r="AZ216" s="30" t="inlineStr">
        <is>
          <t>Between 50 to 75</t>
        </is>
      </c>
      <c r="BA216" s="30">
        <f>IF(AZ216="Between 50 to 75",10,IF(AZ216="Above 75",0,0))</f>
        <v/>
      </c>
      <c r="BB216" s="30" t="inlineStr">
        <is>
          <t>Stage 1</t>
        </is>
      </c>
      <c r="BC216" s="30">
        <f>IF(BB216="Stage 2",20,IF(BB216="Stage 1",0,IF(BB216="Stage 3",5,IF(BB216="Stage 4",-5,0))))</f>
        <v/>
      </c>
      <c r="BD216" s="30" t="inlineStr">
        <is>
          <t>Positive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Close to 52 week high or retracement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More than 20%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No</t>
        </is>
      </c>
      <c r="BS216" s="30">
        <f>IF(BR216="NO",5,0)</f>
        <v/>
      </c>
      <c r="BT216" s="30" t="inlineStr">
        <is>
          <t>Above 2</t>
        </is>
      </c>
      <c r="BU216" s="30">
        <f>IF(BT216="Above 2",0,IF(BT216="Between 1.5 to 2",5,IF(BT216="Less than 1.5",10,0)))</f>
        <v/>
      </c>
      <c r="BV216" s="30" t="inlineStr">
        <is>
          <t>Between 50% to 70%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Less than 0.7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IF(B217=0,"",RANK(B217,$B$2:$B$306,0))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0" t="inlineStr">
        <is>
          <t>HMVL</t>
        </is>
      </c>
      <c r="D217" s="30" t="inlineStr">
        <is>
          <t>Hindustan Media Ventures Limited</t>
        </is>
      </c>
      <c r="E217" s="30" t="inlineStr">
        <is>
          <t>media</t>
        </is>
      </c>
      <c r="F217" s="30" t="inlineStr">
        <is>
          <t>entertainment / electronic media software</t>
        </is>
      </c>
      <c r="G217" s="30" t="inlineStr">
        <is>
          <t>smallcap</t>
        </is>
      </c>
      <c r="H217" s="31" t="n">
        <v>566.83</v>
      </c>
      <c r="I217" s="31" t="n">
        <v>80.63</v>
      </c>
      <c r="J217" s="31" t="n">
        <v>4.8</v>
      </c>
      <c r="K217" s="31" t="n">
        <v>87093</v>
      </c>
      <c r="L217" s="30" t="n">
        <v>11</v>
      </c>
      <c r="M217" s="30" t="inlineStr">
        <is>
          <t>Outperforming</t>
        </is>
      </c>
      <c r="N217" s="31">
        <f>IF(M217="Underperforming",-5,IF(L217&gt;=95,15,IF(L217&gt;=90,10,IF(L217&gt;=80,5,0))))</f>
        <v/>
      </c>
      <c r="O217" s="31" t="n">
        <v>64.3</v>
      </c>
      <c r="P217" s="31" t="n">
        <v>29.18</v>
      </c>
      <c r="Q217" s="31" t="n">
        <v>60.37</v>
      </c>
      <c r="R217" s="30" t="inlineStr">
        <is>
          <t>Volume Spike / Accumulation</t>
        </is>
      </c>
      <c r="S217" s="30" t="inlineStr">
        <is>
          <t>Nifty IT</t>
        </is>
      </c>
      <c r="T217" s="31" t="n">
        <v>-22.21</v>
      </c>
      <c r="U217" s="31" t="n">
        <v>-10.34</v>
      </c>
      <c r="V217" s="31" t="n">
        <v>15.26</v>
      </c>
      <c r="W217" s="31" t="n">
        <v>3.57</v>
      </c>
      <c r="X217" s="30" t="inlineStr">
        <is>
          <t>Growing Industry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No</t>
        </is>
      </c>
      <c r="AC217" s="30">
        <f>IF(AB217="No",5,0)</f>
        <v/>
      </c>
      <c r="AD217" s="30" t="inlineStr">
        <is>
          <t>Tailwind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Yes</t>
        </is>
      </c>
      <c r="AQ217" s="30">
        <f>IF(AP217="Yes",10,0)</f>
        <v/>
      </c>
      <c r="AR217" s="30" t="inlineStr">
        <is>
          <t>Higher Annuity, Lower One Time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20 to 40</t>
        </is>
      </c>
      <c r="AY217" s="30">
        <f>IF(AX217="Above 40",20,IF(AX217="20 to 40",10,IF(AX217="0 to 20",-5,0)))</f>
        <v/>
      </c>
      <c r="AZ217" s="30" t="inlineStr">
        <is>
          <t>Between 50 to 75</t>
        </is>
      </c>
      <c r="BA217" s="30">
        <f>IF(AZ217="Between 50 to 75",10,IF(AZ217="Above 75",0,0))</f>
        <v/>
      </c>
      <c r="BB217" s="30" t="inlineStr">
        <is>
          <t>Stage 1</t>
        </is>
      </c>
      <c r="BC217" s="30">
        <f>IF(BB217="Stage 2",20,IF(BB217="Stage 1",0,IF(BB217="Stage 3",5,IF(BB217="Stage 4",-5,0))))</f>
        <v/>
      </c>
      <c r="BD217" s="30" t="inlineStr">
        <is>
          <t>Positive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Close to 52 week high or retracement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Less than 12%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No</t>
        </is>
      </c>
      <c r="BS217" s="30">
        <f>IF(BR217="NO",5,0)</f>
        <v/>
      </c>
      <c r="BT217" s="30" t="inlineStr">
        <is>
          <t>Above 2</t>
        </is>
      </c>
      <c r="BU217" s="30">
        <f>IF(BT217="Above 2",0,IF(BT217="Between 1.5 to 2",5,IF(BT217="Less than 1.5",10,0)))</f>
        <v/>
      </c>
      <c r="BV217" s="30" t="inlineStr">
        <is>
          <t>Between 50% to 70%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Less than 0.7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IF(B218=0,"",RANK(B218,$B$2:$B$306,0))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0" t="inlineStr">
        <is>
          <t>HTMEDIA</t>
        </is>
      </c>
      <c r="D218" s="30" t="inlineStr">
        <is>
          <t>Ht Media Limited</t>
        </is>
      </c>
      <c r="E218" s="30" t="inlineStr">
        <is>
          <t>media</t>
        </is>
      </c>
      <c r="F218" s="30" t="inlineStr">
        <is>
          <t>entertainment / electronic media software</t>
        </is>
      </c>
      <c r="G218" s="30" t="inlineStr">
        <is>
          <t>smallcap</t>
        </is>
      </c>
      <c r="H218" s="31" t="n">
        <v>531.42</v>
      </c>
      <c r="I218" s="31" t="n">
        <v>23.06</v>
      </c>
      <c r="J218" s="31" t="n">
        <v>1.01</v>
      </c>
      <c r="K218" s="31" t="n">
        <v>76565</v>
      </c>
      <c r="L218" s="30" t="n">
        <v>23</v>
      </c>
      <c r="M218" s="30" t="inlineStr">
        <is>
          <t>Outperforming</t>
        </is>
      </c>
      <c r="N218" s="31">
        <f>IF(M218="Underperforming",-5,IF(L218&gt;=95,15,IF(L218&gt;=90,10,IF(L218&gt;=80,5,0))))</f>
        <v/>
      </c>
      <c r="O218" s="31" t="n">
        <v>53.57</v>
      </c>
      <c r="P218" s="31" t="n">
        <v>28.78</v>
      </c>
      <c r="Q218" s="31" t="n">
        <v>17.07</v>
      </c>
      <c r="R218" s="30" t="inlineStr">
        <is>
          <t>Earnings / Momentum Support</t>
        </is>
      </c>
      <c r="S218" s="30" t="inlineStr">
        <is>
          <t>Nifty IT</t>
        </is>
      </c>
      <c r="T218" s="31" t="n">
        <v>-22.21</v>
      </c>
      <c r="U218" s="31" t="n">
        <v>11.78</v>
      </c>
      <c r="V218" s="31" t="n">
        <v>43.7</v>
      </c>
      <c r="W218" s="31" t="n">
        <v>5.91</v>
      </c>
      <c r="X218" s="30" t="inlineStr">
        <is>
          <t>Growing Industry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No</t>
        </is>
      </c>
      <c r="AC218" s="30">
        <f>IF(AB218="No",5,0)</f>
        <v/>
      </c>
      <c r="AD218" s="30" t="inlineStr">
        <is>
          <t>Tailwind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No</t>
        </is>
      </c>
      <c r="AQ218" s="30">
        <f>IF(AP218="Yes",10,0)</f>
        <v/>
      </c>
      <c r="AR218" s="30" t="inlineStr">
        <is>
          <t>Higher Annuity, Lower One Time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20 to 40</t>
        </is>
      </c>
      <c r="AY218" s="30">
        <f>IF(AX218="Above 40",20,IF(AX218="20 to 40",10,IF(AX218="0 to 20",-5,0)))</f>
        <v/>
      </c>
      <c r="AZ218" s="30" t="inlineStr">
        <is>
          <t>Between 50 to 75</t>
        </is>
      </c>
      <c r="BA218" s="30">
        <f>IF(AZ218="Between 50 to 75",10,IF(AZ218="Above 75",0,0))</f>
        <v/>
      </c>
      <c r="BB218" s="30" t="inlineStr">
        <is>
          <t>Stage 1</t>
        </is>
      </c>
      <c r="BC218" s="30">
        <f>IF(BB218="Stage 2",20,IF(BB218="Stage 1",0,IF(BB218="Stage 3",5,IF(BB218="Stage 4",-5,0))))</f>
        <v/>
      </c>
      <c r="BD218" s="30" t="inlineStr">
        <is>
          <t>Positive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Close to 52 week high or retracement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More than 20%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Yes</t>
        </is>
      </c>
      <c r="BS218" s="30">
        <f>IF(BR218="NO",5,0)</f>
        <v/>
      </c>
      <c r="BT218" s="30" t="inlineStr">
        <is>
          <t>Above 2</t>
        </is>
      </c>
      <c r="BU218" s="30">
        <f>IF(BT218="Above 2",0,IF(BT218="Between 1.5 to 2",5,IF(BT218="Less than 1.5",10,0)))</f>
        <v/>
      </c>
      <c r="BV218" s="30" t="inlineStr">
        <is>
          <t>Above 70%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Less than 0.7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IF(B219=0,"",RANK(B219,$B$2:$B$306,0))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0" t="inlineStr">
        <is>
          <t>INDSWFTLAB</t>
        </is>
      </c>
      <c r="D219" s="30" t="inlineStr">
        <is>
          <t>Ind-swift Laboratories Limited</t>
        </is>
      </c>
      <c r="E219" s="30" t="inlineStr">
        <is>
          <t>healthcare</t>
        </is>
      </c>
      <c r="F219" s="30" t="inlineStr">
        <is>
          <t>pharmaceuticals - indian - bulk drugs &amp; formln</t>
        </is>
      </c>
      <c r="G219" s="30" t="inlineStr">
        <is>
          <t>smallcap</t>
        </is>
      </c>
      <c r="H219" s="31" t="n">
        <v>1360.64</v>
      </c>
      <c r="I219" s="31" t="n">
        <v>158</v>
      </c>
      <c r="J219" s="31" t="n">
        <v>0.84</v>
      </c>
      <c r="K219" s="31" t="n">
        <v>1275663</v>
      </c>
      <c r="L219" s="30" t="n">
        <v>59</v>
      </c>
      <c r="M219" s="30" t="inlineStr">
        <is>
          <t>Outperforming</t>
        </is>
      </c>
      <c r="N219" s="31">
        <f>IF(M219="Underperforming",-5,IF(L219&gt;=95,15,IF(L219&gt;=90,10,IF(L219&gt;=80,5,0))))</f>
        <v/>
      </c>
      <c r="O219" s="31" t="n">
        <v>70.97</v>
      </c>
      <c r="P219" s="31" t="n">
        <v>32.77</v>
      </c>
      <c r="Q219" s="31" t="n">
        <v>112.15</v>
      </c>
      <c r="R219" s="30" t="inlineStr">
        <is>
          <t>Volume Spike &amp; Near 52W High Breakout</t>
        </is>
      </c>
      <c r="S219" s="30" t="inlineStr">
        <is>
          <t>Nifty Pharma</t>
        </is>
      </c>
      <c r="T219" s="31" t="n">
        <v>11.82</v>
      </c>
      <c r="U219" s="31" t="n">
        <v>70.5</v>
      </c>
      <c r="V219" s="31" t="n">
        <v>52.47</v>
      </c>
      <c r="W219" s="31" t="n">
        <v>15.54</v>
      </c>
      <c r="X219" s="30" t="inlineStr">
        <is>
          <t>Growing Industry</t>
        </is>
      </c>
      <c r="Y219" s="30">
        <f>IF(X219="Growing Industry",10,IF(X219="Cyclical in an Upturn",5,0))</f>
        <v/>
      </c>
      <c r="Z219" s="30" t="inlineStr">
        <is>
          <t>Too Many Players with High ROCE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Yes</t>
        </is>
      </c>
      <c r="AC219" s="30">
        <f>IF(AB219="No",5,0)</f>
        <v/>
      </c>
      <c r="AD219" s="30" t="inlineStr">
        <is>
          <t>Tailwind</t>
        </is>
      </c>
      <c r="AE219" s="30">
        <f>IF(AD219="Tailwind",10,0)</f>
        <v/>
      </c>
      <c r="AF219" s="30" t="inlineStr">
        <is>
          <t>Structural (10 Years Consistency)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B2B</t>
        </is>
      </c>
      <c r="AO219" s="30">
        <f>IF(AN219="B2C",10,IF(AN219="B2B",5,0))</f>
        <v/>
      </c>
      <c r="AP219" s="30" t="inlineStr">
        <is>
          <t>Yes</t>
        </is>
      </c>
      <c r="AQ219" s="30">
        <f>IF(AP219="Yes",10,0)</f>
        <v/>
      </c>
      <c r="AR219" s="30" t="inlineStr">
        <is>
          <t>Higher Annuity, Lower One Time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20 to 40</t>
        </is>
      </c>
      <c r="AY219" s="30">
        <f>IF(AX219="Above 40",20,IF(AX219="20 to 40",10,IF(AX219="0 to 20",-5,0)))</f>
        <v/>
      </c>
      <c r="AZ219" s="30" t="inlineStr">
        <is>
          <t>Between 50 to 75</t>
        </is>
      </c>
      <c r="BA219" s="30">
        <f>IF(AZ219="Between 50 to 75",10,IF(AZ219="Above 75",0,0))</f>
        <v/>
      </c>
      <c r="BB219" s="30" t="inlineStr">
        <is>
          <t>Stage 2</t>
        </is>
      </c>
      <c r="BC219" s="30">
        <f>IF(BB219="Stage 2",20,IF(BB219="Stage 1",0,IF(BB219="Stage 3",5,IF(BB219="Stage 4",-5,0))))</f>
        <v/>
      </c>
      <c r="BD219" s="30" t="inlineStr">
        <is>
          <t>Positive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Close to 52 week high or retracement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Less than 12%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No</t>
        </is>
      </c>
      <c r="BS219" s="30">
        <f>IF(BR219="NO",5,0)</f>
        <v/>
      </c>
      <c r="BT219" s="30" t="inlineStr">
        <is>
          <t>Above 2</t>
        </is>
      </c>
      <c r="BU219" s="30">
        <f>IF(BT219="Above 2",0,IF(BT219="Between 1.5 to 2",5,IF(BT219="Less than 1.5",10,0)))</f>
        <v/>
      </c>
      <c r="BV219" s="30" t="inlineStr">
        <is>
          <t>Negative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IF(B220=0,"",RANK(B220,$B$2:$B$306,0))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0" t="inlineStr">
        <is>
          <t>AURUM</t>
        </is>
      </c>
      <c r="D220" s="30" t="inlineStr">
        <is>
          <t>Aurum Proptech Ltd</t>
        </is>
      </c>
      <c r="E220" s="30" t="inlineStr">
        <is>
          <t>i.t</t>
        </is>
      </c>
      <c r="F220" s="30" t="inlineStr">
        <is>
          <t>computers - software - medium / small</t>
        </is>
      </c>
      <c r="G220" s="30" t="inlineStr">
        <is>
          <t>smallcap</t>
        </is>
      </c>
      <c r="H220" s="31" t="n">
        <v>1446.55</v>
      </c>
      <c r="I220" s="31" t="n">
        <v>190.08</v>
      </c>
      <c r="J220" s="31" t="n">
        <v>0.73</v>
      </c>
      <c r="K220" s="31" t="n">
        <v>247744</v>
      </c>
      <c r="L220" s="30" t="n">
        <v>6</v>
      </c>
      <c r="M220" s="30" t="inlineStr">
        <is>
          <t>Outperforming</t>
        </is>
      </c>
      <c r="N220" s="31">
        <f>IF(M220="Underperforming",-5,IF(L220&gt;=95,15,IF(L220&gt;=90,10,IF(L220&gt;=80,5,0))))</f>
        <v/>
      </c>
      <c r="O220" s="31" t="n">
        <v>58.87</v>
      </c>
      <c r="P220" s="31" t="n">
        <v>15.18</v>
      </c>
      <c r="Q220" s="31" t="n">
        <v>145.71</v>
      </c>
      <c r="R220" s="30" t="inlineStr">
        <is>
          <t>Earnings / Momentum Support</t>
        </is>
      </c>
      <c r="S220" s="30" t="inlineStr">
        <is>
          <t>Nifty IT</t>
        </is>
      </c>
      <c r="T220" s="31" t="n">
        <v>-22.21</v>
      </c>
      <c r="U220" s="31" t="n">
        <v>-1.94</v>
      </c>
      <c r="V220" s="31" t="n">
        <v>26.06</v>
      </c>
      <c r="W220" s="31" t="n">
        <v>2.59</v>
      </c>
      <c r="X220" s="30" t="inlineStr">
        <is>
          <t>Growing Industry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No</t>
        </is>
      </c>
      <c r="AC220" s="30">
        <f>IF(AB220="No",5,0)</f>
        <v/>
      </c>
      <c r="AD220" s="30" t="inlineStr">
        <is>
          <t>Tailwind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No</t>
        </is>
      </c>
      <c r="AQ220" s="30">
        <f>IF(AP220="Yes",10,0)</f>
        <v/>
      </c>
      <c r="AR220" s="30" t="inlineStr">
        <is>
          <t>Higher Annuity, Lower One Time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0 to 20</t>
        </is>
      </c>
      <c r="AY220" s="30">
        <f>IF(AX220="Above 40",20,IF(AX220="20 to 40",10,IF(AX220="0 to 20",-5,0)))</f>
        <v/>
      </c>
      <c r="AZ220" s="30" t="inlineStr">
        <is>
          <t>Between 50 to 75</t>
        </is>
      </c>
      <c r="BA220" s="30">
        <f>IF(AZ220="Between 50 to 75",10,IF(AZ220="Above 75",0,0))</f>
        <v/>
      </c>
      <c r="BB220" s="30" t="inlineStr">
        <is>
          <t>Stage 2</t>
        </is>
      </c>
      <c r="BC220" s="30">
        <f>IF(BB220="Stage 2",20,IF(BB220="Stage 1",0,IF(BB220="Stage 3",5,IF(BB220="Stage 4",-5,0))))</f>
        <v/>
      </c>
      <c r="BD220" s="30" t="inlineStr">
        <is>
          <t>Positive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Close to 52 week high or retracement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More than 20%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Yes</t>
        </is>
      </c>
      <c r="BS220" s="30">
        <f>IF(BR220="NO",5,0)</f>
        <v/>
      </c>
      <c r="BT220" s="30" t="inlineStr">
        <is>
          <t>Above 2</t>
        </is>
      </c>
      <c r="BU220" s="30">
        <f>IF(BT220="Above 2",0,IF(BT220="Between 1.5 to 2",5,IF(BT220="Less than 1.5",10,0)))</f>
        <v/>
      </c>
      <c r="BV220" s="30" t="inlineStr">
        <is>
          <t>Between 50% to 70%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Less than 0.7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IF(B221=0,"",RANK(B221,$B$2:$B$306,0))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0" t="inlineStr">
        <is>
          <t>APCOTEXIND</t>
        </is>
      </c>
      <c r="D221" s="30" t="inlineStr">
        <is>
          <t>Apcotex Industries Limited</t>
        </is>
      </c>
      <c r="E221" s="30" t="inlineStr">
        <is>
          <t>chemicals</t>
        </is>
      </c>
      <c r="F221" s="30" t="inlineStr">
        <is>
          <t>miscellaneous</t>
        </is>
      </c>
      <c r="G221" s="30" t="inlineStr">
        <is>
          <t>smallcap</t>
        </is>
      </c>
      <c r="H221" s="31" t="n">
        <v>2791.07</v>
      </c>
      <c r="I221" s="31" t="n">
        <v>540.2</v>
      </c>
      <c r="J221" s="31" t="n">
        <v>0.34</v>
      </c>
      <c r="K221" s="31" t="n">
        <v>215905</v>
      </c>
      <c r="L221" s="30" t="n">
        <v>66</v>
      </c>
      <c r="M221" s="30" t="inlineStr">
        <is>
          <t>Outperforming</t>
        </is>
      </c>
      <c r="N221" s="31">
        <f>IF(M221="Underperforming",-5,IF(L221&gt;=95,15,IF(L221&gt;=90,10,IF(L221&gt;=80,5,0))))</f>
        <v/>
      </c>
      <c r="O221" s="31" t="n">
        <v>72.94</v>
      </c>
      <c r="P221" s="31" t="n">
        <v>29.53</v>
      </c>
      <c r="Q221" s="31" t="n">
        <v>415.02</v>
      </c>
      <c r="R221" s="30" t="inlineStr">
        <is>
          <t>Volume Spike &amp; Near 52W High Breakout</t>
        </is>
      </c>
      <c r="S221" s="30" t="inlineStr">
        <is>
          <t>Nifty Infra</t>
        </is>
      </c>
      <c r="T221" s="31" t="n">
        <v>1.11</v>
      </c>
      <c r="U221" s="31" t="n">
        <v>46.71</v>
      </c>
      <c r="V221" s="31" t="n">
        <v>45.09</v>
      </c>
      <c r="W221" s="31" t="n">
        <v>18.84</v>
      </c>
      <c r="X221" s="30" t="inlineStr">
        <is>
          <t>Growing Industry</t>
        </is>
      </c>
      <c r="Y221" s="30">
        <f>IF(X221="Growing Industry",10,IF(X221="Cyclical in an Upturn",5,0))</f>
        <v/>
      </c>
      <c r="Z221" s="30" t="inlineStr">
        <is>
          <t>Oligopoly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Tailwind</t>
        </is>
      </c>
      <c r="AE221" s="30">
        <f>IF(AD221="Tailwind",10,0)</f>
        <v/>
      </c>
      <c r="AF221" s="30" t="inlineStr">
        <is>
          <t>Cyclical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Yes</t>
        </is>
      </c>
      <c r="AQ221" s="30">
        <f>IF(AP221="Yes",10,0)</f>
        <v/>
      </c>
      <c r="AR221" s="30" t="inlineStr">
        <is>
          <t>Fully One Time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Above 40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1</t>
        </is>
      </c>
      <c r="BC221" s="30">
        <f>IF(BB221="Stage 2",20,IF(BB221="Stage 1",0,IF(BB221="Stage 3",5,IF(BB221="Stage 4",-5,0))))</f>
        <v/>
      </c>
      <c r="BD221" s="30" t="inlineStr">
        <is>
          <t>Positive Trend</t>
        </is>
      </c>
      <c r="BE221" s="30">
        <f>IF(BD221="Positive Trend",20,IF(BD221="Negative Trend",-10,0))</f>
        <v/>
      </c>
      <c r="BF221" s="30" t="inlineStr">
        <is>
          <t>Sideways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Overhead supply in last 2 years in last 2 years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More than 20%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No</t>
        </is>
      </c>
      <c r="BS221" s="30">
        <f>IF(BR221="NO",5,0)</f>
        <v/>
      </c>
      <c r="BT221" s="30" t="inlineStr">
        <is>
          <t>Less than 1.5</t>
        </is>
      </c>
      <c r="BU221" s="30">
        <f>IF(BT221="Above 2",0,IF(BT221="Between 1.5 to 2",5,IF(BT221="Less than 1.5",10,0)))</f>
        <v/>
      </c>
      <c r="BV221" s="30" t="inlineStr">
        <is>
          <t>Between 50% to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Less than 0.7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IF(B222=0,"",RANK(B222,$B$2:$B$306,0))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2" t="inlineStr">
        <is>
          <t>ZIMLAB</t>
        </is>
      </c>
      <c r="D222" s="32" t="inlineStr">
        <is>
          <t>Zim Laboratories Ltd</t>
        </is>
      </c>
      <c r="E222" s="30" t="inlineStr">
        <is>
          <t>healthcare</t>
        </is>
      </c>
      <c r="F222" s="30" t="inlineStr">
        <is>
          <t>pharmaceuticals - indian - bulk drugs &amp; formln</t>
        </is>
      </c>
      <c r="G222" s="30" t="inlineStr">
        <is>
          <t>smallcap</t>
        </is>
      </c>
      <c r="H222" s="31" t="n">
        <v>575.72</v>
      </c>
      <c r="I222" s="31" t="n">
        <v>105.12</v>
      </c>
      <c r="J222" s="31" t="n">
        <v>-2.31</v>
      </c>
      <c r="K222" s="31" t="n">
        <v>28513</v>
      </c>
      <c r="L222" s="30" t="n">
        <v>60</v>
      </c>
      <c r="M222" s="30" t="inlineStr">
        <is>
          <t>Underperforming</t>
        </is>
      </c>
      <c r="N222" s="31">
        <f>IF(M222="Underperforming",-5,IF(L222&gt;=95,15,IF(L222&gt;=90,10,IF(L222&gt;=80,5,0))))</f>
        <v/>
      </c>
      <c r="O222" s="31" t="n">
        <v>71.83</v>
      </c>
      <c r="P222" s="31" t="n">
        <v>38.47</v>
      </c>
      <c r="Q222" s="31" t="n">
        <v>74.29000000000001</v>
      </c>
      <c r="R222" s="30" t="inlineStr">
        <is>
          <t>Earnings / Momentum Support</t>
        </is>
      </c>
      <c r="S222" s="30" t="inlineStr">
        <is>
          <t>Nifty Pharma</t>
        </is>
      </c>
      <c r="T222" s="31" t="n">
        <v>11.82</v>
      </c>
      <c r="U222" s="31" t="n">
        <v>5.16</v>
      </c>
      <c r="V222" s="31" t="n">
        <v>-5.96</v>
      </c>
      <c r="W222" s="31" t="n">
        <v>15.86</v>
      </c>
      <c r="X222" s="30" t="inlineStr">
        <is>
          <t>Growing Industry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Yes</t>
        </is>
      </c>
      <c r="AC222" s="30">
        <f>IF(AB222="No",5,0)</f>
        <v/>
      </c>
      <c r="AD222" s="30" t="inlineStr">
        <is>
          <t>Tailwind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No</t>
        </is>
      </c>
      <c r="AQ222" s="30">
        <f>IF(AP222="Yes",10,0)</f>
        <v/>
      </c>
      <c r="AR222" s="30" t="inlineStr">
        <is>
          <t>Higher Annuity, Lower One Time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20 to 40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2</t>
        </is>
      </c>
      <c r="BC222" s="30">
        <f>IF(BB222="Stage 2",20,IF(BB222="Stage 1",0,IF(BB222="Stage 3",5,IF(BB222="Stage 4",-5,0))))</f>
        <v/>
      </c>
      <c r="BD222" s="30" t="inlineStr">
        <is>
          <t>Positive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Close to 52 week high or retracement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Less than 12%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Yes</t>
        </is>
      </c>
      <c r="BS222" s="30">
        <f>IF(BR222="NO",5,0)</f>
        <v/>
      </c>
      <c r="BT222" s="30" t="inlineStr">
        <is>
          <t>Above 2</t>
        </is>
      </c>
      <c r="BU222" s="30">
        <f>IF(BT222="Above 2",0,IF(BT222="Between 1.5 to 2",5,IF(BT222="Less than 1.5",10,0)))</f>
        <v/>
      </c>
      <c r="BV222" s="30" t="inlineStr">
        <is>
          <t>Above 70%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Less than 0.7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IF(B223=0,"",RANK(B223,$B$2:$B$306,0))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0" t="inlineStr">
        <is>
          <t>ADANIENSOL</t>
        </is>
      </c>
      <c r="D223" s="30" t="inlineStr">
        <is>
          <t>Adani Energy Solutions Ltd</t>
        </is>
      </c>
      <c r="E223" s="30" t="inlineStr">
        <is>
          <t>power &amp; utilities</t>
        </is>
      </c>
      <c r="F223" s="30" t="inlineStr">
        <is>
          <t>power generation and supply</t>
        </is>
      </c>
      <c r="G223" s="30" t="inlineStr">
        <is>
          <t>largecap</t>
        </is>
      </c>
      <c r="H223" s="31" t="n">
        <v>182594.96</v>
      </c>
      <c r="I223" s="31" t="n">
        <v>1579</v>
      </c>
      <c r="J223" s="31" t="n">
        <v>3.88</v>
      </c>
      <c r="K223" s="31" t="n">
        <v>5528998</v>
      </c>
      <c r="L223" s="30" t="n">
        <v>82</v>
      </c>
      <c r="M223" s="30" t="inlineStr">
        <is>
          <t>Outperforming</t>
        </is>
      </c>
      <c r="N223" s="31">
        <f>IF(M223="Underperforming",-5,IF(L223&gt;=95,15,IF(L223&gt;=90,10,IF(L223&gt;=80,5,0))))</f>
        <v/>
      </c>
      <c r="O223" s="31" t="n">
        <v>75.11</v>
      </c>
      <c r="P223" s="31" t="n">
        <v>30.8</v>
      </c>
      <c r="Q223" s="31" t="n">
        <v>1228.19</v>
      </c>
      <c r="R223" s="30" t="inlineStr">
        <is>
          <t>Near 52W High Breakout</t>
        </is>
      </c>
      <c r="S223" s="30" t="inlineStr">
        <is>
          <t>Nifty IT</t>
        </is>
      </c>
      <c r="T223" s="31" t="n">
        <v>-22.21</v>
      </c>
      <c r="U223" s="31" t="n">
        <v>78.59999999999999</v>
      </c>
      <c r="V223" s="31" t="n">
        <v>129.6</v>
      </c>
      <c r="W223" s="31" t="n">
        <v>26.91</v>
      </c>
      <c r="X223" s="30" t="inlineStr">
        <is>
          <t>Growing Industry</t>
        </is>
      </c>
      <c r="Y223" s="30">
        <f>IF(X223="Growing Industry",10,IF(X223="Cyclical in an Upturn",5,0))</f>
        <v/>
      </c>
      <c r="Z223" s="30" t="inlineStr">
        <is>
          <t>Too Many Players with High ROCE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Tailwind</t>
        </is>
      </c>
      <c r="AE223" s="30">
        <f>IF(AD223="Tailwind",10,0)</f>
        <v/>
      </c>
      <c r="AF223" s="30" t="inlineStr">
        <is>
          <t>Structural (10 Years Consistency)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Stable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Yes</t>
        </is>
      </c>
      <c r="AQ223" s="30">
        <f>IF(AP223="Yes",10,0)</f>
        <v/>
      </c>
      <c r="AR223" s="30" t="inlineStr">
        <is>
          <t>Higher One Time, Lower Annuity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20 to 40</t>
        </is>
      </c>
      <c r="AY223" s="30">
        <f>IF(AX223="Above 40",20,IF(AX223="20 to 40",10,IF(AX223="0 to 20",-5,0)))</f>
        <v/>
      </c>
      <c r="AZ223" s="30" t="inlineStr">
        <is>
          <t>Above 75</t>
        </is>
      </c>
      <c r="BA223" s="30">
        <f>IF(AZ223="Between 50 to 75",10,IF(AZ223="Above 75",0,0))</f>
        <v/>
      </c>
      <c r="BB223" s="30" t="inlineStr">
        <is>
          <t>Stage 2</t>
        </is>
      </c>
      <c r="BC223" s="30">
        <f>IF(BB223="Stage 2",20,IF(BB223="Stage 1",0,IF(BB223="Stage 3",5,IF(BB223="Stage 4",-5,0))))</f>
        <v/>
      </c>
      <c r="BD223" s="30" t="inlineStr">
        <is>
          <t>Positive Trend</t>
        </is>
      </c>
      <c r="BE223" s="30">
        <f>IF(BD223="Positive Trend",20,IF(BD223="Negative Trend",-10,0))</f>
        <v/>
      </c>
      <c r="BF223" s="30" t="inlineStr">
        <is>
          <t>Uptrend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Blue sky scenario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Less than 12%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Yes</t>
        </is>
      </c>
      <c r="BS223" s="30">
        <f>IF(BR223="NO",5,0)</f>
        <v/>
      </c>
      <c r="BT223" s="30" t="inlineStr">
        <is>
          <t>Above 2</t>
        </is>
      </c>
      <c r="BU223" s="30">
        <f>IF(BT223="Above 2",0,IF(BT223="Between 1.5 to 2",5,IF(BT223="Less than 1.5",10,0)))</f>
        <v/>
      </c>
      <c r="BV223" s="30" t="inlineStr">
        <is>
          <t>Above 70%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More than 1.2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IF(B224=0,"",RANK(B224,$B$2:$B$306,0))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2" t="inlineStr">
        <is>
          <t>NBCC</t>
        </is>
      </c>
      <c r="D224" s="32" t="inlineStr">
        <is>
          <t>Nbcc (india) Limited</t>
        </is>
      </c>
      <c r="E224" s="30" t="inlineStr">
        <is>
          <t>miscellaneous</t>
        </is>
      </c>
      <c r="F224" s="30" t="inlineStr">
        <is>
          <t>miscellaneous</t>
        </is>
      </c>
      <c r="G224" s="30" t="inlineStr">
        <is>
          <t>largecap</t>
        </is>
      </c>
      <c r="H224" s="31" t="n">
        <v>28101.6</v>
      </c>
      <c r="I224" s="31" t="n">
        <v>106.36</v>
      </c>
      <c r="J224" s="31" t="n">
        <v>2.19</v>
      </c>
      <c r="K224" s="31" t="n">
        <v>28253888</v>
      </c>
      <c r="L224" s="30" t="n">
        <v>8</v>
      </c>
      <c r="M224" s="30" t="inlineStr">
        <is>
          <t>Underperforming</t>
        </is>
      </c>
      <c r="N224" s="31">
        <f>IF(M224="Underperforming",-5,IF(L224&gt;=95,15,IF(L224&gt;=90,10,IF(L224&gt;=80,5,0))))</f>
        <v/>
      </c>
      <c r="O224" s="31" t="n">
        <v>58.12</v>
      </c>
      <c r="P224" s="31" t="n">
        <v>23.55</v>
      </c>
      <c r="Q224" s="31" t="n">
        <v>83.45</v>
      </c>
      <c r="R224" s="30" t="inlineStr">
        <is>
          <t>Volume Spike / Accumulation</t>
        </is>
      </c>
      <c r="S224" s="30" t="inlineStr">
        <is>
          <t>Nifty 50</t>
        </is>
      </c>
      <c r="T224" s="31" t="n">
        <v>-6.54</v>
      </c>
      <c r="U224" s="31" t="n">
        <v>-16.18</v>
      </c>
      <c r="V224" s="31" t="n">
        <v>-10.31</v>
      </c>
      <c r="W224" s="31" t="n">
        <v>3</v>
      </c>
      <c r="X224" s="30" t="inlineStr">
        <is>
          <t>Growing Industry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No</t>
        </is>
      </c>
      <c r="AC224" s="30">
        <f>IF(AB224="No",5,0)</f>
        <v/>
      </c>
      <c r="AD224" s="30" t="inlineStr">
        <is>
          <t>Headwind</t>
        </is>
      </c>
      <c r="AE224" s="30">
        <f>IF(AD224="Tailwind",10,0)</f>
        <v/>
      </c>
      <c r="AF224" s="30" t="inlineStr">
        <is>
          <t>Structural (10 Years Consistency)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Stable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Yes</t>
        </is>
      </c>
      <c r="AQ224" s="30">
        <f>IF(AP224="Yes",10,0)</f>
        <v/>
      </c>
      <c r="AR224" s="30" t="inlineStr">
        <is>
          <t>Higher One Time, Lower Annuity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20 to 40</t>
        </is>
      </c>
      <c r="AY224" s="30">
        <f>IF(AX224="Above 40",20,IF(AX224="20 to 40",10,IF(AX224="0 to 20",-5,0)))</f>
        <v/>
      </c>
      <c r="AZ224" s="30" t="inlineStr">
        <is>
          <t>Between 50 to 75</t>
        </is>
      </c>
      <c r="BA224" s="30">
        <f>IF(AZ224="Between 50 to 75",10,IF(AZ224="Above 75",0,0))</f>
        <v/>
      </c>
      <c r="BB224" s="30" t="inlineStr">
        <is>
          <t>Stage 1</t>
        </is>
      </c>
      <c r="BC224" s="30">
        <f>IF(BB224="Stage 2",20,IF(BB224="Stage 1",0,IF(BB224="Stage 3",5,IF(BB224="Stage 4",-5,0))))</f>
        <v/>
      </c>
      <c r="BD224" s="30" t="inlineStr">
        <is>
          <t>Positive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Close to 52 week high or retracement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More than 20%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No</t>
        </is>
      </c>
      <c r="BS224" s="30">
        <f>IF(BR224="NO",5,0)</f>
        <v/>
      </c>
      <c r="BT224" s="30" t="inlineStr">
        <is>
          <t>Less than 1.5</t>
        </is>
      </c>
      <c r="BU224" s="30">
        <f>IF(BT224="Above 2",0,IF(BT224="Between 1.5 to 2",5,IF(BT224="Less than 1.5",10,0)))</f>
        <v/>
      </c>
      <c r="BV224" s="30" t="inlineStr">
        <is>
          <t>Less than 50%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Less than 0.7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IF(B225=0,"",RANK(B225,$B$2:$B$306,0))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0" t="inlineStr">
        <is>
          <t>DEEPINDS</t>
        </is>
      </c>
      <c r="D225" s="30" t="inlineStr">
        <is>
          <t>Deep Industries Ltd</t>
        </is>
      </c>
      <c r="E225" s="30" t="inlineStr">
        <is>
          <t>energy</t>
        </is>
      </c>
      <c r="F225" s="30" t="inlineStr">
        <is>
          <t>oil drilling / allied services</t>
        </is>
      </c>
      <c r="G225" s="30" t="inlineStr">
        <is>
          <t>smallcap</t>
        </is>
      </c>
      <c r="H225" s="31" t="n">
        <v>3361.6</v>
      </c>
      <c r="I225" s="31" t="n">
        <v>532.3</v>
      </c>
      <c r="J225" s="31" t="n">
        <v>1.34</v>
      </c>
      <c r="K225" s="31" t="n">
        <v>432988</v>
      </c>
      <c r="L225" s="30" t="n">
        <v>71</v>
      </c>
      <c r="M225" s="30" t="inlineStr">
        <is>
          <t>Outperforming</t>
        </is>
      </c>
      <c r="N225" s="31">
        <f>IF(M225="Underperforming",-5,IF(L225&gt;=95,15,IF(L225&gt;=90,10,IF(L225&gt;=80,5,0))))</f>
        <v/>
      </c>
      <c r="O225" s="31" t="n">
        <v>64.54000000000001</v>
      </c>
      <c r="P225" s="31" t="n">
        <v>16.2</v>
      </c>
      <c r="Q225" s="31" t="n">
        <v>391.73</v>
      </c>
      <c r="R225" s="30" t="inlineStr">
        <is>
          <t>Volume Spike &amp; Near 52W High Breakout</t>
        </is>
      </c>
      <c r="S225" s="30" t="inlineStr">
        <is>
          <t>Nifty Energy</t>
        </is>
      </c>
      <c r="T225" s="31" t="n">
        <v>12.31</v>
      </c>
      <c r="U225" s="31" t="n">
        <v>27.12</v>
      </c>
      <c r="V225" s="31" t="n">
        <v>13.19</v>
      </c>
      <c r="W225" s="31" t="n">
        <v>20.64</v>
      </c>
      <c r="X225" s="30" t="inlineStr">
        <is>
          <t>Cyclical in an Upturn</t>
        </is>
      </c>
      <c r="Y225" s="30">
        <f>IF(X225="Growing Industry",10,IF(X225="Cyclical in an Upturn",5,0))</f>
        <v/>
      </c>
      <c r="Z225" s="30" t="inlineStr">
        <is>
          <t>Oligopoly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Yes</t>
        </is>
      </c>
      <c r="AC225" s="30">
        <f>IF(AB225="No",5,0)</f>
        <v/>
      </c>
      <c r="AD225" s="30" t="inlineStr">
        <is>
          <t>Tailwind</t>
        </is>
      </c>
      <c r="AE225" s="30">
        <f>IF(AD225="Tailwind",10,0)</f>
        <v/>
      </c>
      <c r="AF225" s="30" t="inlineStr">
        <is>
          <t>Cyclical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Volatile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Yes</t>
        </is>
      </c>
      <c r="AQ225" s="30">
        <f>IF(AP225="Yes",10,0)</f>
        <v/>
      </c>
      <c r="AR225" s="30" t="inlineStr">
        <is>
          <t>Higher One Time, Lower Annuity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0 to 20</t>
        </is>
      </c>
      <c r="AY225" s="30">
        <f>IF(AX225="Above 40",20,IF(AX225="20 to 40",10,IF(AX225="0 to 20",-5,0)))</f>
        <v/>
      </c>
      <c r="AZ225" s="30" t="inlineStr">
        <is>
          <t>Between 50 to 75</t>
        </is>
      </c>
      <c r="BA225" s="30">
        <f>IF(AZ225="Between 50 to 75",10,IF(AZ225="Above 75",0,0))</f>
        <v/>
      </c>
      <c r="BB225" s="30" t="inlineStr">
        <is>
          <t>Stage 2</t>
        </is>
      </c>
      <c r="BC225" s="30">
        <f>IF(BB225="Stage 2",20,IF(BB225="Stage 1",0,IF(BB225="Stage 3",5,IF(BB225="Stage 4",-5,0))))</f>
        <v/>
      </c>
      <c r="BD225" s="30" t="inlineStr">
        <is>
          <t>Positive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Close to 52 week high or retracement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More than 20%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No</t>
        </is>
      </c>
      <c r="BS225" s="30">
        <f>IF(BR225="NO",5,0)</f>
        <v/>
      </c>
      <c r="BT225" s="30" t="inlineStr">
        <is>
          <t>Less than 1.5</t>
        </is>
      </c>
      <c r="BU225" s="30">
        <f>IF(BT225="Above 2",0,IF(BT225="Between 1.5 to 2",5,IF(BT225="Less than 1.5",10,0)))</f>
        <v/>
      </c>
      <c r="BV225" s="30" t="inlineStr">
        <is>
          <t>Above 70%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Less than 0.7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IF(B226=0,"",RANK(B226,$B$2:$B$306,0))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0" t="inlineStr">
        <is>
          <t>WSTCSTPAPR</t>
        </is>
      </c>
      <c r="D226" s="30" t="inlineStr">
        <is>
          <t>West Coast Paper Mills Limited</t>
        </is>
      </c>
      <c r="E226" s="30" t="inlineStr">
        <is>
          <t>building materials</t>
        </is>
      </c>
      <c r="F226" s="30" t="inlineStr">
        <is>
          <t>paper</t>
        </is>
      </c>
      <c r="G226" s="30" t="inlineStr">
        <is>
          <t>smallcap</t>
        </is>
      </c>
      <c r="H226" s="31" t="n">
        <v>3377.08</v>
      </c>
      <c r="I226" s="31" t="n">
        <v>513.25</v>
      </c>
      <c r="J226" s="31" t="n">
        <v>0.38</v>
      </c>
      <c r="K226" s="31" t="n">
        <v>120647</v>
      </c>
      <c r="L226" s="30" t="n">
        <v>32</v>
      </c>
      <c r="M226" s="30" t="inlineStr">
        <is>
          <t>Outperforming</t>
        </is>
      </c>
      <c r="N226" s="31">
        <f>IF(M226="Underperforming",-5,IF(L226&gt;=95,15,IF(L226&gt;=90,10,IF(L226&gt;=80,5,0))))</f>
        <v/>
      </c>
      <c r="O226" s="31" t="n">
        <v>60.64</v>
      </c>
      <c r="P226" s="31" t="n">
        <v>26.07</v>
      </c>
      <c r="Q226" s="31" t="n">
        <v>402.61</v>
      </c>
      <c r="R226" s="30" t="inlineStr">
        <is>
          <t>Earnings / Momentum Support</t>
        </is>
      </c>
      <c r="S226" s="30" t="inlineStr">
        <is>
          <t>Nifty Infra</t>
        </is>
      </c>
      <c r="T226" s="31" t="n">
        <v>1.11</v>
      </c>
      <c r="U226" s="31" t="n">
        <v>4.49</v>
      </c>
      <c r="V226" s="31" t="n">
        <v>3.34</v>
      </c>
      <c r="W226" s="31" t="n">
        <v>8.34</v>
      </c>
      <c r="X226" s="30" t="inlineStr">
        <is>
          <t>Growing Industry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Tailwind</t>
        </is>
      </c>
      <c r="AE226" s="30">
        <f>IF(AD226="Tailwind",10,0)</f>
        <v/>
      </c>
      <c r="AF226" s="30" t="inlineStr">
        <is>
          <t>Structural (10 Years Consistency)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Stable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No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20 to 40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2</t>
        </is>
      </c>
      <c r="BC226" s="30">
        <f>IF(BB226="Stage 2",20,IF(BB226="Stage 1",0,IF(BB226="Stage 3",5,IF(BB226="Stage 4",-5,0))))</f>
        <v/>
      </c>
      <c r="BD226" s="30" t="inlineStr">
        <is>
          <t>Negative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Close to 52 week high or retracement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Between 12 to 20%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No</t>
        </is>
      </c>
      <c r="BS226" s="30">
        <f>IF(BR226="NO",5,0)</f>
        <v/>
      </c>
      <c r="BT226" s="30" t="inlineStr">
        <is>
          <t>Less than 1.5</t>
        </is>
      </c>
      <c r="BU226" s="30">
        <f>IF(BT226="Above 2",0,IF(BT226="Between 1.5 to 2",5,IF(BT226="Less than 1.5",10,0)))</f>
        <v/>
      </c>
      <c r="BV226" s="30" t="inlineStr">
        <is>
          <t>Above 70%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Less than 0.7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IF(B227=0,"",RANK(B227,$B$2:$B$306,0))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AJAXENGG</t>
        </is>
      </c>
      <c r="D227" s="30" t="inlineStr">
        <is>
          <t>Ajax Engineering Ltd</t>
        </is>
      </c>
      <c r="E227" s="30" t="inlineStr">
        <is>
          <t>industrials</t>
        </is>
      </c>
      <c r="F227" s="30" t="inlineStr">
        <is>
          <t>engineering</t>
        </is>
      </c>
      <c r="G227" s="30" t="inlineStr">
        <is>
          <t>midcap</t>
        </is>
      </c>
      <c r="H227" s="31" t="n">
        <v>6874.13</v>
      </c>
      <c r="I227" s="31" t="n">
        <v>601.75</v>
      </c>
      <c r="J227" s="31" t="n">
        <v>0.15</v>
      </c>
      <c r="K227" s="31" t="n">
        <v>41503</v>
      </c>
      <c r="L227" s="30" t="n">
        <v>16</v>
      </c>
      <c r="M227" s="30" t="inlineStr">
        <is>
          <t>Outperforming</t>
        </is>
      </c>
      <c r="N227" s="31">
        <f>IF(M227="Underperforming",-5,IF(L227&gt;=95,15,IF(L227&gt;=90,10,IF(L227&gt;=80,5,0))))</f>
        <v/>
      </c>
      <c r="O227" s="31" t="n">
        <v>60.05</v>
      </c>
      <c r="P227" s="31" t="n">
        <v>24.2</v>
      </c>
      <c r="Q227" s="31" t="n">
        <v>463.08</v>
      </c>
      <c r="R227" s="30" t="inlineStr">
        <is>
          <t>Earnings / Momentum Support</t>
        </is>
      </c>
      <c r="S227" s="30" t="inlineStr">
        <is>
          <t>Nifty 50</t>
        </is>
      </c>
      <c r="T227" s="31" t="n">
        <v>-6.54</v>
      </c>
      <c r="U227" s="31" t="n">
        <v>-3.37</v>
      </c>
      <c r="V227" s="31" t="n">
        <v>3.39</v>
      </c>
      <c r="W227" s="31" t="n">
        <v>4.88</v>
      </c>
      <c r="X227" s="30" t="inlineStr">
        <is>
          <t>Cyclical in an Upturn</t>
        </is>
      </c>
      <c r="Y227" s="30">
        <f>IF(X227="Growing Industry",10,IF(X227="Cyclical in an Upturn",5,0))</f>
        <v/>
      </c>
      <c r="Z227" s="30" t="inlineStr">
        <is>
          <t>Too Many Players with High ROCE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No</t>
        </is>
      </c>
      <c r="AC227" s="30">
        <f>IF(AB227="No",5,0)</f>
        <v/>
      </c>
      <c r="AD227" s="30" t="inlineStr">
        <is>
          <t>Headwind</t>
        </is>
      </c>
      <c r="AE227" s="30">
        <f>IF(AD227="Tailwind",10,0)</f>
        <v/>
      </c>
      <c r="AF227" s="30" t="inlineStr">
        <is>
          <t>Structural (10 Years Consistency)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Stable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No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20 to 40</t>
        </is>
      </c>
      <c r="AY227" s="30">
        <f>IF(AX227="Above 40",20,IF(AX227="20 to 40",10,IF(AX227="0 to 20",-5,0)))</f>
        <v/>
      </c>
      <c r="AZ227" s="30" t="inlineStr">
        <is>
          <t>Between 50 to 75</t>
        </is>
      </c>
      <c r="BA227" s="30">
        <f>IF(AZ227="Between 50 to 75",10,IF(AZ227="Above 75",0,0))</f>
        <v/>
      </c>
      <c r="BB227" s="30" t="inlineStr">
        <is>
          <t>Stage 2</t>
        </is>
      </c>
      <c r="BC227" s="30">
        <f>IF(BB227="Stage 2",20,IF(BB227="Stage 1",0,IF(BB227="Stage 3",5,IF(BB227="Stage 4",-5,0))))</f>
        <v/>
      </c>
      <c r="BD227" s="30" t="inlineStr">
        <is>
          <t>Positive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Close to 52 week high or retracement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Less than 12%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No</t>
        </is>
      </c>
      <c r="BS227" s="30">
        <f>IF(BR227="NO",5,0)</f>
        <v/>
      </c>
      <c r="BT227" s="30" t="inlineStr">
        <is>
          <t>Above 2</t>
        </is>
      </c>
      <c r="BU227" s="30">
        <f>IF(BT227="Above 2",0,IF(BT227="Between 1.5 to 2",5,IF(BT227="Less than 1.5",10,0)))</f>
        <v/>
      </c>
      <c r="BV227" s="30" t="inlineStr">
        <is>
          <t>Above 70%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Less than 0.7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IF(B228=0,"",RANK(B228,$B$2:$B$306,0))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0" t="inlineStr">
        <is>
          <t>LMW</t>
        </is>
      </c>
      <c r="D228" s="30" t="inlineStr">
        <is>
          <t>LMW Ltd</t>
        </is>
      </c>
      <c r="E228" s="30" t="inlineStr">
        <is>
          <t>industrials</t>
        </is>
      </c>
      <c r="F228" s="30" t="inlineStr">
        <is>
          <t>textile machinery</t>
        </is>
      </c>
      <c r="G228" s="30" t="inlineStr">
        <is>
          <t>midcap</t>
        </is>
      </c>
      <c r="H228" s="31" t="n">
        <v>16878.07</v>
      </c>
      <c r="I228" s="31" t="n">
        <v>15679</v>
      </c>
      <c r="J228" s="31" t="n">
        <v>-0.76</v>
      </c>
      <c r="K228" s="31" t="n">
        <v>1716</v>
      </c>
      <c r="L228" s="30" t="n">
        <v>3</v>
      </c>
      <c r="M228" s="30" t="inlineStr">
        <is>
          <t>Outperforming</t>
        </is>
      </c>
      <c r="N228" s="31">
        <f>IF(M228="Underperforming",-5,IF(L228&gt;=95,15,IF(L228&gt;=90,10,IF(L228&gt;=80,5,0))))</f>
        <v/>
      </c>
      <c r="O228" s="31" t="n">
        <v>58.04</v>
      </c>
      <c r="P228" s="31" t="n">
        <v>16.39</v>
      </c>
      <c r="Q228" s="31" t="n">
        <v>12585.55</v>
      </c>
      <c r="R228" s="30" t="inlineStr">
        <is>
          <t>Earnings / Momentum Support</t>
        </is>
      </c>
      <c r="S228" s="30" t="inlineStr">
        <is>
          <t>Nifty 50</t>
        </is>
      </c>
      <c r="T228" s="31" t="n">
        <v>-6.54</v>
      </c>
      <c r="U228" s="31" t="n">
        <v>-3.12</v>
      </c>
      <c r="V228" s="31" t="n">
        <v>3.66</v>
      </c>
      <c r="W228" s="31" t="n">
        <v>0.74</v>
      </c>
      <c r="X228" s="30" t="inlineStr">
        <is>
          <t>Cyclical in an Upturn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Tailwind</t>
        </is>
      </c>
      <c r="AE228" s="30">
        <f>IF(AD228="Tailwind",10,0)</f>
        <v/>
      </c>
      <c r="AF228" s="30" t="inlineStr">
        <is>
          <t>Structural (10 Years Consistency)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Stable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No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0 to 20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2</t>
        </is>
      </c>
      <c r="BC228" s="30">
        <f>IF(BB228="Stage 2",20,IF(BB228="Stage 1",0,IF(BB228="Stage 3",5,IF(BB228="Stage 4",-5,0))))</f>
        <v/>
      </c>
      <c r="BD228" s="30" t="inlineStr">
        <is>
          <t>Positive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Close to 52 week high or retracement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More than 20%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Yes</t>
        </is>
      </c>
      <c r="BS228" s="30">
        <f>IF(BR228="NO",5,0)</f>
        <v/>
      </c>
      <c r="BT228" s="30" t="inlineStr">
        <is>
          <t>Above 2</t>
        </is>
      </c>
      <c r="BU228" s="30">
        <f>IF(BT228="Above 2",0,IF(BT228="Between 1.5 to 2",5,IF(BT228="Less than 1.5",10,0)))</f>
        <v/>
      </c>
      <c r="BV228" s="30" t="inlineStr">
        <is>
          <t>Above 70%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Less than 0.7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IF(B229=0,"",RANK(B229,$B$2:$B$306,0))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0" t="inlineStr">
        <is>
          <t>CYIENTDLM</t>
        </is>
      </c>
      <c r="D229" s="30" t="inlineStr">
        <is>
          <t>Cyient DLM Ltd</t>
        </is>
      </c>
      <c r="E229" s="30" t="inlineStr">
        <is>
          <t>consumer discretionary</t>
        </is>
      </c>
      <c r="F229" s="30" t="inlineStr">
        <is>
          <t>electronics - components</t>
        </is>
      </c>
      <c r="G229" s="30" t="inlineStr">
        <is>
          <t>smallcap</t>
        </is>
      </c>
      <c r="H229" s="31" t="n">
        <v>3633.3</v>
      </c>
      <c r="I229" s="31" t="n">
        <v>453.4</v>
      </c>
      <c r="J229" s="31" t="n">
        <v>-0.96</v>
      </c>
      <c r="K229" s="31" t="n">
        <v>117332</v>
      </c>
      <c r="L229" s="30" t="n">
        <v>49</v>
      </c>
      <c r="M229" s="30" t="inlineStr">
        <is>
          <t>Outperforming</t>
        </is>
      </c>
      <c r="N229" s="31">
        <f>IF(M229="Underperforming",-5,IF(L229&gt;=95,15,IF(L229&gt;=90,10,IF(L229&gt;=80,5,0))))</f>
        <v/>
      </c>
      <c r="O229" s="31" t="n">
        <v>64.45</v>
      </c>
      <c r="P229" s="31" t="n">
        <v>28.69</v>
      </c>
      <c r="Q229" s="31" t="n">
        <v>342.67</v>
      </c>
      <c r="R229" s="30" t="inlineStr">
        <is>
          <t>Earnings / Momentum Support</t>
        </is>
      </c>
      <c r="S229" s="30" t="inlineStr">
        <is>
          <t>Nifty 50</t>
        </is>
      </c>
      <c r="T229" s="31" t="n">
        <v>-6.54</v>
      </c>
      <c r="U229" s="31" t="n">
        <v>-6.49</v>
      </c>
      <c r="V229" s="31" t="n">
        <v>0.06</v>
      </c>
      <c r="W229" s="31" t="n">
        <v>12.76</v>
      </c>
      <c r="X229" s="30" t="inlineStr">
        <is>
          <t>Growing Industry</t>
        </is>
      </c>
      <c r="Y229" s="30">
        <f>IF(X229="Growing Industry",10,IF(X229="Cyclical in an Upturn",5,0))</f>
        <v/>
      </c>
      <c r="Z229" s="30" t="inlineStr">
        <is>
          <t>Too Many Players with High ROCE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Tailwind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No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20 to 40</t>
        </is>
      </c>
      <c r="AY229" s="30">
        <f>IF(AX229="Above 40",20,IF(AX229="20 to 40",10,IF(AX229="0 to 20",-5,0)))</f>
        <v/>
      </c>
      <c r="AZ229" s="30" t="inlineStr">
        <is>
          <t>Between 50 to 75</t>
        </is>
      </c>
      <c r="BA229" s="30">
        <f>IF(AZ229="Between 50 to 75",10,IF(AZ229="Above 75",0,0))</f>
        <v/>
      </c>
      <c r="BB229" s="30" t="inlineStr">
        <is>
          <t>Stage 2</t>
        </is>
      </c>
      <c r="BC229" s="30">
        <f>IF(BB229="Stage 2",20,IF(BB229="Stage 1",0,IF(BB229="Stage 3",5,IF(BB229="Stage 4",-5,0))))</f>
        <v/>
      </c>
      <c r="BD229" s="30" t="inlineStr">
        <is>
          <t>Positive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Close to 52 week high or retracement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Less than 12%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Yes</t>
        </is>
      </c>
      <c r="BS229" s="30">
        <f>IF(BR229="NO",5,0)</f>
        <v/>
      </c>
      <c r="BT229" s="30" t="inlineStr">
        <is>
          <t>Above 2</t>
        </is>
      </c>
      <c r="BU229" s="30">
        <f>IF(BT229="Above 2",0,IF(BT229="Between 1.5 to 2",5,IF(BT229="Less than 1.5",10,0)))</f>
        <v/>
      </c>
      <c r="BV229" s="30" t="inlineStr">
        <is>
          <t>Less than 50%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Less than 0.7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IF(B230=0,"",RANK(B230,$B$2:$B$306,0))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2" t="inlineStr">
        <is>
          <t>NSLNISP</t>
        </is>
      </c>
      <c r="D230" s="32" t="inlineStr">
        <is>
          <t>NMDC Steel Ltd</t>
        </is>
      </c>
      <c r="E230" s="30" t="inlineStr">
        <is>
          <t>metals &amp; mining</t>
        </is>
      </c>
      <c r="F230" s="30" t="inlineStr">
        <is>
          <t>steel - large</t>
        </is>
      </c>
      <c r="G230" s="30" t="inlineStr">
        <is>
          <t>midcap</t>
        </is>
      </c>
      <c r="H230" s="31" t="n">
        <v>14864.03</v>
      </c>
      <c r="I230" s="31" t="n">
        <v>49.96</v>
      </c>
      <c r="J230" s="31" t="n">
        <v>-1.5</v>
      </c>
      <c r="K230" s="31" t="n">
        <v>10292290</v>
      </c>
      <c r="L230" s="30" t="n">
        <v>43</v>
      </c>
      <c r="M230" s="30" t="inlineStr">
        <is>
          <t>Underperforming</t>
        </is>
      </c>
      <c r="N230" s="31">
        <f>IF(M230="Underperforming",-5,IF(L230&gt;=95,15,IF(L230&gt;=90,10,IF(L230&gt;=80,5,0))))</f>
        <v/>
      </c>
      <c r="O230" s="31" t="n">
        <v>67.93000000000001</v>
      </c>
      <c r="P230" s="31" t="n">
        <v>24.11</v>
      </c>
      <c r="Q230" s="31" t="n">
        <v>39.02</v>
      </c>
      <c r="R230" s="30" t="inlineStr">
        <is>
          <t>Volume Spike &amp; Near 52W High Breakout</t>
        </is>
      </c>
      <c r="S230" s="30" t="inlineStr">
        <is>
          <t>Nifty Metal</t>
        </is>
      </c>
      <c r="T230" s="31" t="n">
        <v>40.56</v>
      </c>
      <c r="U230" s="31" t="n">
        <v>26.71</v>
      </c>
      <c r="V230" s="31" t="n">
        <v>-9.859999999999999</v>
      </c>
      <c r="W230" s="31" t="n">
        <v>11.5</v>
      </c>
      <c r="X230" s="30" t="inlineStr">
        <is>
          <t>Cyclical in an Upturn</t>
        </is>
      </c>
      <c r="Y230" s="30">
        <f>IF(X230="Growing Industry",10,IF(X230="Cyclical in an Upturn",5,0))</f>
        <v/>
      </c>
      <c r="Z230" s="30" t="inlineStr">
        <is>
          <t>Too Many Players with High ROCE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No</t>
        </is>
      </c>
      <c r="AC230" s="30">
        <f>IF(AB230="No",5,0)</f>
        <v/>
      </c>
      <c r="AD230" s="30" t="inlineStr">
        <is>
          <t>Tailwind</t>
        </is>
      </c>
      <c r="AE230" s="30">
        <f>IF(AD230="Tailwind",10,0)</f>
        <v/>
      </c>
      <c r="AF230" s="30" t="inlineStr">
        <is>
          <t>Cyclical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Volatile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Yes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20 to 40</t>
        </is>
      </c>
      <c r="AY230" s="30">
        <f>IF(AX230="Above 40",20,IF(AX230="20 to 40",10,IF(AX230="0 to 20",-5,0)))</f>
        <v/>
      </c>
      <c r="AZ230" s="30" t="inlineStr">
        <is>
          <t>Between 50 to 75</t>
        </is>
      </c>
      <c r="BA230" s="30">
        <f>IF(AZ230="Between 50 to 75",10,IF(AZ230="Above 75",0,0))</f>
        <v/>
      </c>
      <c r="BB230" s="30" t="inlineStr">
        <is>
          <t>Stage 2</t>
        </is>
      </c>
      <c r="BC230" s="30">
        <f>IF(BB230="Stage 2",20,IF(BB230="Stage 1",0,IF(BB230="Stage 3",5,IF(BB230="Stage 4",-5,0))))</f>
        <v/>
      </c>
      <c r="BD230" s="30" t="inlineStr">
        <is>
          <t>Positive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Close to 52 week high or retracement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More than 20%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Yes</t>
        </is>
      </c>
      <c r="BS230" s="30">
        <f>IF(BR230="NO",5,0)</f>
        <v/>
      </c>
      <c r="BT230" s="30" t="inlineStr">
        <is>
          <t>Above 2</t>
        </is>
      </c>
      <c r="BU230" s="30">
        <f>IF(BT230="Above 2",0,IF(BT230="Between 1.5 to 2",5,IF(BT230="Less than 1.5",10,0)))</f>
        <v/>
      </c>
      <c r="BV230" s="30" t="inlineStr">
        <is>
          <t>Above 70%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Less than 0.7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IF(B231=0,"",RANK(B231,$B$2:$B$306,0))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2" t="inlineStr">
        <is>
          <t>KPRMILL</t>
        </is>
      </c>
      <c r="D231" s="32" t="inlineStr">
        <is>
          <t>K.p.r. Mill Limited</t>
        </is>
      </c>
      <c r="E231" s="30" t="inlineStr">
        <is>
          <t>consumer discretionary</t>
        </is>
      </c>
      <c r="F231" s="30" t="inlineStr">
        <is>
          <t>textiles - products</t>
        </is>
      </c>
      <c r="G231" s="30" t="inlineStr">
        <is>
          <t>largecap</t>
        </is>
      </c>
      <c r="H231" s="31" t="n">
        <v>37708.92</v>
      </c>
      <c r="I231" s="31" t="n">
        <v>1086.55</v>
      </c>
      <c r="J231" s="31" t="n">
        <v>-1.51</v>
      </c>
      <c r="K231" s="31" t="n">
        <v>195566</v>
      </c>
      <c r="L231" s="30" t="n">
        <v>23</v>
      </c>
      <c r="M231" s="30" t="inlineStr">
        <is>
          <t>Underperforming</t>
        </is>
      </c>
      <c r="N231" s="31">
        <f>IF(M231="Underperforming",-5,IF(L231&gt;=95,15,IF(L231&gt;=90,10,IF(L231&gt;=80,5,0))))</f>
        <v/>
      </c>
      <c r="O231" s="31" t="n">
        <v>66.22</v>
      </c>
      <c r="P231" s="31" t="n">
        <v>19.73</v>
      </c>
      <c r="Q231" s="31" t="n">
        <v>854.08</v>
      </c>
      <c r="R231" s="30" t="inlineStr">
        <is>
          <t>Volume Spike / Accumulation</t>
        </is>
      </c>
      <c r="S231" s="30" t="inlineStr">
        <is>
          <t>Nifty 500</t>
        </is>
      </c>
      <c r="T231" s="31" t="n">
        <v>-3.02</v>
      </c>
      <c r="U231" s="31" t="n">
        <v>-3.43</v>
      </c>
      <c r="V231" s="31" t="n">
        <v>-0.42</v>
      </c>
      <c r="W231" s="31" t="n">
        <v>6.27</v>
      </c>
      <c r="X231" s="30" t="inlineStr">
        <is>
          <t>Growing Industry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No</t>
        </is>
      </c>
      <c r="AC231" s="30">
        <f>IF(AB231="No",5,0)</f>
        <v/>
      </c>
      <c r="AD231" s="30" t="inlineStr">
        <is>
          <t>Tailwind</t>
        </is>
      </c>
      <c r="AE231" s="30">
        <f>IF(AD231="Tailwind",10,0)</f>
        <v/>
      </c>
      <c r="AF231" s="30" t="inlineStr">
        <is>
          <t>Structural (10 Years Consistency)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Stable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Yes</t>
        </is>
      </c>
      <c r="AQ231" s="30">
        <f>IF(AP231="Yes",10,0)</f>
        <v/>
      </c>
      <c r="AR231" s="30" t="inlineStr">
        <is>
          <t>Higher One Time, Lower Annuity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0 to 20</t>
        </is>
      </c>
      <c r="AY231" s="30">
        <f>IF(AX231="Above 40",20,IF(AX231="20 to 40",10,IF(AX231="0 to 20",-5,0)))</f>
        <v/>
      </c>
      <c r="AZ231" s="30" t="inlineStr">
        <is>
          <t>Between 50 to 75</t>
        </is>
      </c>
      <c r="BA231" s="30">
        <f>IF(AZ231="Between 50 to 75",10,IF(AZ231="Above 75",0,0))</f>
        <v/>
      </c>
      <c r="BB231" s="30" t="inlineStr">
        <is>
          <t>Stage 2</t>
        </is>
      </c>
      <c r="BC231" s="30">
        <f>IF(BB231="Stage 2",20,IF(BB231="Stage 1",0,IF(BB231="Stage 3",5,IF(BB231="Stage 4",-5,0))))</f>
        <v/>
      </c>
      <c r="BD231" s="30" t="inlineStr">
        <is>
          <t>Positive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Close to 52 week high or retracement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Less than 12%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Yes</t>
        </is>
      </c>
      <c r="BS231" s="30">
        <f>IF(BR231="NO",5,0)</f>
        <v/>
      </c>
      <c r="BT231" s="30" t="inlineStr">
        <is>
          <t>Above 2</t>
        </is>
      </c>
      <c r="BU231" s="30">
        <f>IF(BT231="Above 2",0,IF(BT231="Between 1.5 to 2",5,IF(BT231="Less than 1.5",10,0)))</f>
        <v/>
      </c>
      <c r="BV231" s="30" t="inlineStr">
        <is>
          <t>Above 70%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Less than 0.7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IF(B232=0,"",RANK(B232,$B$2:$B$306,0))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0" t="inlineStr">
        <is>
          <t>AEROFLEX</t>
        </is>
      </c>
      <c r="D232" s="30" t="inlineStr">
        <is>
          <t>Aeroflex Industries Ltd</t>
        </is>
      </c>
      <c r="E232" s="30" t="inlineStr">
        <is>
          <t>metals &amp; mining</t>
        </is>
      </c>
      <c r="F232" s="30" t="inlineStr">
        <is>
          <t>steel - medium / small</t>
        </is>
      </c>
      <c r="G232" s="30" t="inlineStr">
        <is>
          <t>midcap</t>
        </is>
      </c>
      <c r="H232" s="31" t="n">
        <v>5814.61</v>
      </c>
      <c r="I232" s="31" t="n">
        <v>419.75</v>
      </c>
      <c r="J232" s="31" t="n">
        <v>-4.47</v>
      </c>
      <c r="K232" s="31" t="n">
        <v>1658836</v>
      </c>
      <c r="L232" s="30" t="n">
        <v>94</v>
      </c>
      <c r="M232" s="30" t="inlineStr">
        <is>
          <t>Outperforming</t>
        </is>
      </c>
      <c r="N232" s="31">
        <f>IF(M232="Underperforming",-5,IF(L232&gt;=95,15,IF(L232&gt;=90,10,IF(L232&gt;=80,5,0))))</f>
        <v/>
      </c>
      <c r="O232" s="31" t="n">
        <v>71</v>
      </c>
      <c r="P232" s="31" t="n">
        <v>53.8</v>
      </c>
      <c r="Q232" s="31" t="n">
        <v>304.78</v>
      </c>
      <c r="R232" s="30" t="inlineStr">
        <is>
          <t>Near 52W High Breakout</t>
        </is>
      </c>
      <c r="S232" s="30" t="inlineStr">
        <is>
          <t>Nifty Metal</t>
        </is>
      </c>
      <c r="T232" s="31" t="n">
        <v>40.56</v>
      </c>
      <c r="U232" s="31" t="n">
        <v>157.88</v>
      </c>
      <c r="V232" s="31" t="n">
        <v>83.45999999999999</v>
      </c>
      <c r="W232" s="31" t="n">
        <v>42.89</v>
      </c>
      <c r="X232" s="30" t="inlineStr">
        <is>
          <t>Cyclical in an Upturn</t>
        </is>
      </c>
      <c r="Y232" s="30">
        <f>IF(X232="Growing Industry",10,IF(X232="Cyclical in an Upturn",5,0))</f>
        <v/>
      </c>
      <c r="Z232" s="30" t="inlineStr">
        <is>
          <t>Too Many Players with High ROCE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No</t>
        </is>
      </c>
      <c r="AC232" s="30">
        <f>IF(AB232="No",5,0)</f>
        <v/>
      </c>
      <c r="AD232" s="30" t="inlineStr">
        <is>
          <t>Tailwind</t>
        </is>
      </c>
      <c r="AE232" s="30">
        <f>IF(AD232="Tailwind",10,0)</f>
        <v/>
      </c>
      <c r="AF232" s="30" t="inlineStr">
        <is>
          <t>Cyclical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Volatile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Yes</t>
        </is>
      </c>
      <c r="AQ232" s="30">
        <f>IF(AP232="Yes",10,0)</f>
        <v/>
      </c>
      <c r="AR232" s="30" t="inlineStr">
        <is>
          <t>Higher One Time, Lower Annuity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Above 40</t>
        </is>
      </c>
      <c r="AY232" s="30">
        <f>IF(AX232="Above 40",20,IF(AX232="20 to 40",10,IF(AX232="0 to 20",-5,0)))</f>
        <v/>
      </c>
      <c r="AZ232" s="30" t="inlineStr">
        <is>
          <t>Between 50 to 75</t>
        </is>
      </c>
      <c r="BA232" s="30">
        <f>IF(AZ232="Between 50 to 75",10,IF(AZ232="Above 75",0,0))</f>
        <v/>
      </c>
      <c r="BB232" s="30" t="inlineStr">
        <is>
          <t>Stage 2</t>
        </is>
      </c>
      <c r="BC232" s="30">
        <f>IF(BB232="Stage 2",20,IF(BB232="Stage 1",0,IF(BB232="Stage 3",5,IF(BB232="Stage 4",-5,0))))</f>
        <v/>
      </c>
      <c r="BD232" s="30" t="inlineStr">
        <is>
          <t>Negative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Blue sky scenario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More than 20%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Yes</t>
        </is>
      </c>
      <c r="BS232" s="30">
        <f>IF(BR232="NO",5,0)</f>
        <v/>
      </c>
      <c r="BT232" s="30" t="inlineStr">
        <is>
          <t>Between 1.5 to 2</t>
        </is>
      </c>
      <c r="BU232" s="30">
        <f>IF(BT232="Above 2",0,IF(BT232="Between 1.5 to 2",5,IF(BT232="Less than 1.5",10,0)))</f>
        <v/>
      </c>
      <c r="BV232" s="30" t="inlineStr">
        <is>
          <t>Between 50% to 70%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Less than 0.7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IF(B233=0,"",RANK(B233,$B$2:$B$306,0))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0" t="inlineStr">
        <is>
          <t>ZYDUSLIFE</t>
        </is>
      </c>
      <c r="D233" s="30" t="inlineStr">
        <is>
          <t>Zydus Lifesciences Ltd</t>
        </is>
      </c>
      <c r="E233" s="30" t="inlineStr">
        <is>
          <t>healthcare</t>
        </is>
      </c>
      <c r="F233" s="30" t="inlineStr">
        <is>
          <t>pharmaceuticals - indian - bulk drugs &amp; formln</t>
        </is>
      </c>
      <c r="G233" s="30" t="inlineStr">
        <is>
          <t>largecap</t>
        </is>
      </c>
      <c r="H233" s="31" t="n">
        <v>109136.14</v>
      </c>
      <c r="I233" s="31" t="n">
        <v>1089</v>
      </c>
      <c r="J233" s="31" t="n">
        <v>0.41</v>
      </c>
      <c r="K233" s="31" t="n">
        <v>919205</v>
      </c>
      <c r="L233" s="30" t="n">
        <v>27</v>
      </c>
      <c r="M233" s="30" t="inlineStr">
        <is>
          <t>Outperforming</t>
        </is>
      </c>
      <c r="N233" s="31">
        <f>IF(M233="Underperforming",-5,IF(L233&gt;=95,15,IF(L233&gt;=90,10,IF(L233&gt;=80,5,0))))</f>
        <v/>
      </c>
      <c r="O233" s="31" t="n">
        <v>70.77</v>
      </c>
      <c r="P233" s="31" t="n">
        <v>17.24</v>
      </c>
      <c r="Q233" s="31" t="n">
        <v>921.25</v>
      </c>
      <c r="R233" s="30" t="inlineStr">
        <is>
          <t>Near 52W High Breakout</t>
        </is>
      </c>
      <c r="S233" s="30" t="inlineStr">
        <is>
          <t>Nifty Pharma</t>
        </is>
      </c>
      <c r="T233" s="31" t="n">
        <v>11.82</v>
      </c>
      <c r="U233" s="31" t="n">
        <v>14.72</v>
      </c>
      <c r="V233" s="31" t="n">
        <v>2.59</v>
      </c>
      <c r="W233" s="31" t="n">
        <v>7.05</v>
      </c>
      <c r="X233" s="30" t="inlineStr">
        <is>
          <t>Growing Industry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Yes</t>
        </is>
      </c>
      <c r="AC233" s="30">
        <f>IF(AB233="No",5,0)</f>
        <v/>
      </c>
      <c r="AD233" s="30" t="inlineStr">
        <is>
          <t>Tailwind</t>
        </is>
      </c>
      <c r="AE233" s="30">
        <f>IF(AD233="Tailwind",10,0)</f>
        <v/>
      </c>
      <c r="AF233" s="30" t="inlineStr">
        <is>
          <t>Structural (10 Years Consistency)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Stable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B2B</t>
        </is>
      </c>
      <c r="AO233" s="30">
        <f>IF(AN233="B2C",10,IF(AN233="B2B",5,0))</f>
        <v/>
      </c>
      <c r="AP233" s="30" t="inlineStr">
        <is>
          <t>Yes</t>
        </is>
      </c>
      <c r="AQ233" s="30">
        <f>IF(AP233="Yes",10,0)</f>
        <v/>
      </c>
      <c r="AR233" s="30" t="inlineStr">
        <is>
          <t>Higher Annuity, Lower One Time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0 to 20</t>
        </is>
      </c>
      <c r="AY233" s="30">
        <f>IF(AX233="Above 40",20,IF(AX233="20 to 40",10,IF(AX233="0 to 20",-5,0)))</f>
        <v/>
      </c>
      <c r="AZ233" s="30" t="inlineStr">
        <is>
          <t>Between 50 to 75</t>
        </is>
      </c>
      <c r="BA233" s="30">
        <f>IF(AZ233="Between 50 to 75",10,IF(AZ233="Above 75",0,0))</f>
        <v/>
      </c>
      <c r="BB233" s="30" t="inlineStr">
        <is>
          <t>Stage 2</t>
        </is>
      </c>
      <c r="BC233" s="30">
        <f>IF(BB233="Stage 2",20,IF(BB233="Stage 1",0,IF(BB233="Stage 3",5,IF(BB233="Stage 4",-5,0))))</f>
        <v/>
      </c>
      <c r="BD233" s="30" t="inlineStr">
        <is>
          <t>Positive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Close to 52 week high or retracement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Less than 12%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No</t>
        </is>
      </c>
      <c r="BS233" s="30">
        <f>IF(BR233="NO",5,0)</f>
        <v/>
      </c>
      <c r="BT233" s="30" t="inlineStr">
        <is>
          <t>Above 2</t>
        </is>
      </c>
      <c r="BU233" s="30">
        <f>IF(BT233="Above 2",0,IF(BT233="Between 1.5 to 2",5,IF(BT233="Less than 1.5",10,0)))</f>
        <v/>
      </c>
      <c r="BV233" s="30" t="inlineStr">
        <is>
          <t>Less than 50%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Less than 0.7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IF(B234=0,"",RANK(B234,$B$2:$B$306,0))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0" t="inlineStr">
        <is>
          <t>TVSSCS</t>
        </is>
      </c>
      <c r="D234" s="30" t="inlineStr">
        <is>
          <t>TVS Supply Chain Solutions Ltd</t>
        </is>
      </c>
      <c r="E234" s="30" t="inlineStr">
        <is>
          <t>transportation</t>
        </is>
      </c>
      <c r="F234" s="30" t="inlineStr">
        <is>
          <t>miscellaneous</t>
        </is>
      </c>
      <c r="G234" s="30" t="inlineStr">
        <is>
          <t>midcap</t>
        </is>
      </c>
      <c r="H234" s="31" t="n">
        <v>5411.07</v>
      </c>
      <c r="I234" s="31" t="n">
        <v>129.67</v>
      </c>
      <c r="J234" s="31" t="n">
        <v>5.72</v>
      </c>
      <c r="K234" s="31" t="n">
        <v>3370879</v>
      </c>
      <c r="L234" s="30" t="n">
        <v>11</v>
      </c>
      <c r="M234" s="30" t="inlineStr">
        <is>
          <t>Outperforming</t>
        </is>
      </c>
      <c r="N234" s="31">
        <f>IF(M234="Underperforming",-5,IF(L234&gt;=95,15,IF(L234&gt;=90,10,IF(L234&gt;=80,5,0))))</f>
        <v/>
      </c>
      <c r="O234" s="31" t="n">
        <v>58.18</v>
      </c>
      <c r="P234" s="31" t="n">
        <v>10.42</v>
      </c>
      <c r="Q234" s="31" t="n">
        <v>95.33</v>
      </c>
      <c r="R234" s="30" t="inlineStr">
        <is>
          <t>Volume Spike &amp; Near 52W High Breakout</t>
        </is>
      </c>
      <c r="S234" s="30" t="inlineStr">
        <is>
          <t>Nifty 50</t>
        </is>
      </c>
      <c r="T234" s="31" t="n">
        <v>-6.54</v>
      </c>
      <c r="U234" s="31" t="n">
        <v>-1.18</v>
      </c>
      <c r="V234" s="31" t="n">
        <v>5.74</v>
      </c>
      <c r="W234" s="31" t="n">
        <v>3.71</v>
      </c>
      <c r="X234" s="30" t="inlineStr">
        <is>
          <t>Growing Industry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No</t>
        </is>
      </c>
      <c r="AC234" s="30">
        <f>IF(AB234="No",5,0)</f>
        <v/>
      </c>
      <c r="AD234" s="30" t="inlineStr">
        <is>
          <t>Tailwind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Yes</t>
        </is>
      </c>
      <c r="AQ234" s="30">
        <f>IF(AP234="Yes",10,0)</f>
        <v/>
      </c>
      <c r="AR234" s="30" t="inlineStr">
        <is>
          <t>Higher One Time, Lower Annuity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0 to 20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2</t>
        </is>
      </c>
      <c r="BC234" s="30">
        <f>IF(BB234="Stage 2",20,IF(BB234="Stage 1",0,IF(BB234="Stage 3",5,IF(BB234="Stage 4",-5,0))))</f>
        <v/>
      </c>
      <c r="BD234" s="30" t="inlineStr">
        <is>
          <t>Positive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Close to 52 week high or retracement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More than 20%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Yes</t>
        </is>
      </c>
      <c r="BS234" s="30">
        <f>IF(BR234="NO",5,0)</f>
        <v/>
      </c>
      <c r="BT234" s="30" t="inlineStr">
        <is>
          <t>Above 2</t>
        </is>
      </c>
      <c r="BU234" s="30">
        <f>IF(BT234="Above 2",0,IF(BT234="Between 1.5 to 2",5,IF(BT234="Less than 1.5",10,0)))</f>
        <v/>
      </c>
      <c r="BV234" s="30" t="inlineStr">
        <is>
          <t>Above 70%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More than 1.2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IF(B235=0,"",RANK(B235,$B$2:$B$306,0))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0" t="inlineStr">
        <is>
          <t>DEEDEV</t>
        </is>
      </c>
      <c r="D235" s="30" t="inlineStr">
        <is>
          <t>DEE Development Engineers Ltd</t>
        </is>
      </c>
      <c r="E235" s="30" t="inlineStr">
        <is>
          <t>metals &amp; mining</t>
        </is>
      </c>
      <c r="F235" s="30" t="inlineStr">
        <is>
          <t>steel - medium / small</t>
        </is>
      </c>
      <c r="G235" s="30" t="inlineStr">
        <is>
          <t>smallcap</t>
        </is>
      </c>
      <c r="H235" s="31" t="n">
        <v>4427.31</v>
      </c>
      <c r="I235" s="31" t="n">
        <v>671.15</v>
      </c>
      <c r="J235" s="31" t="n">
        <v>5</v>
      </c>
      <c r="K235" s="31" t="n">
        <v>185836</v>
      </c>
      <c r="L235" s="30" t="n">
        <v>96</v>
      </c>
      <c r="M235" s="30" t="inlineStr">
        <is>
          <t>Outperforming</t>
        </is>
      </c>
      <c r="N235" s="31">
        <f>IF(M235="Underperforming",-5,IF(L235&gt;=95,15,IF(L235&gt;=90,10,IF(L235&gt;=80,5,0))))</f>
        <v/>
      </c>
      <c r="O235" s="31" t="n">
        <v>87.45</v>
      </c>
      <c r="P235" s="31" t="n">
        <v>58.41</v>
      </c>
      <c r="Q235" s="31" t="n">
        <v>518.7</v>
      </c>
      <c r="R235" s="30" t="inlineStr">
        <is>
          <t>Near 52W High Breakout</t>
        </is>
      </c>
      <c r="S235" s="30" t="inlineStr">
        <is>
          <t>Nifty Metal</t>
        </is>
      </c>
      <c r="T235" s="31" t="n">
        <v>40.56</v>
      </c>
      <c r="U235" s="31" t="n">
        <v>142.69</v>
      </c>
      <c r="V235" s="31" t="n">
        <v>72.66</v>
      </c>
      <c r="W235" s="31" t="n">
        <v>57.67</v>
      </c>
      <c r="X235" s="30" t="inlineStr">
        <is>
          <t>Cyclical in an Upturn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No</t>
        </is>
      </c>
      <c r="AC235" s="30">
        <f>IF(AB235="No",5,0)</f>
        <v/>
      </c>
      <c r="AD235" s="30" t="inlineStr">
        <is>
          <t>Tailwind</t>
        </is>
      </c>
      <c r="AE235" s="30">
        <f>IF(AD235="Tailwind",10,0)</f>
        <v/>
      </c>
      <c r="AF235" s="30" t="inlineStr">
        <is>
          <t>Cyclical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Volatile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Yes</t>
        </is>
      </c>
      <c r="AQ235" s="30">
        <f>IF(AP235="Yes",10,0)</f>
        <v/>
      </c>
      <c r="AR235" s="30" t="inlineStr">
        <is>
          <t>Higher One Time, Lower Annuity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Above 40</t>
        </is>
      </c>
      <c r="AY235" s="30">
        <f>IF(AX235="Above 40",20,IF(AX235="20 to 40",10,IF(AX235="0 to 20",-5,0)))</f>
        <v/>
      </c>
      <c r="AZ235" s="30" t="inlineStr">
        <is>
          <t>Above 75</t>
        </is>
      </c>
      <c r="BA235" s="30">
        <f>IF(AZ235="Between 50 to 75",10,IF(AZ235="Above 75",0,0))</f>
        <v/>
      </c>
      <c r="BB235" s="30" t="inlineStr">
        <is>
          <t>Stage 2</t>
        </is>
      </c>
      <c r="BC235" s="30">
        <f>IF(BB235="Stage 2",20,IF(BB235="Stage 1",0,IF(BB235="Stage 3",5,IF(BB235="Stage 4",-5,0))))</f>
        <v/>
      </c>
      <c r="BD235" s="30" t="inlineStr">
        <is>
          <t>Positive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Blue sky scenario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Less than 12%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Yes</t>
        </is>
      </c>
      <c r="BS235" s="30">
        <f>IF(BR235="NO",5,0)</f>
        <v/>
      </c>
      <c r="BT235" s="30" t="inlineStr">
        <is>
          <t>Above 2</t>
        </is>
      </c>
      <c r="BU235" s="30">
        <f>IF(BT235="Above 2",0,IF(BT235="Between 1.5 to 2",5,IF(BT235="Less than 1.5",10,0)))</f>
        <v/>
      </c>
      <c r="BV235" s="30" t="inlineStr">
        <is>
          <t>Less than 50%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Between 0.7 to 1.2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IF(B236=0,"",RANK(B236,$B$2:$B$306,0))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0" t="inlineStr">
        <is>
          <t>ASIANENE</t>
        </is>
      </c>
      <c r="D236" s="30" t="inlineStr">
        <is>
          <t>Asian Energy Services Ltd</t>
        </is>
      </c>
      <c r="E236" s="30" t="inlineStr">
        <is>
          <t>energy</t>
        </is>
      </c>
      <c r="F236" s="30" t="inlineStr">
        <is>
          <t>oil drilling / allied services</t>
        </is>
      </c>
      <c r="G236" s="30" t="inlineStr">
        <is>
          <t>smallcap</t>
        </is>
      </c>
      <c r="H236" s="31" t="n">
        <v>1794.72</v>
      </c>
      <c r="I236" s="31" t="n">
        <v>382.1</v>
      </c>
      <c r="J236" s="31" t="n">
        <v>3.49</v>
      </c>
      <c r="K236" s="31" t="n">
        <v>579691</v>
      </c>
      <c r="L236" s="30" t="n">
        <v>51</v>
      </c>
      <c r="M236" s="30" t="inlineStr">
        <is>
          <t>Outperforming</t>
        </is>
      </c>
      <c r="N236" s="31">
        <f>IF(M236="Underperforming",-5,IF(L236&gt;=95,15,IF(L236&gt;=90,10,IF(L236&gt;=80,5,0))))</f>
        <v/>
      </c>
      <c r="O236" s="31" t="n">
        <v>65.98999999999999</v>
      </c>
      <c r="P236" s="31" t="n">
        <v>12.49</v>
      </c>
      <c r="Q236" s="31" t="n">
        <v>273.48</v>
      </c>
      <c r="R236" s="30" t="inlineStr">
        <is>
          <t>Volume Spike &amp; Near 52W High Breakout</t>
        </is>
      </c>
      <c r="S236" s="30" t="inlineStr">
        <is>
          <t>Nifty Energy</t>
        </is>
      </c>
      <c r="T236" s="31" t="n">
        <v>12.31</v>
      </c>
      <c r="U236" s="31" t="n">
        <v>23.83</v>
      </c>
      <c r="V236" s="31" t="n">
        <v>10.26</v>
      </c>
      <c r="W236" s="31" t="n">
        <v>13.36</v>
      </c>
      <c r="X236" s="30" t="inlineStr">
        <is>
          <t>Cyclical in an Upturn</t>
        </is>
      </c>
      <c r="Y236" s="30">
        <f>IF(X236="Growing Industry",10,IF(X236="Cyclical in an Upturn",5,0))</f>
        <v/>
      </c>
      <c r="Z236" s="30" t="inlineStr">
        <is>
          <t>Oligopoly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Yes</t>
        </is>
      </c>
      <c r="AC236" s="30">
        <f>IF(AB236="No",5,0)</f>
        <v/>
      </c>
      <c r="AD236" s="30" t="inlineStr">
        <is>
          <t>Tailwind</t>
        </is>
      </c>
      <c r="AE236" s="30">
        <f>IF(AD236="Tailwind",10,0)</f>
        <v/>
      </c>
      <c r="AF236" s="30" t="inlineStr">
        <is>
          <t>Cyclical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Volatile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Yes</t>
        </is>
      </c>
      <c r="AQ236" s="30">
        <f>IF(AP236="Yes",10,0)</f>
        <v/>
      </c>
      <c r="AR236" s="30" t="inlineStr">
        <is>
          <t>Higher One Time, Lower Annuity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0 to 20</t>
        </is>
      </c>
      <c r="AY236" s="30">
        <f>IF(AX236="Above 40",20,IF(AX236="20 to 40",10,IF(AX236="0 to 20",-5,0)))</f>
        <v/>
      </c>
      <c r="AZ236" s="30" t="inlineStr">
        <is>
          <t>Between 50 to 75</t>
        </is>
      </c>
      <c r="BA236" s="30">
        <f>IF(AZ236="Between 50 to 75",10,IF(AZ236="Above 75",0,0))</f>
        <v/>
      </c>
      <c r="BB236" s="30" t="inlineStr">
        <is>
          <t>Stage 2</t>
        </is>
      </c>
      <c r="BC236" s="30">
        <f>IF(BB236="Stage 2",20,IF(BB236="Stage 1",0,IF(BB236="Stage 3",5,IF(BB236="Stage 4",-5,0))))</f>
        <v/>
      </c>
      <c r="BD236" s="30" t="inlineStr">
        <is>
          <t>Positive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Close to 52 week high or retracement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More than 20%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No</t>
        </is>
      </c>
      <c r="BS236" s="30">
        <f>IF(BR236="NO",5,0)</f>
        <v/>
      </c>
      <c r="BT236" s="30" t="inlineStr">
        <is>
          <t>Less than 1.5</t>
        </is>
      </c>
      <c r="BU236" s="30">
        <f>IF(BT236="Above 2",0,IF(BT236="Between 1.5 to 2",5,IF(BT236="Less than 1.5",10,0)))</f>
        <v/>
      </c>
      <c r="BV236" s="30" t="inlineStr">
        <is>
          <t>Between 50% to 70%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Less than 0.7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IF(B237=0,"",RANK(B237,$B$2:$B$306,0))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2" t="inlineStr">
        <is>
          <t>HARSHA</t>
        </is>
      </c>
      <c r="D237" s="32" t="inlineStr">
        <is>
          <t>Harsha Engineers International Ltd</t>
        </is>
      </c>
      <c r="E237" s="30" t="inlineStr">
        <is>
          <t>industrials</t>
        </is>
      </c>
      <c r="F237" s="30" t="inlineStr">
        <is>
          <t>engineering</t>
        </is>
      </c>
      <c r="G237" s="30" t="inlineStr">
        <is>
          <t>smallcap</t>
        </is>
      </c>
      <c r="H237" s="31" t="n">
        <v>3583.95</v>
      </c>
      <c r="I237" s="31" t="n">
        <v>404.85</v>
      </c>
      <c r="J237" s="31" t="n">
        <v>2.85</v>
      </c>
      <c r="K237" s="31" t="n">
        <v>510135</v>
      </c>
      <c r="L237" s="30" t="n">
        <v>3</v>
      </c>
      <c r="M237" s="30" t="inlineStr">
        <is>
          <t>Underperforming</t>
        </is>
      </c>
      <c r="N237" s="31">
        <f>IF(M237="Underperforming",-5,IF(L237&gt;=95,15,IF(L237&gt;=90,10,IF(L237&gt;=80,5,0))))</f>
        <v/>
      </c>
      <c r="O237" s="31" t="n">
        <v>55.62</v>
      </c>
      <c r="P237" s="31" t="n">
        <v>25.45</v>
      </c>
      <c r="Q237" s="31" t="n">
        <v>330.82</v>
      </c>
      <c r="R237" s="30" t="inlineStr">
        <is>
          <t>Volume Spike &amp; Near 52W High Breakout</t>
        </is>
      </c>
      <c r="S237" s="30" t="inlineStr">
        <is>
          <t>Nifty 50</t>
        </is>
      </c>
      <c r="T237" s="31" t="n">
        <v>-6.54</v>
      </c>
      <c r="U237" s="31" t="n">
        <v>-7.22</v>
      </c>
      <c r="V237" s="31" t="n">
        <v>-0.72</v>
      </c>
      <c r="W237" s="31" t="n">
        <v>1.12</v>
      </c>
      <c r="X237" s="30" t="inlineStr">
        <is>
          <t>Cyclical in an Upturn</t>
        </is>
      </c>
      <c r="Y237" s="30">
        <f>IF(X237="Growing Industry",10,IF(X237="Cyclical in an Upturn",5,0))</f>
        <v/>
      </c>
      <c r="Z237" s="30" t="inlineStr">
        <is>
          <t>Too Many Players with High ROCE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No</t>
        </is>
      </c>
      <c r="AC237" s="30">
        <f>IF(AB237="No",5,0)</f>
        <v/>
      </c>
      <c r="AD237" s="30" t="inlineStr">
        <is>
          <t>Tailwind</t>
        </is>
      </c>
      <c r="AE237" s="30">
        <f>IF(AD237="Tailwind",10,0)</f>
        <v/>
      </c>
      <c r="AF237" s="30" t="inlineStr">
        <is>
          <t>Structural (10 Years Consistency)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Stable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Yes</t>
        </is>
      </c>
      <c r="AQ237" s="30">
        <f>IF(AP237="Yes",10,0)</f>
        <v/>
      </c>
      <c r="AR237" s="30" t="inlineStr">
        <is>
          <t>Higher One Time, Lower Annuity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20 to 40</t>
        </is>
      </c>
      <c r="AY237" s="30">
        <f>IF(AX237="Above 40",20,IF(AX237="20 to 40",10,IF(AX237="0 to 20",-5,0)))</f>
        <v/>
      </c>
      <c r="AZ237" s="30" t="inlineStr">
        <is>
          <t>Between 50 to 75</t>
        </is>
      </c>
      <c r="BA237" s="30">
        <f>IF(AZ237="Between 50 to 75",10,IF(AZ237="Above 75",0,0))</f>
        <v/>
      </c>
      <c r="BB237" s="30" t="inlineStr">
        <is>
          <t>Stage 2</t>
        </is>
      </c>
      <c r="BC237" s="30">
        <f>IF(BB237="Stage 2",20,IF(BB237="Stage 1",0,IF(BB237="Stage 3",5,IF(BB237="Stage 4",-5,0))))</f>
        <v/>
      </c>
      <c r="BD237" s="30" t="inlineStr">
        <is>
          <t>Negative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Close to 52 week high or retracement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More than 20%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No</t>
        </is>
      </c>
      <c r="BS237" s="30">
        <f>IF(BR237="NO",5,0)</f>
        <v/>
      </c>
      <c r="BT237" s="30" t="inlineStr">
        <is>
          <t>Less than 1.5</t>
        </is>
      </c>
      <c r="BU237" s="30">
        <f>IF(BT237="Above 2",0,IF(BT237="Between 1.5 to 2",5,IF(BT237="Less than 1.5",10,0)))</f>
        <v/>
      </c>
      <c r="BV237" s="30" t="inlineStr">
        <is>
          <t>Less than 50%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Less than 0.7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IF(B238=0,"",RANK(B238,$B$2:$B$306,0))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0" t="inlineStr">
        <is>
          <t>ADANIENT</t>
        </is>
      </c>
      <c r="D238" s="30" t="inlineStr">
        <is>
          <t>Adani Enterprises Limited</t>
        </is>
      </c>
      <c r="E238" s="30" t="inlineStr">
        <is>
          <t>services</t>
        </is>
      </c>
      <c r="F238" s="30" t="inlineStr">
        <is>
          <t>trading</t>
        </is>
      </c>
      <c r="G238" s="30" t="inlineStr">
        <is>
          <t>largecap</t>
        </is>
      </c>
      <c r="H238" s="31" t="n">
        <v>384288.63</v>
      </c>
      <c r="I238" s="31" t="n">
        <v>3048.2</v>
      </c>
      <c r="J238" s="31" t="n">
        <v>2.54</v>
      </c>
      <c r="K238" s="31" t="n">
        <v>5617327</v>
      </c>
      <c r="L238" s="30" t="n">
        <v>60</v>
      </c>
      <c r="M238" s="30" t="inlineStr">
        <is>
          <t>Outperforming</t>
        </is>
      </c>
      <c r="N238" s="31">
        <f>IF(M238="Underperforming",-5,IF(L238&gt;=95,15,IF(L238&gt;=90,10,IF(L238&gt;=80,5,0))))</f>
        <v/>
      </c>
      <c r="O238" s="31" t="n">
        <v>75.14</v>
      </c>
      <c r="P238" s="31" t="n">
        <v>31.12</v>
      </c>
      <c r="Q238" s="31" t="n">
        <v>2501.19</v>
      </c>
      <c r="R238" s="30" t="inlineStr">
        <is>
          <t>Near 52W High Breakout</t>
        </is>
      </c>
      <c r="S238" s="30" t="inlineStr">
        <is>
          <t>Nifty 50</t>
        </is>
      </c>
      <c r="T238" s="31" t="n">
        <v>-6.54</v>
      </c>
      <c r="U238" s="31" t="n">
        <v>20.34</v>
      </c>
      <c r="V238" s="31" t="n">
        <v>28.77</v>
      </c>
      <c r="W238" s="31" t="n">
        <v>15.65</v>
      </c>
      <c r="X238" s="30" t="inlineStr">
        <is>
          <t>Growing Industry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Tailwind</t>
        </is>
      </c>
      <c r="AE238" s="30">
        <f>IF(AD238="Tailwind",10,0)</f>
        <v/>
      </c>
      <c r="AF238" s="30" t="inlineStr">
        <is>
          <t>Structural (10 Years Consistency)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Stable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Yes</t>
        </is>
      </c>
      <c r="AQ238" s="30">
        <f>IF(AP238="Yes",10,0)</f>
        <v/>
      </c>
      <c r="AR238" s="30" t="inlineStr">
        <is>
          <t>Higher One Time, Lower Annuity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20 to 40</t>
        </is>
      </c>
      <c r="AY238" s="30">
        <f>IF(AX238="Above 40",20,IF(AX238="20 to 40",10,IF(AX238="0 to 20",-5,0)))</f>
        <v/>
      </c>
      <c r="AZ238" s="30" t="inlineStr">
        <is>
          <t>Above 75</t>
        </is>
      </c>
      <c r="BA238" s="30">
        <f>IF(AZ238="Between 50 to 75",10,IF(AZ238="Above 75",0,0))</f>
        <v/>
      </c>
      <c r="BB238" s="30" t="inlineStr">
        <is>
          <t>Stage 2</t>
        </is>
      </c>
      <c r="BC238" s="30">
        <f>IF(BB238="Stage 2",20,IF(BB238="Stage 1",0,IF(BB238="Stage 3",5,IF(BB238="Stage 4",-5,0))))</f>
        <v/>
      </c>
      <c r="BD238" s="30" t="inlineStr">
        <is>
          <t>Positive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Close to 52 week high or retracement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More than 20%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Yes</t>
        </is>
      </c>
      <c r="BS238" s="30">
        <f>IF(BR238="NO",5,0)</f>
        <v/>
      </c>
      <c r="BT238" s="30" t="inlineStr">
        <is>
          <t>Above 2</t>
        </is>
      </c>
      <c r="BU238" s="30">
        <f>IF(BT238="Above 2",0,IF(BT238="Between 1.5 to 2",5,IF(BT238="Less than 1.5",10,0)))</f>
        <v/>
      </c>
      <c r="BV238" s="30" t="inlineStr">
        <is>
          <t>Less than 50% and Borrowings are increasing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Between 0.7 to 1.2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IF(B239=0,"",RANK(B239,$B$2:$B$306,0))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2" t="inlineStr">
        <is>
          <t>ATGL</t>
        </is>
      </c>
      <c r="D239" s="32" t="inlineStr">
        <is>
          <t>Adani Total Gas Ltd</t>
        </is>
      </c>
      <c r="E239" s="30" t="inlineStr">
        <is>
          <t>energy</t>
        </is>
      </c>
      <c r="F239" s="30" t="inlineStr">
        <is>
          <t>miscellaneous</t>
        </is>
      </c>
      <c r="G239" s="30" t="inlineStr">
        <is>
          <t>largecap</t>
        </is>
      </c>
      <c r="H239" s="31" t="n">
        <v>81831.37</v>
      </c>
      <c r="I239" s="31" t="n">
        <v>762.25</v>
      </c>
      <c r="J239" s="31" t="n">
        <v>2.45</v>
      </c>
      <c r="K239" s="31" t="n">
        <v>10074052</v>
      </c>
      <c r="L239" s="30" t="n">
        <v>63</v>
      </c>
      <c r="M239" s="30" t="inlineStr">
        <is>
          <t>Underperforming</t>
        </is>
      </c>
      <c r="N239" s="31">
        <f>IF(M239="Underperforming",-5,IF(L239&gt;=95,15,IF(L239&gt;=90,10,IF(L239&gt;=80,5,0))))</f>
        <v/>
      </c>
      <c r="O239" s="31" t="n">
        <v>70.95</v>
      </c>
      <c r="P239" s="31" t="n">
        <v>44.85</v>
      </c>
      <c r="Q239" s="31" t="n">
        <v>567.89</v>
      </c>
      <c r="R239" s="30" t="inlineStr">
        <is>
          <t>Volume Spike &amp; Near 52W High Breakout</t>
        </is>
      </c>
      <c r="S239" s="30" t="inlineStr">
        <is>
          <t>Nifty Energy</t>
        </is>
      </c>
      <c r="T239" s="31" t="n">
        <v>12.31</v>
      </c>
      <c r="U239" s="31" t="n">
        <v>12.15</v>
      </c>
      <c r="V239" s="31" t="n">
        <v>-0.15</v>
      </c>
      <c r="W239" s="31" t="n">
        <v>16.91</v>
      </c>
      <c r="X239" s="30" t="inlineStr">
        <is>
          <t>Cyclical in an Upturn</t>
        </is>
      </c>
      <c r="Y239" s="30">
        <f>IF(X239="Growing Industry",10,IF(X239="Cyclical in an Upturn",5,0))</f>
        <v/>
      </c>
      <c r="Z239" s="30" t="inlineStr">
        <is>
          <t>Oligopoly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Yes</t>
        </is>
      </c>
      <c r="AC239" s="30">
        <f>IF(AB239="No",5,0)</f>
        <v/>
      </c>
      <c r="AD239" s="30" t="inlineStr">
        <is>
          <t>Tailwind</t>
        </is>
      </c>
      <c r="AE239" s="30">
        <f>IF(AD239="Tailwind",10,0)</f>
        <v/>
      </c>
      <c r="AF239" s="30" t="inlineStr">
        <is>
          <t>Cyclical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Volatile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Yes</t>
        </is>
      </c>
      <c r="AQ239" s="30">
        <f>IF(AP239="Yes",10,0)</f>
        <v/>
      </c>
      <c r="AR239" s="30" t="inlineStr">
        <is>
          <t>Higher One Time, Lower Annuity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Above 40</t>
        </is>
      </c>
      <c r="AY239" s="30">
        <f>IF(AX239="Above 40",20,IF(AX239="20 to 40",10,IF(AX239="0 to 20",-5,0)))</f>
        <v/>
      </c>
      <c r="AZ239" s="30" t="inlineStr">
        <is>
          <t>Between 50 to 75</t>
        </is>
      </c>
      <c r="BA239" s="30">
        <f>IF(AZ239="Between 50 to 75",10,IF(AZ239="Above 75",0,0))</f>
        <v/>
      </c>
      <c r="BB239" s="30" t="inlineStr">
        <is>
          <t>Stage 2</t>
        </is>
      </c>
      <c r="BC239" s="30">
        <f>IF(BB239="Stage 2",20,IF(BB239="Stage 1",0,IF(BB239="Stage 3",5,IF(BB239="Stage 4",-5,0))))</f>
        <v/>
      </c>
      <c r="BD239" s="30" t="inlineStr">
        <is>
          <t>Positive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Close to 52 week high or retracement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Less than 12%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Yes</t>
        </is>
      </c>
      <c r="BS239" s="30">
        <f>IF(BR239="NO",5,0)</f>
        <v/>
      </c>
      <c r="BT239" s="30" t="inlineStr">
        <is>
          <t>Above 2</t>
        </is>
      </c>
      <c r="BU239" s="30">
        <f>IF(BT239="Above 2",0,IF(BT239="Between 1.5 to 2",5,IF(BT239="Less than 1.5",10,0)))</f>
        <v/>
      </c>
      <c r="BV239" s="30" t="inlineStr">
        <is>
          <t>Above 70%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Less than 0.7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IF(B240=0,"",RANK(B240,$B$2:$B$306,0))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0" t="inlineStr">
        <is>
          <t>LLOYDSENGG</t>
        </is>
      </c>
      <c r="D240" s="30" t="inlineStr">
        <is>
          <t>Lloyds Engineering Works Ltd</t>
        </is>
      </c>
      <c r="E240" s="30" t="inlineStr">
        <is>
          <t>industrials</t>
        </is>
      </c>
      <c r="F240" s="30" t="inlineStr">
        <is>
          <t>engineering</t>
        </is>
      </c>
      <c r="G240" s="30" t="inlineStr">
        <is>
          <t>midcap</t>
        </is>
      </c>
      <c r="H240" s="31" t="n">
        <v>10584.07</v>
      </c>
      <c r="I240" s="31" t="n">
        <v>72.69</v>
      </c>
      <c r="J240" s="31" t="n">
        <v>1.65</v>
      </c>
      <c r="K240" s="31" t="n">
        <v>10584987</v>
      </c>
      <c r="L240" s="30" t="n">
        <v>70</v>
      </c>
      <c r="M240" s="30" t="inlineStr">
        <is>
          <t>Outperforming</t>
        </is>
      </c>
      <c r="N240" s="31">
        <f>IF(M240="Underperforming",-5,IF(L240&gt;=95,15,IF(L240&gt;=90,10,IF(L240&gt;=80,5,0))))</f>
        <v/>
      </c>
      <c r="O240" s="31" t="n">
        <v>68.72</v>
      </c>
      <c r="P240" s="31" t="n">
        <v>27.93</v>
      </c>
      <c r="Q240" s="31" t="n">
        <v>54.62</v>
      </c>
      <c r="R240" s="30" t="inlineStr">
        <is>
          <t>Earnings / Momentum Support</t>
        </is>
      </c>
      <c r="S240" s="30" t="inlineStr">
        <is>
          <t>Nifty 50</t>
        </is>
      </c>
      <c r="T240" s="31" t="n">
        <v>-6.54</v>
      </c>
      <c r="U240" s="31" t="n">
        <v>22.33</v>
      </c>
      <c r="V240" s="31" t="n">
        <v>30.9</v>
      </c>
      <c r="W240" s="31" t="n">
        <v>19.97</v>
      </c>
      <c r="X240" s="30" t="inlineStr">
        <is>
          <t>Cyclical in an Upturn</t>
        </is>
      </c>
      <c r="Y240" s="30">
        <f>IF(X240="Growing Industry",10,IF(X240="Cyclical in an Upturn",5,0))</f>
        <v/>
      </c>
      <c r="Z240" s="30" t="inlineStr">
        <is>
          <t>Too Many Players with High ROCE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No</t>
        </is>
      </c>
      <c r="AC240" s="30">
        <f>IF(AB240="No",5,0)</f>
        <v/>
      </c>
      <c r="AD240" s="30" t="inlineStr">
        <is>
          <t>Tailwind</t>
        </is>
      </c>
      <c r="AE240" s="30">
        <f>IF(AD240="Tailwind",10,0)</f>
        <v/>
      </c>
      <c r="AF240" s="30" t="inlineStr">
        <is>
          <t>Structural (10 Years Consistency)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Stable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No</t>
        </is>
      </c>
      <c r="AQ240" s="30">
        <f>IF(AP240="Yes",10,0)</f>
        <v/>
      </c>
      <c r="AR240" s="30" t="inlineStr">
        <is>
          <t>Higher One Time, Lower Annuity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20 to 40</t>
        </is>
      </c>
      <c r="AY240" s="30">
        <f>IF(AX240="Above 40",20,IF(AX240="20 to 40",10,IF(AX240="0 to 20",-5,0)))</f>
        <v/>
      </c>
      <c r="AZ240" s="30" t="inlineStr">
        <is>
          <t>Between 50 to 75</t>
        </is>
      </c>
      <c r="BA240" s="30">
        <f>IF(AZ240="Between 50 to 75",10,IF(AZ240="Above 75",0,0))</f>
        <v/>
      </c>
      <c r="BB240" s="30" t="inlineStr">
        <is>
          <t>Stage 2</t>
        </is>
      </c>
      <c r="BC240" s="30">
        <f>IF(BB240="Stage 2",20,IF(BB240="Stage 1",0,IF(BB240="Stage 3",5,IF(BB240="Stage 4",-5,0))))</f>
        <v/>
      </c>
      <c r="BD240" s="30" t="inlineStr">
        <is>
          <t>Positive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Close to 52 week high or retracement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More than 20%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Yes</t>
        </is>
      </c>
      <c r="BS240" s="30">
        <f>IF(BR240="NO",5,0)</f>
        <v/>
      </c>
      <c r="BT240" s="30" t="inlineStr">
        <is>
          <t>Above 2</t>
        </is>
      </c>
      <c r="BU240" s="30">
        <f>IF(BT240="Above 2",0,IF(BT240="Between 1.5 to 2",5,IF(BT240="Less than 1.5",10,0)))</f>
        <v/>
      </c>
      <c r="BV240" s="30" t="inlineStr">
        <is>
          <t>Negative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Less than 0.7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IF(B241=0,"",RANK(B241,$B$2:$B$306,0))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0" t="inlineStr">
        <is>
          <t>GMRAIRPORT</t>
        </is>
      </c>
      <c r="D241" s="30" t="inlineStr">
        <is>
          <t>GMR Airports Ltd</t>
        </is>
      </c>
      <c r="E241" s="30" t="inlineStr">
        <is>
          <t>miscellaneous</t>
        </is>
      </c>
      <c r="F241" s="30" t="inlineStr">
        <is>
          <t>miscellaneous</t>
        </is>
      </c>
      <c r="G241" s="30" t="inlineStr">
        <is>
          <t>largecap</t>
        </is>
      </c>
      <c r="H241" s="31" t="n">
        <v>107691</v>
      </c>
      <c r="I241" s="31" t="n">
        <v>102.03</v>
      </c>
      <c r="J241" s="31" t="n">
        <v>0.04</v>
      </c>
      <c r="K241" s="31" t="n">
        <v>21055639</v>
      </c>
      <c r="L241" s="30" t="n">
        <v>19</v>
      </c>
      <c r="M241" s="30" t="inlineStr">
        <is>
          <t>Outperforming</t>
        </is>
      </c>
      <c r="N241" s="31">
        <f>IF(M241="Underperforming",-5,IF(L241&gt;=95,15,IF(L241&gt;=90,10,IF(L241&gt;=80,5,0))))</f>
        <v/>
      </c>
      <c r="O241" s="31" t="n">
        <v>57.43</v>
      </c>
      <c r="P241" s="31" t="n">
        <v>11.29</v>
      </c>
      <c r="Q241" s="31" t="n">
        <v>81.94</v>
      </c>
      <c r="R241" s="30" t="inlineStr">
        <is>
          <t>Earnings / Momentum Support</t>
        </is>
      </c>
      <c r="S241" s="30" t="inlineStr">
        <is>
          <t>Nifty 500</t>
        </is>
      </c>
      <c r="T241" s="31" t="n">
        <v>-3.02</v>
      </c>
      <c r="U241" s="31" t="n">
        <v>18.28</v>
      </c>
      <c r="V241" s="31" t="n">
        <v>21.97</v>
      </c>
      <c r="W241" s="31" t="n">
        <v>5.31</v>
      </c>
      <c r="X241" s="30" t="inlineStr">
        <is>
          <t>Growing Industry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No</t>
        </is>
      </c>
      <c r="AC241" s="30">
        <f>IF(AB241="No",5,0)</f>
        <v/>
      </c>
      <c r="AD241" s="30" t="inlineStr">
        <is>
          <t>Headwind</t>
        </is>
      </c>
      <c r="AE241" s="30">
        <f>IF(AD241="Tailwind",10,0)</f>
        <v/>
      </c>
      <c r="AF241" s="30" t="inlineStr">
        <is>
          <t>Structural (10 Years Consistency)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Stable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No</t>
        </is>
      </c>
      <c r="AQ241" s="30">
        <f>IF(AP241="Yes",10,0)</f>
        <v/>
      </c>
      <c r="AR241" s="30" t="inlineStr">
        <is>
          <t>Higher One Time, Lower Annuity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0 to 20</t>
        </is>
      </c>
      <c r="AY241" s="30">
        <f>IF(AX241="Above 40",20,IF(AX241="20 to 40",10,IF(AX241="0 to 20",-5,0)))</f>
        <v/>
      </c>
      <c r="AZ241" s="30" t="inlineStr">
        <is>
          <t>Between 50 to 75</t>
        </is>
      </c>
      <c r="BA241" s="30">
        <f>IF(AZ241="Between 50 to 75",10,IF(AZ241="Above 75",0,0))</f>
        <v/>
      </c>
      <c r="BB241" s="30" t="inlineStr">
        <is>
          <t>Stage 2</t>
        </is>
      </c>
      <c r="BC241" s="30">
        <f>IF(BB241="Stage 2",20,IF(BB241="Stage 1",0,IF(BB241="Stage 3",5,IF(BB241="Stage 4",-5,0))))</f>
        <v/>
      </c>
      <c r="BD241" s="30" t="inlineStr">
        <is>
          <t>Positive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Close to 52 week high or retracement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More than 20%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Yes</t>
        </is>
      </c>
      <c r="BS241" s="30">
        <f>IF(BR241="NO",5,0)</f>
        <v/>
      </c>
      <c r="BT241" s="30" t="inlineStr">
        <is>
          <t>Above 2</t>
        </is>
      </c>
      <c r="BU241" s="30">
        <f>IF(BT241="Above 2",0,IF(BT241="Between 1.5 to 2",5,IF(BT241="Less than 1.5",10,0)))</f>
        <v/>
      </c>
      <c r="BV241" s="30" t="inlineStr">
        <is>
          <t>Above 70%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Less than 0.7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IF(B242=0,"",RANK(B242,$B$2:$B$306,0))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0" t="inlineStr">
        <is>
          <t>ROSSTECH</t>
        </is>
      </c>
      <c r="D242" s="30" t="inlineStr">
        <is>
          <t>Rossell Techsys Ltd</t>
        </is>
      </c>
      <c r="E242" s="30" t="inlineStr">
        <is>
          <t>aerospace &amp; defence</t>
        </is>
      </c>
      <c r="F242" s="30" t="inlineStr">
        <is>
          <t>engineering</t>
        </is>
      </c>
      <c r="G242" s="30" t="inlineStr">
        <is>
          <t>smallcap</t>
        </is>
      </c>
      <c r="H242" s="31" t="n">
        <v>3977.73</v>
      </c>
      <c r="I242" s="31" t="n">
        <v>1052.2</v>
      </c>
      <c r="J242" s="31" t="n">
        <v>-0.28</v>
      </c>
      <c r="K242" s="31" t="n">
        <v>63314</v>
      </c>
      <c r="L242" s="30" t="n">
        <v>92</v>
      </c>
      <c r="M242" s="30" t="inlineStr">
        <is>
          <t>Outperforming</t>
        </is>
      </c>
      <c r="N242" s="31">
        <f>IF(M242="Underperforming",-5,IF(L242&gt;=95,15,IF(L242&gt;=90,10,IF(L242&gt;=80,5,0))))</f>
        <v/>
      </c>
      <c r="O242" s="31" t="n">
        <v>68.06999999999999</v>
      </c>
      <c r="P242" s="31" t="n">
        <v>36.9</v>
      </c>
      <c r="Q242" s="31" t="n">
        <v>719.62</v>
      </c>
      <c r="R242" s="30" t="inlineStr">
        <is>
          <t>Near 52W High Breakout</t>
        </is>
      </c>
      <c r="S242" s="30" t="inlineStr">
        <is>
          <t>Nifty Infra</t>
        </is>
      </c>
      <c r="T242" s="31" t="n">
        <v>1.11</v>
      </c>
      <c r="U242" s="31" t="n">
        <v>191.51</v>
      </c>
      <c r="V242" s="31" t="n">
        <v>188.3</v>
      </c>
      <c r="W242" s="31" t="n">
        <v>37.93</v>
      </c>
      <c r="X242" s="30" t="inlineStr">
        <is>
          <t>Growing Industry</t>
        </is>
      </c>
      <c r="Y242" s="30">
        <f>IF(X242="Growing Industry",10,IF(X242="Cyclical in an Upturn",5,0))</f>
        <v/>
      </c>
      <c r="Z242" s="30" t="inlineStr">
        <is>
          <t>Too Many Players with High ROCE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No</t>
        </is>
      </c>
      <c r="AC242" s="30">
        <f>IF(AB242="No",5,0)</f>
        <v/>
      </c>
      <c r="AD242" s="30" t="inlineStr">
        <is>
          <t>Tailwind</t>
        </is>
      </c>
      <c r="AE242" s="30">
        <f>IF(AD242="Tailwind",10,0)</f>
        <v/>
      </c>
      <c r="AF242" s="30" t="inlineStr">
        <is>
          <t>Structural (10 Years Consistency)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Stable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Yes</t>
        </is>
      </c>
      <c r="AQ242" s="30">
        <f>IF(AP242="Yes",10,0)</f>
        <v/>
      </c>
      <c r="AR242" s="30" t="inlineStr">
        <is>
          <t>Higher One Time, Lower Annuity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20 to 40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2</t>
        </is>
      </c>
      <c r="BC242" s="30">
        <f>IF(BB242="Stage 2",20,IF(BB242="Stage 1",0,IF(BB242="Stage 3",5,IF(BB242="Stage 4",-5,0))))</f>
        <v/>
      </c>
      <c r="BD242" s="30" t="inlineStr">
        <is>
          <t>Positive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Blue sky scenario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Less than 12%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Yes</t>
        </is>
      </c>
      <c r="BS242" s="30">
        <f>IF(BR242="NO",5,0)</f>
        <v/>
      </c>
      <c r="BT242" s="30" t="inlineStr">
        <is>
          <t>Above 2</t>
        </is>
      </c>
      <c r="BU242" s="30">
        <f>IF(BT242="Above 2",0,IF(BT242="Between 1.5 to 2",5,IF(BT242="Less than 1.5",10,0)))</f>
        <v/>
      </c>
      <c r="BV242" s="30" t="inlineStr">
        <is>
          <t>Negative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More than 1.2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IF(B243=0,"",RANK(B243,$B$2:$B$306,0))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0" t="inlineStr">
        <is>
          <t>TATACOMM</t>
        </is>
      </c>
      <c r="D243" s="30" t="inlineStr">
        <is>
          <t>Tata Communications Limited</t>
        </is>
      </c>
      <c r="E243" s="30" t="inlineStr">
        <is>
          <t>telecom-service</t>
        </is>
      </c>
      <c r="F243" s="30" t="inlineStr">
        <is>
          <t>telecommunications - service provider</t>
        </is>
      </c>
      <c r="G243" s="30" t="inlineStr">
        <is>
          <t>largecap</t>
        </is>
      </c>
      <c r="H243" s="31" t="n">
        <v>56598.15</v>
      </c>
      <c r="I243" s="31" t="n">
        <v>1972.7</v>
      </c>
      <c r="J243" s="31" t="n">
        <v>-0.66</v>
      </c>
      <c r="K243" s="31" t="n">
        <v>951148</v>
      </c>
      <c r="L243" s="30" t="n">
        <v>46</v>
      </c>
      <c r="M243" s="30" t="inlineStr">
        <is>
          <t>Outperforming</t>
        </is>
      </c>
      <c r="N243" s="31">
        <f>IF(M243="Underperforming",-5,IF(L243&gt;=95,15,IF(L243&gt;=90,10,IF(L243&gt;=80,5,0))))</f>
        <v/>
      </c>
      <c r="O243" s="31" t="n">
        <v>69.22</v>
      </c>
      <c r="P243" s="31" t="n">
        <v>27.67</v>
      </c>
      <c r="Q243" s="31" t="n">
        <v>1560.21</v>
      </c>
      <c r="R243" s="30" t="inlineStr">
        <is>
          <t>Near 52W High Breakout</t>
        </is>
      </c>
      <c r="S243" s="30" t="inlineStr">
        <is>
          <t>Nifty 50</t>
        </is>
      </c>
      <c r="T243" s="31" t="n">
        <v>-6.54</v>
      </c>
      <c r="U243" s="31" t="n">
        <v>16.87</v>
      </c>
      <c r="V243" s="31" t="n">
        <v>25.06</v>
      </c>
      <c r="W243" s="31" t="n">
        <v>12.1</v>
      </c>
      <c r="X243" s="30" t="inlineStr">
        <is>
          <t>Growing Industry</t>
        </is>
      </c>
      <c r="Y243" s="30">
        <f>IF(X243="Growing Industry",10,IF(X243="Cyclical in an Upturn",5,0))</f>
        <v/>
      </c>
      <c r="Z243" s="30" t="inlineStr">
        <is>
          <t>Oligopoly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Yes</t>
        </is>
      </c>
      <c r="AC243" s="30">
        <f>IF(AB243="No",5,0)</f>
        <v/>
      </c>
      <c r="AD243" s="30" t="inlineStr">
        <is>
          <t>Tailwind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Yes</t>
        </is>
      </c>
      <c r="AQ243" s="30">
        <f>IF(AP243="Yes",10,0)</f>
        <v/>
      </c>
      <c r="AR243" s="30" t="inlineStr">
        <is>
          <t>Higher One Time, Lower Annuity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20 to 40</t>
        </is>
      </c>
      <c r="AY243" s="30">
        <f>IF(AX243="Above 40",20,IF(AX243="20 to 40",10,IF(AX243="0 to 20",-5,0)))</f>
        <v/>
      </c>
      <c r="AZ243" s="30" t="inlineStr">
        <is>
          <t>Between 50 to 75</t>
        </is>
      </c>
      <c r="BA243" s="30">
        <f>IF(AZ243="Between 50 to 75",10,IF(AZ243="Above 75",0,0))</f>
        <v/>
      </c>
      <c r="BB243" s="30" t="inlineStr">
        <is>
          <t>Stage 2</t>
        </is>
      </c>
      <c r="BC243" s="30">
        <f>IF(BB243="Stage 2",20,IF(BB243="Stage 1",0,IF(BB243="Stage 3",5,IF(BB243="Stage 4",-5,0))))</f>
        <v/>
      </c>
      <c r="BD243" s="30" t="inlineStr">
        <is>
          <t>Positive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Close to 52 week high or retracement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Less than 12%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Yes</t>
        </is>
      </c>
      <c r="BS243" s="30">
        <f>IF(BR243="NO",5,0)</f>
        <v/>
      </c>
      <c r="BT243" s="30" t="inlineStr">
        <is>
          <t>Above 2</t>
        </is>
      </c>
      <c r="BU243" s="30">
        <f>IF(BT243="Above 2",0,IF(BT243="Between 1.5 to 2",5,IF(BT243="Less than 1.5",10,0)))</f>
        <v/>
      </c>
      <c r="BV243" s="30" t="inlineStr">
        <is>
          <t>Above 70%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More than 1.2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IF(B244=0,"",RANK(B244,$B$2:$B$306,0))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0" t="inlineStr">
        <is>
          <t>PTCIL</t>
        </is>
      </c>
      <c r="D244" s="30" t="inlineStr">
        <is>
          <t>PTC Industries Ltd</t>
        </is>
      </c>
      <c r="E244" s="30" t="inlineStr">
        <is>
          <t>industrials</t>
        </is>
      </c>
      <c r="F244" s="30" t="inlineStr">
        <is>
          <t>castings &amp; forgings</t>
        </is>
      </c>
      <c r="G244" s="30" t="inlineStr">
        <is>
          <t>largecap</t>
        </is>
      </c>
      <c r="H244" s="31" t="n">
        <v>28018.08</v>
      </c>
      <c r="I244" s="31" t="n">
        <v>18523</v>
      </c>
      <c r="J244" s="31" t="n">
        <v>-0.88</v>
      </c>
      <c r="K244" s="31" t="n">
        <v>37505</v>
      </c>
      <c r="L244" s="30" t="n">
        <v>27</v>
      </c>
      <c r="M244" s="30" t="inlineStr">
        <is>
          <t>Outperforming</t>
        </is>
      </c>
      <c r="N244" s="31">
        <f>IF(M244="Underperforming",-5,IF(L244&gt;=95,15,IF(L244&gt;=90,10,IF(L244&gt;=80,5,0))))</f>
        <v/>
      </c>
      <c r="O244" s="31" t="n">
        <v>60.49</v>
      </c>
      <c r="P244" s="31" t="n">
        <v>12.32</v>
      </c>
      <c r="Q244" s="31" t="n">
        <v>14397.78</v>
      </c>
      <c r="R244" s="30" t="inlineStr">
        <is>
          <t>Volume Spike &amp; Near 52W High Breakout</t>
        </is>
      </c>
      <c r="S244" s="30" t="inlineStr">
        <is>
          <t>Nifty 50</t>
        </is>
      </c>
      <c r="T244" s="31" t="n">
        <v>-6.54</v>
      </c>
      <c r="U244" s="31" t="n">
        <v>26.84</v>
      </c>
      <c r="V244" s="31" t="n">
        <v>35.72</v>
      </c>
      <c r="W244" s="31" t="n">
        <v>6.92</v>
      </c>
      <c r="X244" s="30" t="inlineStr">
        <is>
          <t>Cyclical in an Upturn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No</t>
        </is>
      </c>
      <c r="AC244" s="30">
        <f>IF(AB244="No",5,0)</f>
        <v/>
      </c>
      <c r="AD244" s="30" t="inlineStr">
        <is>
          <t>Tailwind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Yes</t>
        </is>
      </c>
      <c r="AQ244" s="30">
        <f>IF(AP244="Yes",10,0)</f>
        <v/>
      </c>
      <c r="AR244" s="30" t="inlineStr">
        <is>
          <t>Higher One Time, Lower Annuity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0 to 20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1</t>
        </is>
      </c>
      <c r="BC244" s="30">
        <f>IF(BB244="Stage 2",20,IF(BB244="Stage 1",0,IF(BB244="Stage 3",5,IF(BB244="Stage 4",-5,0))))</f>
        <v/>
      </c>
      <c r="BD244" s="30" t="inlineStr">
        <is>
          <t>Positive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Blue sky scenario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More than 20%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Yes</t>
        </is>
      </c>
      <c r="BS244" s="30">
        <f>IF(BR244="NO",5,0)</f>
        <v/>
      </c>
      <c r="BT244" s="30" t="inlineStr">
        <is>
          <t>Above 2</t>
        </is>
      </c>
      <c r="BU244" s="30">
        <f>IF(BT244="Above 2",0,IF(BT244="Between 1.5 to 2",5,IF(BT244="Less than 1.5",10,0)))</f>
        <v/>
      </c>
      <c r="BV244" s="30" t="inlineStr">
        <is>
          <t>Above 70%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Less than 0.7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IF(B245=0,"",RANK(B245,$B$2:$B$306,0))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0" t="inlineStr">
        <is>
          <t>TRITURBINE</t>
        </is>
      </c>
      <c r="D245" s="30" t="inlineStr">
        <is>
          <t>Triveni Turbine Limited</t>
        </is>
      </c>
      <c r="E245" s="30" t="inlineStr">
        <is>
          <t>industrials</t>
        </is>
      </c>
      <c r="F245" s="30" t="inlineStr">
        <is>
          <t>electric equipment</t>
        </is>
      </c>
      <c r="G245" s="30" t="inlineStr">
        <is>
          <t>largecap</t>
        </is>
      </c>
      <c r="H245" s="31" t="n">
        <v>22042.84</v>
      </c>
      <c r="I245" s="31" t="n">
        <v>686.9</v>
      </c>
      <c r="J245" s="31" t="n">
        <v>-0.9399999999999999</v>
      </c>
      <c r="K245" s="31" t="n">
        <v>664837</v>
      </c>
      <c r="L245" s="30" t="n">
        <v>54</v>
      </c>
      <c r="M245" s="30" t="inlineStr">
        <is>
          <t>Outperforming</t>
        </is>
      </c>
      <c r="N245" s="31">
        <f>IF(M245="Underperforming",-5,IF(L245&gt;=95,15,IF(L245&gt;=90,10,IF(L245&gt;=80,5,0))))</f>
        <v/>
      </c>
      <c r="O245" s="31" t="n">
        <v>68.92</v>
      </c>
      <c r="P245" s="31" t="n">
        <v>30.79</v>
      </c>
      <c r="Q245" s="31" t="n">
        <v>567.23</v>
      </c>
      <c r="R245" s="30" t="inlineStr">
        <is>
          <t>Earnings / Momentum Support</t>
        </is>
      </c>
      <c r="S245" s="30" t="inlineStr">
        <is>
          <t>Nifty 50</t>
        </is>
      </c>
      <c r="T245" s="31" t="n">
        <v>-6.54</v>
      </c>
      <c r="U245" s="31" t="n">
        <v>17.05</v>
      </c>
      <c r="V245" s="31" t="n">
        <v>25.25</v>
      </c>
      <c r="W245" s="31" t="n">
        <v>14.31</v>
      </c>
      <c r="X245" s="30" t="inlineStr">
        <is>
          <t>Cyclical in an Upturn</t>
        </is>
      </c>
      <c r="Y245" s="30">
        <f>IF(X245="Growing Industry",10,IF(X245="Cyclical in an Upturn",5,0))</f>
        <v/>
      </c>
      <c r="Z245" s="30" t="inlineStr">
        <is>
          <t>Too Many Players with High ROCE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No</t>
        </is>
      </c>
      <c r="AC245" s="30">
        <f>IF(AB245="No",5,0)</f>
        <v/>
      </c>
      <c r="AD245" s="30" t="inlineStr">
        <is>
          <t>Tailwind</t>
        </is>
      </c>
      <c r="AE245" s="30">
        <f>IF(AD245="Tailwind",10,0)</f>
        <v/>
      </c>
      <c r="AF245" s="30" t="inlineStr">
        <is>
          <t>Structural (10 Years Consistency)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Stable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No</t>
        </is>
      </c>
      <c r="AQ245" s="30">
        <f>IF(AP245="Yes",10,0)</f>
        <v/>
      </c>
      <c r="AR245" s="30" t="inlineStr">
        <is>
          <t>Higher One Time, Lower Annuity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20 to 40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2</t>
        </is>
      </c>
      <c r="BC245" s="30">
        <f>IF(BB245="Stage 2",20,IF(BB245="Stage 1",0,IF(BB245="Stage 3",5,IF(BB245="Stage 4",-5,0))))</f>
        <v/>
      </c>
      <c r="BD245" s="30" t="inlineStr">
        <is>
          <t>Positive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Close to 52 week high or retracement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Less than 12%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Yes</t>
        </is>
      </c>
      <c r="BS245" s="30">
        <f>IF(BR245="NO",5,0)</f>
        <v/>
      </c>
      <c r="BT245" s="30" t="inlineStr">
        <is>
          <t>Above 2</t>
        </is>
      </c>
      <c r="BU245" s="30">
        <f>IF(BT245="Above 2",0,IF(BT245="Between 1.5 to 2",5,IF(BT245="Less than 1.5",10,0)))</f>
        <v/>
      </c>
      <c r="BV245" s="30" t="inlineStr">
        <is>
          <t>Less than 50%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Less than 0.7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IF(B246=0,"",RANK(B246,$B$2:$B$306,0))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2" t="inlineStr">
        <is>
          <t>SILVERTUC</t>
        </is>
      </c>
      <c r="D246" s="32" t="inlineStr">
        <is>
          <t>Silver Touch Technologies Ltd</t>
        </is>
      </c>
      <c r="E246" s="30" t="inlineStr">
        <is>
          <t>i.t</t>
        </is>
      </c>
      <c r="F246" s="30" t="inlineStr">
        <is>
          <t>computers - software - medium / small</t>
        </is>
      </c>
      <c r="G246" s="30" t="inlineStr">
        <is>
          <t>smallcap</t>
        </is>
      </c>
      <c r="H246" s="31" t="n">
        <v>2194.83</v>
      </c>
      <c r="I246" s="31" t="n">
        <v>178.83</v>
      </c>
      <c r="J246" s="31" t="n">
        <v>3.32</v>
      </c>
      <c r="K246" s="31" t="n">
        <v>697573</v>
      </c>
      <c r="L246" s="30" t="n">
        <v>1</v>
      </c>
      <c r="M246" s="30" t="inlineStr">
        <is>
          <t>Underperforming</t>
        </is>
      </c>
      <c r="N246" s="31">
        <f>IF(M246="Underperforming",-5,IF(L246&gt;=95,15,IF(L246&gt;=90,10,IF(L246&gt;=80,5,0))))</f>
        <v/>
      </c>
      <c r="O246" s="31" t="n">
        <v>38.03</v>
      </c>
      <c r="P246" s="31" t="n">
        <v>45.38</v>
      </c>
      <c r="Q246" s="31" t="n">
        <v>53.83</v>
      </c>
      <c r="R246" s="30" t="inlineStr">
        <is>
          <t>Volume Spike / Accumulation</t>
        </is>
      </c>
      <c r="S246" s="30" t="inlineStr">
        <is>
          <t>Nifty IT</t>
        </is>
      </c>
      <c r="T246" s="31" t="n">
        <v>-22.21</v>
      </c>
      <c r="U246" s="31" t="n">
        <v>-76.77</v>
      </c>
      <c r="V246" s="31" t="n">
        <v>-70.13</v>
      </c>
      <c r="W246" s="31" t="n">
        <v>-6.25</v>
      </c>
      <c r="X246" s="30" t="inlineStr">
        <is>
          <t>Growing Industry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No</t>
        </is>
      </c>
      <c r="AC246" s="30">
        <f>IF(AB246="No",5,0)</f>
        <v/>
      </c>
      <c r="AD246" s="30" t="inlineStr">
        <is>
          <t>Headwind</t>
        </is>
      </c>
      <c r="AE246" s="30">
        <f>IF(AD246="Tailwind",10,0)</f>
        <v/>
      </c>
      <c r="AF246" s="30" t="inlineStr">
        <is>
          <t>Structural (10 Years Consistency)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Stable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Yes</t>
        </is>
      </c>
      <c r="AQ246" s="30">
        <f>IF(AP246="Yes",10,0)</f>
        <v/>
      </c>
      <c r="AR246" s="30" t="inlineStr">
        <is>
          <t>Higher Annuity, Lower One Time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Above 40</t>
        </is>
      </c>
      <c r="AY246" s="30">
        <f>IF(AX246="Above 40",20,IF(AX246="20 to 40",10,IF(AX246="0 to 20",-5,0)))</f>
        <v/>
      </c>
      <c r="AZ246" s="30" t="inlineStr">
        <is>
          <t>Below 45</t>
        </is>
      </c>
      <c r="BA246" s="30">
        <f>IF(AZ246="Between 50 to 75",10,IF(AZ246="Above 75",0,0))</f>
        <v/>
      </c>
      <c r="BB246" s="30" t="inlineStr">
        <is>
          <t>Stage 4</t>
        </is>
      </c>
      <c r="BC246" s="30">
        <f>IF(BB246="Stage 2",20,IF(BB246="Stage 1",0,IF(BB246="Stage 3",5,IF(BB246="Stage 4",-5,0))))</f>
        <v/>
      </c>
      <c r="BD246" s="30" t="inlineStr">
        <is>
          <t>Positive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Close to 52 week high or retracement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More than 20%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Yes</t>
        </is>
      </c>
      <c r="BS246" s="30">
        <f>IF(BR246="NO",5,0)</f>
        <v/>
      </c>
      <c r="BT246" s="30" t="inlineStr">
        <is>
          <t>Less than 1.5</t>
        </is>
      </c>
      <c r="BU246" s="30">
        <f>IF(BT246="Above 2",0,IF(BT246="Between 1.5 to 2",5,IF(BT246="Less than 1.5",10,0)))</f>
        <v/>
      </c>
      <c r="BV246" s="30" t="inlineStr">
        <is>
          <t>Less than 50%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Less than 0.7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IF(B247=0,"",RANK(B247,$B$2:$B$306,0))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0" t="inlineStr">
        <is>
          <t>MANORAMA</t>
        </is>
      </c>
      <c r="D247" s="30" t="inlineStr">
        <is>
          <t>Manorama Industries Ltd</t>
        </is>
      </c>
      <c r="E247" s="30" t="inlineStr">
        <is>
          <t>fmcg</t>
        </is>
      </c>
      <c r="F247" s="30" t="inlineStr">
        <is>
          <t>food - processing - indian</t>
        </is>
      </c>
      <c r="G247" s="30" t="inlineStr">
        <is>
          <t>midcap</t>
        </is>
      </c>
      <c r="H247" s="31" t="n">
        <v>8720.43</v>
      </c>
      <c r="I247" s="31" t="n">
        <v>1476.1</v>
      </c>
      <c r="J247" s="31" t="n">
        <v>1.07</v>
      </c>
      <c r="K247" s="31" t="n">
        <v>101240</v>
      </c>
      <c r="L247" s="30" t="n">
        <v>9</v>
      </c>
      <c r="M247" s="30" t="inlineStr">
        <is>
          <t>Outperforming</t>
        </is>
      </c>
      <c r="N247" s="31">
        <f>IF(M247="Underperforming",-5,IF(L247&gt;=95,15,IF(L247&gt;=90,10,IF(L247&gt;=80,5,0))))</f>
        <v/>
      </c>
      <c r="O247" s="31" t="n">
        <v>55.62</v>
      </c>
      <c r="P247" s="31" t="n">
        <v>14.33</v>
      </c>
      <c r="Q247" s="31" t="n">
        <v>1178.6</v>
      </c>
      <c r="R247" s="30" t="inlineStr">
        <is>
          <t>Earnings / Momentum Support</t>
        </is>
      </c>
      <c r="S247" s="30" t="inlineStr">
        <is>
          <t>Nifty FMCG</t>
        </is>
      </c>
      <c r="T247" s="31" t="n">
        <v>-13.44</v>
      </c>
      <c r="U247" s="31" t="n">
        <v>6.67</v>
      </c>
      <c r="V247" s="31" t="n">
        <v>23.23</v>
      </c>
      <c r="W247" s="31" t="n">
        <v>3.21</v>
      </c>
      <c r="X247" s="30" t="inlineStr">
        <is>
          <t>Growing Industry</t>
        </is>
      </c>
      <c r="Y247" s="30">
        <f>IF(X247="Growing Industry",10,IF(X247="Cyclical in an Upturn",5,0))</f>
        <v/>
      </c>
      <c r="Z247" s="30" t="inlineStr">
        <is>
          <t>Too Many Players with High ROCE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No</t>
        </is>
      </c>
      <c r="AC247" s="30">
        <f>IF(AB247="No",5,0)</f>
        <v/>
      </c>
      <c r="AD247" s="30" t="inlineStr">
        <is>
          <t>Tailwind</t>
        </is>
      </c>
      <c r="AE247" s="30">
        <f>IF(AD247="Tailwind",10,0)</f>
        <v/>
      </c>
      <c r="AF247" s="30" t="inlineStr">
        <is>
          <t>Structural (10 Years Consistency)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Stable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B2C</t>
        </is>
      </c>
      <c r="AO247" s="30">
        <f>IF(AN247="B2C",10,IF(AN247="B2B",5,0))</f>
        <v/>
      </c>
      <c r="AP247" s="30" t="inlineStr">
        <is>
          <t>No</t>
        </is>
      </c>
      <c r="AQ247" s="30">
        <f>IF(AP247="Yes",10,0)</f>
        <v/>
      </c>
      <c r="AR247" s="30" t="inlineStr">
        <is>
          <t>Higher Annuity, Lower One Time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0 to 20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2</t>
        </is>
      </c>
      <c r="BC247" s="30">
        <f>IF(BB247="Stage 2",20,IF(BB247="Stage 1",0,IF(BB247="Stage 3",5,IF(BB247="Stage 4",-5,0))))</f>
        <v/>
      </c>
      <c r="BD247" s="30" t="inlineStr">
        <is>
          <t>Negative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Close to 52 week high or retracement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More than 20%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Yes</t>
        </is>
      </c>
      <c r="BS247" s="30">
        <f>IF(BR247="NO",5,0)</f>
        <v/>
      </c>
      <c r="BT247" s="30" t="inlineStr">
        <is>
          <t>Less than 1.5</t>
        </is>
      </c>
      <c r="BU247" s="30">
        <f>IF(BT247="Above 2",0,IF(BT247="Between 1.5 to 2",5,IF(BT247="Less than 1.5",10,0)))</f>
        <v/>
      </c>
      <c r="BV247" s="30" t="inlineStr">
        <is>
          <t>Above 70%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IF(B248=0,"",RANK(B248,$B$2:$B$306,0))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0" t="inlineStr">
        <is>
          <t>VSTIND</t>
        </is>
      </c>
      <c r="D248" s="30" t="inlineStr">
        <is>
          <t>Vst Industries Limited</t>
        </is>
      </c>
      <c r="E248" s="30" t="inlineStr">
        <is>
          <t>fmcg</t>
        </is>
      </c>
      <c r="F248" s="30" t="inlineStr">
        <is>
          <t>cigarettes</t>
        </is>
      </c>
      <c r="G248" s="30" t="inlineStr">
        <is>
          <t>smallcap</t>
        </is>
      </c>
      <c r="H248" s="31" t="n">
        <v>4338.25</v>
      </c>
      <c r="I248" s="31" t="n">
        <v>258.05</v>
      </c>
      <c r="J248" s="31" t="n">
        <v>1.04</v>
      </c>
      <c r="K248" s="31" t="n">
        <v>229053</v>
      </c>
      <c r="L248" s="30" t="n">
        <v>7</v>
      </c>
      <c r="M248" s="30" t="inlineStr">
        <is>
          <t>Outperforming</t>
        </is>
      </c>
      <c r="N248" s="31">
        <f>IF(M248="Underperforming",-5,IF(L248&gt;=95,15,IF(L248&gt;=90,10,IF(L248&gt;=80,5,0))))</f>
        <v/>
      </c>
      <c r="O248" s="31" t="n">
        <v>55.94</v>
      </c>
      <c r="P248" s="31" t="n">
        <v>32.19</v>
      </c>
      <c r="Q248" s="31" t="n">
        <v>220.71</v>
      </c>
      <c r="R248" s="30" t="inlineStr">
        <is>
          <t>Earnings / Momentum Support</t>
        </is>
      </c>
      <c r="S248" s="30" t="inlineStr">
        <is>
          <t>Nifty FMCG</t>
        </is>
      </c>
      <c r="T248" s="31" t="n">
        <v>-13.44</v>
      </c>
      <c r="U248" s="31" t="n">
        <v>-5.13</v>
      </c>
      <c r="V248" s="31" t="n">
        <v>9.6</v>
      </c>
      <c r="W248" s="31" t="n">
        <v>2.61</v>
      </c>
      <c r="X248" s="30" t="inlineStr">
        <is>
          <t>Growing Industry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No</t>
        </is>
      </c>
      <c r="AC248" s="30">
        <f>IF(AB248="No",5,0)</f>
        <v/>
      </c>
      <c r="AD248" s="30" t="inlineStr">
        <is>
          <t>Tailwind</t>
        </is>
      </c>
      <c r="AE248" s="30">
        <f>IF(AD248="Tailwind",10,0)</f>
        <v/>
      </c>
      <c r="AF248" s="30" t="inlineStr">
        <is>
          <t>Structural (10 Years Consistency)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Stable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B2C</t>
        </is>
      </c>
      <c r="AO248" s="30">
        <f>IF(AN248="B2C",10,IF(AN248="B2B",5,0))</f>
        <v/>
      </c>
      <c r="AP248" s="30" t="inlineStr">
        <is>
          <t>No</t>
        </is>
      </c>
      <c r="AQ248" s="30">
        <f>IF(AP248="Yes",10,0)</f>
        <v/>
      </c>
      <c r="AR248" s="30" t="inlineStr">
        <is>
          <t>Higher Annuity, Lower One Time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20 to 40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2</t>
        </is>
      </c>
      <c r="BC248" s="30">
        <f>IF(BB248="Stage 2",20,IF(BB248="Stage 1",0,IF(BB248="Stage 3",5,IF(BB248="Stage 4",-5,0))))</f>
        <v/>
      </c>
      <c r="BD248" s="30" t="inlineStr">
        <is>
          <t>Negative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Close to 52 week high or retracement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More than 20%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No</t>
        </is>
      </c>
      <c r="BS248" s="30">
        <f>IF(BR248="NO",5,0)</f>
        <v/>
      </c>
      <c r="BT248" s="30" t="inlineStr">
        <is>
          <t>Above 2</t>
        </is>
      </c>
      <c r="BU248" s="30">
        <f>IF(BT248="Above 2",0,IF(BT248="Between 1.5 to 2",5,IF(BT248="Less than 1.5",10,0)))</f>
        <v/>
      </c>
      <c r="BV248" s="30" t="inlineStr">
        <is>
          <t>Less than 50%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Less than 0.7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IF(B249=0,"",RANK(B249,$B$2:$B$306,0))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2" t="inlineStr">
        <is>
          <t>CIPLA</t>
        </is>
      </c>
      <c r="D249" s="32" t="inlineStr">
        <is>
          <t>Cipla Limited</t>
        </is>
      </c>
      <c r="E249" s="30" t="inlineStr">
        <is>
          <t>healthcare</t>
        </is>
      </c>
      <c r="F249" s="30" t="inlineStr">
        <is>
          <t>pharmaceuticals - indian - bulk drugs &amp; formln</t>
        </is>
      </c>
      <c r="G249" s="30" t="inlineStr">
        <is>
          <t>largecap</t>
        </is>
      </c>
      <c r="H249" s="31" t="n">
        <v>112984.56</v>
      </c>
      <c r="I249" s="31" t="n">
        <v>1401.3</v>
      </c>
      <c r="J249" s="31" t="n">
        <v>0.19</v>
      </c>
      <c r="K249" s="31" t="n">
        <v>1050391</v>
      </c>
      <c r="L249" s="30" t="n">
        <v>2</v>
      </c>
      <c r="M249" s="30" t="inlineStr">
        <is>
          <t>Underperforming</t>
        </is>
      </c>
      <c r="N249" s="31">
        <f>IF(M249="Underperforming",-5,IF(L249&gt;=95,15,IF(L249&gt;=90,10,IF(L249&gt;=80,5,0))))</f>
        <v/>
      </c>
      <c r="O249" s="31" t="n">
        <v>55.9</v>
      </c>
      <c r="P249" s="31" t="n">
        <v>28.91</v>
      </c>
      <c r="Q249" s="31" t="n">
        <v>1224.48</v>
      </c>
      <c r="R249" s="30" t="inlineStr">
        <is>
          <t>Earnings / Momentum Support</t>
        </is>
      </c>
      <c r="S249" s="30" t="inlineStr">
        <is>
          <t>Nifty Pharma</t>
        </is>
      </c>
      <c r="T249" s="31" t="n">
        <v>11.82</v>
      </c>
      <c r="U249" s="31" t="n">
        <v>-4.96</v>
      </c>
      <c r="V249" s="31" t="n">
        <v>-15.01</v>
      </c>
      <c r="W249" s="31" t="n">
        <v>0.65</v>
      </c>
      <c r="X249" s="30" t="inlineStr">
        <is>
          <t>Growing Industry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Yes</t>
        </is>
      </c>
      <c r="AC249" s="30">
        <f>IF(AB249="No",5,0)</f>
        <v/>
      </c>
      <c r="AD249" s="30" t="inlineStr">
        <is>
          <t>Headwind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No</t>
        </is>
      </c>
      <c r="AQ249" s="30">
        <f>IF(AP249="Yes",10,0)</f>
        <v/>
      </c>
      <c r="AR249" s="30" t="inlineStr">
        <is>
          <t>Higher Annuity, Lower One Time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20 to 40</t>
        </is>
      </c>
      <c r="AY249" s="30">
        <f>IF(AX249="Above 40",20,IF(AX249="20 to 40",10,IF(AX249="0 to 20",-5,0)))</f>
        <v/>
      </c>
      <c r="AZ249" s="30" t="inlineStr">
        <is>
          <t>Between 50 to 75</t>
        </is>
      </c>
      <c r="BA249" s="30">
        <f>IF(AZ249="Between 50 to 75",10,IF(AZ249="Above 75",0,0))</f>
        <v/>
      </c>
      <c r="BB249" s="30" t="inlineStr">
        <is>
          <t>Stage 2</t>
        </is>
      </c>
      <c r="BC249" s="30">
        <f>IF(BB249="Stage 2",20,IF(BB249="Stage 1",0,IF(BB249="Stage 3",5,IF(BB249="Stage 4",-5,0))))</f>
        <v/>
      </c>
      <c r="BD249" s="30" t="inlineStr">
        <is>
          <t>Positive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Close to 52 week high or retracement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Less than 12%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No</t>
        </is>
      </c>
      <c r="BS249" s="30">
        <f>IF(BR249="NO",5,0)</f>
        <v/>
      </c>
      <c r="BT249" s="30" t="inlineStr">
        <is>
          <t>Above 2</t>
        </is>
      </c>
      <c r="BU249" s="30">
        <f>IF(BT249="Above 2",0,IF(BT249="Between 1.5 to 2",5,IF(BT249="Less than 1.5",10,0)))</f>
        <v/>
      </c>
      <c r="BV249" s="30" t="inlineStr">
        <is>
          <t>Between 50% to 70%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Less than 0.7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IF(B250=0,"",RANK(B250,$B$2:$B$306,0))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0" t="inlineStr">
        <is>
          <t>BHAGERIA</t>
        </is>
      </c>
      <c r="D250" s="30" t="inlineStr">
        <is>
          <t>Bhageria Industries Limited</t>
        </is>
      </c>
      <c r="E250" s="30" t="inlineStr">
        <is>
          <t>chemicals</t>
        </is>
      </c>
      <c r="F250" s="30" t="inlineStr">
        <is>
          <t>dyes and pigments</t>
        </is>
      </c>
      <c r="G250" s="30" t="inlineStr">
        <is>
          <t>smallcap</t>
        </is>
      </c>
      <c r="H250" s="31" t="n">
        <v>787.86</v>
      </c>
      <c r="I250" s="31" t="n">
        <v>209.09</v>
      </c>
      <c r="J250" s="31" t="n">
        <v>15.83</v>
      </c>
      <c r="K250" s="31" t="n">
        <v>2265151</v>
      </c>
      <c r="L250" s="30" t="n">
        <v>43</v>
      </c>
      <c r="M250" s="30" t="inlineStr">
        <is>
          <t>Outperforming</t>
        </is>
      </c>
      <c r="N250" s="31">
        <f>IF(M250="Underperforming",-5,IF(L250&gt;=95,15,IF(L250&gt;=90,10,IF(L250&gt;=80,5,0))))</f>
        <v/>
      </c>
      <c r="O250" s="31" t="n">
        <v>64.56</v>
      </c>
      <c r="P250" s="31" t="n">
        <v>13.19</v>
      </c>
      <c r="Q250" s="31" t="n">
        <v>154.02</v>
      </c>
      <c r="R250" s="30" t="inlineStr">
        <is>
          <t>Volume Spike / Accumulation</t>
        </is>
      </c>
      <c r="S250" s="30" t="inlineStr">
        <is>
          <t>Nifty IT</t>
        </is>
      </c>
      <c r="T250" s="31" t="n">
        <v>-22.21</v>
      </c>
      <c r="U250" s="31" t="n">
        <v>11.22</v>
      </c>
      <c r="V250" s="31" t="n">
        <v>42.98</v>
      </c>
      <c r="W250" s="31" t="n">
        <v>11.08</v>
      </c>
      <c r="X250" s="30" t="inlineStr">
        <is>
          <t>Growing Industry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No</t>
        </is>
      </c>
      <c r="AC250" s="30">
        <f>IF(AB250="No",5,0)</f>
        <v/>
      </c>
      <c r="AD250" s="30" t="inlineStr">
        <is>
          <t>Tailwind</t>
        </is>
      </c>
      <c r="AE250" s="30">
        <f>IF(AD250="Tailwind",10,0)</f>
        <v/>
      </c>
      <c r="AF250" s="30" t="inlineStr">
        <is>
          <t>Structural (10 Years Consistency)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Stable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B2B</t>
        </is>
      </c>
      <c r="AO250" s="30">
        <f>IF(AN250="B2C",10,IF(AN250="B2B",5,0))</f>
        <v/>
      </c>
      <c r="AP250" s="30" t="inlineStr">
        <is>
          <t>Yes</t>
        </is>
      </c>
      <c r="AQ250" s="30">
        <f>IF(AP250="Yes",10,0)</f>
        <v/>
      </c>
      <c r="AR250" s="30" t="inlineStr">
        <is>
          <t>Higher One Time, Lower Annuity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0 to 20</t>
        </is>
      </c>
      <c r="AY250" s="30">
        <f>IF(AX250="Above 40",20,IF(AX250="20 to 40",10,IF(AX250="0 to 20",-5,0)))</f>
        <v/>
      </c>
      <c r="AZ250" s="30" t="inlineStr">
        <is>
          <t>Between 50 to 75</t>
        </is>
      </c>
      <c r="BA250" s="30">
        <f>IF(AZ250="Between 50 to 75",10,IF(AZ250="Above 75",0,0))</f>
        <v/>
      </c>
      <c r="BB250" s="30" t="inlineStr">
        <is>
          <t>Stage 1</t>
        </is>
      </c>
      <c r="BC250" s="30">
        <f>IF(BB250="Stage 2",20,IF(BB250="Stage 1",0,IF(BB250="Stage 3",5,IF(BB250="Stage 4",-5,0))))</f>
        <v/>
      </c>
      <c r="BD250" s="30" t="inlineStr">
        <is>
          <t>Positive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Close to 52 week high or retracement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Less than 12%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No</t>
        </is>
      </c>
      <c r="BS250" s="30">
        <f>IF(BR250="NO",5,0)</f>
        <v/>
      </c>
      <c r="BT250" s="30" t="inlineStr">
        <is>
          <t>Above 2</t>
        </is>
      </c>
      <c r="BU250" s="30">
        <f>IF(BT250="Above 2",0,IF(BT250="Between 1.5 to 2",5,IF(BT250="Less than 1.5",10,0)))</f>
        <v/>
      </c>
      <c r="BV250" s="30" t="inlineStr">
        <is>
          <t>Above 70%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Less than 0.7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IF(B251=0,"",RANK(B251,$B$2:$B$306,0))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2" t="inlineStr">
        <is>
          <t>HINDOILEXP</t>
        </is>
      </c>
      <c r="D251" s="32" t="inlineStr">
        <is>
          <t>Hindustan Oil Exploration Company Limited</t>
        </is>
      </c>
      <c r="E251" s="30" t="inlineStr">
        <is>
          <t>energy</t>
        </is>
      </c>
      <c r="F251" s="30" t="inlineStr">
        <is>
          <t>oil drilling / allied services</t>
        </is>
      </c>
      <c r="G251" s="30" t="inlineStr">
        <is>
          <t>smallcap</t>
        </is>
      </c>
      <c r="H251" s="31" t="n">
        <v>2214.28</v>
      </c>
      <c r="I251" s="31" t="n">
        <v>174.66</v>
      </c>
      <c r="J251" s="31" t="n">
        <v>4.31</v>
      </c>
      <c r="K251" s="31" t="n">
        <v>1131670</v>
      </c>
      <c r="L251" s="30" t="n">
        <v>9</v>
      </c>
      <c r="M251" s="30" t="inlineStr">
        <is>
          <t>Underperforming</t>
        </is>
      </c>
      <c r="N251" s="31">
        <f>IF(M251="Underperforming",-5,IF(L251&gt;=95,15,IF(L251&gt;=90,10,IF(L251&gt;=80,5,0))))</f>
        <v/>
      </c>
      <c r="O251" s="31" t="n">
        <v>59.46</v>
      </c>
      <c r="P251" s="31" t="n">
        <v>23.64</v>
      </c>
      <c r="Q251" s="31" t="n">
        <v>129.04</v>
      </c>
      <c r="R251" s="30" t="inlineStr">
        <is>
          <t>Near 52W High Breakout</t>
        </is>
      </c>
      <c r="S251" s="30" t="inlineStr">
        <is>
          <t>Nifty Energy</t>
        </is>
      </c>
      <c r="T251" s="31" t="n">
        <v>12.31</v>
      </c>
      <c r="U251" s="31" t="n">
        <v>2.69</v>
      </c>
      <c r="V251" s="31" t="n">
        <v>-8.57</v>
      </c>
      <c r="W251" s="31" t="n">
        <v>3.15</v>
      </c>
      <c r="X251" s="30" t="inlineStr">
        <is>
          <t>Cyclical in an Upturn</t>
        </is>
      </c>
      <c r="Y251" s="30">
        <f>IF(X251="Growing Industry",10,IF(X251="Cyclical in an Upturn",5,0))</f>
        <v/>
      </c>
      <c r="Z251" s="30" t="inlineStr">
        <is>
          <t>Oligopoly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Yes</t>
        </is>
      </c>
      <c r="AC251" s="30">
        <f>IF(AB251="No",5,0)</f>
        <v/>
      </c>
      <c r="AD251" s="30" t="inlineStr">
        <is>
          <t>Tailwind</t>
        </is>
      </c>
      <c r="AE251" s="30">
        <f>IF(AD251="Tailwind",10,0)</f>
        <v/>
      </c>
      <c r="AF251" s="30" t="inlineStr">
        <is>
          <t>Cyclical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Volatile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B2B</t>
        </is>
      </c>
      <c r="AO251" s="30">
        <f>IF(AN251="B2C",10,IF(AN251="B2B",5,0))</f>
        <v/>
      </c>
      <c r="AP251" s="30" t="inlineStr">
        <is>
          <t>Yes</t>
        </is>
      </c>
      <c r="AQ251" s="30">
        <f>IF(AP251="Yes",10,0)</f>
        <v/>
      </c>
      <c r="AR251" s="30" t="inlineStr">
        <is>
          <t>Higher One Time, Lower Annuity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20 to 40</t>
        </is>
      </c>
      <c r="AY251" s="30">
        <f>IF(AX251="Above 40",20,IF(AX251="20 to 40",10,IF(AX251="0 to 20",-5,0)))</f>
        <v/>
      </c>
      <c r="AZ251" s="30" t="inlineStr">
        <is>
          <t>Between 50 to 75</t>
        </is>
      </c>
      <c r="BA251" s="30">
        <f>IF(AZ251="Between 50 to 75",10,IF(AZ251="Above 75",0,0))</f>
        <v/>
      </c>
      <c r="BB251" s="30" t="inlineStr">
        <is>
          <t>Stage 2</t>
        </is>
      </c>
      <c r="BC251" s="30">
        <f>IF(BB251="Stage 2",20,IF(BB251="Stage 1",0,IF(BB251="Stage 3",5,IF(BB251="Stage 4",-5,0))))</f>
        <v/>
      </c>
      <c r="BD251" s="30" t="inlineStr">
        <is>
          <t>Positive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Close to 52 week high or retracement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Less than 12%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No</t>
        </is>
      </c>
      <c r="BS251" s="30">
        <f>IF(BR251="NO",5,0)</f>
        <v/>
      </c>
      <c r="BT251" s="30" t="inlineStr">
        <is>
          <t>Above 2</t>
        </is>
      </c>
      <c r="BU251" s="30">
        <f>IF(BT251="Above 2",0,IF(BT251="Between 1.5 to 2",5,IF(BT251="Less than 1.5",10,0)))</f>
        <v/>
      </c>
      <c r="BV251" s="30" t="inlineStr">
        <is>
          <t>Above 70%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Less than 0.7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IF(B252=0,"",RANK(B252,$B$2:$B$306,0))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0" t="inlineStr">
        <is>
          <t>AVL</t>
        </is>
      </c>
      <c r="D252" s="30" t="inlineStr">
        <is>
          <t>Aditya Vision Ltd</t>
        </is>
      </c>
      <c r="E252" s="30" t="inlineStr">
        <is>
          <t>consumer discretionary</t>
        </is>
      </c>
      <c r="F252" s="30" t="inlineStr">
        <is>
          <t>trading</t>
        </is>
      </c>
      <c r="G252" s="30" t="inlineStr">
        <is>
          <t>midcap</t>
        </is>
      </c>
      <c r="H252" s="31" t="n">
        <v>6931.48</v>
      </c>
      <c r="I252" s="31" t="n">
        <v>551.2</v>
      </c>
      <c r="J252" s="31" t="n">
        <v>2.69</v>
      </c>
      <c r="K252" s="31" t="n">
        <v>196519</v>
      </c>
      <c r="L252" s="30" t="n">
        <v>47</v>
      </c>
      <c r="M252" s="30" t="inlineStr">
        <is>
          <t>Outperforming</t>
        </is>
      </c>
      <c r="N252" s="31">
        <f>IF(M252="Underperforming",-5,IF(L252&gt;=95,15,IF(L252&gt;=90,10,IF(L252&gt;=80,5,0))))</f>
        <v/>
      </c>
      <c r="O252" s="31" t="n">
        <v>59.49</v>
      </c>
      <c r="P252" s="31" t="n">
        <v>21.91</v>
      </c>
      <c r="Q252" s="31" t="n">
        <v>433.82</v>
      </c>
      <c r="R252" s="30" t="inlineStr">
        <is>
          <t>Near 52W High Breakout</t>
        </is>
      </c>
      <c r="S252" s="30" t="inlineStr">
        <is>
          <t>Nifty 50</t>
        </is>
      </c>
      <c r="T252" s="31" t="n">
        <v>-6.54</v>
      </c>
      <c r="U252" s="31" t="n">
        <v>43.48</v>
      </c>
      <c r="V252" s="31" t="n">
        <v>53.53</v>
      </c>
      <c r="W252" s="31" t="n">
        <v>12.21</v>
      </c>
      <c r="X252" s="30" t="inlineStr">
        <is>
          <t>Growing Industry</t>
        </is>
      </c>
      <c r="Y252" s="30">
        <f>IF(X252="Growing Industry",10,IF(X252="Cyclical in an Upturn",5,0))</f>
        <v/>
      </c>
      <c r="Z252" s="30" t="inlineStr">
        <is>
          <t>Too Many Players with High ROCE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No</t>
        </is>
      </c>
      <c r="AC252" s="30">
        <f>IF(AB252="No",5,0)</f>
        <v/>
      </c>
      <c r="AD252" s="30" t="inlineStr">
        <is>
          <t>Tailwind</t>
        </is>
      </c>
      <c r="AE252" s="30">
        <f>IF(AD252="Tailwind",10,0)</f>
        <v/>
      </c>
      <c r="AF252" s="30" t="inlineStr">
        <is>
          <t>Structural (10 Years Consistency)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Stable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Yes</t>
        </is>
      </c>
      <c r="AQ252" s="30">
        <f>IF(AP252="Yes",10,0)</f>
        <v/>
      </c>
      <c r="AR252" s="30" t="inlineStr">
        <is>
          <t>Higher One Time, Lower Annuity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20 to 40</t>
        </is>
      </c>
      <c r="AY252" s="30">
        <f>IF(AX252="Above 40",20,IF(AX252="20 to 40",10,IF(AX252="0 to 20",-5,0)))</f>
        <v/>
      </c>
      <c r="AZ252" s="30" t="inlineStr">
        <is>
          <t>Between 50 to 75</t>
        </is>
      </c>
      <c r="BA252" s="30">
        <f>IF(AZ252="Between 50 to 75",10,IF(AZ252="Above 75",0,0))</f>
        <v/>
      </c>
      <c r="BB252" s="30" t="inlineStr">
        <is>
          <t>Stage 2</t>
        </is>
      </c>
      <c r="BC252" s="30">
        <f>IF(BB252="Stage 2",20,IF(BB252="Stage 1",0,IF(BB252="Stage 3",5,IF(BB252="Stage 4",-5,0))))</f>
        <v/>
      </c>
      <c r="BD252" s="30" t="inlineStr">
        <is>
          <t>Negative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Blue sky scenario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More than 20%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Yes</t>
        </is>
      </c>
      <c r="BS252" s="30">
        <f>IF(BR252="NO",5,0)</f>
        <v/>
      </c>
      <c r="BT252" s="30" t="inlineStr">
        <is>
          <t>Between 1.5 to 2</t>
        </is>
      </c>
      <c r="BU252" s="30">
        <f>IF(BT252="Above 2",0,IF(BT252="Between 1.5 to 2",5,IF(BT252="Less than 1.5",10,0)))</f>
        <v/>
      </c>
      <c r="BV252" s="30" t="inlineStr">
        <is>
          <t>Less than 50%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Between 0.7 to 1.2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IF(B253=0,"",RANK(B253,$B$2:$B$306,0))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0" t="inlineStr">
        <is>
          <t>NEOGEN</t>
        </is>
      </c>
      <c r="D253" s="30" t="inlineStr">
        <is>
          <t>Neogen Chemicals Ltd</t>
        </is>
      </c>
      <c r="E253" s="30" t="inlineStr">
        <is>
          <t>chemicals</t>
        </is>
      </c>
      <c r="F253" s="30" t="inlineStr">
        <is>
          <t>chemicals</t>
        </is>
      </c>
      <c r="G253" s="30" t="inlineStr">
        <is>
          <t>midcap</t>
        </is>
      </c>
      <c r="H253" s="31" t="n">
        <v>5155.7</v>
      </c>
      <c r="I253" s="31" t="n">
        <v>1903.6</v>
      </c>
      <c r="J253" s="31" t="n">
        <v>1.1</v>
      </c>
      <c r="K253" s="31" t="n">
        <v>89441</v>
      </c>
      <c r="L253" s="30" t="n">
        <v>55</v>
      </c>
      <c r="M253" s="30" t="inlineStr">
        <is>
          <t>Outperforming</t>
        </is>
      </c>
      <c r="N253" s="31">
        <f>IF(M253="Underperforming",-5,IF(L253&gt;=95,15,IF(L253&gt;=90,10,IF(L253&gt;=80,5,0))))</f>
        <v/>
      </c>
      <c r="O253" s="31" t="n">
        <v>68.2</v>
      </c>
      <c r="P253" s="31" t="n">
        <v>30.84</v>
      </c>
      <c r="Q253" s="31" t="n">
        <v>1395.35</v>
      </c>
      <c r="R253" s="30" t="inlineStr">
        <is>
          <t>Near 52W High Breakout</t>
        </is>
      </c>
      <c r="S253" s="30" t="inlineStr">
        <is>
          <t>Nifty 50</t>
        </is>
      </c>
      <c r="T253" s="31" t="n">
        <v>-6.54</v>
      </c>
      <c r="U253" s="31" t="n">
        <v>15.32</v>
      </c>
      <c r="V253" s="31" t="n">
        <v>23.4</v>
      </c>
      <c r="W253" s="31" t="n">
        <v>14.66</v>
      </c>
      <c r="X253" s="30" t="inlineStr">
        <is>
          <t>Growing Industry</t>
        </is>
      </c>
      <c r="Y253" s="30">
        <f>IF(X253="Growing Industry",10,IF(X253="Cyclical in an Upturn",5,0))</f>
        <v/>
      </c>
      <c r="Z253" s="30" t="inlineStr">
        <is>
          <t>Too Many Players with High ROCE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No</t>
        </is>
      </c>
      <c r="AC253" s="30">
        <f>IF(AB253="No",5,0)</f>
        <v/>
      </c>
      <c r="AD253" s="30" t="inlineStr">
        <is>
          <t>Tailwind</t>
        </is>
      </c>
      <c r="AE253" s="30">
        <f>IF(AD253="Tailwind",10,0)</f>
        <v/>
      </c>
      <c r="AF253" s="30" t="inlineStr">
        <is>
          <t>Structural (10 Years Consistency)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Stable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Yes</t>
        </is>
      </c>
      <c r="AQ253" s="30">
        <f>IF(AP253="Yes",10,0)</f>
        <v/>
      </c>
      <c r="AR253" s="30" t="inlineStr">
        <is>
          <t>Higher One Time, Lower Annuity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20 to 40</t>
        </is>
      </c>
      <c r="AY253" s="30">
        <f>IF(AX253="Above 40",20,IF(AX253="20 to 40",10,IF(AX253="0 to 20",-5,0)))</f>
        <v/>
      </c>
      <c r="AZ253" s="30" t="inlineStr">
        <is>
          <t>Between 50 to 75</t>
        </is>
      </c>
      <c r="BA253" s="30">
        <f>IF(AZ253="Between 50 to 75",10,IF(AZ253="Above 75",0,0))</f>
        <v/>
      </c>
      <c r="BB253" s="30" t="inlineStr">
        <is>
          <t>Stage 2</t>
        </is>
      </c>
      <c r="BC253" s="30">
        <f>IF(BB253="Stage 2",20,IF(BB253="Stage 1",0,IF(BB253="Stage 3",5,IF(BB253="Stage 4",-5,0))))</f>
        <v/>
      </c>
      <c r="BD253" s="30" t="inlineStr">
        <is>
          <t>Positive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Close to 52 week high or retracement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More than 20%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Yes</t>
        </is>
      </c>
      <c r="BS253" s="30">
        <f>IF(BR253="NO",5,0)</f>
        <v/>
      </c>
      <c r="BT253" s="30" t="inlineStr">
        <is>
          <t>Above 2</t>
        </is>
      </c>
      <c r="BU253" s="30">
        <f>IF(BT253="Above 2",0,IF(BT253="Between 1.5 to 2",5,IF(BT253="Less than 1.5",10,0)))</f>
        <v/>
      </c>
      <c r="BV253" s="30" t="inlineStr">
        <is>
          <t>Negative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More than 1.2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IF(B254=0,"",RANK(B254,$B$2:$B$306,0))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2" t="inlineStr">
        <is>
          <t>DEEPAKFERT</t>
        </is>
      </c>
      <c r="D254" s="32" t="inlineStr">
        <is>
          <t>Deepak Fertilizers And Petrochemicals Corporation Limited</t>
        </is>
      </c>
      <c r="E254" s="30" t="inlineStr">
        <is>
          <t>chemicals</t>
        </is>
      </c>
      <c r="F254" s="30" t="inlineStr">
        <is>
          <t>chemicals</t>
        </is>
      </c>
      <c r="G254" s="30" t="inlineStr">
        <is>
          <t>midcap</t>
        </is>
      </c>
      <c r="H254" s="31" t="n">
        <v>17933.35</v>
      </c>
      <c r="I254" s="31" t="n">
        <v>1425.8</v>
      </c>
      <c r="J254" s="31" t="n">
        <v>0.37</v>
      </c>
      <c r="K254" s="31" t="n">
        <v>112062</v>
      </c>
      <c r="L254" s="30" t="n">
        <v>41</v>
      </c>
      <c r="M254" s="30" t="inlineStr">
        <is>
          <t>Underperforming</t>
        </is>
      </c>
      <c r="N254" s="31">
        <f>IF(M254="Underperforming",-5,IF(L254&gt;=95,15,IF(L254&gt;=90,10,IF(L254&gt;=80,5,0))))</f>
        <v/>
      </c>
      <c r="O254" s="31" t="n">
        <v>63.66</v>
      </c>
      <c r="P254" s="31" t="n">
        <v>30.8</v>
      </c>
      <c r="Q254" s="31" t="n">
        <v>1116.19</v>
      </c>
      <c r="R254" s="30" t="inlineStr">
        <is>
          <t>Earnings / Momentum Support</t>
        </is>
      </c>
      <c r="S254" s="30" t="inlineStr">
        <is>
          <t>Nifty 50</t>
        </is>
      </c>
      <c r="T254" s="31" t="n">
        <v>-6.54</v>
      </c>
      <c r="U254" s="31" t="n">
        <v>-7.03</v>
      </c>
      <c r="V254" s="31" t="n">
        <v>-0.52</v>
      </c>
      <c r="W254" s="31" t="n">
        <v>10.86</v>
      </c>
      <c r="X254" s="30" t="inlineStr">
        <is>
          <t>Growing Industry</t>
        </is>
      </c>
      <c r="Y254" s="30">
        <f>IF(X254="Growing Industry",10,IF(X254="Cyclical in an Upturn",5,0))</f>
        <v/>
      </c>
      <c r="Z254" s="30" t="inlineStr">
        <is>
          <t>Too Many Players with High ROCE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No</t>
        </is>
      </c>
      <c r="AC254" s="30">
        <f>IF(AB254="No",5,0)</f>
        <v/>
      </c>
      <c r="AD254" s="30" t="inlineStr">
        <is>
          <t>Tailwind</t>
        </is>
      </c>
      <c r="AE254" s="30">
        <f>IF(AD254="Tailwind",10,0)</f>
        <v/>
      </c>
      <c r="AF254" s="30" t="inlineStr">
        <is>
          <t>Structural (10 Years Consistency)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Stable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B2B</t>
        </is>
      </c>
      <c r="AO254" s="30">
        <f>IF(AN254="B2C",10,IF(AN254="B2B",5,0))</f>
        <v/>
      </c>
      <c r="AP254" s="30" t="inlineStr">
        <is>
          <t>No</t>
        </is>
      </c>
      <c r="AQ254" s="30">
        <f>IF(AP254="Yes",10,0)</f>
        <v/>
      </c>
      <c r="AR254" s="30" t="inlineStr">
        <is>
          <t>Higher One Time, Lower Annuity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20 to 40</t>
        </is>
      </c>
      <c r="AY254" s="30">
        <f>IF(AX254="Above 40",20,IF(AX254="20 to 40",10,IF(AX254="0 to 20",-5,0)))</f>
        <v/>
      </c>
      <c r="AZ254" s="30" t="inlineStr">
        <is>
          <t>Between 50 to 75</t>
        </is>
      </c>
      <c r="BA254" s="30">
        <f>IF(AZ254="Between 50 to 75",10,IF(AZ254="Above 75",0,0))</f>
        <v/>
      </c>
      <c r="BB254" s="30" t="inlineStr">
        <is>
          <t>Stage 2</t>
        </is>
      </c>
      <c r="BC254" s="30">
        <f>IF(BB254="Stage 2",20,IF(BB254="Stage 1",0,IF(BB254="Stage 3",5,IF(BB254="Stage 4",-5,0))))</f>
        <v/>
      </c>
      <c r="BD254" s="30" t="inlineStr">
        <is>
          <t>Positive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Close to 52 week high or retracement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Less than 12%</t>
        </is>
      </c>
      <c r="BO254" s="30">
        <f>IF(BN254="More than 20%",10,IF(BN254="Between 12 to 20%",5,IF(BN254="Less than 12%",0,0)))</f>
        <v/>
      </c>
      <c r="BP254" s="30" t="inlineStr">
        <is>
          <t>No</t>
        </is>
      </c>
      <c r="BQ254" s="30">
        <f>IF(BP254="No",10,0)</f>
        <v/>
      </c>
      <c r="BR254" s="30" t="inlineStr">
        <is>
          <t>No</t>
        </is>
      </c>
      <c r="BS254" s="30">
        <f>IF(BR254="NO",5,0)</f>
        <v/>
      </c>
      <c r="BT254" s="30" t="inlineStr">
        <is>
          <t>Above 2</t>
        </is>
      </c>
      <c r="BU254" s="30">
        <f>IF(BT254="Above 2",0,IF(BT254="Between 1.5 to 2",5,IF(BT254="Less than 1.5",10,0)))</f>
        <v/>
      </c>
      <c r="BV254" s="30" t="inlineStr">
        <is>
          <t>Less than 50%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Between 0.7 to 1.2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IF(B255=0,"",RANK(B255,$B$2:$B$306,0))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0" t="inlineStr">
        <is>
          <t>PTL</t>
        </is>
      </c>
      <c r="D255" s="30" t="inlineStr">
        <is>
          <t>Ptl Enterprises Limited</t>
        </is>
      </c>
      <c r="E255" s="30" t="inlineStr">
        <is>
          <t>miscellaneous</t>
        </is>
      </c>
      <c r="F255" s="30" t="inlineStr">
        <is>
          <t>miscellaneous</t>
        </is>
      </c>
      <c r="G255" s="30" t="inlineStr">
        <is>
          <t>smallcap</t>
        </is>
      </c>
      <c r="H255" s="31" t="n">
        <v>527.92</v>
      </c>
      <c r="I255" s="31" t="n">
        <v>39.99</v>
      </c>
      <c r="J255" s="31" t="n">
        <v>0.28</v>
      </c>
      <c r="K255" s="31" t="n">
        <v>27103</v>
      </c>
      <c r="L255" s="30" t="n">
        <v>4</v>
      </c>
      <c r="M255" s="30" t="inlineStr">
        <is>
          <t>Outperforming</t>
        </is>
      </c>
      <c r="N255" s="31">
        <f>IF(M255="Underperforming",-5,IF(L255&gt;=95,15,IF(L255&gt;=90,10,IF(L255&gt;=80,5,0))))</f>
        <v/>
      </c>
      <c r="O255" s="31" t="n">
        <v>56.24</v>
      </c>
      <c r="P255" s="31" t="n">
        <v>12.05</v>
      </c>
      <c r="Q255" s="31" t="n">
        <v>34.79</v>
      </c>
      <c r="R255" s="30" t="inlineStr">
        <is>
          <t>Earnings / Momentum Support</t>
        </is>
      </c>
      <c r="S255" s="30" t="inlineStr">
        <is>
          <t>Nifty 50</t>
        </is>
      </c>
      <c r="T255" s="31" t="n">
        <v>-6.54</v>
      </c>
      <c r="U255" s="31" t="n">
        <v>4.52</v>
      </c>
      <c r="V255" s="31" t="n">
        <v>11.84</v>
      </c>
      <c r="W255" s="31" t="n">
        <v>1.89</v>
      </c>
      <c r="X255" s="30" t="inlineStr">
        <is>
          <t>Growing Industry</t>
        </is>
      </c>
      <c r="Y255" s="30">
        <f>IF(X255="Growing Industry",10,IF(X255="Cyclical in an Upturn",5,0))</f>
        <v/>
      </c>
      <c r="Z255" s="30" t="inlineStr">
        <is>
          <t>Too Many Players with High ROCE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No</t>
        </is>
      </c>
      <c r="AC255" s="30">
        <f>IF(AB255="No",5,0)</f>
        <v/>
      </c>
      <c r="AD255" s="30" t="inlineStr">
        <is>
          <t>Tailwind</t>
        </is>
      </c>
      <c r="AE255" s="30">
        <f>IF(AD255="Tailwind",10,0)</f>
        <v/>
      </c>
      <c r="AF255" s="30" t="inlineStr">
        <is>
          <t>Structural (10 Years Consistency)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B2B</t>
        </is>
      </c>
      <c r="AO255" s="30">
        <f>IF(AN255="B2C",10,IF(AN255="B2B",5,0))</f>
        <v/>
      </c>
      <c r="AP255" s="30" t="inlineStr">
        <is>
          <t>No</t>
        </is>
      </c>
      <c r="AQ255" s="30">
        <f>IF(AP255="Yes",10,0)</f>
        <v/>
      </c>
      <c r="AR255" s="30" t="inlineStr">
        <is>
          <t>Higher One Time, Lower Annuity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0 to 20</t>
        </is>
      </c>
      <c r="AY255" s="30">
        <f>IF(AX255="Above 40",20,IF(AX255="20 to 40",10,IF(AX255="0 to 20",-5,0)))</f>
        <v/>
      </c>
      <c r="AZ255" s="30" t="inlineStr">
        <is>
          <t>Between 50 to 75</t>
        </is>
      </c>
      <c r="BA255" s="30">
        <f>IF(AZ255="Between 50 to 75",10,IF(AZ255="Above 75",0,0))</f>
        <v/>
      </c>
      <c r="BB255" s="30" t="inlineStr">
        <is>
          <t>Stage 2</t>
        </is>
      </c>
      <c r="BC255" s="30">
        <f>IF(BB255="Stage 2",20,IF(BB255="Stage 1",0,IF(BB255="Stage 3",5,IF(BB255="Stage 4",-5,0))))</f>
        <v/>
      </c>
      <c r="BD255" s="30" t="inlineStr">
        <is>
          <t>Negative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Close to 52 week high or retracement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More than 20%</t>
        </is>
      </c>
      <c r="BO255" s="30">
        <f>IF(BN255="More than 20%",10,IF(BN255="Between 12 to 20%",5,IF(BN255="Less than 12%",0,0)))</f>
        <v/>
      </c>
      <c r="BP255" s="30" t="inlineStr">
        <is>
          <t>No</t>
        </is>
      </c>
      <c r="BQ255" s="30">
        <f>IF(BP255="No",10,0)</f>
        <v/>
      </c>
      <c r="BR255" s="30" t="inlineStr">
        <is>
          <t>No</t>
        </is>
      </c>
      <c r="BS255" s="30">
        <f>IF(BR255="NO",5,0)</f>
        <v/>
      </c>
      <c r="BT255" s="30" t="inlineStr">
        <is>
          <t>Less than 1.5</t>
        </is>
      </c>
      <c r="BU255" s="30">
        <f>IF(BT255="Above 2",0,IF(BT255="Between 1.5 to 2",5,IF(BT255="Less than 1.5",10,0)))</f>
        <v/>
      </c>
      <c r="BV255" s="30" t="inlineStr">
        <is>
          <t>Above 70%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Less than 0.7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IF(B256=0,"",RANK(B256,$B$2:$B$306,0))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0" t="inlineStr">
        <is>
          <t>YASHO</t>
        </is>
      </c>
      <c r="D256" s="30" t="inlineStr">
        <is>
          <t>Yasho Industries Ltd</t>
        </is>
      </c>
      <c r="E256" s="30" t="inlineStr">
        <is>
          <t>chemicals</t>
        </is>
      </c>
      <c r="F256" s="30" t="inlineStr">
        <is>
          <t>chemicals</t>
        </is>
      </c>
      <c r="G256" s="30" t="inlineStr">
        <is>
          <t>smallcap</t>
        </is>
      </c>
      <c r="H256" s="31" t="n">
        <v>2984.37</v>
      </c>
      <c r="I256" s="31" t="n">
        <v>2470.1</v>
      </c>
      <c r="J256" s="31" t="n">
        <v>-0.21</v>
      </c>
      <c r="K256" s="31" t="n">
        <v>70384</v>
      </c>
      <c r="L256" s="30" t="n">
        <v>65</v>
      </c>
      <c r="M256" s="30" t="inlineStr">
        <is>
          <t>Outperforming</t>
        </is>
      </c>
      <c r="N256" s="31">
        <f>IF(M256="Underperforming",-5,IF(L256&gt;=95,15,IF(L256&gt;=90,10,IF(L256&gt;=80,5,0))))</f>
        <v/>
      </c>
      <c r="O256" s="31" t="n">
        <v>78.95999999999999</v>
      </c>
      <c r="P256" s="31" t="n">
        <v>18.25</v>
      </c>
      <c r="Q256" s="31" t="n">
        <v>1843.59</v>
      </c>
      <c r="R256" s="30" t="inlineStr">
        <is>
          <t>Volume Spike &amp; Near 52W High Breakout</t>
        </is>
      </c>
      <c r="S256" s="30" t="inlineStr">
        <is>
          <t>Nifty 50</t>
        </is>
      </c>
      <c r="T256" s="31" t="n">
        <v>-6.54</v>
      </c>
      <c r="U256" s="31" t="n">
        <v>20.83</v>
      </c>
      <c r="V256" s="31" t="n">
        <v>29.29</v>
      </c>
      <c r="W256" s="31" t="n">
        <v>18.13</v>
      </c>
      <c r="X256" s="30" t="inlineStr">
        <is>
          <t>Growing Industry</t>
        </is>
      </c>
      <c r="Y256" s="30">
        <f>IF(X256="Growing Industry",10,IF(X256="Cyclical in an Upturn",5,0))</f>
        <v/>
      </c>
      <c r="Z256" s="30" t="inlineStr">
        <is>
          <t>Too Many Players with High ROCE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No</t>
        </is>
      </c>
      <c r="AC256" s="30">
        <f>IF(AB256="No",5,0)</f>
        <v/>
      </c>
      <c r="AD256" s="30" t="inlineStr">
        <is>
          <t>Tailwind</t>
        </is>
      </c>
      <c r="AE256" s="30">
        <f>IF(AD256="Tailwind",10,0)</f>
        <v/>
      </c>
      <c r="AF256" s="30" t="inlineStr">
        <is>
          <t>Structural (10 Years Consistency)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Stable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B2B</t>
        </is>
      </c>
      <c r="AO256" s="30">
        <f>IF(AN256="B2C",10,IF(AN256="B2B",5,0))</f>
        <v/>
      </c>
      <c r="AP256" s="30" t="inlineStr">
        <is>
          <t>Yes</t>
        </is>
      </c>
      <c r="AQ256" s="30">
        <f>IF(AP256="Yes",10,0)</f>
        <v/>
      </c>
      <c r="AR256" s="30" t="inlineStr">
        <is>
          <t>Higher One Time, Lower Annuity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0 to 20</t>
        </is>
      </c>
      <c r="AY256" s="30">
        <f>IF(AX256="Above 40",20,IF(AX256="20 to 40",10,IF(AX256="0 to 20",-5,0)))</f>
        <v/>
      </c>
      <c r="AZ256" s="30" t="inlineStr">
        <is>
          <t>Above 75</t>
        </is>
      </c>
      <c r="BA256" s="30">
        <f>IF(AZ256="Between 50 to 75",10,IF(AZ256="Above 75",0,0))</f>
        <v/>
      </c>
      <c r="BB256" s="30" t="inlineStr">
        <is>
          <t>Stage 2</t>
        </is>
      </c>
      <c r="BC256" s="30">
        <f>IF(BB256="Stage 2",20,IF(BB256="Stage 1",0,IF(BB256="Stage 3",5,IF(BB256="Stage 4",-5,0))))</f>
        <v/>
      </c>
      <c r="BD256" s="30" t="inlineStr">
        <is>
          <t>Positive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Blue sky scenario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More than 20%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Yes</t>
        </is>
      </c>
      <c r="BS256" s="30">
        <f>IF(BR256="NO",5,0)</f>
        <v/>
      </c>
      <c r="BT256" s="30" t="inlineStr">
        <is>
          <t>Above 2</t>
        </is>
      </c>
      <c r="BU256" s="30">
        <f>IF(BT256="Above 2",0,IF(BT256="Between 1.5 to 2",5,IF(BT256="Less than 1.5",10,0)))</f>
        <v/>
      </c>
      <c r="BV256" s="30" t="inlineStr">
        <is>
          <t>Above 70%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More than 1.2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IF(B257=0,"",RANK(B257,$B$2:$B$306,0))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2" t="inlineStr">
        <is>
          <t>GALAPREC</t>
        </is>
      </c>
      <c r="D257" s="32" t="inlineStr">
        <is>
          <t>Gala Precision Engineering Ltd</t>
        </is>
      </c>
      <c r="E257" s="30" t="inlineStr">
        <is>
          <t>industrials</t>
        </is>
      </c>
      <c r="F257" s="30" t="inlineStr">
        <is>
          <t>fasteners</t>
        </is>
      </c>
      <c r="G257" s="30" t="inlineStr">
        <is>
          <t>smallcap</t>
        </is>
      </c>
      <c r="H257" s="31" t="n">
        <v>1165.95</v>
      </c>
      <c r="I257" s="31" t="n">
        <v>910.4</v>
      </c>
      <c r="J257" s="31" t="n">
        <v>-0.44</v>
      </c>
      <c r="K257" s="31" t="n">
        <v>15720</v>
      </c>
      <c r="L257" s="30" t="n">
        <v>22</v>
      </c>
      <c r="M257" s="30" t="inlineStr">
        <is>
          <t>Underperforming</t>
        </is>
      </c>
      <c r="N257" s="31">
        <f>IF(M257="Underperforming",-5,IF(L257&gt;=95,15,IF(L257&gt;=90,10,IF(L257&gt;=80,5,0))))</f>
        <v/>
      </c>
      <c r="O257" s="31" t="n">
        <v>63.87</v>
      </c>
      <c r="P257" s="31" t="n">
        <v>18.52</v>
      </c>
      <c r="Q257" s="31" t="n">
        <v>694.76</v>
      </c>
      <c r="R257" s="30" t="inlineStr">
        <is>
          <t>Near 52W High Breakout</t>
        </is>
      </c>
      <c r="S257" s="30" t="inlineStr">
        <is>
          <t>Nifty Infra</t>
        </is>
      </c>
      <c r="T257" s="31" t="n">
        <v>1.11</v>
      </c>
      <c r="U257" s="31" t="n">
        <v>-3.58</v>
      </c>
      <c r="V257" s="31" t="n">
        <v>-4.64</v>
      </c>
      <c r="W257" s="31" t="n">
        <v>5.9</v>
      </c>
      <c r="X257" s="30" t="inlineStr">
        <is>
          <t>Cyclical in an Upturn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No</t>
        </is>
      </c>
      <c r="AC257" s="30">
        <f>IF(AB257="No",5,0)</f>
        <v/>
      </c>
      <c r="AD257" s="30" t="inlineStr">
        <is>
          <t>Tailwind</t>
        </is>
      </c>
      <c r="AE257" s="30">
        <f>IF(AD257="Tailwind",10,0)</f>
        <v/>
      </c>
      <c r="AF257" s="30" t="inlineStr">
        <is>
          <t>Structural (10 Years Consistency)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Stable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Yes</t>
        </is>
      </c>
      <c r="AQ257" s="30">
        <f>IF(AP257="Yes",10,0)</f>
        <v/>
      </c>
      <c r="AR257" s="30" t="inlineStr">
        <is>
          <t>Higher One Time, Lower Annuity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0 to 20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2</t>
        </is>
      </c>
      <c r="BC257" s="30">
        <f>IF(BB257="Stage 2",20,IF(BB257="Stage 1",0,IF(BB257="Stage 3",5,IF(BB257="Stage 4",-5,0))))</f>
        <v/>
      </c>
      <c r="BD257" s="30" t="inlineStr">
        <is>
          <t>Positive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Close to 52 week high or retracement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Less than 12%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No</t>
        </is>
      </c>
      <c r="BS257" s="30">
        <f>IF(BR257="NO",5,0)</f>
        <v/>
      </c>
      <c r="BT257" s="30" t="inlineStr">
        <is>
          <t>Above 2</t>
        </is>
      </c>
      <c r="BU257" s="30">
        <f>IF(BT257="Above 2",0,IF(BT257="Between 1.5 to 2",5,IF(BT257="Less than 1.5",10,0)))</f>
        <v/>
      </c>
      <c r="BV257" s="30" t="inlineStr">
        <is>
          <t>Less than 50%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Less than 0.7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IF(B258=0,"",RANK(B258,$B$2:$B$306,0))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0" t="inlineStr">
        <is>
          <t>SBC</t>
        </is>
      </c>
      <c r="D258" s="30" t="inlineStr">
        <is>
          <t>SBC Exports Ltd</t>
        </is>
      </c>
      <c r="E258" s="30" t="inlineStr">
        <is>
          <t>textiles</t>
        </is>
      </c>
      <c r="F258" s="30" t="inlineStr">
        <is>
          <t>textiles - products</t>
        </is>
      </c>
      <c r="G258" s="30" t="inlineStr">
        <is>
          <t>smallcap</t>
        </is>
      </c>
      <c r="H258" s="31" t="n">
        <v>1785.71</v>
      </c>
      <c r="I258" s="31" t="n">
        <v>37.1</v>
      </c>
      <c r="J258" s="31" t="n">
        <v>-1.07</v>
      </c>
      <c r="K258" s="31" t="n">
        <v>14817177</v>
      </c>
      <c r="L258" s="30" t="n">
        <v>78</v>
      </c>
      <c r="M258" s="30" t="inlineStr">
        <is>
          <t>Outperforming</t>
        </is>
      </c>
      <c r="N258" s="31">
        <f>IF(M258="Underperforming",-5,IF(L258&gt;=95,15,IF(L258&gt;=90,10,IF(L258&gt;=80,5,0))))</f>
        <v/>
      </c>
      <c r="O258" s="31" t="n">
        <v>70.62</v>
      </c>
      <c r="P258" s="31" t="n">
        <v>22.68</v>
      </c>
      <c r="Q258" s="31" t="n">
        <v>32.66</v>
      </c>
      <c r="R258" s="30" t="inlineStr">
        <is>
          <t>Earnings / Momentum Support</t>
        </is>
      </c>
      <c r="S258" s="30" t="inlineStr">
        <is>
          <t>Nifty 50</t>
        </is>
      </c>
      <c r="T258" s="31" t="n">
        <v>-6.54</v>
      </c>
      <c r="U258" s="31" t="n">
        <v>152.04</v>
      </c>
      <c r="V258" s="31" t="n">
        <v>169.69</v>
      </c>
      <c r="W258" s="31" t="n">
        <v>24.07</v>
      </c>
      <c r="X258" s="30" t="inlineStr">
        <is>
          <t>Growing Industry</t>
        </is>
      </c>
      <c r="Y258" s="30">
        <f>IF(X258="Growing Industry",10,IF(X258="Cyclical in an Upturn",5,0))</f>
        <v/>
      </c>
      <c r="Z258" s="30" t="inlineStr">
        <is>
          <t>Too Many Players with High ROCE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No</t>
        </is>
      </c>
      <c r="AC258" s="30">
        <f>IF(AB258="No",5,0)</f>
        <v/>
      </c>
      <c r="AD258" s="30" t="inlineStr">
        <is>
          <t>Tailwind</t>
        </is>
      </c>
      <c r="AE258" s="30">
        <f>IF(AD258="Tailwind",10,0)</f>
        <v/>
      </c>
      <c r="AF258" s="30" t="inlineStr">
        <is>
          <t>Structural (10 Years Consistency)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Stable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B2B</t>
        </is>
      </c>
      <c r="AO258" s="30">
        <f>IF(AN258="B2C",10,IF(AN258="B2B",5,0))</f>
        <v/>
      </c>
      <c r="AP258" s="30" t="inlineStr">
        <is>
          <t>No</t>
        </is>
      </c>
      <c r="AQ258" s="30">
        <f>IF(AP258="Yes",10,0)</f>
        <v/>
      </c>
      <c r="AR258" s="30" t="inlineStr">
        <is>
          <t>Higher One Time, Lower Annuity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20 to 40</t>
        </is>
      </c>
      <c r="AY258" s="30">
        <f>IF(AX258="Above 40",20,IF(AX258="20 to 40",10,IF(AX258="0 to 20",-5,0)))</f>
        <v/>
      </c>
      <c r="AZ258" s="30" t="inlineStr">
        <is>
          <t>Between 50 to 75</t>
        </is>
      </c>
      <c r="BA258" s="30">
        <f>IF(AZ258="Between 50 to 75",10,IF(AZ258="Above 75",0,0))</f>
        <v/>
      </c>
      <c r="BB258" s="30" t="inlineStr">
        <is>
          <t>Stage 2</t>
        </is>
      </c>
      <c r="BC258" s="30">
        <f>IF(BB258="Stage 2",20,IF(BB258="Stage 1",0,IF(BB258="Stage 3",5,IF(BB258="Stage 4",-5,0))))</f>
        <v/>
      </c>
      <c r="BD258" s="30" t="inlineStr">
        <is>
          <t>Positive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Close to 52 week high or retracement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More than 20%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Yes</t>
        </is>
      </c>
      <c r="BS258" s="30">
        <f>IF(BR258="NO",5,0)</f>
        <v/>
      </c>
      <c r="BT258" s="30" t="inlineStr">
        <is>
          <t>Less than 1.5</t>
        </is>
      </c>
      <c r="BU258" s="30">
        <f>IF(BT258="Above 2",0,IF(BT258="Between 1.5 to 2",5,IF(BT258="Less than 1.5",10,0)))</f>
        <v/>
      </c>
      <c r="BV258" s="30" t="inlineStr">
        <is>
          <t>Negative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More than 1.2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IF(B259=0,"",RANK(B259,$B$2:$B$306,0))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2" t="inlineStr">
        <is>
          <t>XPROINDIA</t>
        </is>
      </c>
      <c r="D259" s="32" t="inlineStr">
        <is>
          <t>Xpro India Limited</t>
        </is>
      </c>
      <c r="E259" s="30" t="inlineStr">
        <is>
          <t>industrials</t>
        </is>
      </c>
      <c r="F259" s="30" t="inlineStr">
        <is>
          <t>packaging</t>
        </is>
      </c>
      <c r="G259" s="30" t="inlineStr">
        <is>
          <t>smallcap</t>
        </is>
      </c>
      <c r="H259" s="31" t="n">
        <v>2783.35</v>
      </c>
      <c r="I259" s="31" t="n">
        <v>1170.7</v>
      </c>
      <c r="J259" s="31" t="n">
        <v>-1.28</v>
      </c>
      <c r="K259" s="31" t="n">
        <v>35570</v>
      </c>
      <c r="L259" s="30" t="n">
        <v>18</v>
      </c>
      <c r="M259" s="30" t="inlineStr">
        <is>
          <t>Underperforming</t>
        </is>
      </c>
      <c r="N259" s="31">
        <f>IF(M259="Underperforming",-5,IF(L259&gt;=95,15,IF(L259&gt;=90,10,IF(L259&gt;=80,5,0))))</f>
        <v/>
      </c>
      <c r="O259" s="31" t="n">
        <v>58.11</v>
      </c>
      <c r="P259" s="31" t="n">
        <v>17.99</v>
      </c>
      <c r="Q259" s="31" t="n">
        <v>847.61</v>
      </c>
      <c r="R259" s="30" t="inlineStr">
        <is>
          <t>Earnings / Momentum Support</t>
        </is>
      </c>
      <c r="S259" s="30" t="inlineStr">
        <is>
          <t>Nifty 50</t>
        </is>
      </c>
      <c r="T259" s="31" t="n">
        <v>-6.54</v>
      </c>
      <c r="U259" s="31" t="n">
        <v>-7.71</v>
      </c>
      <c r="V259" s="31" t="n">
        <v>-1.25</v>
      </c>
      <c r="W259" s="31" t="n">
        <v>5.1</v>
      </c>
      <c r="X259" s="30" t="inlineStr">
        <is>
          <t>Cyclical in an Upturn</t>
        </is>
      </c>
      <c r="Y259" s="30">
        <f>IF(X259="Growing Industry",10,IF(X259="Cyclical in an Upturn",5,0))</f>
        <v/>
      </c>
      <c r="Z259" s="30" t="inlineStr">
        <is>
          <t>Too Many Players with High ROCE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No</t>
        </is>
      </c>
      <c r="AC259" s="30">
        <f>IF(AB259="No",5,0)</f>
        <v/>
      </c>
      <c r="AD259" s="30" t="inlineStr">
        <is>
          <t>Tailwind</t>
        </is>
      </c>
      <c r="AE259" s="30">
        <f>IF(AD259="Tailwind",10,0)</f>
        <v/>
      </c>
      <c r="AF259" s="30" t="inlineStr">
        <is>
          <t>Structural (10 Years Consistency)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Stable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B2B</t>
        </is>
      </c>
      <c r="AO259" s="30">
        <f>IF(AN259="B2C",10,IF(AN259="B2B",5,0))</f>
        <v/>
      </c>
      <c r="AP259" s="30" t="inlineStr">
        <is>
          <t>No</t>
        </is>
      </c>
      <c r="AQ259" s="30">
        <f>IF(AP259="Yes",10,0)</f>
        <v/>
      </c>
      <c r="AR259" s="30" t="inlineStr">
        <is>
          <t>Higher One Time, Lower Annuity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0 to 20</t>
        </is>
      </c>
      <c r="AY259" s="30">
        <f>IF(AX259="Above 40",20,IF(AX259="20 to 40",10,IF(AX259="0 to 20",-5,0)))</f>
        <v/>
      </c>
      <c r="AZ259" s="30" t="inlineStr">
        <is>
          <t>Between 50 to 75</t>
        </is>
      </c>
      <c r="BA259" s="30">
        <f>IF(AZ259="Between 50 to 75",10,IF(AZ259="Above 75",0,0))</f>
        <v/>
      </c>
      <c r="BB259" s="30" t="inlineStr">
        <is>
          <t>Stage 2</t>
        </is>
      </c>
      <c r="BC259" s="30">
        <f>IF(BB259="Stage 2",20,IF(BB259="Stage 1",0,IF(BB259="Stage 3",5,IF(BB259="Stage 4",-5,0))))</f>
        <v/>
      </c>
      <c r="BD259" s="30" t="inlineStr">
        <is>
          <t>Positive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Close to 52 week high or retracement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More than 20%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Yes</t>
        </is>
      </c>
      <c r="BS259" s="30">
        <f>IF(BR259="NO",5,0)</f>
        <v/>
      </c>
      <c r="BT259" s="30" t="inlineStr">
        <is>
          <t>Between 1.5 to 2</t>
        </is>
      </c>
      <c r="BU259" s="30">
        <f>IF(BT259="Above 2",0,IF(BT259="Between 1.5 to 2",5,IF(BT259="Less than 1.5",10,0)))</f>
        <v/>
      </c>
      <c r="BV259" s="30" t="inlineStr">
        <is>
          <t>Less than 50%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Less than 0.7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IF(B260=0,"",RANK(B260,$B$2:$B$306,0))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2" t="inlineStr">
        <is>
          <t>VARROC</t>
        </is>
      </c>
      <c r="D260" s="32" t="inlineStr">
        <is>
          <t>Varroc Engineering Ltd</t>
        </is>
      </c>
      <c r="E260" s="30" t="inlineStr">
        <is>
          <t>auto</t>
        </is>
      </c>
      <c r="F260" s="30" t="inlineStr">
        <is>
          <t>auto ancillaries</t>
        </is>
      </c>
      <c r="G260" s="30" t="inlineStr">
        <is>
          <t>midcap</t>
        </is>
      </c>
      <c r="H260" s="31" t="n">
        <v>9191.629999999999</v>
      </c>
      <c r="I260" s="31" t="n">
        <v>586.3</v>
      </c>
      <c r="J260" s="31" t="n">
        <v>-2.54</v>
      </c>
      <c r="K260" s="31" t="n">
        <v>176278</v>
      </c>
      <c r="L260" s="30" t="n">
        <v>16</v>
      </c>
      <c r="M260" s="30" t="inlineStr">
        <is>
          <t>Underperforming</t>
        </is>
      </c>
      <c r="N260" s="31">
        <f>IF(M260="Underperforming",-5,IF(L260&gt;=95,15,IF(L260&gt;=90,10,IF(L260&gt;=80,5,0))))</f>
        <v/>
      </c>
      <c r="O260" s="31" t="n">
        <v>58.2</v>
      </c>
      <c r="P260" s="31" t="n">
        <v>13.25</v>
      </c>
      <c r="Q260" s="31" t="n">
        <v>462.36</v>
      </c>
      <c r="R260" s="30" t="inlineStr">
        <is>
          <t>Earnings / Momentum Support</t>
        </is>
      </c>
      <c r="S260" s="30" t="inlineStr">
        <is>
          <t>Nifty Auto</t>
        </is>
      </c>
      <c r="T260" s="31" t="n">
        <v>10.59</v>
      </c>
      <c r="U260" s="31" t="n">
        <v>6.79</v>
      </c>
      <c r="V260" s="31" t="n">
        <v>-3.43</v>
      </c>
      <c r="W260" s="31" t="n">
        <v>4.83</v>
      </c>
      <c r="X260" s="30" t="inlineStr">
        <is>
          <t>Growing Industry</t>
        </is>
      </c>
      <c r="Y260" s="30">
        <f>IF(X260="Growing Industry",10,IF(X260="Cyclical in an Upturn",5,0))</f>
        <v/>
      </c>
      <c r="Z260" s="30" t="inlineStr">
        <is>
          <t>Too Many Players with High ROCE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No</t>
        </is>
      </c>
      <c r="AC260" s="30">
        <f>IF(AB260="No",5,0)</f>
        <v/>
      </c>
      <c r="AD260" s="30" t="inlineStr">
        <is>
          <t>Headwind</t>
        </is>
      </c>
      <c r="AE260" s="30">
        <f>IF(AD260="Tailwind",10,0)</f>
        <v/>
      </c>
      <c r="AF260" s="30" t="inlineStr">
        <is>
          <t>Structural (10 Years Consistency)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Stable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No</t>
        </is>
      </c>
      <c r="AQ260" s="30">
        <f>IF(AP260="Yes",10,0)</f>
        <v/>
      </c>
      <c r="AR260" s="30" t="inlineStr">
        <is>
          <t>Higher One Time, Lower Annuity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0 to 20</t>
        </is>
      </c>
      <c r="AY260" s="30">
        <f>IF(AX260="Above 40",20,IF(AX260="20 to 40",10,IF(AX260="0 to 20",-5,0)))</f>
        <v/>
      </c>
      <c r="AZ260" s="30" t="inlineStr">
        <is>
          <t>Between 50 to 75</t>
        </is>
      </c>
      <c r="BA260" s="30">
        <f>IF(AZ260="Between 50 to 75",10,IF(AZ260="Above 75",0,0))</f>
        <v/>
      </c>
      <c r="BB260" s="30" t="inlineStr">
        <is>
          <t>Stage 2</t>
        </is>
      </c>
      <c r="BC260" s="30">
        <f>IF(BB260="Stage 2",20,IF(BB260="Stage 1",0,IF(BB260="Stage 3",5,IF(BB260="Stage 4",-5,0))))</f>
        <v/>
      </c>
      <c r="BD260" s="30" t="inlineStr">
        <is>
          <t>Positive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Close to 52 week high or retracement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More than 20%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No</t>
        </is>
      </c>
      <c r="BS260" s="30">
        <f>IF(BR260="NO",5,0)</f>
        <v/>
      </c>
      <c r="BT260" s="30" t="inlineStr">
        <is>
          <t>Above 2</t>
        </is>
      </c>
      <c r="BU260" s="30">
        <f>IF(BT260="Above 2",0,IF(BT260="Between 1.5 to 2",5,IF(BT260="Less than 1.5",10,0)))</f>
        <v/>
      </c>
      <c r="BV260" s="30" t="inlineStr">
        <is>
          <t>Between 50% to 70%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Less than 0.7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IF(B261=0,"",RANK(B261,$B$2:$B$306,0))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0" t="inlineStr">
        <is>
          <t>NEULANDLAB</t>
        </is>
      </c>
      <c r="D261" s="30" t="inlineStr">
        <is>
          <t>Neuland Laboratories Limited</t>
        </is>
      </c>
      <c r="E261" s="30" t="inlineStr">
        <is>
          <t>healthcare</t>
        </is>
      </c>
      <c r="F261" s="30" t="inlineStr">
        <is>
          <t>pharmaceuticals - indian - bulk drugs</t>
        </is>
      </c>
      <c r="G261" s="30" t="inlineStr">
        <is>
          <t>largecap</t>
        </is>
      </c>
      <c r="H261" s="31" t="n">
        <v>21631.19</v>
      </c>
      <c r="I261" s="31" t="n">
        <v>16811</v>
      </c>
      <c r="J261" s="31" t="n">
        <v>-0.29</v>
      </c>
      <c r="K261" s="31" t="n">
        <v>13332</v>
      </c>
      <c r="L261" s="30" t="n">
        <v>48</v>
      </c>
      <c r="M261" s="30" t="inlineStr">
        <is>
          <t>Outperforming</t>
        </is>
      </c>
      <c r="N261" s="31">
        <f>IF(M261="Underperforming",-5,IF(L261&gt;=95,15,IF(L261&gt;=90,10,IF(L261&gt;=80,5,0))))</f>
        <v/>
      </c>
      <c r="O261" s="31" t="n">
        <v>60.53</v>
      </c>
      <c r="P261" s="31" t="n">
        <v>29.47</v>
      </c>
      <c r="Q261" s="31" t="n">
        <v>13749.62</v>
      </c>
      <c r="R261" s="30" t="inlineStr">
        <is>
          <t>Earnings / Momentum Support</t>
        </is>
      </c>
      <c r="S261" s="30" t="inlineStr">
        <is>
          <t>Nifty Pharma</t>
        </is>
      </c>
      <c r="T261" s="31" t="n">
        <v>11.82</v>
      </c>
      <c r="U261" s="31" t="n">
        <v>29.12</v>
      </c>
      <c r="V261" s="31" t="n">
        <v>15.47</v>
      </c>
      <c r="W261" s="31" t="n">
        <v>12.6</v>
      </c>
      <c r="X261" s="30" t="inlineStr">
        <is>
          <t>Growing Industry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Yes</t>
        </is>
      </c>
      <c r="AC261" s="30">
        <f>IF(AB261="No",5,0)</f>
        <v/>
      </c>
      <c r="AD261" s="30" t="inlineStr">
        <is>
          <t>Tailwind</t>
        </is>
      </c>
      <c r="AE261" s="30">
        <f>IF(AD261="Tailwind",10,0)</f>
        <v/>
      </c>
      <c r="AF261" s="30" t="inlineStr">
        <is>
          <t>Structural (10 Years Consistency)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Stable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No</t>
        </is>
      </c>
      <c r="AQ261" s="30">
        <f>IF(AP261="Yes",10,0)</f>
        <v/>
      </c>
      <c r="AR261" s="30" t="inlineStr">
        <is>
          <t>Higher Annuity, Lower One Time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20 to 40</t>
        </is>
      </c>
      <c r="AY261" s="30">
        <f>IF(AX261="Above 40",20,IF(AX261="20 to 40",10,IF(AX261="0 to 20",-5,0)))</f>
        <v/>
      </c>
      <c r="AZ261" s="30" t="inlineStr">
        <is>
          <t>Between 50 to 75</t>
        </is>
      </c>
      <c r="BA261" s="30">
        <f>IF(AZ261="Between 50 to 75",10,IF(AZ261="Above 75",0,0))</f>
        <v/>
      </c>
      <c r="BB261" s="30" t="inlineStr">
        <is>
          <t>Stage 2</t>
        </is>
      </c>
      <c r="BC261" s="30">
        <f>IF(BB261="Stage 2",20,IF(BB261="Stage 1",0,IF(BB261="Stage 3",5,IF(BB261="Stage 4",-5,0))))</f>
        <v/>
      </c>
      <c r="BD261" s="30" t="inlineStr">
        <is>
          <t>Negative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Close to 52 week high or retracement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More than 20%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Yes</t>
        </is>
      </c>
      <c r="BS261" s="30">
        <f>IF(BR261="NO",5,0)</f>
        <v/>
      </c>
      <c r="BT261" s="30" t="inlineStr">
        <is>
          <t>Above 2</t>
        </is>
      </c>
      <c r="BU261" s="30">
        <f>IF(BT261="Above 2",0,IF(BT261="Between 1.5 to 2",5,IF(BT261="Less than 1.5",10,0)))</f>
        <v/>
      </c>
      <c r="BV261" s="30" t="inlineStr">
        <is>
          <t>Above 70%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Less than 0.7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IF(B262=0,"",RANK(B262,$B$2:$B$306,0))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2" t="inlineStr">
        <is>
          <t>INNOVACAP</t>
        </is>
      </c>
      <c r="D262" s="32" t="inlineStr">
        <is>
          <t>Innova Captab Ltd</t>
        </is>
      </c>
      <c r="E262" s="30" t="inlineStr">
        <is>
          <t>healthcare</t>
        </is>
      </c>
      <c r="F262" s="30" t="inlineStr">
        <is>
          <t>pharmaceuticals - indian - bulk drugs &amp; formln</t>
        </is>
      </c>
      <c r="G262" s="30" t="inlineStr">
        <is>
          <t>smallcap</t>
        </is>
      </c>
      <c r="H262" s="31" t="n">
        <v>4993.16</v>
      </c>
      <c r="I262" s="31" t="n">
        <v>867.5</v>
      </c>
      <c r="J262" s="31" t="n">
        <v>-0.58</v>
      </c>
      <c r="K262" s="31" t="n">
        <v>24354</v>
      </c>
      <c r="L262" s="30" t="n">
        <v>23</v>
      </c>
      <c r="M262" s="30" t="inlineStr">
        <is>
          <t>Underperforming</t>
        </is>
      </c>
      <c r="N262" s="31">
        <f>IF(M262="Underperforming",-5,IF(L262&gt;=95,15,IF(L262&gt;=90,10,IF(L262&gt;=80,5,0))))</f>
        <v/>
      </c>
      <c r="O262" s="31" t="n">
        <v>64.98999999999999</v>
      </c>
      <c r="P262" s="31" t="n">
        <v>24.21</v>
      </c>
      <c r="Q262" s="31" t="n">
        <v>682.8</v>
      </c>
      <c r="R262" s="30" t="inlineStr">
        <is>
          <t>Earnings / Momentum Support</t>
        </is>
      </c>
      <c r="S262" s="30" t="inlineStr">
        <is>
          <t>Nifty Pharma</t>
        </is>
      </c>
      <c r="T262" s="31" t="n">
        <v>11.82</v>
      </c>
      <c r="U262" s="31" t="n">
        <v>-2.14</v>
      </c>
      <c r="V262" s="31" t="n">
        <v>-12.49</v>
      </c>
      <c r="W262" s="31" t="n">
        <v>6.32</v>
      </c>
      <c r="X262" s="30" t="inlineStr">
        <is>
          <t>Growing Industry</t>
        </is>
      </c>
      <c r="Y262" s="30">
        <f>IF(X262="Growing Industry",10,IF(X262="Cyclical in an Upturn",5,0))</f>
        <v/>
      </c>
      <c r="Z262" s="30" t="inlineStr">
        <is>
          <t>Too Many Players with High ROCE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Yes</t>
        </is>
      </c>
      <c r="AC262" s="30">
        <f>IF(AB262="No",5,0)</f>
        <v/>
      </c>
      <c r="AD262" s="30" t="inlineStr">
        <is>
          <t>Tailwind</t>
        </is>
      </c>
      <c r="AE262" s="30">
        <f>IF(AD262="Tailwind",10,0)</f>
        <v/>
      </c>
      <c r="AF262" s="30" t="inlineStr">
        <is>
          <t>Structural (10 Years Consistency)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Stable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No</t>
        </is>
      </c>
      <c r="AQ262" s="30">
        <f>IF(AP262="Yes",10,0)</f>
        <v/>
      </c>
      <c r="AR262" s="30" t="inlineStr">
        <is>
          <t>Higher Annuity, Lower One Time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20 to 40</t>
        </is>
      </c>
      <c r="AY262" s="30">
        <f>IF(AX262="Above 40",20,IF(AX262="20 to 40",10,IF(AX262="0 to 20",-5,0)))</f>
        <v/>
      </c>
      <c r="AZ262" s="30" t="inlineStr">
        <is>
          <t>Between 50 to 75</t>
        </is>
      </c>
      <c r="BA262" s="30">
        <f>IF(AZ262="Between 50 to 75",10,IF(AZ262="Above 75",0,0))</f>
        <v/>
      </c>
      <c r="BB262" s="30" t="inlineStr">
        <is>
          <t>Stage 2</t>
        </is>
      </c>
      <c r="BC262" s="30">
        <f>IF(BB262="Stage 2",20,IF(BB262="Stage 1",0,IF(BB262="Stage 3",5,IF(BB262="Stage 4",-5,0))))</f>
        <v/>
      </c>
      <c r="BD262" s="30" t="inlineStr">
        <is>
          <t>Negative Trend</t>
        </is>
      </c>
      <c r="BE262" s="30">
        <f>IF(BD262="Positive Trend",20,IF(BD262="Negative Trend",-10,0))</f>
        <v/>
      </c>
      <c r="BF262" s="30" t="inlineStr">
        <is>
          <t>Uptrend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Close to 52 week high or retracement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More than 20%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No</t>
        </is>
      </c>
      <c r="BS262" s="30">
        <f>IF(BR262="NO",5,0)</f>
        <v/>
      </c>
      <c r="BT262" s="30" t="inlineStr">
        <is>
          <t>Less than 1.5</t>
        </is>
      </c>
      <c r="BU262" s="30">
        <f>IF(BT262="Above 2",0,IF(BT262="Between 1.5 to 2",5,IF(BT262="Less than 1.5",10,0)))</f>
        <v/>
      </c>
      <c r="BV262" s="30" t="inlineStr">
        <is>
          <t>Less than 50%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Less than 0.7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IF(B263=0,"",RANK(B263,$B$2:$B$306,0))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0" t="inlineStr">
        <is>
          <t>ACMESOLAR</t>
        </is>
      </c>
      <c r="D263" s="30" t="inlineStr">
        <is>
          <t>ACME Solar Holdings Ltd</t>
        </is>
      </c>
      <c r="E263" s="30" t="inlineStr">
        <is>
          <t>realty</t>
        </is>
      </c>
      <c r="F263" s="30" t="inlineStr">
        <is>
          <t>engineering - turnkey services</t>
        </is>
      </c>
      <c r="G263" s="30" t="inlineStr">
        <is>
          <t>largecap</t>
        </is>
      </c>
      <c r="H263" s="31" t="n">
        <v>20957.53</v>
      </c>
      <c r="I263" s="31" t="n">
        <v>356.65</v>
      </c>
      <c r="J263" s="31" t="n">
        <v>3.12</v>
      </c>
      <c r="K263" s="31" t="n">
        <v>6661042</v>
      </c>
      <c r="L263" s="30" t="n">
        <v>74</v>
      </c>
      <c r="M263" s="30" t="inlineStr">
        <is>
          <t>Outperforming</t>
        </is>
      </c>
      <c r="N263" s="31">
        <f>IF(M263="Underperforming",-5,IF(L263&gt;=95,15,IF(L263&gt;=90,10,IF(L263&gt;=80,5,0))))</f>
        <v/>
      </c>
      <c r="O263" s="31" t="n">
        <v>71.98</v>
      </c>
      <c r="P263" s="31" t="n">
        <v>18.73</v>
      </c>
      <c r="Q263" s="31" t="n">
        <v>275.33</v>
      </c>
      <c r="R263" s="30" t="inlineStr">
        <is>
          <t>Volume Spike &amp; Near 52W High Breakout</t>
        </is>
      </c>
      <c r="S263" s="30" t="inlineStr">
        <is>
          <t>Nifty Realty</t>
        </is>
      </c>
      <c r="T263" s="31" t="n">
        <v>-26.04</v>
      </c>
      <c r="U263" s="31" t="n">
        <v>42.3</v>
      </c>
      <c r="V263" s="31" t="n">
        <v>92.40000000000001</v>
      </c>
      <c r="W263" s="31" t="n">
        <v>21.94</v>
      </c>
      <c r="X263" s="30" t="inlineStr">
        <is>
          <t>Growing Industry</t>
        </is>
      </c>
      <c r="Y263" s="30">
        <f>IF(X263="Growing Industry",10,IF(X263="Cyclical in an Upturn",5,0))</f>
        <v/>
      </c>
      <c r="Z263" s="30" t="inlineStr">
        <is>
          <t>Too Many Players with High ROCE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No</t>
        </is>
      </c>
      <c r="AC263" s="30">
        <f>IF(AB263="No",5,0)</f>
        <v/>
      </c>
      <c r="AD263" s="30" t="inlineStr">
        <is>
          <t>Tailwind</t>
        </is>
      </c>
      <c r="AE263" s="30">
        <f>IF(AD263="Tailwind",10,0)</f>
        <v/>
      </c>
      <c r="AF263" s="30" t="inlineStr">
        <is>
          <t>Structural (10 Years Consistency)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Yes</t>
        </is>
      </c>
      <c r="AQ263" s="30">
        <f>IF(AP263="Yes",10,0)</f>
        <v/>
      </c>
      <c r="AR263" s="30" t="inlineStr">
        <is>
          <t>Higher One Time, Lower Annuity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0 to 20</t>
        </is>
      </c>
      <c r="AY263" s="30">
        <f>IF(AX263="Above 40",20,IF(AX263="20 to 40",10,IF(AX263="0 to 20",-5,0)))</f>
        <v/>
      </c>
      <c r="AZ263" s="30" t="inlineStr">
        <is>
          <t>Between 50 to 75</t>
        </is>
      </c>
      <c r="BA263" s="30">
        <f>IF(AZ263="Between 50 to 75",10,IF(AZ263="Above 75",0,0))</f>
        <v/>
      </c>
      <c r="BB263" s="30" t="inlineStr">
        <is>
          <t>Stage 2</t>
        </is>
      </c>
      <c r="BC263" s="30">
        <f>IF(BB263="Stage 2",20,IF(BB263="Stage 1",0,IF(BB263="Stage 3",5,IF(BB263="Stage 4",-5,0))))</f>
        <v/>
      </c>
      <c r="BD263" s="30" t="inlineStr">
        <is>
          <t>Positive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Blue sky scenario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Less than 12%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Yes</t>
        </is>
      </c>
      <c r="BS263" s="30">
        <f>IF(BR263="NO",5,0)</f>
        <v/>
      </c>
      <c r="BT263" s="30" t="inlineStr">
        <is>
          <t>Above 2</t>
        </is>
      </c>
      <c r="BU263" s="30">
        <f>IF(BT263="Above 2",0,IF(BT263="Between 1.5 to 2",5,IF(BT263="Less than 1.5",10,0)))</f>
        <v/>
      </c>
      <c r="BV263" s="30" t="inlineStr">
        <is>
          <t>Between 50% to 70%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More than 1.2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IF(B264=0,"",RANK(B264,$B$2:$B$306,0))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0" t="inlineStr">
        <is>
          <t>STEELXIND</t>
        </is>
      </c>
      <c r="D264" s="30" t="inlineStr">
        <is>
          <t>Steel Exchange India Ltd</t>
        </is>
      </c>
      <c r="E264" s="30" t="inlineStr">
        <is>
          <t>metals &amp; mining</t>
        </is>
      </c>
      <c r="F264" s="30" t="inlineStr">
        <is>
          <t>steel - medium / small</t>
        </is>
      </c>
      <c r="G264" s="30" t="inlineStr">
        <is>
          <t>smallcap</t>
        </is>
      </c>
      <c r="H264" s="31" t="n">
        <v>1548.48</v>
      </c>
      <c r="I264" s="31" t="n">
        <v>12.34</v>
      </c>
      <c r="J264" s="31" t="n">
        <v>1.65</v>
      </c>
      <c r="K264" s="31" t="n">
        <v>7044541</v>
      </c>
      <c r="L264" s="30" t="n">
        <v>66</v>
      </c>
      <c r="M264" s="30" t="inlineStr">
        <is>
          <t>Outperforming</t>
        </is>
      </c>
      <c r="N264" s="31">
        <f>IF(M264="Underperforming",-5,IF(L264&gt;=95,15,IF(L264&gt;=90,10,IF(L264&gt;=80,5,0))))</f>
        <v/>
      </c>
      <c r="O264" s="31" t="n">
        <v>69.94</v>
      </c>
      <c r="P264" s="31" t="n">
        <v>21.78</v>
      </c>
      <c r="Q264" s="31" t="n">
        <v>9.09</v>
      </c>
      <c r="R264" s="30" t="inlineStr">
        <is>
          <t>Volume Spike &amp; Near 52W High Breakout</t>
        </is>
      </c>
      <c r="S264" s="30" t="inlineStr">
        <is>
          <t>Nifty Metal</t>
        </is>
      </c>
      <c r="T264" s="31" t="n">
        <v>40.56</v>
      </c>
      <c r="U264" s="31" t="n">
        <v>47.96</v>
      </c>
      <c r="V264" s="31" t="n">
        <v>5.27</v>
      </c>
      <c r="W264" s="31" t="n">
        <v>18.46</v>
      </c>
      <c r="X264" s="30" t="inlineStr">
        <is>
          <t>Cyclical in an Upturn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Tailwind</t>
        </is>
      </c>
      <c r="AE264" s="30">
        <f>IF(AD264="Tailwind",10,0)</f>
        <v/>
      </c>
      <c r="AF264" s="30" t="inlineStr">
        <is>
          <t>Cyclical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Volatile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Yes</t>
        </is>
      </c>
      <c r="AQ264" s="30">
        <f>IF(AP264="Yes",10,0)</f>
        <v/>
      </c>
      <c r="AR264" s="30" t="inlineStr">
        <is>
          <t>Higher One Time, Lower Annuity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20 to 40</t>
        </is>
      </c>
      <c r="AY264" s="30">
        <f>IF(AX264="Above 40",20,IF(AX264="20 to 40",10,IF(AX264="0 to 20",-5,0)))</f>
        <v/>
      </c>
      <c r="AZ264" s="30" t="inlineStr">
        <is>
          <t>Between 50 to 75</t>
        </is>
      </c>
      <c r="BA264" s="30">
        <f>IF(AZ264="Between 50 to 75",10,IF(AZ264="Above 75",0,0))</f>
        <v/>
      </c>
      <c r="BB264" s="30" t="inlineStr">
        <is>
          <t>Stage 2</t>
        </is>
      </c>
      <c r="BC264" s="30">
        <f>IF(BB264="Stage 2",20,IF(BB264="Stage 1",0,IF(BB264="Stage 3",5,IF(BB264="Stage 4",-5,0))))</f>
        <v/>
      </c>
      <c r="BD264" s="30" t="inlineStr">
        <is>
          <t>Positive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Close to 52 week high or retracement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More than 20%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Yes</t>
        </is>
      </c>
      <c r="BS264" s="30">
        <f>IF(BR264="NO",5,0)</f>
        <v/>
      </c>
      <c r="BT264" s="30" t="inlineStr">
        <is>
          <t>Above 2</t>
        </is>
      </c>
      <c r="BU264" s="30">
        <f>IF(BT264="Above 2",0,IF(BT264="Between 1.5 to 2",5,IF(BT264="Less than 1.5",10,0)))</f>
        <v/>
      </c>
      <c r="BV264" s="30" t="inlineStr">
        <is>
          <t>Negative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Less than 0.7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IF(B265=0,"",RANK(B265,$B$2:$B$306,0))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2" t="inlineStr">
        <is>
          <t>TIINDIA</t>
        </is>
      </c>
      <c r="D265" s="32" t="inlineStr">
        <is>
          <t>Tube Investments of India Ltd</t>
        </is>
      </c>
      <c r="E265" s="30" t="inlineStr">
        <is>
          <t>industrials</t>
        </is>
      </c>
      <c r="F265" s="30" t="inlineStr">
        <is>
          <t>steel - large</t>
        </is>
      </c>
      <c r="G265" s="30" t="inlineStr">
        <is>
          <t>largecap</t>
        </is>
      </c>
      <c r="H265" s="31" t="n">
        <v>59970.42</v>
      </c>
      <c r="I265" s="31" t="n">
        <v>3129</v>
      </c>
      <c r="J265" s="31" t="n">
        <v>0.99</v>
      </c>
      <c r="K265" s="31" t="n">
        <v>192369</v>
      </c>
      <c r="L265" s="30" t="n">
        <v>11</v>
      </c>
      <c r="M265" s="30" t="inlineStr">
        <is>
          <t>Underperforming</t>
        </is>
      </c>
      <c r="N265" s="31">
        <f>IF(M265="Underperforming",-5,IF(L265&gt;=95,15,IF(L265&gt;=90,10,IF(L265&gt;=80,5,0))))</f>
        <v/>
      </c>
      <c r="O265" s="31" t="n">
        <v>62.04</v>
      </c>
      <c r="P265" s="31" t="n">
        <v>16.51</v>
      </c>
      <c r="Q265" s="31" t="n">
        <v>2447.24</v>
      </c>
      <c r="R265" s="30" t="inlineStr">
        <is>
          <t>Earnings / Momentum Support</t>
        </is>
      </c>
      <c r="S265" s="30" t="inlineStr">
        <is>
          <t>Nifty Metal</t>
        </is>
      </c>
      <c r="T265" s="31" t="n">
        <v>40.56</v>
      </c>
      <c r="U265" s="31" t="n">
        <v>2.16</v>
      </c>
      <c r="V265" s="31" t="n">
        <v>-27.32</v>
      </c>
      <c r="W265" s="31" t="n">
        <v>3.75</v>
      </c>
      <c r="X265" s="30" t="inlineStr">
        <is>
          <t>Cyclical in an Upturn</t>
        </is>
      </c>
      <c r="Y265" s="30">
        <f>IF(X265="Growing Industry",10,IF(X265="Cyclical in an Upturn",5,0))</f>
        <v/>
      </c>
      <c r="Z265" s="30" t="inlineStr">
        <is>
          <t>Too Many Players with High ROCE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No</t>
        </is>
      </c>
      <c r="AC265" s="30">
        <f>IF(AB265="No",5,0)</f>
        <v/>
      </c>
      <c r="AD265" s="30" t="inlineStr">
        <is>
          <t>Tailwind</t>
        </is>
      </c>
      <c r="AE265" s="30">
        <f>IF(AD265="Tailwind",10,0)</f>
        <v/>
      </c>
      <c r="AF265" s="30" t="inlineStr">
        <is>
          <t>Structural (10 Years Consistency)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Stable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No</t>
        </is>
      </c>
      <c r="AQ265" s="30">
        <f>IF(AP265="Yes",10,0)</f>
        <v/>
      </c>
      <c r="AR265" s="30" t="inlineStr">
        <is>
          <t>Higher One Time, Lower Annuity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0 to 20</t>
        </is>
      </c>
      <c r="AY265" s="30">
        <f>IF(AX265="Above 40",20,IF(AX265="20 to 40",10,IF(AX265="0 to 20",-5,0)))</f>
        <v/>
      </c>
      <c r="AZ265" s="30" t="inlineStr">
        <is>
          <t>Between 50 to 75</t>
        </is>
      </c>
      <c r="BA265" s="30">
        <f>IF(AZ265="Between 50 to 75",10,IF(AZ265="Above 75",0,0))</f>
        <v/>
      </c>
      <c r="BB265" s="30" t="inlineStr">
        <is>
          <t>Stage 2</t>
        </is>
      </c>
      <c r="BC265" s="30">
        <f>IF(BB265="Stage 2",20,IF(BB265="Stage 1",0,IF(BB265="Stage 3",5,IF(BB265="Stage 4",-5,0))))</f>
        <v/>
      </c>
      <c r="BD265" s="30" t="inlineStr">
        <is>
          <t>Positive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Close to 52 week high or retracement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Less than 12%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Yes</t>
        </is>
      </c>
      <c r="BS265" s="30">
        <f>IF(BR265="NO",5,0)</f>
        <v/>
      </c>
      <c r="BT265" s="30" t="inlineStr">
        <is>
          <t>Above 2</t>
        </is>
      </c>
      <c r="BU265" s="30">
        <f>IF(BT265="Above 2",0,IF(BT265="Between 1.5 to 2",5,IF(BT265="Less than 1.5",10,0)))</f>
        <v/>
      </c>
      <c r="BV265" s="30" t="inlineStr">
        <is>
          <t>Above 70%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Less than 0.7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IF(B266=0,"",RANK(B266,$B$2:$B$306,0))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0" t="inlineStr">
        <is>
          <t>AZAD</t>
        </is>
      </c>
      <c r="D266" s="30" t="inlineStr">
        <is>
          <t>Azad Engineering Ltd</t>
        </is>
      </c>
      <c r="E266" s="30" t="inlineStr">
        <is>
          <t>aerospace &amp; defence</t>
        </is>
      </c>
      <c r="F266" s="30" t="inlineStr">
        <is>
          <t>engineering</t>
        </is>
      </c>
      <c r="G266" s="30" t="inlineStr">
        <is>
          <t>midcap</t>
        </is>
      </c>
      <c r="H266" s="31" t="n">
        <v>14211.21</v>
      </c>
      <c r="I266" s="31" t="n">
        <v>2207.7</v>
      </c>
      <c r="J266" s="31" t="n">
        <v>0.33</v>
      </c>
      <c r="K266" s="31" t="n">
        <v>387649</v>
      </c>
      <c r="L266" s="30" t="n">
        <v>54</v>
      </c>
      <c r="M266" s="30" t="inlineStr">
        <is>
          <t>Outperforming</t>
        </is>
      </c>
      <c r="N266" s="31">
        <f>IF(M266="Underperforming",-5,IF(L266&gt;=95,15,IF(L266&gt;=90,10,IF(L266&gt;=80,5,0))))</f>
        <v/>
      </c>
      <c r="O266" s="31" t="n">
        <v>65.51000000000001</v>
      </c>
      <c r="P266" s="31" t="n">
        <v>23.59</v>
      </c>
      <c r="Q266" s="31" t="n">
        <v>1766.27</v>
      </c>
      <c r="R266" s="30" t="inlineStr">
        <is>
          <t>Near 52W High Breakout</t>
        </is>
      </c>
      <c r="S266" s="30" t="inlineStr">
        <is>
          <t>Nifty 50</t>
        </is>
      </c>
      <c r="T266" s="31" t="n">
        <v>-6.54</v>
      </c>
      <c r="U266" s="31" t="n">
        <v>33.82</v>
      </c>
      <c r="V266" s="31" t="n">
        <v>43.2</v>
      </c>
      <c r="W266" s="31" t="n">
        <v>14.38</v>
      </c>
      <c r="X266" s="30" t="inlineStr">
        <is>
          <t>Growing Industry</t>
        </is>
      </c>
      <c r="Y266" s="30">
        <f>IF(X266="Growing Industry",10,IF(X266="Cyclical in an Upturn",5,0))</f>
        <v/>
      </c>
      <c r="Z266" s="30" t="inlineStr">
        <is>
          <t>Too Many Players with High ROCE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No</t>
        </is>
      </c>
      <c r="AC266" s="30">
        <f>IF(AB266="No",5,0)</f>
        <v/>
      </c>
      <c r="AD266" s="30" t="inlineStr">
        <is>
          <t>Tailwind</t>
        </is>
      </c>
      <c r="AE266" s="30">
        <f>IF(AD266="Tailwind",10,0)</f>
        <v/>
      </c>
      <c r="AF266" s="30" t="inlineStr">
        <is>
          <t>Structural (10 Years Consistency)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Stable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B2B</t>
        </is>
      </c>
      <c r="AO266" s="30">
        <f>IF(AN266="B2C",10,IF(AN266="B2B",5,0))</f>
        <v/>
      </c>
      <c r="AP266" s="30" t="inlineStr">
        <is>
          <t>Yes</t>
        </is>
      </c>
      <c r="AQ266" s="30">
        <f>IF(AP266="Yes",10,0)</f>
        <v/>
      </c>
      <c r="AR266" s="30" t="inlineStr">
        <is>
          <t>Higher One Time, Lower Annuity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20 to 40</t>
        </is>
      </c>
      <c r="AY266" s="30">
        <f>IF(AX266="Above 40",20,IF(AX266="20 to 40",10,IF(AX266="0 to 20",-5,0)))</f>
        <v/>
      </c>
      <c r="AZ266" s="30" t="inlineStr">
        <is>
          <t>Between 50 to 75</t>
        </is>
      </c>
      <c r="BA266" s="30">
        <f>IF(AZ266="Between 50 to 75",10,IF(AZ266="Above 75",0,0))</f>
        <v/>
      </c>
      <c r="BB266" s="30" t="inlineStr">
        <is>
          <t>Stage 2</t>
        </is>
      </c>
      <c r="BC266" s="30">
        <f>IF(BB266="Stage 2",20,IF(BB266="Stage 1",0,IF(BB266="Stage 3",5,IF(BB266="Stage 4",-5,0))))</f>
        <v/>
      </c>
      <c r="BD266" s="30" t="inlineStr">
        <is>
          <t>Negative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Blue sky scenario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More than 20%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Yes</t>
        </is>
      </c>
      <c r="BS266" s="30">
        <f>IF(BR266="NO",5,0)</f>
        <v/>
      </c>
      <c r="BT266" s="30" t="inlineStr">
        <is>
          <t>Above 2</t>
        </is>
      </c>
      <c r="BU266" s="30">
        <f>IF(BT266="Above 2",0,IF(BT266="Between 1.5 to 2",5,IF(BT266="Less than 1.5",10,0)))</f>
        <v/>
      </c>
      <c r="BV266" s="30" t="inlineStr">
        <is>
          <t>Negative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Less than 0.7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IF(B267=0,"",RANK(B267,$B$2:$B$306,0))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2" t="inlineStr">
        <is>
          <t>GANDHAR</t>
        </is>
      </c>
      <c r="D267" s="32" t="inlineStr">
        <is>
          <t>Gandhar Oil Refinery (India) Ltd</t>
        </is>
      </c>
      <c r="E267" s="30" t="inlineStr">
        <is>
          <t>energy</t>
        </is>
      </c>
      <c r="F267" s="30" t="inlineStr">
        <is>
          <t>refineries</t>
        </is>
      </c>
      <c r="G267" s="30" t="inlineStr">
        <is>
          <t>smallcap</t>
        </is>
      </c>
      <c r="H267" s="31" t="n">
        <v>1584.18</v>
      </c>
      <c r="I267" s="31" t="n">
        <v>160.73</v>
      </c>
      <c r="J267" s="31" t="n">
        <v>-0.6899999999999999</v>
      </c>
      <c r="K267" s="31" t="n">
        <v>709636</v>
      </c>
      <c r="L267" s="30" t="n">
        <v>8</v>
      </c>
      <c r="M267" s="30" t="inlineStr">
        <is>
          <t>Underperforming</t>
        </is>
      </c>
      <c r="N267" s="31">
        <f>IF(M267="Underperforming",-5,IF(L267&gt;=95,15,IF(L267&gt;=90,10,IF(L267&gt;=80,5,0))))</f>
        <v/>
      </c>
      <c r="O267" s="31" t="n">
        <v>58.46</v>
      </c>
      <c r="P267" s="31" t="n">
        <v>20.76</v>
      </c>
      <c r="Q267" s="31" t="n">
        <v>119.49</v>
      </c>
      <c r="R267" s="30" t="inlineStr">
        <is>
          <t>Earnings / Momentum Support</t>
        </is>
      </c>
      <c r="S267" s="30" t="inlineStr">
        <is>
          <t>Nifty Energy</t>
        </is>
      </c>
      <c r="T267" s="31" t="n">
        <v>12.31</v>
      </c>
      <c r="U267" s="31" t="n">
        <v>-8.710000000000001</v>
      </c>
      <c r="V267" s="31" t="n">
        <v>-18.71</v>
      </c>
      <c r="W267" s="31" t="n">
        <v>3.07</v>
      </c>
      <c r="X267" s="30" t="inlineStr">
        <is>
          <t>Cyclical in an Upturn</t>
        </is>
      </c>
      <c r="Y267" s="30">
        <f>IF(X267="Growing Industry",10,IF(X267="Cyclical in an Upturn",5,0))</f>
        <v/>
      </c>
      <c r="Z267" s="30" t="inlineStr">
        <is>
          <t>Oligopoly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Yes</t>
        </is>
      </c>
      <c r="AC267" s="30">
        <f>IF(AB267="No",5,0)</f>
        <v/>
      </c>
      <c r="AD267" s="30" t="inlineStr">
        <is>
          <t>Tailwind</t>
        </is>
      </c>
      <c r="AE267" s="30">
        <f>IF(AD267="Tailwind",10,0)</f>
        <v/>
      </c>
      <c r="AF267" s="30" t="inlineStr">
        <is>
          <t>Cyclical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Volatile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B2B</t>
        </is>
      </c>
      <c r="AO267" s="30">
        <f>IF(AN267="B2C",10,IF(AN267="B2B",5,0))</f>
        <v/>
      </c>
      <c r="AP267" s="30" t="inlineStr">
        <is>
          <t>No</t>
        </is>
      </c>
      <c r="AQ267" s="30">
        <f>IF(AP267="Yes",10,0)</f>
        <v/>
      </c>
      <c r="AR267" s="30" t="inlineStr">
        <is>
          <t>Higher One Time, Lower Annuity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20 to 40</t>
        </is>
      </c>
      <c r="AY267" s="30">
        <f>IF(AX267="Above 40",20,IF(AX267="20 to 40",10,IF(AX267="0 to 20",-5,0)))</f>
        <v/>
      </c>
      <c r="AZ267" s="30" t="inlineStr">
        <is>
          <t>Between 50 to 75</t>
        </is>
      </c>
      <c r="BA267" s="30">
        <f>IF(AZ267="Between 50 to 75",10,IF(AZ267="Above 75",0,0))</f>
        <v/>
      </c>
      <c r="BB267" s="30" t="inlineStr">
        <is>
          <t>Stage 2</t>
        </is>
      </c>
      <c r="BC267" s="30">
        <f>IF(BB267="Stage 2",20,IF(BB267="Stage 1",0,IF(BB267="Stage 3",5,IF(BB267="Stage 4",-5,0))))</f>
        <v/>
      </c>
      <c r="BD267" s="30" t="inlineStr">
        <is>
          <t>Positive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Close to 52 week high or retracement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More than 20%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No</t>
        </is>
      </c>
      <c r="BS267" s="30">
        <f>IF(BR267="NO",5,0)</f>
        <v/>
      </c>
      <c r="BT267" s="30" t="inlineStr">
        <is>
          <t>Above 2</t>
        </is>
      </c>
      <c r="BU267" s="30">
        <f>IF(BT267="Above 2",0,IF(BT267="Between 1.5 to 2",5,IF(BT267="Less than 1.5",10,0)))</f>
        <v/>
      </c>
      <c r="BV267" s="30" t="inlineStr">
        <is>
          <t>Between 50% to 70%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Less than 0.7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IF(B268=0,"",RANK(B268,$B$2:$B$306,0))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0" t="inlineStr">
        <is>
          <t>JSWENERGY</t>
        </is>
      </c>
      <c r="D268" s="30" t="inlineStr">
        <is>
          <t>Jsw Energy Limited</t>
        </is>
      </c>
      <c r="E268" s="30" t="inlineStr">
        <is>
          <t>power &amp; utilities</t>
        </is>
      </c>
      <c r="F268" s="30" t="inlineStr">
        <is>
          <t>power generation and supply</t>
        </is>
      </c>
      <c r="G268" s="30" t="inlineStr">
        <is>
          <t>largecap</t>
        </is>
      </c>
      <c r="H268" s="31" t="n">
        <v>108184.65</v>
      </c>
      <c r="I268" s="31" t="n">
        <v>584.2</v>
      </c>
      <c r="J268" s="31" t="n">
        <v>-0.99</v>
      </c>
      <c r="K268" s="31" t="n">
        <v>1509598</v>
      </c>
      <c r="L268" s="30" t="n">
        <v>26</v>
      </c>
      <c r="M268" s="30" t="inlineStr">
        <is>
          <t>Outperforming</t>
        </is>
      </c>
      <c r="N268" s="31">
        <f>IF(M268="Underperforming",-5,IF(L268&gt;=95,15,IF(L268&gt;=90,10,IF(L268&gt;=80,5,0))))</f>
        <v/>
      </c>
      <c r="O268" s="31" t="n">
        <v>61.64</v>
      </c>
      <c r="P268" s="31" t="n">
        <v>14.01</v>
      </c>
      <c r="Q268" s="31" t="n">
        <v>475.73</v>
      </c>
      <c r="R268" s="30" t="inlineStr">
        <is>
          <t>Near 52W High Breakout</t>
        </is>
      </c>
      <c r="S268" s="30" t="inlineStr">
        <is>
          <t>Nifty IT</t>
        </is>
      </c>
      <c r="T268" s="31" t="n">
        <v>-22.21</v>
      </c>
      <c r="U268" s="31" t="n">
        <v>12.56</v>
      </c>
      <c r="V268" s="31" t="n">
        <v>44.7</v>
      </c>
      <c r="W268" s="31" t="n">
        <v>6.85</v>
      </c>
      <c r="X268" s="30" t="inlineStr">
        <is>
          <t>Growing Industry</t>
        </is>
      </c>
      <c r="Y268" s="30">
        <f>IF(X268="Growing Industry",10,IF(X268="Cyclical in an Upturn",5,0))</f>
        <v/>
      </c>
      <c r="Z268" s="30" t="inlineStr">
        <is>
          <t>Too Many Players with High ROCE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No</t>
        </is>
      </c>
      <c r="AC268" s="30">
        <f>IF(AB268="No",5,0)</f>
        <v/>
      </c>
      <c r="AD268" s="30" t="inlineStr">
        <is>
          <t>Tailwind</t>
        </is>
      </c>
      <c r="AE268" s="30">
        <f>IF(AD268="Tailwind",10,0)</f>
        <v/>
      </c>
      <c r="AF268" s="30" t="inlineStr">
        <is>
          <t>Structural (10 Years Consistency)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Stable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B2B</t>
        </is>
      </c>
      <c r="AO268" s="30">
        <f>IF(AN268="B2C",10,IF(AN268="B2B",5,0))</f>
        <v/>
      </c>
      <c r="AP268" s="30" t="inlineStr">
        <is>
          <t>Yes</t>
        </is>
      </c>
      <c r="AQ268" s="30">
        <f>IF(AP268="Yes",10,0)</f>
        <v/>
      </c>
      <c r="AR268" s="30" t="inlineStr">
        <is>
          <t>Higher One Time, Lower Annuity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0 to 20</t>
        </is>
      </c>
      <c r="AY268" s="30">
        <f>IF(AX268="Above 40",20,IF(AX268="20 to 40",10,IF(AX268="0 to 20",-5,0)))</f>
        <v/>
      </c>
      <c r="AZ268" s="30" t="inlineStr">
        <is>
          <t>Between 50 to 75</t>
        </is>
      </c>
      <c r="BA268" s="30">
        <f>IF(AZ268="Between 50 to 75",10,IF(AZ268="Above 75",0,0))</f>
        <v/>
      </c>
      <c r="BB268" s="30" t="inlineStr">
        <is>
          <t>Stage 2</t>
        </is>
      </c>
      <c r="BC268" s="30">
        <f>IF(BB268="Stage 2",20,IF(BB268="Stage 1",0,IF(BB268="Stage 3",5,IF(BB268="Stage 4",-5,0))))</f>
        <v/>
      </c>
      <c r="BD268" s="30" t="inlineStr">
        <is>
          <t>Positive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Close to 52 week high or retracement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Less than 12%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Yes</t>
        </is>
      </c>
      <c r="BS268" s="30">
        <f>IF(BR268="NO",5,0)</f>
        <v/>
      </c>
      <c r="BT268" s="30" t="inlineStr">
        <is>
          <t>Above 2</t>
        </is>
      </c>
      <c r="BU268" s="30">
        <f>IF(BT268="Above 2",0,IF(BT268="Between 1.5 to 2",5,IF(BT268="Less than 1.5",10,0)))</f>
        <v/>
      </c>
      <c r="BV268" s="30" t="inlineStr">
        <is>
          <t>Above 70%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More than 1.2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IF(B269=0,"",RANK(B269,$B$2:$B$306,0))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0" t="inlineStr">
        <is>
          <t>KIMS</t>
        </is>
      </c>
      <c r="D269" s="30" t="inlineStr">
        <is>
          <t>Krishna Institute of Medical Sciences Ltd</t>
        </is>
      </c>
      <c r="E269" s="30" t="inlineStr">
        <is>
          <t>healthcare</t>
        </is>
      </c>
      <c r="F269" s="30" t="inlineStr">
        <is>
          <t>healthcare</t>
        </is>
      </c>
      <c r="G269" s="30" t="inlineStr">
        <is>
          <t>largecap</t>
        </is>
      </c>
      <c r="H269" s="31" t="n">
        <v>30606.63</v>
      </c>
      <c r="I269" s="31" t="n">
        <v>788.95</v>
      </c>
      <c r="J269" s="31" t="n">
        <v>3.14</v>
      </c>
      <c r="K269" s="31" t="n">
        <v>2175866</v>
      </c>
      <c r="L269" s="30" t="n">
        <v>21</v>
      </c>
      <c r="M269" s="30" t="inlineStr">
        <is>
          <t>Outperforming</t>
        </is>
      </c>
      <c r="N269" s="31">
        <f>IF(M269="Underperforming",-5,IF(L269&gt;=95,15,IF(L269&gt;=90,10,IF(L269&gt;=80,5,0))))</f>
        <v/>
      </c>
      <c r="O269" s="31" t="n">
        <v>64.84999999999999</v>
      </c>
      <c r="P269" s="31" t="n">
        <v>19.53</v>
      </c>
      <c r="Q269" s="31" t="n">
        <v>629.84</v>
      </c>
      <c r="R269" s="30" t="inlineStr">
        <is>
          <t>Near 52W High Breakout</t>
        </is>
      </c>
      <c r="S269" s="30" t="inlineStr">
        <is>
          <t>Nifty Pharma</t>
        </is>
      </c>
      <c r="T269" s="31" t="n">
        <v>11.82</v>
      </c>
      <c r="U269" s="31" t="n">
        <v>19.47</v>
      </c>
      <c r="V269" s="31" t="n">
        <v>6.83</v>
      </c>
      <c r="W269" s="31" t="n">
        <v>5.72</v>
      </c>
      <c r="X269" s="30" t="inlineStr">
        <is>
          <t>Growing Industry</t>
        </is>
      </c>
      <c r="Y269" s="30">
        <f>IF(X269="Growing Industry",10,IF(X269="Cyclical in an Upturn",5,0))</f>
        <v/>
      </c>
      <c r="Z269" s="30" t="inlineStr">
        <is>
          <t>Too Many Players with High ROCE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Yes</t>
        </is>
      </c>
      <c r="AC269" s="30">
        <f>IF(AB269="No",5,0)</f>
        <v/>
      </c>
      <c r="AD269" s="30" t="inlineStr">
        <is>
          <t>Tailwind</t>
        </is>
      </c>
      <c r="AE269" s="30">
        <f>IF(AD269="Tailwind",10,0)</f>
        <v/>
      </c>
      <c r="AF269" s="30" t="inlineStr">
        <is>
          <t>Structural (10 Years Consistency)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Stable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B2B</t>
        </is>
      </c>
      <c r="AO269" s="30">
        <f>IF(AN269="B2C",10,IF(AN269="B2B",5,0))</f>
        <v/>
      </c>
      <c r="AP269" s="30" t="inlineStr">
        <is>
          <t>Yes</t>
        </is>
      </c>
      <c r="AQ269" s="30">
        <f>IF(AP269="Yes",10,0)</f>
        <v/>
      </c>
      <c r="AR269" s="30" t="inlineStr">
        <is>
          <t>Higher Annuity, Lower One Time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0 to 20</t>
        </is>
      </c>
      <c r="AY269" s="30">
        <f>IF(AX269="Above 40",20,IF(AX269="20 to 40",10,IF(AX269="0 to 20",-5,0)))</f>
        <v/>
      </c>
      <c r="AZ269" s="30" t="inlineStr">
        <is>
          <t>Between 50 to 75</t>
        </is>
      </c>
      <c r="BA269" s="30">
        <f>IF(AZ269="Between 50 to 75",10,IF(AZ269="Above 75",0,0))</f>
        <v/>
      </c>
      <c r="BB269" s="30" t="inlineStr">
        <is>
          <t>Stage 2</t>
        </is>
      </c>
      <c r="BC269" s="30">
        <f>IF(BB269="Stage 2",20,IF(BB269="Stage 1",0,IF(BB269="Stage 3",5,IF(BB269="Stage 4",-5,0))))</f>
        <v/>
      </c>
      <c r="BD269" s="30" t="inlineStr">
        <is>
          <t>Positive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Blue sky scenario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Less than 12%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Yes</t>
        </is>
      </c>
      <c r="BS269" s="30">
        <f>IF(BR269="NO",5,0)</f>
        <v/>
      </c>
      <c r="BT269" s="30" t="inlineStr">
        <is>
          <t>Above 2</t>
        </is>
      </c>
      <c r="BU269" s="30">
        <f>IF(BT269="Above 2",0,IF(BT269="Between 1.5 to 2",5,IF(BT269="Less than 1.5",10,0)))</f>
        <v/>
      </c>
      <c r="BV269" s="30" t="inlineStr">
        <is>
          <t>Between 50% to 70%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More than 1.2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IF(B270=0,"",RANK(B270,$B$2:$B$306,0))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0" t="inlineStr">
        <is>
          <t>KRN</t>
        </is>
      </c>
      <c r="D270" s="30" t="inlineStr">
        <is>
          <t>KRN Heat Exchanger and Refrigeration Ltd</t>
        </is>
      </c>
      <c r="E270" s="30" t="inlineStr">
        <is>
          <t>industrials</t>
        </is>
      </c>
      <c r="F270" s="30" t="inlineStr">
        <is>
          <t>engineering</t>
        </is>
      </c>
      <c r="G270" s="30" t="inlineStr">
        <is>
          <t>midcap</t>
        </is>
      </c>
      <c r="H270" s="31" t="n">
        <v>7568.81</v>
      </c>
      <c r="I270" s="31" t="n">
        <v>1216.8</v>
      </c>
      <c r="J270" s="31" t="n">
        <v>-0.07000000000000001</v>
      </c>
      <c r="K270" s="31" t="n">
        <v>264459</v>
      </c>
      <c r="L270" s="30" t="n">
        <v>63</v>
      </c>
      <c r="M270" s="30" t="inlineStr">
        <is>
          <t>Outperforming</t>
        </is>
      </c>
      <c r="N270" s="31">
        <f>IF(M270="Underperforming",-5,IF(L270&gt;=95,15,IF(L270&gt;=90,10,IF(L270&gt;=80,5,0))))</f>
        <v/>
      </c>
      <c r="O270" s="31" t="n">
        <v>63.44</v>
      </c>
      <c r="P270" s="31" t="n">
        <v>40.03</v>
      </c>
      <c r="Q270" s="31" t="n">
        <v>879.6799999999999</v>
      </c>
      <c r="R270" s="30" t="inlineStr">
        <is>
          <t>Earnings / Momentum Support</t>
        </is>
      </c>
      <c r="S270" s="30" t="inlineStr">
        <is>
          <t>Nifty 50</t>
        </is>
      </c>
      <c r="T270" s="31" t="n">
        <v>-6.54</v>
      </c>
      <c r="U270" s="31" t="n">
        <v>61.5</v>
      </c>
      <c r="V270" s="31" t="n">
        <v>72.81</v>
      </c>
      <c r="W270" s="31" t="n">
        <v>17.32</v>
      </c>
      <c r="X270" s="30" t="inlineStr">
        <is>
          <t>Cyclical in an Upturn</t>
        </is>
      </c>
      <c r="Y270" s="30">
        <f>IF(X270="Growing Industry",10,IF(X270="Cyclical in an Upturn",5,0))</f>
        <v/>
      </c>
      <c r="Z270" s="30" t="inlineStr">
        <is>
          <t>Too Many Players with High ROCE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No</t>
        </is>
      </c>
      <c r="AC270" s="30">
        <f>IF(AB270="No",5,0)</f>
        <v/>
      </c>
      <c r="AD270" s="30" t="inlineStr">
        <is>
          <t>Tailwind</t>
        </is>
      </c>
      <c r="AE270" s="30">
        <f>IF(AD270="Tailwind",10,0)</f>
        <v/>
      </c>
      <c r="AF270" s="30" t="inlineStr">
        <is>
          <t>Structural (10 Years Consistency)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Stable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B2B</t>
        </is>
      </c>
      <c r="AO270" s="30">
        <f>IF(AN270="B2C",10,IF(AN270="B2B",5,0))</f>
        <v/>
      </c>
      <c r="AP270" s="30" t="inlineStr">
        <is>
          <t>No</t>
        </is>
      </c>
      <c r="AQ270" s="30">
        <f>IF(AP270="Yes",10,0)</f>
        <v/>
      </c>
      <c r="AR270" s="30" t="inlineStr">
        <is>
          <t>Higher One Time, Lower Annuity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Above 40</t>
        </is>
      </c>
      <c r="AY270" s="30">
        <f>IF(AX270="Above 40",20,IF(AX270="20 to 40",10,IF(AX270="0 to 20",-5,0)))</f>
        <v/>
      </c>
      <c r="AZ270" s="30" t="inlineStr">
        <is>
          <t>Between 50 to 75</t>
        </is>
      </c>
      <c r="BA270" s="30">
        <f>IF(AZ270="Between 50 to 75",10,IF(AZ270="Above 75",0,0))</f>
        <v/>
      </c>
      <c r="BB270" s="30" t="inlineStr">
        <is>
          <t>Stage 2</t>
        </is>
      </c>
      <c r="BC270" s="30">
        <f>IF(BB270="Stage 2",20,IF(BB270="Stage 1",0,IF(BB270="Stage 3",5,IF(BB270="Stage 4",-5,0))))</f>
        <v/>
      </c>
      <c r="BD270" s="30" t="inlineStr">
        <is>
          <t>Negative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Close to 52 week high or retracement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More than 20%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Yes</t>
        </is>
      </c>
      <c r="BS270" s="30">
        <f>IF(BR270="NO",5,0)</f>
        <v/>
      </c>
      <c r="BT270" s="30" t="inlineStr">
        <is>
          <t>Between 1.5 to 2</t>
        </is>
      </c>
      <c r="BU270" s="30">
        <f>IF(BT270="Above 2",0,IF(BT270="Between 1.5 to 2",5,IF(BT270="Less than 1.5",10,0)))</f>
        <v/>
      </c>
      <c r="BV270" s="30" t="inlineStr">
        <is>
          <t>Negative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Less than 0.7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IF(B271=0,"",RANK(B271,$B$2:$B$306,0))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2" t="inlineStr">
        <is>
          <t>TMPV</t>
        </is>
      </c>
      <c r="D271" s="32" t="inlineStr">
        <is>
          <t>Tata Motors Passenger Vehicles Ltd</t>
        </is>
      </c>
      <c r="E271" s="30" t="inlineStr">
        <is>
          <t>auto</t>
        </is>
      </c>
      <c r="F271" s="30" t="inlineStr">
        <is>
          <t>automobiles - passenger cars</t>
        </is>
      </c>
      <c r="G271" s="30" t="inlineStr">
        <is>
          <t>largecap</t>
        </is>
      </c>
      <c r="H271" s="31" t="n">
        <v>147184.63</v>
      </c>
      <c r="I271" s="31" t="n">
        <v>397.8</v>
      </c>
      <c r="J271" s="31" t="n">
        <v>-0.48</v>
      </c>
      <c r="K271" s="31" t="n">
        <v>9554051</v>
      </c>
      <c r="L271" s="30" t="n">
        <v>1</v>
      </c>
      <c r="M271" s="30" t="inlineStr">
        <is>
          <t>Underperforming</t>
        </is>
      </c>
      <c r="N271" s="31">
        <f>IF(M271="Underperforming",-5,IF(L271&gt;=95,15,IF(L271&gt;=90,10,IF(L271&gt;=80,5,0))))</f>
        <v/>
      </c>
      <c r="O271" s="31" t="n">
        <v>53.44</v>
      </c>
      <c r="P271" s="31" t="n">
        <v>26.16</v>
      </c>
      <c r="Q271" s="31" t="n">
        <v>311.13</v>
      </c>
      <c r="R271" s="30" t="inlineStr">
        <is>
          <t>Earnings / Momentum Support</t>
        </is>
      </c>
      <c r="S271" s="30" t="inlineStr">
        <is>
          <t>Nifty Auto</t>
        </is>
      </c>
      <c r="T271" s="31" t="n">
        <v>10.59</v>
      </c>
      <c r="U271" s="31" t="n">
        <v>-43.57</v>
      </c>
      <c r="V271" s="31" t="n">
        <v>-48.97</v>
      </c>
      <c r="W271" s="31" t="n">
        <v>-4.95</v>
      </c>
      <c r="X271" s="30" t="inlineStr">
        <is>
          <t>Growing Industry</t>
        </is>
      </c>
      <c r="Y271" s="30">
        <f>IF(X271="Growing Industry",10,IF(X271="Cyclical in an Upturn",5,0))</f>
        <v/>
      </c>
      <c r="Z271" s="30" t="inlineStr">
        <is>
          <t>Too Many Players with High ROCE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No</t>
        </is>
      </c>
      <c r="AC271" s="30">
        <f>IF(AB271="No",5,0)</f>
        <v/>
      </c>
      <c r="AD271" s="30" t="inlineStr">
        <is>
          <t>Tailwind</t>
        </is>
      </c>
      <c r="AE271" s="30">
        <f>IF(AD271="Tailwind",10,0)</f>
        <v/>
      </c>
      <c r="AF271" s="30" t="inlineStr">
        <is>
          <t>Structural (10 Years Consistency)</t>
        </is>
      </c>
      <c r="AG271" s="30">
        <f>IF(AF271="Structural (10 Years Consistency)",10,IF(AF271="Shallow Cyclical (2 to 3 years growth)",5,0))</f>
        <v/>
      </c>
      <c r="AH271" s="30" t="inlineStr">
        <is>
          <t>No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Stable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No</t>
        </is>
      </c>
      <c r="AQ271" s="30">
        <f>IF(AP271="Yes",10,0)</f>
        <v/>
      </c>
      <c r="AR271" s="30" t="inlineStr">
        <is>
          <t>Higher One Time, Lower Annuity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Good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20 to 40</t>
        </is>
      </c>
      <c r="AY271" s="30">
        <f>IF(AX271="Above 40",20,IF(AX271="20 to 40",10,IF(AX271="0 to 20",-5,0)))</f>
        <v/>
      </c>
      <c r="AZ271" s="30" t="inlineStr">
        <is>
          <t>Between 50 to 75</t>
        </is>
      </c>
      <c r="BA271" s="30">
        <f>IF(AZ271="Between 50 to 75",10,IF(AZ271="Above 75",0,0))</f>
        <v/>
      </c>
      <c r="BB271" s="30" t="inlineStr">
        <is>
          <t>Stage 1</t>
        </is>
      </c>
      <c r="BC271" s="30">
        <f>IF(BB271="Stage 2",20,IF(BB271="Stage 1",0,IF(BB271="Stage 3",5,IF(BB271="Stage 4",-5,0))))</f>
        <v/>
      </c>
      <c r="BD271" s="30" t="inlineStr">
        <is>
          <t>Positive Trend</t>
        </is>
      </c>
      <c r="BE271" s="30">
        <f>IF(BD271="Positive Trend",20,IF(BD271="Negative Trend",-10,0))</f>
        <v/>
      </c>
      <c r="BF271" s="30" t="inlineStr">
        <is>
          <t>Uptrend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Close to 52 week high or retracement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Less than 12%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No</t>
        </is>
      </c>
      <c r="BS271" s="30">
        <f>IF(BR271="NO",5,0)</f>
        <v/>
      </c>
      <c r="BT271" s="30" t="inlineStr">
        <is>
          <t>Above 2</t>
        </is>
      </c>
      <c r="BU271" s="30">
        <f>IF(BT271="Above 2",0,IF(BT271="Between 1.5 to 2",5,IF(BT271="Less than 1.5",10,0)))</f>
        <v/>
      </c>
      <c r="BV271" s="30" t="inlineStr">
        <is>
          <t>Less than 50%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Less than 0.7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Less than 15%</t>
        </is>
      </c>
      <c r="CC271" s="30">
        <f>IF(CB271="More than 15%",-10,IF(CB271="Less than 15%",10,0))</f>
        <v/>
      </c>
      <c r="CD271" s="30" t="inlineStr">
        <is>
          <t>No</t>
        </is>
      </c>
      <c r="CE271" s="30">
        <f>IF(CD271="Yes, more than 10%",-10,IF(CD271="No",10,0))</f>
        <v/>
      </c>
    </row>
    <row r="272">
      <c r="A272" s="30">
        <f>IF(B272=0,"",RANK(B272,$B$2:$B$306,0))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2" t="inlineStr">
        <is>
          <t>VENUSPIPES</t>
        </is>
      </c>
      <c r="D272" s="32" t="inlineStr">
        <is>
          <t>Venus Pipes &amp; Tubes Ltd</t>
        </is>
      </c>
      <c r="E272" s="30" t="inlineStr">
        <is>
          <t>metals &amp; mining</t>
        </is>
      </c>
      <c r="F272" s="30" t="inlineStr">
        <is>
          <t>steel - medium / small</t>
        </is>
      </c>
      <c r="G272" s="30" t="inlineStr">
        <is>
          <t>smallcap</t>
        </is>
      </c>
      <c r="H272" s="31" t="n">
        <v>3040.71</v>
      </c>
      <c r="I272" s="31" t="n">
        <v>1449</v>
      </c>
      <c r="J272" s="31" t="n">
        <v>-1.28</v>
      </c>
      <c r="K272" s="31" t="n">
        <v>54780</v>
      </c>
      <c r="L272" s="30" t="n">
        <v>39</v>
      </c>
      <c r="M272" s="30" t="inlineStr">
        <is>
          <t>Underperforming</t>
        </is>
      </c>
      <c r="N272" s="31">
        <f>IF(M272="Underperforming",-5,IF(L272&gt;=95,15,IF(L272&gt;=90,10,IF(L272&gt;=80,5,0))))</f>
        <v/>
      </c>
      <c r="O272" s="31" t="n">
        <v>62.71</v>
      </c>
      <c r="P272" s="31" t="n">
        <v>21.42</v>
      </c>
      <c r="Q272" s="31" t="n">
        <v>1055.23</v>
      </c>
      <c r="R272" s="30" t="inlineStr">
        <is>
          <t>Earnings / Momentum Support</t>
        </is>
      </c>
      <c r="S272" s="30" t="inlineStr">
        <is>
          <t>Nifty Metal</t>
        </is>
      </c>
      <c r="T272" s="31" t="n">
        <v>40.56</v>
      </c>
      <c r="U272" s="31" t="n">
        <v>1.46</v>
      </c>
      <c r="V272" s="31" t="n">
        <v>-27.82</v>
      </c>
      <c r="W272" s="31" t="n">
        <v>10.54</v>
      </c>
      <c r="X272" s="30" t="inlineStr">
        <is>
          <t>Cyclical in an Upturn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No</t>
        </is>
      </c>
      <c r="AC272" s="30">
        <f>IF(AB272="No",5,0)</f>
        <v/>
      </c>
      <c r="AD272" s="30" t="inlineStr">
        <is>
          <t>Tailwind</t>
        </is>
      </c>
      <c r="AE272" s="30">
        <f>IF(AD272="Tailwind",10,0)</f>
        <v/>
      </c>
      <c r="AF272" s="30" t="inlineStr">
        <is>
          <t>Cyclical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Volatile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No</t>
        </is>
      </c>
      <c r="AQ272" s="30">
        <f>IF(AP272="Yes",10,0)</f>
        <v/>
      </c>
      <c r="AR272" s="30" t="inlineStr">
        <is>
          <t>Higher One Time, Lower Annuity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20 to 40</t>
        </is>
      </c>
      <c r="AY272" s="30">
        <f>IF(AX272="Above 40",20,IF(AX272="20 to 40",10,IF(AX272="0 to 20",-5,0)))</f>
        <v/>
      </c>
      <c r="AZ272" s="30" t="inlineStr">
        <is>
          <t>Between 50 to 75</t>
        </is>
      </c>
      <c r="BA272" s="30">
        <f>IF(AZ272="Between 50 to 75",10,IF(AZ272="Above 75",0,0))</f>
        <v/>
      </c>
      <c r="BB272" s="30" t="inlineStr">
        <is>
          <t>Stage 2</t>
        </is>
      </c>
      <c r="BC272" s="30">
        <f>IF(BB272="Stage 2",20,IF(BB272="Stage 1",0,IF(BB272="Stage 3",5,IF(BB272="Stage 4",-5,0))))</f>
        <v/>
      </c>
      <c r="BD272" s="30" t="inlineStr">
        <is>
          <t>Positive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Close to 52 week high or retracement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Less than 12%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No</t>
        </is>
      </c>
      <c r="BS272" s="30">
        <f>IF(BR272="NO",5,0)</f>
        <v/>
      </c>
      <c r="BT272" s="30" t="inlineStr">
        <is>
          <t>Above 2</t>
        </is>
      </c>
      <c r="BU272" s="30">
        <f>IF(BT272="Above 2",0,IF(BT272="Between 1.5 to 2",5,IF(BT272="Less than 1.5",10,0)))</f>
        <v/>
      </c>
      <c r="BV272" s="30" t="inlineStr">
        <is>
          <t>Between 50% to 70%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Less than 0.7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IF(B273=0,"",RANK(B273,$B$2:$B$306,0))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0" t="inlineStr">
        <is>
          <t>SPAL</t>
        </is>
      </c>
      <c r="D273" s="30" t="inlineStr">
        <is>
          <t>S. P. Apparels Limited</t>
        </is>
      </c>
      <c r="E273" s="30" t="inlineStr">
        <is>
          <t>textiles</t>
        </is>
      </c>
      <c r="F273" s="30" t="inlineStr">
        <is>
          <t>textiles - products</t>
        </is>
      </c>
      <c r="G273" s="30" t="inlineStr">
        <is>
          <t>smallcap</t>
        </is>
      </c>
      <c r="H273" s="31" t="n">
        <v>2088.79</v>
      </c>
      <c r="I273" s="31" t="n">
        <v>812.2</v>
      </c>
      <c r="J273" s="31" t="n">
        <v>-2.25</v>
      </c>
      <c r="K273" s="31" t="n">
        <v>18047</v>
      </c>
      <c r="L273" s="30" t="n">
        <v>12</v>
      </c>
      <c r="M273" s="30" t="inlineStr">
        <is>
          <t>Outperforming</t>
        </is>
      </c>
      <c r="N273" s="31">
        <f>IF(M273="Underperforming",-5,IF(L273&gt;=95,15,IF(L273&gt;=90,10,IF(L273&gt;=80,5,0))))</f>
        <v/>
      </c>
      <c r="O273" s="31" t="n">
        <v>60.41</v>
      </c>
      <c r="P273" s="31" t="n">
        <v>18.18</v>
      </c>
      <c r="Q273" s="31" t="n">
        <v>616.75</v>
      </c>
      <c r="R273" s="30" t="inlineStr">
        <is>
          <t>Near 52W High Breakout</t>
        </is>
      </c>
      <c r="S273" s="30" t="inlineStr">
        <is>
          <t>Nifty 50</t>
        </is>
      </c>
      <c r="T273" s="31" t="n">
        <v>-6.54</v>
      </c>
      <c r="U273" s="31" t="n">
        <v>-2.37</v>
      </c>
      <c r="V273" s="31" t="n">
        <v>4.47</v>
      </c>
      <c r="W273" s="31" t="n">
        <v>3.77</v>
      </c>
      <c r="X273" s="30" t="inlineStr">
        <is>
          <t>Growing Industry</t>
        </is>
      </c>
      <c r="Y273" s="30">
        <f>IF(X273="Growing Industry",10,IF(X273="Cyclical in an Upturn",5,0))</f>
        <v/>
      </c>
      <c r="Z273" s="30" t="inlineStr">
        <is>
          <t>Too Many Players with High ROCE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No</t>
        </is>
      </c>
      <c r="AC273" s="30">
        <f>IF(AB273="No",5,0)</f>
        <v/>
      </c>
      <c r="AD273" s="30" t="inlineStr">
        <is>
          <t>Tailwind</t>
        </is>
      </c>
      <c r="AE273" s="30">
        <f>IF(AD273="Tailwind",10,0)</f>
        <v/>
      </c>
      <c r="AF273" s="30" t="inlineStr">
        <is>
          <t>Structural (10 Years Consistency)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Stable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B2B</t>
        </is>
      </c>
      <c r="AO273" s="30">
        <f>IF(AN273="B2C",10,IF(AN273="B2B",5,0))</f>
        <v/>
      </c>
      <c r="AP273" s="30" t="inlineStr">
        <is>
          <t>Yes</t>
        </is>
      </c>
      <c r="AQ273" s="30">
        <f>IF(AP273="Yes",10,0)</f>
        <v/>
      </c>
      <c r="AR273" s="30" t="inlineStr">
        <is>
          <t>Higher One Time, Lower Annuity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Good</t>
        </is>
      </c>
      <c r="AU273" s="30">
        <f>IF(AT273="Good",10,0)</f>
        <v/>
      </c>
      <c r="AV273" s="30" t="inlineStr">
        <is>
          <t>Yes for more than 2 years</t>
        </is>
      </c>
      <c r="AW273" s="30">
        <f>IF(AV273="Yes for more than 2 years",10,IF(AV273="Yes only for next 1 to 2 years",5,0))</f>
        <v/>
      </c>
      <c r="AX273" s="30" t="inlineStr">
        <is>
          <t>0 to 20</t>
        </is>
      </c>
      <c r="AY273" s="30">
        <f>IF(AX273="Above 40",20,IF(AX273="20 to 40",10,IF(AX273="0 to 20",-5,0)))</f>
        <v/>
      </c>
      <c r="AZ273" s="30" t="inlineStr">
        <is>
          <t>Between 50 to 75</t>
        </is>
      </c>
      <c r="BA273" s="30">
        <f>IF(AZ273="Between 50 to 75",10,IF(AZ273="Above 75",0,0))</f>
        <v/>
      </c>
      <c r="BB273" s="30" t="inlineStr">
        <is>
          <t>Stage 2</t>
        </is>
      </c>
      <c r="BC273" s="30">
        <f>IF(BB273="Stage 2",20,IF(BB273="Stage 1",0,IF(BB273="Stage 3",5,IF(BB273="Stage 4",-5,0))))</f>
        <v/>
      </c>
      <c r="BD273" s="30" t="inlineStr">
        <is>
          <t>Negative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Close to 52 week high or retracement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Less than 12%</t>
        </is>
      </c>
      <c r="BO273" s="30">
        <f>IF(BN273="More than 20%",10,IF(BN273="Between 12 to 20%",5,IF(BN273="Less than 12%",0,0)))</f>
        <v/>
      </c>
      <c r="BP273" s="30" t="inlineStr">
        <is>
          <t>No</t>
        </is>
      </c>
      <c r="BQ273" s="30">
        <f>IF(BP273="No",10,0)</f>
        <v/>
      </c>
      <c r="BR273" s="30" t="inlineStr">
        <is>
          <t>No</t>
        </is>
      </c>
      <c r="BS273" s="30">
        <f>IF(BR273="NO",5,0)</f>
        <v/>
      </c>
      <c r="BT273" s="30" t="inlineStr">
        <is>
          <t>Above 2</t>
        </is>
      </c>
      <c r="BU273" s="30">
        <f>IF(BT273="Above 2",0,IF(BT273="Between 1.5 to 2",5,IF(BT273="Less than 1.5",10,0)))</f>
        <v/>
      </c>
      <c r="BV273" s="30" t="inlineStr">
        <is>
          <t>Above 70%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Less than 0.7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IF(B274=0,"",RANK(B274,$B$2:$B$306,0))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0" t="inlineStr">
        <is>
          <t>INDOTECH</t>
        </is>
      </c>
      <c r="D274" s="30" t="inlineStr">
        <is>
          <t>Indo Tech Transformers Limited</t>
        </is>
      </c>
      <c r="E274" s="30" t="inlineStr">
        <is>
          <t>industrials</t>
        </is>
      </c>
      <c r="F274" s="30" t="inlineStr">
        <is>
          <t>electric equipment</t>
        </is>
      </c>
      <c r="G274" s="30" t="inlineStr">
        <is>
          <t>smallcap</t>
        </is>
      </c>
      <c r="H274" s="31" t="n">
        <v>2955.33</v>
      </c>
      <c r="I274" s="31" t="n">
        <v>2657.6</v>
      </c>
      <c r="J274" s="31" t="n">
        <v>-4.5</v>
      </c>
      <c r="K274" s="31" t="n">
        <v>46926</v>
      </c>
      <c r="L274" s="30" t="n">
        <v>85</v>
      </c>
      <c r="M274" s="30" t="inlineStr">
        <is>
          <t>Outperforming</t>
        </is>
      </c>
      <c r="N274" s="31">
        <f>IF(M274="Underperforming",-5,IF(L274&gt;=95,15,IF(L274&gt;=90,10,IF(L274&gt;=80,5,0))))</f>
        <v/>
      </c>
      <c r="O274" s="31" t="n">
        <v>66.08</v>
      </c>
      <c r="P274" s="31" t="n">
        <v>32.11</v>
      </c>
      <c r="Q274" s="31" t="n">
        <v>1923.03</v>
      </c>
      <c r="R274" s="30" t="inlineStr">
        <is>
          <t>Earnings / Momentum Support</t>
        </is>
      </c>
      <c r="S274" s="30" t="inlineStr">
        <is>
          <t>Nifty Infra</t>
        </is>
      </c>
      <c r="T274" s="31" t="n">
        <v>1.11</v>
      </c>
      <c r="U274" s="31" t="n">
        <v>27.54</v>
      </c>
      <c r="V274" s="31" t="n">
        <v>26.13</v>
      </c>
      <c r="W274" s="31" t="n">
        <v>29.37</v>
      </c>
      <c r="X274" s="30" t="inlineStr">
        <is>
          <t>Cyclical in an Upturn</t>
        </is>
      </c>
      <c r="Y274" s="30">
        <f>IF(X274="Growing Industry",10,IF(X274="Cyclical in an Upturn",5,0))</f>
        <v/>
      </c>
      <c r="Z274" s="30" t="inlineStr">
        <is>
          <t>Too Many Players with High ROCE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No</t>
        </is>
      </c>
      <c r="AC274" s="30">
        <f>IF(AB274="No",5,0)</f>
        <v/>
      </c>
      <c r="AD274" s="30" t="inlineStr">
        <is>
          <t>Tailwind</t>
        </is>
      </c>
      <c r="AE274" s="30">
        <f>IF(AD274="Tailwind",10,0)</f>
        <v/>
      </c>
      <c r="AF274" s="30" t="inlineStr">
        <is>
          <t>Structural (10 Years Consistency)</t>
        </is>
      </c>
      <c r="AG274" s="30">
        <f>IF(AF274="Structural (10 Years Consistency)",10,IF(AF274="Shallow Cyclical (2 to 3 years growth)",5,0))</f>
        <v/>
      </c>
      <c r="AH274" s="30" t="inlineStr">
        <is>
          <t>No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Stable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B2B</t>
        </is>
      </c>
      <c r="AO274" s="30">
        <f>IF(AN274="B2C",10,IF(AN274="B2B",5,0))</f>
        <v/>
      </c>
      <c r="AP274" s="30" t="inlineStr">
        <is>
          <t>No</t>
        </is>
      </c>
      <c r="AQ274" s="30">
        <f>IF(AP274="Yes",10,0)</f>
        <v/>
      </c>
      <c r="AR274" s="30" t="inlineStr">
        <is>
          <t>Higher One Time, Lower Annuity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Good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20 to 40</t>
        </is>
      </c>
      <c r="AY274" s="30">
        <f>IF(AX274="Above 40",20,IF(AX274="20 to 40",10,IF(AX274="0 to 20",-5,0)))</f>
        <v/>
      </c>
      <c r="AZ274" s="30" t="inlineStr">
        <is>
          <t>Between 50 to 75</t>
        </is>
      </c>
      <c r="BA274" s="30">
        <f>IF(AZ274="Between 50 to 75",10,IF(AZ274="Above 75",0,0))</f>
        <v/>
      </c>
      <c r="BB274" s="30" t="inlineStr">
        <is>
          <t>Stage 2</t>
        </is>
      </c>
      <c r="BC274" s="30">
        <f>IF(BB274="Stage 2",20,IF(BB274="Stage 1",0,IF(BB274="Stage 3",5,IF(BB274="Stage 4",-5,0))))</f>
        <v/>
      </c>
      <c r="BD274" s="30" t="inlineStr">
        <is>
          <t>Negative Trend</t>
        </is>
      </c>
      <c r="BE274" s="30">
        <f>IF(BD274="Positive Trend",20,IF(BD274="Negative Trend",-10,0))</f>
        <v/>
      </c>
      <c r="BF274" s="30" t="inlineStr">
        <is>
          <t>Uptrend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Close to 52 week high or retracement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Between 12 to 20%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No</t>
        </is>
      </c>
      <c r="BS274" s="30">
        <f>IF(BR274="NO",5,0)</f>
        <v/>
      </c>
      <c r="BT274" s="30" t="inlineStr">
        <is>
          <t>Above 2</t>
        </is>
      </c>
      <c r="BU274" s="30">
        <f>IF(BT274="Above 2",0,IF(BT274="Between 1.5 to 2",5,IF(BT274="Less than 1.5",10,0)))</f>
        <v/>
      </c>
      <c r="BV274" s="30" t="inlineStr">
        <is>
          <t>Less than 50%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Less than 0.7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Less than 15%</t>
        </is>
      </c>
      <c r="CC274" s="30">
        <f>IF(CB274="More than 15%",-10,IF(CB274="Less than 15%",10,0))</f>
        <v/>
      </c>
      <c r="CD274" s="30" t="inlineStr">
        <is>
          <t>No</t>
        </is>
      </c>
      <c r="CE274" s="30">
        <f>IF(CD274="Yes, more than 10%",-10,IF(CD274="No",10,0))</f>
        <v/>
      </c>
    </row>
    <row r="275">
      <c r="A275" s="30">
        <f>IF(B275=0,"",RANK(B275,$B$2:$B$306,0))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0" t="inlineStr">
        <is>
          <t>SKYGOLD</t>
        </is>
      </c>
      <c r="D275" s="30" t="inlineStr">
        <is>
          <t>Sky Gold Ltd</t>
        </is>
      </c>
      <c r="E275" s="30" t="inlineStr">
        <is>
          <t>consumer discretionary</t>
        </is>
      </c>
      <c r="F275" s="30" t="inlineStr">
        <is>
          <t>diamond cutting / jewellery</t>
        </is>
      </c>
      <c r="G275" s="30" t="inlineStr">
        <is>
          <t>midcap</t>
        </is>
      </c>
      <c r="H275" s="31" t="n">
        <v>8849.49</v>
      </c>
      <c r="I275" s="31" t="n">
        <v>528.45</v>
      </c>
      <c r="J275" s="31" t="n">
        <v>-7.52</v>
      </c>
      <c r="K275" s="31" t="n">
        <v>2897297</v>
      </c>
      <c r="L275" s="30" t="n">
        <v>73</v>
      </c>
      <c r="M275" s="30" t="inlineStr">
        <is>
          <t>Outperforming</t>
        </is>
      </c>
      <c r="N275" s="31">
        <f>IF(M275="Underperforming",-5,IF(L275&gt;=95,15,IF(L275&gt;=90,10,IF(L275&gt;=80,5,0))))</f>
        <v/>
      </c>
      <c r="O275" s="31" t="n">
        <v>67.04000000000001</v>
      </c>
      <c r="P275" s="31" t="n">
        <v>31.29</v>
      </c>
      <c r="Q275" s="31" t="n">
        <v>384.35</v>
      </c>
      <c r="R275" s="30" t="inlineStr">
        <is>
          <t>Volume Spike &amp; Near 52W High Breakout</t>
        </is>
      </c>
      <c r="S275" s="30" t="inlineStr">
        <is>
          <t>Nifty 50</t>
        </is>
      </c>
      <c r="T275" s="31" t="n">
        <v>-6.54</v>
      </c>
      <c r="U275" s="31" t="n">
        <v>40.02</v>
      </c>
      <c r="V275" s="31" t="n">
        <v>49.83</v>
      </c>
      <c r="W275" s="31" t="n">
        <v>21.43</v>
      </c>
      <c r="X275" s="30" t="inlineStr">
        <is>
          <t>Growing Industry</t>
        </is>
      </c>
      <c r="Y275" s="30">
        <f>IF(X275="Growing Industry",10,IF(X275="Cyclical in an Upturn",5,0))</f>
        <v/>
      </c>
      <c r="Z275" s="30" t="inlineStr">
        <is>
          <t>Too Many Players with High ROCE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No</t>
        </is>
      </c>
      <c r="AC275" s="30">
        <f>IF(AB275="No",5,0)</f>
        <v/>
      </c>
      <c r="AD275" s="30" t="inlineStr">
        <is>
          <t>Tailwind</t>
        </is>
      </c>
      <c r="AE275" s="30">
        <f>IF(AD275="Tailwind",10,0)</f>
        <v/>
      </c>
      <c r="AF275" s="30" t="inlineStr">
        <is>
          <t>Structural (10 Years Consistency)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Stable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B2B</t>
        </is>
      </c>
      <c r="AO275" s="30">
        <f>IF(AN275="B2C",10,IF(AN275="B2B",5,0))</f>
        <v/>
      </c>
      <c r="AP275" s="30" t="inlineStr">
        <is>
          <t>Yes</t>
        </is>
      </c>
      <c r="AQ275" s="30">
        <f>IF(AP275="Yes",10,0)</f>
        <v/>
      </c>
      <c r="AR275" s="30" t="inlineStr">
        <is>
          <t>Higher One Time, Lower Annuity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20 to 40</t>
        </is>
      </c>
      <c r="AY275" s="30">
        <f>IF(AX275="Above 40",20,IF(AX275="20 to 40",10,IF(AX275="0 to 20",-5,0)))</f>
        <v/>
      </c>
      <c r="AZ275" s="30" t="inlineStr">
        <is>
          <t>Between 50 to 75</t>
        </is>
      </c>
      <c r="BA275" s="30">
        <f>IF(AZ275="Between 50 to 75",10,IF(AZ275="Above 75",0,0))</f>
        <v/>
      </c>
      <c r="BB275" s="30" t="inlineStr">
        <is>
          <t>Stage 2</t>
        </is>
      </c>
      <c r="BC275" s="30">
        <f>IF(BB275="Stage 2",20,IF(BB275="Stage 1",0,IF(BB275="Stage 3",5,IF(BB275="Stage 4",-5,0))))</f>
        <v/>
      </c>
      <c r="BD275" s="30" t="inlineStr">
        <is>
          <t>Negative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Blue sky scenario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More than 20%</t>
        </is>
      </c>
      <c r="BO275" s="30">
        <f>IF(BN275="More than 20%",10,IF(BN275="Between 12 to 20%",5,IF(BN275="Less than 12%",0,0)))</f>
        <v/>
      </c>
      <c r="BP275" s="30" t="inlineStr">
        <is>
          <t>No</t>
        </is>
      </c>
      <c r="BQ275" s="30">
        <f>IF(BP275="No",10,0)</f>
        <v/>
      </c>
      <c r="BR275" s="30" t="inlineStr">
        <is>
          <t>No</t>
        </is>
      </c>
      <c r="BS275" s="30">
        <f>IF(BR275="NO",5,0)</f>
        <v/>
      </c>
      <c r="BT275" s="30" t="inlineStr">
        <is>
          <t>Above 2</t>
        </is>
      </c>
      <c r="BU275" s="30">
        <f>IF(BT275="Above 2",0,IF(BT275="Between 1.5 to 2",5,IF(BT275="Less than 1.5",10,0)))</f>
        <v/>
      </c>
      <c r="BV275" s="30" t="inlineStr">
        <is>
          <t>Negative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Between 0.7 to 1.2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IF(B276=0,"",RANK(B276,$B$2:$B$306,0))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2" t="inlineStr">
        <is>
          <t>AKUMS</t>
        </is>
      </c>
      <c r="D276" s="32" t="inlineStr">
        <is>
          <t>Akums Drugs &amp; Pharmaceuticals Ltd</t>
        </is>
      </c>
      <c r="E276" s="30" t="inlineStr">
        <is>
          <t>healthcare</t>
        </is>
      </c>
      <c r="F276" s="30" t="inlineStr">
        <is>
          <t>pharmaceuticals - indian - bulk drugs &amp; formln</t>
        </is>
      </c>
      <c r="G276" s="30" t="inlineStr">
        <is>
          <t>midcap</t>
        </is>
      </c>
      <c r="H276" s="31" t="n">
        <v>8743.24</v>
      </c>
      <c r="I276" s="31" t="n">
        <v>553.8</v>
      </c>
      <c r="J276" s="31" t="n">
        <v>-0.31</v>
      </c>
      <c r="K276" s="31" t="n">
        <v>96120</v>
      </c>
      <c r="L276" s="30" t="n">
        <v>12</v>
      </c>
      <c r="M276" s="30" t="inlineStr">
        <is>
          <t>Underperforming</t>
        </is>
      </c>
      <c r="N276" s="31">
        <f>IF(M276="Underperforming",-5,IF(L276&gt;=95,15,IF(L276&gt;=90,10,IF(L276&gt;=80,5,0))))</f>
        <v/>
      </c>
      <c r="O276" s="31" t="n">
        <v>62.92</v>
      </c>
      <c r="P276" s="31" t="n">
        <v>34.35</v>
      </c>
      <c r="Q276" s="31" t="n">
        <v>443.91</v>
      </c>
      <c r="R276" s="30" t="inlineStr">
        <is>
          <t>Earnings / Momentum Support</t>
        </is>
      </c>
      <c r="S276" s="30" t="inlineStr">
        <is>
          <t>Nifty Pharma</t>
        </is>
      </c>
      <c r="T276" s="31" t="n">
        <v>11.82</v>
      </c>
      <c r="U276" s="31" t="n">
        <v>-1.83</v>
      </c>
      <c r="V276" s="31" t="n">
        <v>-12.21</v>
      </c>
      <c r="W276" s="31" t="n">
        <v>3.86</v>
      </c>
      <c r="X276" s="30" t="inlineStr">
        <is>
          <t>Growing Industry</t>
        </is>
      </c>
      <c r="Y276" s="30">
        <f>IF(X276="Growing Industry",10,IF(X276="Cyclical in an Upturn",5,0))</f>
        <v/>
      </c>
      <c r="Z276" s="30" t="inlineStr">
        <is>
          <t>Too Many Players with High ROCE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Yes</t>
        </is>
      </c>
      <c r="AC276" s="30">
        <f>IF(AB276="No",5,0)</f>
        <v/>
      </c>
      <c r="AD276" s="30" t="inlineStr">
        <is>
          <t>Tailwind</t>
        </is>
      </c>
      <c r="AE276" s="30">
        <f>IF(AD276="Tailwind",10,0)</f>
        <v/>
      </c>
      <c r="AF276" s="30" t="inlineStr">
        <is>
          <t>Structural (10 Years Consistency)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Stable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B2B</t>
        </is>
      </c>
      <c r="AO276" s="30">
        <f>IF(AN276="B2C",10,IF(AN276="B2B",5,0))</f>
        <v/>
      </c>
      <c r="AP276" s="30" t="inlineStr">
        <is>
          <t>No</t>
        </is>
      </c>
      <c r="AQ276" s="30">
        <f>IF(AP276="Yes",10,0)</f>
        <v/>
      </c>
      <c r="AR276" s="30" t="inlineStr">
        <is>
          <t>Higher Annuity, Lower One Time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20 to 40</t>
        </is>
      </c>
      <c r="AY276" s="30">
        <f>IF(AX276="Above 40",20,IF(AX276="20 to 40",10,IF(AX276="0 to 20",-5,0)))</f>
        <v/>
      </c>
      <c r="AZ276" s="30" t="inlineStr">
        <is>
          <t>Between 50 to 75</t>
        </is>
      </c>
      <c r="BA276" s="30">
        <f>IF(AZ276="Between 50 to 75",10,IF(AZ276="Above 75",0,0))</f>
        <v/>
      </c>
      <c r="BB276" s="30" t="inlineStr">
        <is>
          <t>Stage 2</t>
        </is>
      </c>
      <c r="BC276" s="30">
        <f>IF(BB276="Stage 2",20,IF(BB276="Stage 1",0,IF(BB276="Stage 3",5,IF(BB276="Stage 4",-5,0))))</f>
        <v/>
      </c>
      <c r="BD276" s="30" t="inlineStr">
        <is>
          <t>Negative Trend</t>
        </is>
      </c>
      <c r="BE276" s="30">
        <f>IF(BD276="Positive Trend",20,IF(BD276="Negative Trend",-10,0))</f>
        <v/>
      </c>
      <c r="BF276" s="30" t="inlineStr">
        <is>
          <t>Uptrend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Close to 52 week high or retracement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Less than 12%</t>
        </is>
      </c>
      <c r="BO276" s="30">
        <f>IF(BN276="More than 20%",10,IF(BN276="Between 12 to 20%",5,IF(BN276="Less than 12%",0,0)))</f>
        <v/>
      </c>
      <c r="BP276" s="30" t="inlineStr">
        <is>
          <t>No</t>
        </is>
      </c>
      <c r="BQ276" s="30">
        <f>IF(BP276="No",10,0)</f>
        <v/>
      </c>
      <c r="BR276" s="30" t="inlineStr">
        <is>
          <t>No</t>
        </is>
      </c>
      <c r="BS276" s="30">
        <f>IF(BR276="NO",5,0)</f>
        <v/>
      </c>
      <c r="BT276" s="30" t="inlineStr">
        <is>
          <t>Above 2</t>
        </is>
      </c>
      <c r="BU276" s="30">
        <f>IF(BT276="Above 2",0,IF(BT276="Between 1.5 to 2",5,IF(BT276="Less than 1.5",10,0)))</f>
        <v/>
      </c>
      <c r="BV276" s="30" t="inlineStr">
        <is>
          <t>Above 70%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Less than 0.7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IF(B277=0,"",RANK(B277,$B$2:$B$306,0))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0" t="inlineStr">
        <is>
          <t>SVLL</t>
        </is>
      </c>
      <c r="D277" s="30" t="inlineStr">
        <is>
          <t>Shree Vasu Logistics Ltd</t>
        </is>
      </c>
      <c r="E277" s="30" t="inlineStr">
        <is>
          <t>transportation</t>
        </is>
      </c>
      <c r="F277" s="30" t="inlineStr">
        <is>
          <t>miscellaneous</t>
        </is>
      </c>
      <c r="G277" s="30" t="inlineStr">
        <is>
          <t>smallcap</t>
        </is>
      </c>
      <c r="H277" s="31" t="n">
        <v>817.14</v>
      </c>
      <c r="I277" s="31" t="n">
        <v>747.9</v>
      </c>
      <c r="J277" s="31" t="n">
        <v>5.2</v>
      </c>
      <c r="K277" s="31" t="n">
        <v>2832</v>
      </c>
      <c r="L277" s="30" t="n">
        <v>30</v>
      </c>
      <c r="M277" s="30" t="inlineStr">
        <is>
          <t>Outperforming</t>
        </is>
      </c>
      <c r="N277" s="31">
        <f>IF(M277="Underperforming",-5,IF(L277&gt;=95,15,IF(L277&gt;=90,10,IF(L277&gt;=80,5,0))))</f>
        <v/>
      </c>
      <c r="O277" s="31" t="n">
        <v>64.28</v>
      </c>
      <c r="P277" s="31" t="n">
        <v>30.6</v>
      </c>
      <c r="Q277" s="31" t="n">
        <v>493.42</v>
      </c>
      <c r="R277" s="30" t="inlineStr">
        <is>
          <t>Earnings / Momentum Support</t>
        </is>
      </c>
      <c r="S277" s="30" t="inlineStr">
        <is>
          <t>Nifty 50</t>
        </is>
      </c>
      <c r="T277" s="31" t="n">
        <v>-6.54</v>
      </c>
      <c r="U277" s="31" t="n">
        <v>-3.91</v>
      </c>
      <c r="V277" s="31" t="n">
        <v>2.82</v>
      </c>
      <c r="W277" s="31" t="n">
        <v>7.62</v>
      </c>
      <c r="X277" s="30" t="inlineStr">
        <is>
          <t>Growing Industry</t>
        </is>
      </c>
      <c r="Y277" s="30">
        <f>IF(X277="Growing Industry",10,IF(X277="Cyclical in an Upturn",5,0))</f>
        <v/>
      </c>
      <c r="Z277" s="30" t="inlineStr">
        <is>
          <t>Too Many Players with High ROCE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No</t>
        </is>
      </c>
      <c r="AC277" s="30">
        <f>IF(AB277="No",5,0)</f>
        <v/>
      </c>
      <c r="AD277" s="30" t="inlineStr">
        <is>
          <t>Tailwind</t>
        </is>
      </c>
      <c r="AE277" s="30">
        <f>IF(AD277="Tailwind",10,0)</f>
        <v/>
      </c>
      <c r="AF277" s="30" t="inlineStr">
        <is>
          <t>Structural (10 Years Consistency)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Stable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B2B</t>
        </is>
      </c>
      <c r="AO277" s="30">
        <f>IF(AN277="B2C",10,IF(AN277="B2B",5,0))</f>
        <v/>
      </c>
      <c r="AP277" s="30" t="inlineStr">
        <is>
          <t>No</t>
        </is>
      </c>
      <c r="AQ277" s="30">
        <f>IF(AP277="Yes",10,0)</f>
        <v/>
      </c>
      <c r="AR277" s="30" t="inlineStr">
        <is>
          <t>Higher One Time, Lower Annuity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20 to 40</t>
        </is>
      </c>
      <c r="AY277" s="30">
        <f>IF(AX277="Above 40",20,IF(AX277="20 to 40",10,IF(AX277="0 to 20",-5,0)))</f>
        <v/>
      </c>
      <c r="AZ277" s="30" t="inlineStr">
        <is>
          <t>Between 50 to 75</t>
        </is>
      </c>
      <c r="BA277" s="30">
        <f>IF(AZ277="Between 50 to 75",10,IF(AZ277="Above 75",0,0))</f>
        <v/>
      </c>
      <c r="BB277" s="30" t="inlineStr">
        <is>
          <t>Stage 1</t>
        </is>
      </c>
      <c r="BC277" s="30">
        <f>IF(BB277="Stage 2",20,IF(BB277="Stage 1",0,IF(BB277="Stage 3",5,IF(BB277="Stage 4",-5,0))))</f>
        <v/>
      </c>
      <c r="BD277" s="30" t="inlineStr">
        <is>
          <t>Positive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Close to 52 week high or retracement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More than 20%</t>
        </is>
      </c>
      <c r="BO277" s="30">
        <f>IF(BN277="More than 20%",10,IF(BN277="Between 12 to 20%",5,IF(BN277="Less than 12%",0,0)))</f>
        <v/>
      </c>
      <c r="BP277" s="30" t="inlineStr">
        <is>
          <t>No</t>
        </is>
      </c>
      <c r="BQ277" s="30">
        <f>IF(BP277="No",10,0)</f>
        <v/>
      </c>
      <c r="BR277" s="30" t="inlineStr">
        <is>
          <t>Yes</t>
        </is>
      </c>
      <c r="BS277" s="30">
        <f>IF(BR277="NO",5,0)</f>
        <v/>
      </c>
      <c r="BT277" s="30" t="inlineStr">
        <is>
          <t>Above 2</t>
        </is>
      </c>
      <c r="BU277" s="30">
        <f>IF(BT277="Above 2",0,IF(BT277="Between 1.5 to 2",5,IF(BT277="Less than 1.5",10,0)))</f>
        <v/>
      </c>
      <c r="BV277" s="30" t="inlineStr">
        <is>
          <t>Between 50% to 70%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More than 1.2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IF(B278=0,"",RANK(B278,$B$2:$B$306,0))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0" t="inlineStr">
        <is>
          <t>ASAHIINDIA</t>
        </is>
      </c>
      <c r="D278" s="30" t="inlineStr">
        <is>
          <t>Asahi India Glass Limited</t>
        </is>
      </c>
      <c r="E278" s="30" t="inlineStr">
        <is>
          <t>building materials</t>
        </is>
      </c>
      <c r="F278" s="30" t="inlineStr">
        <is>
          <t>glass &amp; glass products</t>
        </is>
      </c>
      <c r="G278" s="30" t="inlineStr">
        <is>
          <t>largecap</t>
        </is>
      </c>
      <c r="H278" s="31" t="n">
        <v>22724.21</v>
      </c>
      <c r="I278" s="31" t="n">
        <v>901.9</v>
      </c>
      <c r="J278" s="31" t="n">
        <v>1.18</v>
      </c>
      <c r="K278" s="31" t="n">
        <v>64779</v>
      </c>
      <c r="L278" s="30" t="n">
        <v>26</v>
      </c>
      <c r="M278" s="30" t="inlineStr">
        <is>
          <t>Outperforming</t>
        </is>
      </c>
      <c r="N278" s="31">
        <f>IF(M278="Underperforming",-5,IF(L278&gt;=95,15,IF(L278&gt;=90,10,IF(L278&gt;=80,5,0))))</f>
        <v/>
      </c>
      <c r="O278" s="31" t="n">
        <v>54.45</v>
      </c>
      <c r="P278" s="31" t="n">
        <v>11.5</v>
      </c>
      <c r="Q278" s="31" t="n">
        <v>700.5700000000001</v>
      </c>
      <c r="R278" s="30" t="inlineStr">
        <is>
          <t>Earnings / Momentum Support</t>
        </is>
      </c>
      <c r="S278" s="30" t="inlineStr">
        <is>
          <t>Nifty Infra</t>
        </is>
      </c>
      <c r="T278" s="31" t="n">
        <v>1.11</v>
      </c>
      <c r="U278" s="31" t="n">
        <v>21.76</v>
      </c>
      <c r="V278" s="31" t="n">
        <v>20.42</v>
      </c>
      <c r="W278" s="31" t="n">
        <v>6.9</v>
      </c>
      <c r="X278" s="30" t="inlineStr">
        <is>
          <t>Growing Industry</t>
        </is>
      </c>
      <c r="Y278" s="30">
        <f>IF(X278="Growing Industry",10,IF(X278="Cyclical in an Upturn",5,0))</f>
        <v/>
      </c>
      <c r="Z278" s="30" t="inlineStr">
        <is>
          <t>Too Many Players with High ROCE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No</t>
        </is>
      </c>
      <c r="AC278" s="30">
        <f>IF(AB278="No",5,0)</f>
        <v/>
      </c>
      <c r="AD278" s="30" t="inlineStr">
        <is>
          <t>Headwind</t>
        </is>
      </c>
      <c r="AE278" s="30">
        <f>IF(AD278="Tailwind",10,0)</f>
        <v/>
      </c>
      <c r="AF278" s="30" t="inlineStr">
        <is>
          <t>Structural (10 Years Consistency)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Stable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B2B</t>
        </is>
      </c>
      <c r="AO278" s="30">
        <f>IF(AN278="B2C",10,IF(AN278="B2B",5,0))</f>
        <v/>
      </c>
      <c r="AP278" s="30" t="inlineStr">
        <is>
          <t>No</t>
        </is>
      </c>
      <c r="AQ278" s="30">
        <f>IF(AP278="Yes",10,0)</f>
        <v/>
      </c>
      <c r="AR278" s="30" t="inlineStr">
        <is>
          <t>Higher One Time, Lower Annuity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0 to 20</t>
        </is>
      </c>
      <c r="AY278" s="30">
        <f>IF(AX278="Above 40",20,IF(AX278="20 to 40",10,IF(AX278="0 to 20",-5,0)))</f>
        <v/>
      </c>
      <c r="AZ278" s="30" t="inlineStr">
        <is>
          <t>Between 50 to 75</t>
        </is>
      </c>
      <c r="BA278" s="30">
        <f>IF(AZ278="Between 50 to 75",10,IF(AZ278="Above 75",0,0))</f>
        <v/>
      </c>
      <c r="BB278" s="30" t="inlineStr">
        <is>
          <t>Stage 1</t>
        </is>
      </c>
      <c r="BC278" s="30">
        <f>IF(BB278="Stage 2",20,IF(BB278="Stage 1",0,IF(BB278="Stage 3",5,IF(BB278="Stage 4",-5,0))))</f>
        <v/>
      </c>
      <c r="BD278" s="30" t="inlineStr">
        <is>
          <t>Positive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Close to 52 week high or retracement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More than 20%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Yes</t>
        </is>
      </c>
      <c r="BS278" s="30">
        <f>IF(BR278="NO",5,0)</f>
        <v/>
      </c>
      <c r="BT278" s="30" t="inlineStr">
        <is>
          <t>Between 1.5 to 2</t>
        </is>
      </c>
      <c r="BU278" s="30">
        <f>IF(BT278="Above 2",0,IF(BT278="Between 1.5 to 2",5,IF(BT278="Less than 1.5",10,0)))</f>
        <v/>
      </c>
      <c r="BV278" s="30" t="inlineStr">
        <is>
          <t>Between 50% to 70%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Less than 0.7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IF(B279=0,"",RANK(B279,$B$2:$B$306,0))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2" t="inlineStr">
        <is>
          <t>LLOYDSME</t>
        </is>
      </c>
      <c r="D279" s="32" t="inlineStr">
        <is>
          <t>Lloyds Metals &amp; Energy Ltd</t>
        </is>
      </c>
      <c r="E279" s="30" t="inlineStr">
        <is>
          <t>metals &amp; mining</t>
        </is>
      </c>
      <c r="F279" s="30" t="inlineStr">
        <is>
          <t>mining / minerals / metals</t>
        </is>
      </c>
      <c r="G279" s="30" t="inlineStr">
        <is>
          <t>largecap</t>
        </is>
      </c>
      <c r="H279" s="31" t="n">
        <v>99922.49000000001</v>
      </c>
      <c r="I279" s="31" t="n">
        <v>1778.6</v>
      </c>
      <c r="J279" s="31" t="n">
        <v>0.17</v>
      </c>
      <c r="K279" s="31" t="n">
        <v>486178</v>
      </c>
      <c r="L279" s="30" t="n">
        <v>61</v>
      </c>
      <c r="M279" s="30" t="inlineStr">
        <is>
          <t>Underperforming</t>
        </is>
      </c>
      <c r="N279" s="31">
        <f>IF(M279="Underperforming",-5,IF(L279&gt;=95,15,IF(L279&gt;=90,10,IF(L279&gt;=80,5,0))))</f>
        <v/>
      </c>
      <c r="O279" s="31" t="n">
        <v>70.45</v>
      </c>
      <c r="P279" s="31" t="n">
        <v>35.52</v>
      </c>
      <c r="Q279" s="31" t="n">
        <v>1448.97</v>
      </c>
      <c r="R279" s="30" t="inlineStr">
        <is>
          <t>Near 52W High Breakout</t>
        </is>
      </c>
      <c r="S279" s="30" t="inlineStr">
        <is>
          <t>Nifty Metal</t>
        </is>
      </c>
      <c r="T279" s="31" t="n">
        <v>40.56</v>
      </c>
      <c r="U279" s="31" t="n">
        <v>21.91</v>
      </c>
      <c r="V279" s="31" t="n">
        <v>-13.27</v>
      </c>
      <c r="W279" s="31" t="n">
        <v>16.09</v>
      </c>
      <c r="X279" s="30" t="inlineStr">
        <is>
          <t>Cyclical in an Upturn</t>
        </is>
      </c>
      <c r="Y279" s="30">
        <f>IF(X279="Growing Industry",10,IF(X279="Cyclical in an Upturn",5,0))</f>
        <v/>
      </c>
      <c r="Z279" s="30" t="inlineStr">
        <is>
          <t>Too Many Players with High ROCE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No</t>
        </is>
      </c>
      <c r="AC279" s="30">
        <f>IF(AB279="No",5,0)</f>
        <v/>
      </c>
      <c r="AD279" s="30" t="inlineStr">
        <is>
          <t>Tailwind</t>
        </is>
      </c>
      <c r="AE279" s="30">
        <f>IF(AD279="Tailwind",10,0)</f>
        <v/>
      </c>
      <c r="AF279" s="30" t="inlineStr">
        <is>
          <t>Cyclical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Volatile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Yes</t>
        </is>
      </c>
      <c r="AQ279" s="30">
        <f>IF(AP279="Yes",10,0)</f>
        <v/>
      </c>
      <c r="AR279" s="30" t="inlineStr">
        <is>
          <t>Higher One Time, Lower Annuity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Good</t>
        </is>
      </c>
      <c r="AU279" s="30">
        <f>IF(AT279="Good",10,0)</f>
        <v/>
      </c>
      <c r="AV279" s="30" t="inlineStr">
        <is>
          <t>Yes for more than 2 years</t>
        </is>
      </c>
      <c r="AW279" s="30">
        <f>IF(AV279="Yes for more than 2 years",10,IF(AV279="Yes only for next 1 to 2 years",5,0))</f>
        <v/>
      </c>
      <c r="AX279" s="30" t="inlineStr">
        <is>
          <t>20 to 40</t>
        </is>
      </c>
      <c r="AY279" s="30">
        <f>IF(AX279="Above 40",20,IF(AX279="20 to 40",10,IF(AX279="0 to 20",-5,0)))</f>
        <v/>
      </c>
      <c r="AZ279" s="30" t="inlineStr">
        <is>
          <t>Between 50 to 75</t>
        </is>
      </c>
      <c r="BA279" s="30">
        <f>IF(AZ279="Between 50 to 75",10,IF(AZ279="Above 75",0,0))</f>
        <v/>
      </c>
      <c r="BB279" s="30" t="inlineStr">
        <is>
          <t>Stage 2</t>
        </is>
      </c>
      <c r="BC279" s="30">
        <f>IF(BB279="Stage 2",20,IF(BB279="Stage 1",0,IF(BB279="Stage 3",5,IF(BB279="Stage 4",-5,0))))</f>
        <v/>
      </c>
      <c r="BD279" s="30" t="inlineStr">
        <is>
          <t>Positive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Blue sky scenario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More than 20%</t>
        </is>
      </c>
      <c r="BO279" s="30">
        <f>IF(BN279="More than 20%",10,IF(BN279="Between 12 to 20%",5,IF(BN279="Less than 12%",0,0)))</f>
        <v/>
      </c>
      <c r="BP279" s="30" t="inlineStr">
        <is>
          <t>No</t>
        </is>
      </c>
      <c r="BQ279" s="30">
        <f>IF(BP279="No",10,0)</f>
        <v/>
      </c>
      <c r="BR279" s="30" t="inlineStr">
        <is>
          <t>No</t>
        </is>
      </c>
      <c r="BS279" s="30">
        <f>IF(BR279="NO",5,0)</f>
        <v/>
      </c>
      <c r="BT279" s="30" t="inlineStr">
        <is>
          <t>Above 2</t>
        </is>
      </c>
      <c r="BU279" s="30">
        <f>IF(BT279="Above 2",0,IF(BT279="Between 1.5 to 2",5,IF(BT279="Less than 1.5",10,0)))</f>
        <v/>
      </c>
      <c r="BV279" s="30" t="inlineStr">
        <is>
          <t>Less than 50% and Borrowings are increasing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More than 1.2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IF(B280=0,"",RANK(B280,$B$2:$B$306,0))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0" t="inlineStr">
        <is>
          <t>TVSSRICHAK</t>
        </is>
      </c>
      <c r="D280" s="30" t="inlineStr">
        <is>
          <t>Tvs Srichakra Limited</t>
        </is>
      </c>
      <c r="E280" s="30" t="inlineStr">
        <is>
          <t>auto</t>
        </is>
      </c>
      <c r="F280" s="30" t="inlineStr">
        <is>
          <t>tyres</t>
        </is>
      </c>
      <c r="G280" s="30" t="inlineStr">
        <is>
          <t>smallcap</t>
        </is>
      </c>
      <c r="H280" s="31" t="n">
        <v>3113.97</v>
      </c>
      <c r="I280" s="31" t="n">
        <v>4042.9</v>
      </c>
      <c r="J280" s="31" t="n">
        <v>-0.59</v>
      </c>
      <c r="K280" s="31" t="n">
        <v>3008</v>
      </c>
      <c r="L280" s="30" t="n">
        <v>43</v>
      </c>
      <c r="M280" s="30" t="inlineStr">
        <is>
          <t>Outperforming</t>
        </is>
      </c>
      <c r="N280" s="31">
        <f>IF(M280="Underperforming",-5,IF(L280&gt;=95,15,IF(L280&gt;=90,10,IF(L280&gt;=80,5,0))))</f>
        <v/>
      </c>
      <c r="O280" s="31" t="n">
        <v>55.52</v>
      </c>
      <c r="P280" s="31" t="n">
        <v>9.58</v>
      </c>
      <c r="Q280" s="31" t="n">
        <v>3049.62</v>
      </c>
      <c r="R280" s="30" t="inlineStr">
        <is>
          <t>Earnings / Momentum Support</t>
        </is>
      </c>
      <c r="S280" s="30" t="inlineStr">
        <is>
          <t>Nifty Auto</t>
        </is>
      </c>
      <c r="T280" s="31" t="n">
        <v>10.59</v>
      </c>
      <c r="U280" s="31" t="n">
        <v>37.52</v>
      </c>
      <c r="V280" s="31" t="n">
        <v>24.36</v>
      </c>
      <c r="W280" s="31" t="n">
        <v>11.28</v>
      </c>
      <c r="X280" s="30" t="inlineStr">
        <is>
          <t>Growing Industry</t>
        </is>
      </c>
      <c r="Y280" s="30">
        <f>IF(X280="Growing Industry",10,IF(X280="Cyclical in an Upturn",5,0))</f>
        <v/>
      </c>
      <c r="Z280" s="30" t="inlineStr">
        <is>
          <t>Too Many Players with High ROCE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No</t>
        </is>
      </c>
      <c r="AC280" s="30">
        <f>IF(AB280="No",5,0)</f>
        <v/>
      </c>
      <c r="AD280" s="30" t="inlineStr">
        <is>
          <t>Headwind</t>
        </is>
      </c>
      <c r="AE280" s="30">
        <f>IF(AD280="Tailwind",10,0)</f>
        <v/>
      </c>
      <c r="AF280" s="30" t="inlineStr">
        <is>
          <t>Structural (10 Years Consistency)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Stable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B2B</t>
        </is>
      </c>
      <c r="AO280" s="30">
        <f>IF(AN280="B2C",10,IF(AN280="B2B",5,0))</f>
        <v/>
      </c>
      <c r="AP280" s="30" t="inlineStr">
        <is>
          <t>No</t>
        </is>
      </c>
      <c r="AQ280" s="30">
        <f>IF(AP280="Yes",10,0)</f>
        <v/>
      </c>
      <c r="AR280" s="30" t="inlineStr">
        <is>
          <t>Higher One Time, Lower Annuity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Good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0 to 20</t>
        </is>
      </c>
      <c r="AY280" s="30">
        <f>IF(AX280="Above 40",20,IF(AX280="20 to 40",10,IF(AX280="0 to 20",-5,0)))</f>
        <v/>
      </c>
      <c r="AZ280" s="30" t="inlineStr">
        <is>
          <t>Between 50 to 75</t>
        </is>
      </c>
      <c r="BA280" s="30">
        <f>IF(AZ280="Between 50 to 75",10,IF(AZ280="Above 75",0,0))</f>
        <v/>
      </c>
      <c r="BB280" s="30" t="inlineStr">
        <is>
          <t>Stage 1</t>
        </is>
      </c>
      <c r="BC280" s="30">
        <f>IF(BB280="Stage 2",20,IF(BB280="Stage 1",0,IF(BB280="Stage 3",5,IF(BB280="Stage 4",-5,0))))</f>
        <v/>
      </c>
      <c r="BD280" s="30" t="inlineStr">
        <is>
          <t>Positive Trend</t>
        </is>
      </c>
      <c r="BE280" s="30">
        <f>IF(BD280="Positive Trend",20,IF(BD280="Negative Trend",-10,0))</f>
        <v/>
      </c>
      <c r="BF280" s="30" t="inlineStr">
        <is>
          <t>Uptrend</t>
        </is>
      </c>
      <c r="BG280" s="30">
        <f>IF(BF280="Uptrend",10,IF(BF280="Sideways",5,0))</f>
        <v/>
      </c>
      <c r="BH280" s="30" t="inlineStr">
        <is>
          <t>Uptrend</t>
        </is>
      </c>
      <c r="BI280" s="30">
        <f>IF(BH280="Uptrend",10,IF(BH280="Sideways",5,0))</f>
        <v/>
      </c>
      <c r="BJ280" s="30" t="inlineStr">
        <is>
          <t>Close to 52 week high or retracement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More than 20%</t>
        </is>
      </c>
      <c r="BO280" s="30">
        <f>IF(BN280="More than 20%",10,IF(BN280="Between 12 to 20%",5,IF(BN280="Less than 12%",0,0)))</f>
        <v/>
      </c>
      <c r="BP280" s="30" t="inlineStr">
        <is>
          <t>No</t>
        </is>
      </c>
      <c r="BQ280" s="30">
        <f>IF(BP280="No",10,0)</f>
        <v/>
      </c>
      <c r="BR280" s="30" t="inlineStr">
        <is>
          <t>Yes</t>
        </is>
      </c>
      <c r="BS280" s="30">
        <f>IF(BR280="NO",5,0)</f>
        <v/>
      </c>
      <c r="BT280" s="30" t="inlineStr">
        <is>
          <t>Above 2</t>
        </is>
      </c>
      <c r="BU280" s="30">
        <f>IF(BT280="Above 2",0,IF(BT280="Between 1.5 to 2",5,IF(BT280="Less than 1.5",10,0)))</f>
        <v/>
      </c>
      <c r="BV280" s="30" t="inlineStr">
        <is>
          <t>Above 70%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Less than 0.7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IF(B281=0,"",RANK(B281,$B$2:$B$306,0))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2" t="inlineStr">
        <is>
          <t>PANAMAPET</t>
        </is>
      </c>
      <c r="D281" s="32" t="inlineStr">
        <is>
          <t>Panama Petrochem Limited</t>
        </is>
      </c>
      <c r="E281" s="30" t="inlineStr">
        <is>
          <t>energy</t>
        </is>
      </c>
      <c r="F281" s="30" t="inlineStr">
        <is>
          <t>petrochemicals</t>
        </is>
      </c>
      <c r="G281" s="30" t="inlineStr">
        <is>
          <t>smallcap</t>
        </is>
      </c>
      <c r="H281" s="31" t="n">
        <v>2114.86</v>
      </c>
      <c r="I281" s="31" t="n">
        <v>344.75</v>
      </c>
      <c r="J281" s="31" t="n">
        <v>-1.39</v>
      </c>
      <c r="K281" s="31" t="n">
        <v>104404</v>
      </c>
      <c r="L281" s="30" t="n">
        <v>17</v>
      </c>
      <c r="M281" s="30" t="inlineStr">
        <is>
          <t>Underperforming</t>
        </is>
      </c>
      <c r="N281" s="31">
        <f>IF(M281="Underperforming",-5,IF(L281&gt;=95,15,IF(L281&gt;=90,10,IF(L281&gt;=80,5,0))))</f>
        <v/>
      </c>
      <c r="O281" s="31" t="n">
        <v>64.67</v>
      </c>
      <c r="P281" s="31" t="n">
        <v>18.32</v>
      </c>
      <c r="Q281" s="31" t="n">
        <v>256.79</v>
      </c>
      <c r="R281" s="30" t="inlineStr">
        <is>
          <t>Volume Spike &amp; Near 52W High Breakout</t>
        </is>
      </c>
      <c r="S281" s="30" t="inlineStr">
        <is>
          <t>Nifty Energy</t>
        </is>
      </c>
      <c r="T281" s="31" t="n">
        <v>12.31</v>
      </c>
      <c r="U281" s="31" t="n">
        <v>-4.75</v>
      </c>
      <c r="V281" s="31" t="n">
        <v>-15.19</v>
      </c>
      <c r="W281" s="31" t="n">
        <v>4.98</v>
      </c>
      <c r="X281" s="30" t="inlineStr">
        <is>
          <t>Cyclical in an Upturn</t>
        </is>
      </c>
      <c r="Y281" s="30">
        <f>IF(X281="Growing Industry",10,IF(X281="Cyclical in an Upturn",5,0))</f>
        <v/>
      </c>
      <c r="Z281" s="30" t="inlineStr">
        <is>
          <t>Oligopoly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Yes</t>
        </is>
      </c>
      <c r="AC281" s="30">
        <f>IF(AB281="No",5,0)</f>
        <v/>
      </c>
      <c r="AD281" s="30" t="inlineStr">
        <is>
          <t>Tailwind</t>
        </is>
      </c>
      <c r="AE281" s="30">
        <f>IF(AD281="Tailwind",10,0)</f>
        <v/>
      </c>
      <c r="AF281" s="30" t="inlineStr">
        <is>
          <t>Cyclical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Volatile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B2B</t>
        </is>
      </c>
      <c r="AO281" s="30">
        <f>IF(AN281="B2C",10,IF(AN281="B2B",5,0))</f>
        <v/>
      </c>
      <c r="AP281" s="30" t="inlineStr">
        <is>
          <t>Yes</t>
        </is>
      </c>
      <c r="AQ281" s="30">
        <f>IF(AP281="Yes",10,0)</f>
        <v/>
      </c>
      <c r="AR281" s="30" t="inlineStr">
        <is>
          <t>Higher One Time, Lower Annuity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0 to 20</t>
        </is>
      </c>
      <c r="AY281" s="30">
        <f>IF(AX281="Above 40",20,IF(AX281="20 to 40",10,IF(AX281="0 to 20",-5,0)))</f>
        <v/>
      </c>
      <c r="AZ281" s="30" t="inlineStr">
        <is>
          <t>Between 50 to 75</t>
        </is>
      </c>
      <c r="BA281" s="30">
        <f>IF(AZ281="Between 50 to 75",10,IF(AZ281="Above 75",0,0))</f>
        <v/>
      </c>
      <c r="BB281" s="30" t="inlineStr">
        <is>
          <t>Stage 2</t>
        </is>
      </c>
      <c r="BC281" s="30">
        <f>IF(BB281="Stage 2",20,IF(BB281="Stage 1",0,IF(BB281="Stage 3",5,IF(BB281="Stage 4",-5,0))))</f>
        <v/>
      </c>
      <c r="BD281" s="30" t="inlineStr">
        <is>
          <t>Positive Trend</t>
        </is>
      </c>
      <c r="BE281" s="30">
        <f>IF(BD281="Positive Trend",20,IF(BD281="Negative Trend",-10,0))</f>
        <v/>
      </c>
      <c r="BF281" s="30" t="inlineStr">
        <is>
          <t>Uptrend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Close to 52 week high or retracement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More than 20%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No</t>
        </is>
      </c>
      <c r="BS281" s="30">
        <f>IF(BR281="NO",5,0)</f>
        <v/>
      </c>
      <c r="BT281" s="30" t="inlineStr">
        <is>
          <t>Less than 1.5</t>
        </is>
      </c>
      <c r="BU281" s="30">
        <f>IF(BT281="Above 2",0,IF(BT281="Between 1.5 to 2",5,IF(BT281="Less than 1.5",10,0)))</f>
        <v/>
      </c>
      <c r="BV281" s="30" t="inlineStr">
        <is>
          <t>Negative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Less than 0.7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IF(B282=0,"",RANK(B282,$B$2:$B$306,0))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0" t="inlineStr">
        <is>
          <t>PVP</t>
        </is>
      </c>
      <c r="D282" s="30" t="inlineStr">
        <is>
          <t>Pvp Ventures Limited</t>
        </is>
      </c>
      <c r="E282" s="30" t="inlineStr">
        <is>
          <t>realty</t>
        </is>
      </c>
      <c r="F282" s="30" t="inlineStr">
        <is>
          <t>construction</t>
        </is>
      </c>
      <c r="G282" s="30" t="inlineStr">
        <is>
          <t>smallcap</t>
        </is>
      </c>
      <c r="H282" s="31" t="n">
        <v>829.39</v>
      </c>
      <c r="I282" s="31" t="n">
        <v>32.52</v>
      </c>
      <c r="J282" s="31" t="n">
        <v>2.1</v>
      </c>
      <c r="K282" s="31" t="n">
        <v>809026</v>
      </c>
      <c r="L282" s="30" t="n">
        <v>44</v>
      </c>
      <c r="M282" s="30" t="inlineStr">
        <is>
          <t>Outperforming</t>
        </is>
      </c>
      <c r="N282" s="31">
        <f>IF(M282="Underperforming",-5,IF(L282&gt;=95,15,IF(L282&gt;=90,10,IF(L282&gt;=80,5,0))))</f>
        <v/>
      </c>
      <c r="O282" s="31" t="n">
        <v>55.97</v>
      </c>
      <c r="P282" s="31" t="n">
        <v>17.97</v>
      </c>
      <c r="Q282" s="31" t="n">
        <v>20.98</v>
      </c>
      <c r="R282" s="30" t="inlineStr">
        <is>
          <t>Earnings / Momentum Support</t>
        </is>
      </c>
      <c r="S282" s="30" t="inlineStr">
        <is>
          <t>Nifty Realty</t>
        </is>
      </c>
      <c r="T282" s="31" t="n">
        <v>-26.04</v>
      </c>
      <c r="U282" s="31" t="n">
        <v>36.98</v>
      </c>
      <c r="V282" s="31" t="n">
        <v>85.20999999999999</v>
      </c>
      <c r="W282" s="31" t="n">
        <v>11.65</v>
      </c>
      <c r="X282" s="30" t="inlineStr">
        <is>
          <t>Growing Industry</t>
        </is>
      </c>
      <c r="Y282" s="30">
        <f>IF(X282="Growing Industry",10,IF(X282="Cyclical in an Upturn",5,0))</f>
        <v/>
      </c>
      <c r="Z282" s="30" t="inlineStr">
        <is>
          <t>Too Many Players with High ROCE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No</t>
        </is>
      </c>
      <c r="AC282" s="30">
        <f>IF(AB282="No",5,0)</f>
        <v/>
      </c>
      <c r="AD282" s="30" t="inlineStr">
        <is>
          <t>Headwind</t>
        </is>
      </c>
      <c r="AE282" s="30">
        <f>IF(AD282="Tailwind",10,0)</f>
        <v/>
      </c>
      <c r="AF282" s="30" t="inlineStr">
        <is>
          <t>Structural (10 Years Consistency)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Stable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B2B</t>
        </is>
      </c>
      <c r="AO282" s="30">
        <f>IF(AN282="B2C",10,IF(AN282="B2B",5,0))</f>
        <v/>
      </c>
      <c r="AP282" s="30" t="inlineStr">
        <is>
          <t>No</t>
        </is>
      </c>
      <c r="AQ282" s="30">
        <f>IF(AP282="Yes",10,0)</f>
        <v/>
      </c>
      <c r="AR282" s="30" t="inlineStr">
        <is>
          <t>Higher One Time, Lower Annuity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0 to 20</t>
        </is>
      </c>
      <c r="AY282" s="30">
        <f>IF(AX282="Above 40",20,IF(AX282="20 to 40",10,IF(AX282="0 to 20",-5,0)))</f>
        <v/>
      </c>
      <c r="AZ282" s="30" t="inlineStr">
        <is>
          <t>Between 50 to 75</t>
        </is>
      </c>
      <c r="BA282" s="30">
        <f>IF(AZ282="Between 50 to 75",10,IF(AZ282="Above 75",0,0))</f>
        <v/>
      </c>
      <c r="BB282" s="30" t="inlineStr">
        <is>
          <t>Stage 1</t>
        </is>
      </c>
      <c r="BC282" s="30">
        <f>IF(BB282="Stage 2",20,IF(BB282="Stage 1",0,IF(BB282="Stage 3",5,IF(BB282="Stage 4",-5,0))))</f>
        <v/>
      </c>
      <c r="BD282" s="30" t="inlineStr">
        <is>
          <t>Positive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Close to 52 week high or retracement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More than 20%</t>
        </is>
      </c>
      <c r="BO282" s="30">
        <f>IF(BN282="More than 20%",10,IF(BN282="Between 12 to 20%",5,IF(BN282="Less than 12%",0,0)))</f>
        <v/>
      </c>
      <c r="BP282" s="30" t="inlineStr">
        <is>
          <t>No</t>
        </is>
      </c>
      <c r="BQ282" s="30">
        <f>IF(BP282="No",10,0)</f>
        <v/>
      </c>
      <c r="BR282" s="30" t="inlineStr">
        <is>
          <t>No</t>
        </is>
      </c>
      <c r="BS282" s="30">
        <f>IF(BR282="NO",5,0)</f>
        <v/>
      </c>
      <c r="BT282" s="30" t="inlineStr">
        <is>
          <t>Less than 1.5</t>
        </is>
      </c>
      <c r="BU282" s="30">
        <f>IF(BT282="Above 2",0,IF(BT282="Between 1.5 to 2",5,IF(BT282="Less than 1.5",10,0)))</f>
        <v/>
      </c>
      <c r="BV282" s="30" t="inlineStr">
        <is>
          <t>Negative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Less than 0.7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IF(B283=0,"",RANK(B283,$B$2:$B$306,0))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0" t="inlineStr">
        <is>
          <t>BBL</t>
        </is>
      </c>
      <c r="D283" s="30" t="inlineStr">
        <is>
          <t>Bharat Bijlee Limited</t>
        </is>
      </c>
      <c r="E283" s="30" t="inlineStr">
        <is>
          <t>industrials</t>
        </is>
      </c>
      <c r="F283" s="30" t="inlineStr">
        <is>
          <t>electric equipment</t>
        </is>
      </c>
      <c r="G283" s="30" t="inlineStr">
        <is>
          <t>smallcap</t>
        </is>
      </c>
      <c r="H283" s="31" t="n">
        <v>3165.78</v>
      </c>
      <c r="I283" s="31" t="n">
        <v>2841</v>
      </c>
      <c r="J283" s="31" t="n">
        <v>1.44</v>
      </c>
      <c r="K283" s="31" t="n">
        <v>29817</v>
      </c>
      <c r="L283" s="30" t="n">
        <v>14</v>
      </c>
      <c r="M283" s="30" t="inlineStr">
        <is>
          <t>Outperforming</t>
        </is>
      </c>
      <c r="N283" s="31">
        <f>IF(M283="Underperforming",-5,IF(L283&gt;=95,15,IF(L283&gt;=90,10,IF(L283&gt;=80,5,0))))</f>
        <v/>
      </c>
      <c r="O283" s="31" t="n">
        <v>53.46</v>
      </c>
      <c r="P283" s="31" t="n">
        <v>21.55</v>
      </c>
      <c r="Q283" s="31" t="n">
        <v>2363.39</v>
      </c>
      <c r="R283" s="30" t="inlineStr">
        <is>
          <t>Earnings / Momentum Support</t>
        </is>
      </c>
      <c r="S283" s="30" t="inlineStr">
        <is>
          <t>Nifty 50</t>
        </is>
      </c>
      <c r="T283" s="31" t="n">
        <v>-6.54</v>
      </c>
      <c r="U283" s="31" t="n">
        <v>-3.79</v>
      </c>
      <c r="V283" s="31" t="n">
        <v>2.95</v>
      </c>
      <c r="W283" s="31" t="n">
        <v>4.41</v>
      </c>
      <c r="X283" s="30" t="inlineStr">
        <is>
          <t>Cyclical in an Upturn</t>
        </is>
      </c>
      <c r="Y283" s="30">
        <f>IF(X283="Growing Industry",10,IF(X283="Cyclical in an Upturn",5,0))</f>
        <v/>
      </c>
      <c r="Z283" s="30" t="inlineStr">
        <is>
          <t>Too Many Players with High ROCE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No</t>
        </is>
      </c>
      <c r="AC283" s="30">
        <f>IF(AB283="No",5,0)</f>
        <v/>
      </c>
      <c r="AD283" s="30" t="inlineStr">
        <is>
          <t>Tailwind</t>
        </is>
      </c>
      <c r="AE283" s="30">
        <f>IF(AD283="Tailwind",10,0)</f>
        <v/>
      </c>
      <c r="AF283" s="30" t="inlineStr">
        <is>
          <t>Structural (10 Years Consistency)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Stable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B2B</t>
        </is>
      </c>
      <c r="AO283" s="30">
        <f>IF(AN283="B2C",10,IF(AN283="B2B",5,0))</f>
        <v/>
      </c>
      <c r="AP283" s="30" t="inlineStr">
        <is>
          <t>No</t>
        </is>
      </c>
      <c r="AQ283" s="30">
        <f>IF(AP283="Yes",10,0)</f>
        <v/>
      </c>
      <c r="AR283" s="30" t="inlineStr">
        <is>
          <t>Higher One Time, Lower Annuity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20 to 40</t>
        </is>
      </c>
      <c r="AY283" s="30">
        <f>IF(AX283="Above 40",20,IF(AX283="20 to 40",10,IF(AX283="0 to 20",-5,0)))</f>
        <v/>
      </c>
      <c r="AZ283" s="30" t="inlineStr">
        <is>
          <t>Between 50 to 75</t>
        </is>
      </c>
      <c r="BA283" s="30">
        <f>IF(AZ283="Between 50 to 75",10,IF(AZ283="Above 75",0,0))</f>
        <v/>
      </c>
      <c r="BB283" s="30" t="inlineStr">
        <is>
          <t>Stage 1</t>
        </is>
      </c>
      <c r="BC283" s="30">
        <f>IF(BB283="Stage 2",20,IF(BB283="Stage 1",0,IF(BB283="Stage 3",5,IF(BB283="Stage 4",-5,0))))</f>
        <v/>
      </c>
      <c r="BD283" s="30" t="inlineStr">
        <is>
          <t>Positive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Close to 52 week high or retracement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Yes</t>
        </is>
      </c>
      <c r="BM283" s="30">
        <f>IF(BL283="Yes",10,0)</f>
        <v/>
      </c>
      <c r="BN283" s="30" t="inlineStr">
        <is>
          <t>Less than 12%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No</t>
        </is>
      </c>
      <c r="BS283" s="30">
        <f>IF(BR283="NO",5,0)</f>
        <v/>
      </c>
      <c r="BT283" s="30" t="inlineStr">
        <is>
          <t>Above 2</t>
        </is>
      </c>
      <c r="BU283" s="30">
        <f>IF(BT283="Above 2",0,IF(BT283="Between 1.5 to 2",5,IF(BT283="Less than 1.5",10,0)))</f>
        <v/>
      </c>
      <c r="BV283" s="30" t="inlineStr">
        <is>
          <t>Negative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Less than 0.7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IF(B284=0,"",RANK(B284,$B$2:$B$306,0))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2" t="inlineStr">
        <is>
          <t>JINDRILL</t>
        </is>
      </c>
      <c r="D284" s="32" t="inlineStr">
        <is>
          <t>Jindal Drilling And Industries Limited</t>
        </is>
      </c>
      <c r="E284" s="30" t="inlineStr">
        <is>
          <t>energy</t>
        </is>
      </c>
      <c r="F284" s="30" t="inlineStr">
        <is>
          <t>oil drilling / allied services</t>
        </is>
      </c>
      <c r="G284" s="30" t="inlineStr">
        <is>
          <t>smallcap</t>
        </is>
      </c>
      <c r="H284" s="31" t="n">
        <v>1829</v>
      </c>
      <c r="I284" s="31" t="n">
        <v>631.2</v>
      </c>
      <c r="J284" s="31" t="n">
        <v>0.02</v>
      </c>
      <c r="K284" s="31" t="n">
        <v>460846</v>
      </c>
      <c r="L284" s="30" t="n">
        <v>13</v>
      </c>
      <c r="M284" s="30" t="inlineStr">
        <is>
          <t>Underperforming</t>
        </is>
      </c>
      <c r="N284" s="31">
        <f>IF(M284="Underperforming",-5,IF(L284&gt;=95,15,IF(L284&gt;=90,10,IF(L284&gt;=80,5,0))))</f>
        <v/>
      </c>
      <c r="O284" s="31" t="n">
        <v>59.73</v>
      </c>
      <c r="P284" s="31" t="n">
        <v>37.84</v>
      </c>
      <c r="Q284" s="31" t="n">
        <v>470.18</v>
      </c>
      <c r="R284" s="30" t="inlineStr">
        <is>
          <t>Earnings / Momentum Support</t>
        </is>
      </c>
      <c r="S284" s="30" t="inlineStr">
        <is>
          <t>Nifty Energy</t>
        </is>
      </c>
      <c r="T284" s="31" t="n">
        <v>12.31</v>
      </c>
      <c r="U284" s="31" t="n">
        <v>1.22</v>
      </c>
      <c r="V284" s="31" t="n">
        <v>-9.869999999999999</v>
      </c>
      <c r="W284" s="31" t="n">
        <v>3.92</v>
      </c>
      <c r="X284" s="30" t="inlineStr">
        <is>
          <t>Cyclical in an Upturn</t>
        </is>
      </c>
      <c r="Y284" s="30">
        <f>IF(X284="Growing Industry",10,IF(X284="Cyclical in an Upturn",5,0))</f>
        <v/>
      </c>
      <c r="Z284" s="30" t="inlineStr">
        <is>
          <t>Oligopoly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Yes</t>
        </is>
      </c>
      <c r="AC284" s="30">
        <f>IF(AB284="No",5,0)</f>
        <v/>
      </c>
      <c r="AD284" s="30" t="inlineStr">
        <is>
          <t>Tailwind</t>
        </is>
      </c>
      <c r="AE284" s="30">
        <f>IF(AD284="Tailwind",10,0)</f>
        <v/>
      </c>
      <c r="AF284" s="30" t="inlineStr">
        <is>
          <t>Cyclical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Volatile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B2B</t>
        </is>
      </c>
      <c r="AO284" s="30">
        <f>IF(AN284="B2C",10,IF(AN284="B2B",5,0))</f>
        <v/>
      </c>
      <c r="AP284" s="30" t="inlineStr">
        <is>
          <t>No</t>
        </is>
      </c>
      <c r="AQ284" s="30">
        <f>IF(AP284="Yes",10,0)</f>
        <v/>
      </c>
      <c r="AR284" s="30" t="inlineStr">
        <is>
          <t>Higher One Time, Lower Annuity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20 to 40</t>
        </is>
      </c>
      <c r="AY284" s="30">
        <f>IF(AX284="Above 40",20,IF(AX284="20 to 40",10,IF(AX284="0 to 20",-5,0)))</f>
        <v/>
      </c>
      <c r="AZ284" s="30" t="inlineStr">
        <is>
          <t>Between 50 to 75</t>
        </is>
      </c>
      <c r="BA284" s="30">
        <f>IF(AZ284="Between 50 to 75",10,IF(AZ284="Above 75",0,0))</f>
        <v/>
      </c>
      <c r="BB284" s="30" t="inlineStr">
        <is>
          <t>Stage 2</t>
        </is>
      </c>
      <c r="BC284" s="30">
        <f>IF(BB284="Stage 2",20,IF(BB284="Stage 1",0,IF(BB284="Stage 3",5,IF(BB284="Stage 4",-5,0))))</f>
        <v/>
      </c>
      <c r="BD284" s="30" t="inlineStr">
        <is>
          <t>Positive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Close to 52 week high or retracement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Yes</t>
        </is>
      </c>
      <c r="BM284" s="30">
        <f>IF(BL284="Yes",10,0)</f>
        <v/>
      </c>
      <c r="BN284" s="30" t="inlineStr">
        <is>
          <t>Less than 12%</t>
        </is>
      </c>
      <c r="BO284" s="30">
        <f>IF(BN284="More than 20%",10,IF(BN284="Between 12 to 20%",5,IF(BN284="Less than 12%",0,0)))</f>
        <v/>
      </c>
      <c r="BP284" s="30" t="inlineStr">
        <is>
          <t>No</t>
        </is>
      </c>
      <c r="BQ284" s="30">
        <f>IF(BP284="No",10,0)</f>
        <v/>
      </c>
      <c r="BR284" s="30" t="inlineStr">
        <is>
          <t>No</t>
        </is>
      </c>
      <c r="BS284" s="30">
        <f>IF(BR284="NO",5,0)</f>
        <v/>
      </c>
      <c r="BT284" s="30" t="inlineStr">
        <is>
          <t>Above 2</t>
        </is>
      </c>
      <c r="BU284" s="30">
        <f>IF(BT284="Above 2",0,IF(BT284="Between 1.5 to 2",5,IF(BT284="Less than 1.5",10,0)))</f>
        <v/>
      </c>
      <c r="BV284" s="30" t="inlineStr">
        <is>
          <t>Less than 50%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Less than 0.7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IF(B285=0,"",RANK(B285,$B$2:$B$306,0))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0" t="inlineStr">
        <is>
          <t>VINCOFE</t>
        </is>
      </c>
      <c r="D285" s="30" t="inlineStr">
        <is>
          <t>Vintage Coffee &amp; Beverages Ltd</t>
        </is>
      </c>
      <c r="E285" s="30" t="inlineStr">
        <is>
          <t>consumer discretionary</t>
        </is>
      </c>
      <c r="F285" s="30" t="inlineStr">
        <is>
          <t>trading</t>
        </is>
      </c>
      <c r="G285" s="30" t="inlineStr">
        <is>
          <t>smallcap</t>
        </is>
      </c>
      <c r="H285" s="31" t="n">
        <v>2190.13</v>
      </c>
      <c r="I285" s="31" t="n">
        <v>149.07</v>
      </c>
      <c r="J285" s="31" t="n">
        <v>-0.84</v>
      </c>
      <c r="K285" s="31" t="n">
        <v>1110416</v>
      </c>
      <c r="L285" s="30" t="n">
        <v>30</v>
      </c>
      <c r="M285" s="30" t="inlineStr">
        <is>
          <t>Outperforming</t>
        </is>
      </c>
      <c r="N285" s="31">
        <f>IF(M285="Underperforming",-5,IF(L285&gt;=95,15,IF(L285&gt;=90,10,IF(L285&gt;=80,5,0))))</f>
        <v/>
      </c>
      <c r="O285" s="31" t="n">
        <v>55.35</v>
      </c>
      <c r="P285" s="31" t="n">
        <v>10.57</v>
      </c>
      <c r="Q285" s="31" t="n">
        <v>110.35</v>
      </c>
      <c r="R285" s="30" t="inlineStr">
        <is>
          <t>Earnings / Momentum Support</t>
        </is>
      </c>
      <c r="S285" s="30" t="inlineStr">
        <is>
          <t>Nifty 50</t>
        </is>
      </c>
      <c r="T285" s="31" t="n">
        <v>-6.54</v>
      </c>
      <c r="U285" s="31" t="n">
        <v>24.15</v>
      </c>
      <c r="V285" s="31" t="n">
        <v>32.85</v>
      </c>
      <c r="W285" s="31" t="n">
        <v>7.6</v>
      </c>
      <c r="X285" s="30" t="inlineStr">
        <is>
          <t>Growing Industry</t>
        </is>
      </c>
      <c r="Y285" s="30">
        <f>IF(X285="Growing Industry",10,IF(X285="Cyclical in an Upturn",5,0))</f>
        <v/>
      </c>
      <c r="Z285" s="30" t="inlineStr">
        <is>
          <t>Too Many Players with High ROCE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No</t>
        </is>
      </c>
      <c r="AC285" s="30">
        <f>IF(AB285="No",5,0)</f>
        <v/>
      </c>
      <c r="AD285" s="30" t="inlineStr">
        <is>
          <t>Headwind</t>
        </is>
      </c>
      <c r="AE285" s="30">
        <f>IF(AD285="Tailwind",10,0)</f>
        <v/>
      </c>
      <c r="AF285" s="30" t="inlineStr">
        <is>
          <t>Structural (10 Years Consistency)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Stable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B2B</t>
        </is>
      </c>
      <c r="AO285" s="30">
        <f>IF(AN285="B2C",10,IF(AN285="B2B",5,0))</f>
        <v/>
      </c>
      <c r="AP285" s="30" t="inlineStr">
        <is>
          <t>No</t>
        </is>
      </c>
      <c r="AQ285" s="30">
        <f>IF(AP285="Yes",10,0)</f>
        <v/>
      </c>
      <c r="AR285" s="30" t="inlineStr">
        <is>
          <t>Higher One Time, Lower Annuity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0 to 20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1</t>
        </is>
      </c>
      <c r="BC285" s="30">
        <f>IF(BB285="Stage 2",20,IF(BB285="Stage 1",0,IF(BB285="Stage 3",5,IF(BB285="Stage 4",-5,0))))</f>
        <v/>
      </c>
      <c r="BD285" s="30" t="inlineStr">
        <is>
          <t>Positive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Close to 52 week high or retracement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Between 12 to 20%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No</t>
        </is>
      </c>
      <c r="BS285" s="30">
        <f>IF(BR285="NO",5,0)</f>
        <v/>
      </c>
      <c r="BT285" s="30" t="inlineStr">
        <is>
          <t>Between 1.5 to 2</t>
        </is>
      </c>
      <c r="BU285" s="30">
        <f>IF(BT285="Above 2",0,IF(BT285="Between 1.5 to 2",5,IF(BT285="Less than 1.5",10,0)))</f>
        <v/>
      </c>
      <c r="BV285" s="30" t="inlineStr">
        <is>
          <t>Less than 50%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Less than 0.7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IF(B286=0,"",RANK(B286,$B$2:$B$306,0))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0" t="inlineStr">
        <is>
          <t>TEGA</t>
        </is>
      </c>
      <c r="D286" s="30" t="inlineStr">
        <is>
          <t>Tega Industries Ltd</t>
        </is>
      </c>
      <c r="E286" s="30" t="inlineStr">
        <is>
          <t>industrials</t>
        </is>
      </c>
      <c r="F286" s="30" t="inlineStr">
        <is>
          <t>engineering</t>
        </is>
      </c>
      <c r="G286" s="30" t="inlineStr">
        <is>
          <t>midcap</t>
        </is>
      </c>
      <c r="H286" s="31" t="n">
        <v>14065.41</v>
      </c>
      <c r="I286" s="31" t="n">
        <v>1847.7</v>
      </c>
      <c r="J286" s="31" t="n">
        <v>-1.31</v>
      </c>
      <c r="K286" s="31" t="n">
        <v>75661</v>
      </c>
      <c r="L286" s="30" t="n">
        <v>17</v>
      </c>
      <c r="M286" s="30" t="inlineStr">
        <is>
          <t>Outperforming</t>
        </is>
      </c>
      <c r="N286" s="31">
        <f>IF(M286="Underperforming",-5,IF(L286&gt;=95,15,IF(L286&gt;=90,10,IF(L286&gt;=80,5,0))))</f>
        <v/>
      </c>
      <c r="O286" s="31" t="n">
        <v>57.12</v>
      </c>
      <c r="P286" s="31" t="n">
        <v>8.75</v>
      </c>
      <c r="Q286" s="31" t="n">
        <v>1441.15</v>
      </c>
      <c r="R286" s="30" t="inlineStr">
        <is>
          <t>Volume Spike / Accumulation</t>
        </is>
      </c>
      <c r="S286" s="30" t="inlineStr">
        <is>
          <t>Nifty 50</t>
        </is>
      </c>
      <c r="T286" s="31" t="n">
        <v>-6.54</v>
      </c>
      <c r="U286" s="31" t="n">
        <v>15.64</v>
      </c>
      <c r="V286" s="31" t="n">
        <v>23.73</v>
      </c>
      <c r="W286" s="31" t="n">
        <v>4.98</v>
      </c>
      <c r="X286" s="30" t="inlineStr">
        <is>
          <t>Cyclical in an Upturn</t>
        </is>
      </c>
      <c r="Y286" s="30">
        <f>IF(X286="Growing Industry",10,IF(X286="Cyclical in an Upturn",5,0))</f>
        <v/>
      </c>
      <c r="Z286" s="30" t="inlineStr">
        <is>
          <t>Too Many Players with High ROCE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No</t>
        </is>
      </c>
      <c r="AC286" s="30">
        <f>IF(AB286="No",5,0)</f>
        <v/>
      </c>
      <c r="AD286" s="30" t="inlineStr">
        <is>
          <t>Headwind</t>
        </is>
      </c>
      <c r="AE286" s="30">
        <f>IF(AD286="Tailwind",10,0)</f>
        <v/>
      </c>
      <c r="AF286" s="30" t="inlineStr">
        <is>
          <t>Structural (10 Years Consistency)</t>
        </is>
      </c>
      <c r="AG286" s="30">
        <f>IF(AF286="Structural (10 Years Consistency)",10,IF(AF286="Shallow Cyclical (2 to 3 years growth)",5,0))</f>
        <v/>
      </c>
      <c r="AH286" s="30" t="inlineStr">
        <is>
          <t>No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Stable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B2B</t>
        </is>
      </c>
      <c r="AO286" s="30">
        <f>IF(AN286="B2C",10,IF(AN286="B2B",5,0))</f>
        <v/>
      </c>
      <c r="AP286" s="30" t="inlineStr">
        <is>
          <t>Yes</t>
        </is>
      </c>
      <c r="AQ286" s="30">
        <f>IF(AP286="Yes",10,0)</f>
        <v/>
      </c>
      <c r="AR286" s="30" t="inlineStr">
        <is>
          <t>Higher One Time, Lower Annuity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Good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0 to 20</t>
        </is>
      </c>
      <c r="AY286" s="30">
        <f>IF(AX286="Above 40",20,IF(AX286="20 to 40",10,IF(AX286="0 to 20",-5,0)))</f>
        <v/>
      </c>
      <c r="AZ286" s="30" t="inlineStr">
        <is>
          <t>Between 50 to 75</t>
        </is>
      </c>
      <c r="BA286" s="30">
        <f>IF(AZ286="Between 50 to 75",10,IF(AZ286="Above 75",0,0))</f>
        <v/>
      </c>
      <c r="BB286" s="30" t="inlineStr">
        <is>
          <t>Stage 1</t>
        </is>
      </c>
      <c r="BC286" s="30">
        <f>IF(BB286="Stage 2",20,IF(BB286="Stage 1",0,IF(BB286="Stage 3",5,IF(BB286="Stage 4",-5,0))))</f>
        <v/>
      </c>
      <c r="BD286" s="30" t="inlineStr">
        <is>
          <t>Positive Trend</t>
        </is>
      </c>
      <c r="BE286" s="30">
        <f>IF(BD286="Positive Trend",20,IF(BD286="Negative Trend",-10,0))</f>
        <v/>
      </c>
      <c r="BF286" s="30" t="inlineStr">
        <is>
          <t>Uptrend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Close to 52 week high or retracement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Yes</t>
        </is>
      </c>
      <c r="BM286" s="30">
        <f>IF(BL286="Yes",10,0)</f>
        <v/>
      </c>
      <c r="BN286" s="30" t="inlineStr">
        <is>
          <t>Less than 12%</t>
        </is>
      </c>
      <c r="BO286" s="30">
        <f>IF(BN286="More than 20%",10,IF(BN286="Between 12 to 20%",5,IF(BN286="Less than 12%",0,0)))</f>
        <v/>
      </c>
      <c r="BP286" s="30" t="inlineStr">
        <is>
          <t>No</t>
        </is>
      </c>
      <c r="BQ286" s="30">
        <f>IF(BP286="No",10,0)</f>
        <v/>
      </c>
      <c r="BR286" s="30" t="inlineStr">
        <is>
          <t>Yes</t>
        </is>
      </c>
      <c r="BS286" s="30">
        <f>IF(BR286="NO",5,0)</f>
        <v/>
      </c>
      <c r="BT286" s="30" t="inlineStr">
        <is>
          <t>Above 2</t>
        </is>
      </c>
      <c r="BU286" s="30">
        <f>IF(BT286="Above 2",0,IF(BT286="Between 1.5 to 2",5,IF(BT286="Less than 1.5",10,0)))</f>
        <v/>
      </c>
      <c r="BV286" s="30" t="inlineStr">
        <is>
          <t>Above 70%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Less than 0.7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Less than 15%</t>
        </is>
      </c>
      <c r="CC286" s="30">
        <f>IF(CB286="More than 15%",-10,IF(CB286="Less than 15%",10,0))</f>
        <v/>
      </c>
      <c r="CD286" s="30" t="inlineStr">
        <is>
          <t>No</t>
        </is>
      </c>
      <c r="CE286" s="30">
        <f>IF(CD286="Yes, more than 10%",-10,IF(CD286="No",10,0))</f>
        <v/>
      </c>
    </row>
    <row r="287">
      <c r="A287" s="30">
        <f>IF(B287=0,"",RANK(B287,$B$2:$B$306,0))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2" t="inlineStr">
        <is>
          <t>TITAGARH</t>
        </is>
      </c>
      <c r="D287" s="32" t="inlineStr">
        <is>
          <t>Titagarh Rail Systems Ltd</t>
        </is>
      </c>
      <c r="E287" s="30" t="inlineStr">
        <is>
          <t>industrials</t>
        </is>
      </c>
      <c r="F287" s="30" t="inlineStr">
        <is>
          <t>engineering</t>
        </is>
      </c>
      <c r="G287" s="30" t="inlineStr">
        <is>
          <t>midcap</t>
        </is>
      </c>
      <c r="H287" s="31" t="n">
        <v>11635.81</v>
      </c>
      <c r="I287" s="31" t="n">
        <v>837.9</v>
      </c>
      <c r="J287" s="31" t="n">
        <v>-3.02</v>
      </c>
      <c r="K287" s="31" t="n">
        <v>698650</v>
      </c>
      <c r="L287" s="30" t="n">
        <v>9</v>
      </c>
      <c r="M287" s="30" t="inlineStr">
        <is>
          <t>Underperforming</t>
        </is>
      </c>
      <c r="N287" s="31">
        <f>IF(M287="Underperforming",-5,IF(L287&gt;=95,15,IF(L287&gt;=90,10,IF(L287&gt;=80,5,0))))</f>
        <v/>
      </c>
      <c r="O287" s="31" t="n">
        <v>57.49</v>
      </c>
      <c r="P287" s="31" t="n">
        <v>21.58</v>
      </c>
      <c r="Q287" s="31" t="n">
        <v>634.72</v>
      </c>
      <c r="R287" s="30" t="inlineStr">
        <is>
          <t>Earnings / Momentum Support</t>
        </is>
      </c>
      <c r="S287" s="30" t="inlineStr">
        <is>
          <t>Nifty 50</t>
        </is>
      </c>
      <c r="T287" s="31" t="n">
        <v>-6.54</v>
      </c>
      <c r="U287" s="31" t="n">
        <v>-10.84</v>
      </c>
      <c r="V287" s="31" t="n">
        <v>-4.6</v>
      </c>
      <c r="W287" s="31" t="n">
        <v>3.17</v>
      </c>
      <c r="X287" s="30" t="inlineStr">
        <is>
          <t>Cyclical in an Upturn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No</t>
        </is>
      </c>
      <c r="AC287" s="30">
        <f>IF(AB287="No",5,0)</f>
        <v/>
      </c>
      <c r="AD287" s="30" t="inlineStr">
        <is>
          <t>Tailwind</t>
        </is>
      </c>
      <c r="AE287" s="30">
        <f>IF(AD287="Tailwind",10,0)</f>
        <v/>
      </c>
      <c r="AF287" s="30" t="inlineStr">
        <is>
          <t>Structural (10 Years Consistency)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Stable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B2B</t>
        </is>
      </c>
      <c r="AO287" s="30">
        <f>IF(AN287="B2C",10,IF(AN287="B2B",5,0))</f>
        <v/>
      </c>
      <c r="AP287" s="30" t="inlineStr">
        <is>
          <t>No</t>
        </is>
      </c>
      <c r="AQ287" s="30">
        <f>IF(AP287="Yes",10,0)</f>
        <v/>
      </c>
      <c r="AR287" s="30" t="inlineStr">
        <is>
          <t>Higher One Time, Lower Annuity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20 to 40</t>
        </is>
      </c>
      <c r="AY287" s="30">
        <f>IF(AX287="Above 40",20,IF(AX287="20 to 40",10,IF(AX287="0 to 20",-5,0)))</f>
        <v/>
      </c>
      <c r="AZ287" s="30" t="inlineStr">
        <is>
          <t>Between 50 to 75</t>
        </is>
      </c>
      <c r="BA287" s="30">
        <f>IF(AZ287="Between 50 to 75",10,IF(AZ287="Above 75",0,0))</f>
        <v/>
      </c>
      <c r="BB287" s="30" t="inlineStr">
        <is>
          <t>Stage 2</t>
        </is>
      </c>
      <c r="BC287" s="30">
        <f>IF(BB287="Stage 2",20,IF(BB287="Stage 1",0,IF(BB287="Stage 3",5,IF(BB287="Stage 4",-5,0))))</f>
        <v/>
      </c>
      <c r="BD287" s="30" t="inlineStr">
        <is>
          <t>Negative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Close to 52 week high or retracement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Less than 12%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Yes</t>
        </is>
      </c>
      <c r="BS287" s="30">
        <f>IF(BR287="NO",5,0)</f>
        <v/>
      </c>
      <c r="BT287" s="30" t="inlineStr">
        <is>
          <t>Above 2</t>
        </is>
      </c>
      <c r="BU287" s="30">
        <f>IF(BT287="Above 2",0,IF(BT287="Between 1.5 to 2",5,IF(BT287="Less than 1.5",10,0)))</f>
        <v/>
      </c>
      <c r="BV287" s="30" t="inlineStr">
        <is>
          <t>Above 70%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Less than 0.7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IF(B288=0,"",RANK(B288,$B$2:$B$306,0))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0" t="inlineStr">
        <is>
          <t>MSTCLTD</t>
        </is>
      </c>
      <c r="D288" s="30" t="inlineStr">
        <is>
          <t>MSTC Ltd</t>
        </is>
      </c>
      <c r="E288" s="30" t="inlineStr">
        <is>
          <t>i.t</t>
        </is>
      </c>
      <c r="F288" s="30" t="inlineStr">
        <is>
          <t>trading</t>
        </is>
      </c>
      <c r="G288" s="30" t="inlineStr">
        <is>
          <t>smallcap</t>
        </is>
      </c>
      <c r="H288" s="31" t="n">
        <v>3744.22</v>
      </c>
      <c r="I288" s="31" t="n">
        <v>512.35</v>
      </c>
      <c r="J288" s="31" t="n">
        <v>-3.67</v>
      </c>
      <c r="K288" s="31" t="n">
        <v>3416610</v>
      </c>
      <c r="L288" s="30" t="n">
        <v>5</v>
      </c>
      <c r="M288" s="30" t="inlineStr">
        <is>
          <t>Outperforming</t>
        </is>
      </c>
      <c r="N288" s="31">
        <f>IF(M288="Underperforming",-5,IF(L288&gt;=95,15,IF(L288&gt;=90,10,IF(L288&gt;=80,5,0))))</f>
        <v/>
      </c>
      <c r="O288" s="31" t="n">
        <v>59.74</v>
      </c>
      <c r="P288" s="31" t="n">
        <v>16.82</v>
      </c>
      <c r="Q288" s="31" t="n">
        <v>389.82</v>
      </c>
      <c r="R288" s="30" t="inlineStr">
        <is>
          <t>Volume Spike / Accumulation</t>
        </is>
      </c>
      <c r="S288" s="30" t="inlineStr">
        <is>
          <t>Nifty IT</t>
        </is>
      </c>
      <c r="T288" s="31" t="n">
        <v>-22.21</v>
      </c>
      <c r="U288" s="31" t="n">
        <v>-6.75</v>
      </c>
      <c r="V288" s="31" t="n">
        <v>19.88</v>
      </c>
      <c r="W288" s="31" t="n">
        <v>2.23</v>
      </c>
      <c r="X288" s="30" t="inlineStr">
        <is>
          <t>Growing Industry</t>
        </is>
      </c>
      <c r="Y288" s="30">
        <f>IF(X288="Growing Industry",10,IF(X288="Cyclical in an Upturn",5,0))</f>
        <v/>
      </c>
      <c r="Z288" s="30" t="inlineStr">
        <is>
          <t>Too Many Players with High ROCE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No</t>
        </is>
      </c>
      <c r="AC288" s="30">
        <f>IF(AB288="No",5,0)</f>
        <v/>
      </c>
      <c r="AD288" s="30" t="inlineStr">
        <is>
          <t>Tailwind</t>
        </is>
      </c>
      <c r="AE288" s="30">
        <f>IF(AD288="Tailwind",10,0)</f>
        <v/>
      </c>
      <c r="AF288" s="30" t="inlineStr">
        <is>
          <t>Structural (10 Years Consistency)</t>
        </is>
      </c>
      <c r="AG288" s="30">
        <f>IF(AF288="Structural (10 Years Consistency)",10,IF(AF288="Shallow Cyclical (2 to 3 years growth)",5,0))</f>
        <v/>
      </c>
      <c r="AH288" s="30" t="inlineStr">
        <is>
          <t>No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Stable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Yes</t>
        </is>
      </c>
      <c r="AQ288" s="30">
        <f>IF(AP288="Yes",10,0)</f>
        <v/>
      </c>
      <c r="AR288" s="30" t="inlineStr">
        <is>
          <t>Higher One Time, Lower Annuity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Good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0 to 20</t>
        </is>
      </c>
      <c r="AY288" s="30">
        <f>IF(AX288="Above 40",20,IF(AX288="20 to 40",10,IF(AX288="0 to 20",-5,0)))</f>
        <v/>
      </c>
      <c r="AZ288" s="30" t="inlineStr">
        <is>
          <t>Between 50 to 75</t>
        </is>
      </c>
      <c r="BA288" s="30">
        <f>IF(AZ288="Between 50 to 75",10,IF(AZ288="Above 75",0,0))</f>
        <v/>
      </c>
      <c r="BB288" s="30" t="inlineStr">
        <is>
          <t>Stage 1</t>
        </is>
      </c>
      <c r="BC288" s="30">
        <f>IF(BB288="Stage 2",20,IF(BB288="Stage 1",0,IF(BB288="Stage 3",5,IF(BB288="Stage 4",-5,0))))</f>
        <v/>
      </c>
      <c r="BD288" s="30" t="inlineStr">
        <is>
          <t>Positive Trend</t>
        </is>
      </c>
      <c r="BE288" s="30">
        <f>IF(BD288="Positive Trend",20,IF(BD288="Negative Trend",-10,0))</f>
        <v/>
      </c>
      <c r="BF288" s="30" t="inlineStr">
        <is>
          <t>Uptrend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Close to 52 week high or retracement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Less than 12%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No</t>
        </is>
      </c>
      <c r="BS288" s="30">
        <f>IF(BR288="NO",5,0)</f>
        <v/>
      </c>
      <c r="BT288" s="30" t="inlineStr">
        <is>
          <t>Above 2</t>
        </is>
      </c>
      <c r="BU288" s="30">
        <f>IF(BT288="Above 2",0,IF(BT288="Between 1.5 to 2",5,IF(BT288="Less than 1.5",10,0)))</f>
        <v/>
      </c>
      <c r="BV288" s="30" t="inlineStr">
        <is>
          <t>Negative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Less than 0.7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Less than 15%</t>
        </is>
      </c>
      <c r="CC288" s="30">
        <f>IF(CB288="More than 15%",-10,IF(CB288="Less than 15%",10,0))</f>
        <v/>
      </c>
      <c r="CD288" s="30" t="inlineStr">
        <is>
          <t>No</t>
        </is>
      </c>
      <c r="CE288" s="30">
        <f>IF(CD288="Yes, more than 10%",-10,IF(CD288="No",10,0))</f>
        <v/>
      </c>
    </row>
    <row r="289">
      <c r="A289" s="30">
        <f>IF(B289=0,"",RANK(B289,$B$2:$B$306,0))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2" t="inlineStr">
        <is>
          <t>INDGN</t>
        </is>
      </c>
      <c r="D289" s="32" t="inlineStr">
        <is>
          <t>Indegene Ltd</t>
        </is>
      </c>
      <c r="E289" s="30" t="inlineStr">
        <is>
          <t>healthcare</t>
        </is>
      </c>
      <c r="F289" s="30" t="inlineStr">
        <is>
          <t>miscellaneous</t>
        </is>
      </c>
      <c r="G289" s="30" t="inlineStr">
        <is>
          <t>midcap</t>
        </is>
      </c>
      <c r="H289" s="31" t="n">
        <v>12449.63</v>
      </c>
      <c r="I289" s="31" t="n">
        <v>523</v>
      </c>
      <c r="J289" s="31" t="n">
        <v>0.96</v>
      </c>
      <c r="K289" s="31" t="n">
        <v>248735</v>
      </c>
      <c r="L289" s="30" t="n">
        <v>3</v>
      </c>
      <c r="M289" s="30" t="inlineStr">
        <is>
          <t>Underperforming</t>
        </is>
      </c>
      <c r="N289" s="31">
        <f>IF(M289="Underperforming",-5,IF(L289&gt;=95,15,IF(L289&gt;=90,10,IF(L289&gt;=80,5,0))))</f>
        <v/>
      </c>
      <c r="O289" s="31" t="n">
        <v>55.78</v>
      </c>
      <c r="P289" s="31" t="n">
        <v>25.85</v>
      </c>
      <c r="Q289" s="31" t="n">
        <v>430.63</v>
      </c>
      <c r="R289" s="30" t="inlineStr">
        <is>
          <t>Earnings / Momentum Support</t>
        </is>
      </c>
      <c r="S289" s="30" t="inlineStr">
        <is>
          <t>Nifty Pharma</t>
        </is>
      </c>
      <c r="T289" s="31" t="n">
        <v>11.82</v>
      </c>
      <c r="U289" s="31" t="n">
        <v>-9.77</v>
      </c>
      <c r="V289" s="31" t="n">
        <v>-19.31</v>
      </c>
      <c r="W289" s="31" t="n">
        <v>1.15</v>
      </c>
      <c r="X289" s="30" t="inlineStr">
        <is>
          <t>Growing Industry</t>
        </is>
      </c>
      <c r="Y289" s="30">
        <f>IF(X289="Growing Industry",10,IF(X289="Cyclical in an Upturn",5,0))</f>
        <v/>
      </c>
      <c r="Z289" s="30" t="inlineStr">
        <is>
          <t>Too Many Players with High ROCE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Yes</t>
        </is>
      </c>
      <c r="AC289" s="30">
        <f>IF(AB289="No",5,0)</f>
        <v/>
      </c>
      <c r="AD289" s="30" t="inlineStr">
        <is>
          <t>Headwind</t>
        </is>
      </c>
      <c r="AE289" s="30">
        <f>IF(AD289="Tailwind",10,0)</f>
        <v/>
      </c>
      <c r="AF289" s="30" t="inlineStr">
        <is>
          <t>Structural (10 Years Consistency)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Stable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B2B</t>
        </is>
      </c>
      <c r="AO289" s="30">
        <f>IF(AN289="B2C",10,IF(AN289="B2B",5,0))</f>
        <v/>
      </c>
      <c r="AP289" s="30" t="inlineStr">
        <is>
          <t>No</t>
        </is>
      </c>
      <c r="AQ289" s="30">
        <f>IF(AP289="Yes",10,0)</f>
        <v/>
      </c>
      <c r="AR289" s="30" t="inlineStr">
        <is>
          <t>Higher Annuity, Lower One Time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Good</t>
        </is>
      </c>
      <c r="AU289" s="30">
        <f>IF(AT289="Good",10,0)</f>
        <v/>
      </c>
      <c r="AV289" s="30" t="inlineStr">
        <is>
          <t>Yes for more than 2 years</t>
        </is>
      </c>
      <c r="AW289" s="30">
        <f>IF(AV289="Yes for more than 2 years",10,IF(AV289="Yes only for next 1 to 2 years",5,0))</f>
        <v/>
      </c>
      <c r="AX289" s="30" t="inlineStr">
        <is>
          <t>20 to 40</t>
        </is>
      </c>
      <c r="AY289" s="30">
        <f>IF(AX289="Above 40",20,IF(AX289="20 to 40",10,IF(AX289="0 to 20",-5,0)))</f>
        <v/>
      </c>
      <c r="AZ289" s="30" t="inlineStr">
        <is>
          <t>Between 50 to 75</t>
        </is>
      </c>
      <c r="BA289" s="30">
        <f>IF(AZ289="Between 50 to 75",10,IF(AZ289="Above 75",0,0))</f>
        <v/>
      </c>
      <c r="BB289" s="30" t="inlineStr">
        <is>
          <t>Stage 2</t>
        </is>
      </c>
      <c r="BC289" s="30">
        <f>IF(BB289="Stage 2",20,IF(BB289="Stage 1",0,IF(BB289="Stage 3",5,IF(BB289="Stage 4",-5,0))))</f>
        <v/>
      </c>
      <c r="BD289" s="30" t="inlineStr">
        <is>
          <t>Negative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Close to 52 week high or retracement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Yes</t>
        </is>
      </c>
      <c r="BM289" s="30">
        <f>IF(BL289="Yes",10,0)</f>
        <v/>
      </c>
      <c r="BN289" s="30" t="inlineStr">
        <is>
          <t>Less than 12%</t>
        </is>
      </c>
      <c r="BO289" s="30">
        <f>IF(BN289="More than 20%",10,IF(BN289="Between 12 to 20%",5,IF(BN289="Less than 12%",0,0)))</f>
        <v/>
      </c>
      <c r="BP289" s="30" t="inlineStr">
        <is>
          <t>No</t>
        </is>
      </c>
      <c r="BQ289" s="30">
        <f>IF(BP289="No",10,0)</f>
        <v/>
      </c>
      <c r="BR289" s="30" t="inlineStr">
        <is>
          <t>No</t>
        </is>
      </c>
      <c r="BS289" s="30">
        <f>IF(BR289="NO",5,0)</f>
        <v/>
      </c>
      <c r="BT289" s="30" t="inlineStr">
        <is>
          <t>Above 2</t>
        </is>
      </c>
      <c r="BU289" s="30">
        <f>IF(BT289="Above 2",0,IF(BT289="Between 1.5 to 2",5,IF(BT289="Less than 1.5",10,0)))</f>
        <v/>
      </c>
      <c r="BV289" s="30" t="inlineStr">
        <is>
          <t>Above 70%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Less than 0.7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IF(B290=0,"",RANK(B290,$B$2:$B$306,0))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2" t="inlineStr">
        <is>
          <t>AEROENTER</t>
        </is>
      </c>
      <c r="D290" s="32" t="inlineStr">
        <is>
          <t>Aeroflex Enterprises Ltd</t>
        </is>
      </c>
      <c r="E290" s="30" t="inlineStr">
        <is>
          <t>metals &amp; mining</t>
        </is>
      </c>
      <c r="F290" s="30" t="inlineStr">
        <is>
          <t>steel - medium / small</t>
        </is>
      </c>
      <c r="G290" s="30" t="inlineStr">
        <is>
          <t>smallcap</t>
        </is>
      </c>
      <c r="H290" s="31" t="n">
        <v>1143.63</v>
      </c>
      <c r="I290" s="31" t="n">
        <v>100.83</v>
      </c>
      <c r="J290" s="31" t="n">
        <v>-0.3</v>
      </c>
      <c r="K290" s="31" t="n">
        <v>470133</v>
      </c>
      <c r="L290" s="30" t="n">
        <v>41</v>
      </c>
      <c r="M290" s="30" t="inlineStr">
        <is>
          <t>Underperforming</t>
        </is>
      </c>
      <c r="N290" s="31">
        <f>IF(M290="Underperforming",-5,IF(L290&gt;=95,15,IF(L290&gt;=90,10,IF(L290&gt;=80,5,0))))</f>
        <v/>
      </c>
      <c r="O290" s="31" t="n">
        <v>60.09</v>
      </c>
      <c r="P290" s="31" t="n">
        <v>28.86</v>
      </c>
      <c r="Q290" s="31" t="n">
        <v>80.77</v>
      </c>
      <c r="R290" s="30" t="inlineStr">
        <is>
          <t>Earnings / Momentum Support</t>
        </is>
      </c>
      <c r="S290" s="30" t="inlineStr">
        <is>
          <t>Nifty Metal</t>
        </is>
      </c>
      <c r="T290" s="31" t="n">
        <v>40.56</v>
      </c>
      <c r="U290" s="31" t="n">
        <v>13.38</v>
      </c>
      <c r="V290" s="31" t="n">
        <v>-19.34</v>
      </c>
      <c r="W290" s="31" t="n">
        <v>10.92</v>
      </c>
      <c r="X290" s="30" t="inlineStr">
        <is>
          <t>Cyclical in an Upturn</t>
        </is>
      </c>
      <c r="Y290" s="30">
        <f>IF(X290="Growing Industry",10,IF(X290="Cyclical in an Upturn",5,0))</f>
        <v/>
      </c>
      <c r="Z290" s="30" t="inlineStr">
        <is>
          <t>Too Many Players with High ROCE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No</t>
        </is>
      </c>
      <c r="AC290" s="30">
        <f>IF(AB290="No",5,0)</f>
        <v/>
      </c>
      <c r="AD290" s="30" t="inlineStr">
        <is>
          <t>Tailwind</t>
        </is>
      </c>
      <c r="AE290" s="30">
        <f>IF(AD290="Tailwind",10,0)</f>
        <v/>
      </c>
      <c r="AF290" s="30" t="inlineStr">
        <is>
          <t>Cyclical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Volatile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No</t>
        </is>
      </c>
      <c r="AQ290" s="30">
        <f>IF(AP290="Yes",10,0)</f>
        <v/>
      </c>
      <c r="AR290" s="30" t="inlineStr">
        <is>
          <t>Higher One Time, Lower Annuity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20 to 40</t>
        </is>
      </c>
      <c r="AY290" s="30">
        <f>IF(AX290="Above 40",20,IF(AX290="20 to 40",10,IF(AX290="0 to 20",-5,0)))</f>
        <v/>
      </c>
      <c r="AZ290" s="30" t="inlineStr">
        <is>
          <t>Between 50 to 75</t>
        </is>
      </c>
      <c r="BA290" s="30">
        <f>IF(AZ290="Between 50 to 75",10,IF(AZ290="Above 75",0,0))</f>
        <v/>
      </c>
      <c r="BB290" s="30" t="inlineStr">
        <is>
          <t>Stage 2</t>
        </is>
      </c>
      <c r="BC290" s="30">
        <f>IF(BB290="Stage 2",20,IF(BB290="Stage 1",0,IF(BB290="Stage 3",5,IF(BB290="Stage 4",-5,0))))</f>
        <v/>
      </c>
      <c r="BD290" s="30" t="inlineStr">
        <is>
          <t>Negative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Close to 52 week high or retracement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More than 20%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No</t>
        </is>
      </c>
      <c r="BS290" s="30">
        <f>IF(BR290="NO",5,0)</f>
        <v/>
      </c>
      <c r="BT290" s="30" t="inlineStr">
        <is>
          <t>Less than 1.5</t>
        </is>
      </c>
      <c r="BU290" s="30">
        <f>IF(BT290="Above 2",0,IF(BT290="Between 1.5 to 2",5,IF(BT290="Less than 1.5",10,0)))</f>
        <v/>
      </c>
      <c r="BV290" s="30" t="inlineStr">
        <is>
          <t>Less than 50%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Less than 0.7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  <row r="291">
      <c r="A291" s="30">
        <f>IF(B291=0,"",RANK(B291,$B$2:$B$306,0))</f>
        <v/>
      </c>
      <c r="B291" s="31">
        <f>SUM(N291,Y291,AA291,AC291,AE291,AG291,AI291,AK291,AM291,AO291,AQ291,AS291,AU291,AW291,AY291,BA291,BC291,BE291,BG291,BI291,BK291,BM291,BO291,BQ291,BS291,BU291,BW291,BY291,CA291,CC291,CE291)</f>
        <v/>
      </c>
      <c r="C291" s="32" t="inlineStr">
        <is>
          <t>RITCO</t>
        </is>
      </c>
      <c r="D291" s="32" t="inlineStr">
        <is>
          <t>Ritco Logistics Ltd</t>
        </is>
      </c>
      <c r="E291" s="30" t="inlineStr">
        <is>
          <t>transportation</t>
        </is>
      </c>
      <c r="F291" s="30" t="inlineStr">
        <is>
          <t>miscellaneous</t>
        </is>
      </c>
      <c r="G291" s="30" t="inlineStr">
        <is>
          <t>smallcap</t>
        </is>
      </c>
      <c r="H291" s="31" t="n">
        <v>741.47</v>
      </c>
      <c r="I291" s="31" t="n">
        <v>259.4</v>
      </c>
      <c r="J291" s="31" t="n">
        <v>0.14</v>
      </c>
      <c r="K291" s="31" t="n">
        <v>109176</v>
      </c>
      <c r="L291" s="30" t="n">
        <v>24</v>
      </c>
      <c r="M291" s="30" t="inlineStr">
        <is>
          <t>Underperforming</t>
        </is>
      </c>
      <c r="N291" s="31">
        <f>IF(M291="Underperforming",-5,IF(L291&gt;=95,15,IF(L291&gt;=90,10,IF(L291&gt;=80,5,0))))</f>
        <v/>
      </c>
      <c r="O291" s="31" t="n">
        <v>56.44</v>
      </c>
      <c r="P291" s="31" t="n">
        <v>27.1</v>
      </c>
      <c r="Q291" s="31" t="n">
        <v>192.93</v>
      </c>
      <c r="R291" s="30" t="inlineStr">
        <is>
          <t>Earnings / Momentum Support</t>
        </is>
      </c>
      <c r="S291" s="30" t="inlineStr">
        <is>
          <t>Nifty 50</t>
        </is>
      </c>
      <c r="T291" s="31" t="n">
        <v>-6.54</v>
      </c>
      <c r="U291" s="31" t="n">
        <v>-12.45</v>
      </c>
      <c r="V291" s="31" t="n">
        <v>-6.32</v>
      </c>
      <c r="W291" s="31" t="n">
        <v>6.49</v>
      </c>
      <c r="X291" s="30" t="inlineStr">
        <is>
          <t>Growing Industry</t>
        </is>
      </c>
      <c r="Y291" s="30">
        <f>IF(X291="Growing Industry",10,IF(X291="Cyclical in an Upturn",5,0))</f>
        <v/>
      </c>
      <c r="Z291" s="30" t="inlineStr">
        <is>
          <t>Too Many Players with High ROCE</t>
        </is>
      </c>
      <c r="AA291" s="30">
        <f>IF(Z291="Monopoly",10,IF(Z291="Oligopoly",5,IF(Z291="Duopoly that cooperate",10,IF(Z291="Duopoly that compete",5,IF(Z291="Too many players with High ROCE",5,0)))))</f>
        <v/>
      </c>
      <c r="AB291" s="30" t="inlineStr">
        <is>
          <t>No</t>
        </is>
      </c>
      <c r="AC291" s="30">
        <f>IF(AB291="No",5,0)</f>
        <v/>
      </c>
      <c r="AD291" s="30" t="inlineStr">
        <is>
          <t>Headwind</t>
        </is>
      </c>
      <c r="AE291" s="30">
        <f>IF(AD291="Tailwind",10,0)</f>
        <v/>
      </c>
      <c r="AF291" s="30" t="inlineStr">
        <is>
          <t>Structural (10 Years Consistency)</t>
        </is>
      </c>
      <c r="AG291" s="30">
        <f>IF(AF291="Structural (10 Years Consistency)",10,IF(AF291="Shallow Cyclical (2 to 3 years growth)",5,0))</f>
        <v/>
      </c>
      <c r="AH291" s="30" t="inlineStr">
        <is>
          <t>No</t>
        </is>
      </c>
      <c r="AI291" s="30">
        <f>IF(AH291="Yes due to Product Mix change or Operating Leverage",10,IF(AH291="Yes, these are peak margins",-5,IF(AH291="No",5,0)))</f>
        <v/>
      </c>
      <c r="AJ291" s="30" t="inlineStr">
        <is>
          <t>Stable</t>
        </is>
      </c>
      <c r="AK291" s="30">
        <f>IF(AJ291="Stable",10,0)</f>
        <v/>
      </c>
      <c r="AL291" s="30" t="inlineStr">
        <is>
          <t>Yes</t>
        </is>
      </c>
      <c r="AM291" s="30">
        <f>IF(AL291="Yes",10,0)</f>
        <v/>
      </c>
      <c r="AN291" s="30" t="inlineStr">
        <is>
          <t>B2B</t>
        </is>
      </c>
      <c r="AO291" s="30">
        <f>IF(AN291="B2C",10,IF(AN291="B2B",5,0))</f>
        <v/>
      </c>
      <c r="AP291" s="30" t="inlineStr">
        <is>
          <t>No</t>
        </is>
      </c>
      <c r="AQ291" s="30">
        <f>IF(AP291="Yes",10,0)</f>
        <v/>
      </c>
      <c r="AR291" s="30" t="inlineStr">
        <is>
          <t>Higher One Time, Lower Annuity</t>
        </is>
      </c>
      <c r="AS291" s="30">
        <f>IF(AR291="Fully Annuity",10,IF(AR291="Higher Annuity, Lower One Time",5,IF(AR291="Higher One Time, Lower Annuity",3,0)))</f>
        <v/>
      </c>
      <c r="AT291" s="30" t="inlineStr">
        <is>
          <t>Good</t>
        </is>
      </c>
      <c r="AU291" s="30">
        <f>IF(AT291="Good",10,0)</f>
        <v/>
      </c>
      <c r="AV291" s="30" t="inlineStr">
        <is>
          <t>Yes for more than 2 years</t>
        </is>
      </c>
      <c r="AW291" s="30">
        <f>IF(AV291="Yes for more than 2 years",10,IF(AV291="Yes only for next 1 to 2 years",5,0))</f>
        <v/>
      </c>
      <c r="AX291" s="30" t="inlineStr">
        <is>
          <t>20 to 40</t>
        </is>
      </c>
      <c r="AY291" s="30">
        <f>IF(AX291="Above 40",20,IF(AX291="20 to 40",10,IF(AX291="0 to 20",-5,0)))</f>
        <v/>
      </c>
      <c r="AZ291" s="30" t="inlineStr">
        <is>
          <t>Between 50 to 75</t>
        </is>
      </c>
      <c r="BA291" s="30">
        <f>IF(AZ291="Between 50 to 75",10,IF(AZ291="Above 75",0,0))</f>
        <v/>
      </c>
      <c r="BB291" s="30" t="inlineStr">
        <is>
          <t>Stage 2</t>
        </is>
      </c>
      <c r="BC291" s="30">
        <f>IF(BB291="Stage 2",20,IF(BB291="Stage 1",0,IF(BB291="Stage 3",5,IF(BB291="Stage 4",-5,0))))</f>
        <v/>
      </c>
      <c r="BD291" s="30" t="inlineStr">
        <is>
          <t>Positive Trend</t>
        </is>
      </c>
      <c r="BE291" s="30">
        <f>IF(BD291="Positive Trend",20,IF(BD291="Negative Trend",-10,0))</f>
        <v/>
      </c>
      <c r="BF291" s="30" t="inlineStr">
        <is>
          <t>Uptrend</t>
        </is>
      </c>
      <c r="BG291" s="30">
        <f>IF(BF291="Uptrend",10,IF(BF291="Sideways",5,0))</f>
        <v/>
      </c>
      <c r="BH291" s="30" t="inlineStr">
        <is>
          <t>Uptrend</t>
        </is>
      </c>
      <c r="BI291" s="30">
        <f>IF(BH291="Uptrend",10,IF(BH291="Sideways",5,0))</f>
        <v/>
      </c>
      <c r="BJ291" s="30" t="inlineStr">
        <is>
          <t>Close to 52 week high or retracement</t>
        </is>
      </c>
      <c r="BK291" s="30">
        <f>IF(BJ291="Overhead supply in last 2 years in last 2 years",-5,IF(BJ291="Close to 52 week high or retracement",5,IF(BJ291="Blue sky scenario",10,IF(BJ291="Long term Downtrend",-10,0))))</f>
        <v/>
      </c>
      <c r="BL291" s="30" t="inlineStr">
        <is>
          <t>Yes</t>
        </is>
      </c>
      <c r="BM291" s="30">
        <f>IF(BL291="Yes",10,0)</f>
        <v/>
      </c>
      <c r="BN291" s="30" t="inlineStr">
        <is>
          <t>Less than 12%</t>
        </is>
      </c>
      <c r="BO291" s="30">
        <f>IF(BN291="More than 20%",10,IF(BN291="Between 12 to 20%",5,IF(BN291="Less than 12%",0,0)))</f>
        <v/>
      </c>
      <c r="BP291" s="30" t="inlineStr">
        <is>
          <t>No</t>
        </is>
      </c>
      <c r="BQ291" s="30">
        <f>IF(BP291="No",10,0)</f>
        <v/>
      </c>
      <c r="BR291" s="30" t="inlineStr">
        <is>
          <t>No</t>
        </is>
      </c>
      <c r="BS291" s="30">
        <f>IF(BR291="NO",5,0)</f>
        <v/>
      </c>
      <c r="BT291" s="30" t="inlineStr">
        <is>
          <t>Above 2</t>
        </is>
      </c>
      <c r="BU291" s="30">
        <f>IF(BT291="Above 2",0,IF(BT291="Between 1.5 to 2",5,IF(BT291="Less than 1.5",10,0)))</f>
        <v/>
      </c>
      <c r="BV291" s="30" t="inlineStr">
        <is>
          <t>Negative</t>
        </is>
      </c>
      <c r="BW291" s="30">
        <f>IF(BV291="Above 70%",10,IF(BV291="Between 50% to 70%",5,IF(BV291="Less than 50%",0,IF(BV291="Negative",-10,IF(BV291="Less than 50% and Borrowings are increasing",-5,0)))))</f>
        <v/>
      </c>
      <c r="BX291" s="30" t="inlineStr">
        <is>
          <t>More than 1.2</t>
        </is>
      </c>
      <c r="BY291" s="30">
        <f>IF(BX291="More than 1.2",-10,IF(BX291="Between 0.7 to 1.2",0,IF(BX291="Less than 0.7",10,0)))</f>
        <v/>
      </c>
      <c r="BZ291" s="30" t="inlineStr">
        <is>
          <t>No</t>
        </is>
      </c>
      <c r="CA291" s="30">
        <f>IF(BZ291="Yes",-10,0)</f>
        <v/>
      </c>
      <c r="CB291" s="30" t="inlineStr">
        <is>
          <t>Less than 15%</t>
        </is>
      </c>
      <c r="CC291" s="30">
        <f>IF(CB291="More than 15%",-10,IF(CB291="Less than 15%",10,0))</f>
        <v/>
      </c>
      <c r="CD291" s="30" t="inlineStr">
        <is>
          <t>No</t>
        </is>
      </c>
      <c r="CE291" s="30">
        <f>IF(CD291="Yes, more than 10%",-10,IF(CD291="No",10,0))</f>
        <v/>
      </c>
    </row>
    <row r="292">
      <c r="A292" s="30">
        <f>IF(B292=0,"",RANK(B292,$B$2:$B$306,0))</f>
        <v/>
      </c>
      <c r="B292" s="31">
        <f>SUM(N292,Y292,AA292,AC292,AE292,AG292,AI292,AK292,AM292,AO292,AQ292,AS292,AU292,AW292,AY292,BA292,BC292,BE292,BG292,BI292,BK292,BM292,BO292,BQ292,BS292,BU292,BW292,BY292,CA292,CC292,CE292)</f>
        <v/>
      </c>
      <c r="C292" s="30" t="inlineStr">
        <is>
          <t>ARVINDFASN</t>
        </is>
      </c>
      <c r="D292" s="30" t="inlineStr">
        <is>
          <t>Arvind Fashions Ltd</t>
        </is>
      </c>
      <c r="E292" s="30" t="inlineStr">
        <is>
          <t>consumer discretionary</t>
        </is>
      </c>
      <c r="F292" s="30" t="inlineStr">
        <is>
          <t>trading</t>
        </is>
      </c>
      <c r="G292" s="30" t="inlineStr">
        <is>
          <t>midcap</t>
        </is>
      </c>
      <c r="H292" s="31" t="n">
        <v>6296.49</v>
      </c>
      <c r="I292" s="31" t="n">
        <v>469.3</v>
      </c>
      <c r="J292" s="31" t="n">
        <v>-0.38</v>
      </c>
      <c r="K292" s="31" t="n">
        <v>131097</v>
      </c>
      <c r="L292" s="30" t="n">
        <v>10</v>
      </c>
      <c r="M292" s="30" t="inlineStr">
        <is>
          <t>Outperforming</t>
        </is>
      </c>
      <c r="N292" s="31">
        <f>IF(M292="Underperforming",-5,IF(L292&gt;=95,15,IF(L292&gt;=90,10,IF(L292&gt;=80,5,0))))</f>
        <v/>
      </c>
      <c r="O292" s="31" t="n">
        <v>52.15</v>
      </c>
      <c r="P292" s="31" t="n">
        <v>12.1</v>
      </c>
      <c r="Q292" s="31" t="n">
        <v>360.2</v>
      </c>
      <c r="R292" s="30" t="inlineStr">
        <is>
          <t>Earnings / Momentum Support</t>
        </is>
      </c>
      <c r="S292" s="30" t="inlineStr">
        <is>
          <t>Nifty 50</t>
        </is>
      </c>
      <c r="T292" s="31" t="n">
        <v>-6.54</v>
      </c>
      <c r="U292" s="31" t="n">
        <v>4.1</v>
      </c>
      <c r="V292" s="31" t="n">
        <v>11.39</v>
      </c>
      <c r="W292" s="31" t="n">
        <v>3.47</v>
      </c>
      <c r="X292" s="30" t="inlineStr">
        <is>
          <t>Growing Industry</t>
        </is>
      </c>
      <c r="Y292" s="30">
        <f>IF(X292="Growing Industry",10,IF(X292="Cyclical in an Upturn",5,0))</f>
        <v/>
      </c>
      <c r="Z292" s="30" t="inlineStr">
        <is>
          <t>Too Many Players with High ROCE</t>
        </is>
      </c>
      <c r="AA292" s="30">
        <f>IF(Z292="Monopoly",10,IF(Z292="Oligopoly",5,IF(Z292="Duopoly that cooperate",10,IF(Z292="Duopoly that compete",5,IF(Z292="Too many players with High ROCE",5,0)))))</f>
        <v/>
      </c>
      <c r="AB292" s="30" t="inlineStr">
        <is>
          <t>No</t>
        </is>
      </c>
      <c r="AC292" s="30">
        <f>IF(AB292="No",5,0)</f>
        <v/>
      </c>
      <c r="AD292" s="30" t="inlineStr">
        <is>
          <t>Headwind</t>
        </is>
      </c>
      <c r="AE292" s="30">
        <f>IF(AD292="Tailwind",10,0)</f>
        <v/>
      </c>
      <c r="AF292" s="30" t="inlineStr">
        <is>
          <t>Structural (10 Years Consistency)</t>
        </is>
      </c>
      <c r="AG292" s="30">
        <f>IF(AF292="Structural (10 Years Consistency)",10,IF(AF292="Shallow Cyclical (2 to 3 years growth)",5,0))</f>
        <v/>
      </c>
      <c r="AH292" s="30" t="inlineStr">
        <is>
          <t>No</t>
        </is>
      </c>
      <c r="AI292" s="30">
        <f>IF(AH292="Yes due to Product Mix change or Operating Leverage",10,IF(AH292="Yes, these are peak margins",-5,IF(AH292="No",5,0)))</f>
        <v/>
      </c>
      <c r="AJ292" s="30" t="inlineStr">
        <is>
          <t>Stable</t>
        </is>
      </c>
      <c r="AK292" s="30">
        <f>IF(AJ292="Stable",10,0)</f>
        <v/>
      </c>
      <c r="AL292" s="30" t="inlineStr">
        <is>
          <t>Yes</t>
        </is>
      </c>
      <c r="AM292" s="30">
        <f>IF(AL292="Yes",10,0)</f>
        <v/>
      </c>
      <c r="AN292" s="30" t="inlineStr">
        <is>
          <t>B2B</t>
        </is>
      </c>
      <c r="AO292" s="30">
        <f>IF(AN292="B2C",10,IF(AN292="B2B",5,0))</f>
        <v/>
      </c>
      <c r="AP292" s="30" t="inlineStr">
        <is>
          <t>No</t>
        </is>
      </c>
      <c r="AQ292" s="30">
        <f>IF(AP292="Yes",10,0)</f>
        <v/>
      </c>
      <c r="AR292" s="30" t="inlineStr">
        <is>
          <t>Higher One Time, Lower Annuity</t>
        </is>
      </c>
      <c r="AS292" s="30">
        <f>IF(AR292="Fully Annuity",10,IF(AR292="Higher Annuity, Lower One Time",5,IF(AR292="Higher One Time, Lower Annuity",3,0)))</f>
        <v/>
      </c>
      <c r="AT292" s="30" t="inlineStr">
        <is>
          <t>Good</t>
        </is>
      </c>
      <c r="AU292" s="30">
        <f>IF(AT292="Good",10,0)</f>
        <v/>
      </c>
      <c r="AV292" s="30" t="inlineStr">
        <is>
          <t>Yes for more than 2 years</t>
        </is>
      </c>
      <c r="AW292" s="30">
        <f>IF(AV292="Yes for more than 2 years",10,IF(AV292="Yes only for next 1 to 2 years",5,0))</f>
        <v/>
      </c>
      <c r="AX292" s="30" t="inlineStr">
        <is>
          <t>0 to 20</t>
        </is>
      </c>
      <c r="AY292" s="30">
        <f>IF(AX292="Above 40",20,IF(AX292="20 to 40",10,IF(AX292="0 to 20",-5,0)))</f>
        <v/>
      </c>
      <c r="AZ292" s="30" t="inlineStr">
        <is>
          <t>Between 50 to 75</t>
        </is>
      </c>
      <c r="BA292" s="30">
        <f>IF(AZ292="Between 50 to 75",10,IF(AZ292="Above 75",0,0))</f>
        <v/>
      </c>
      <c r="BB292" s="30" t="inlineStr">
        <is>
          <t>Stage 1</t>
        </is>
      </c>
      <c r="BC292" s="30">
        <f>IF(BB292="Stage 2",20,IF(BB292="Stage 1",0,IF(BB292="Stage 3",5,IF(BB292="Stage 4",-5,0))))</f>
        <v/>
      </c>
      <c r="BD292" s="30" t="inlineStr">
        <is>
          <t>Positive Trend</t>
        </is>
      </c>
      <c r="BE292" s="30">
        <f>IF(BD292="Positive Trend",20,IF(BD292="Negative Trend",-10,0))</f>
        <v/>
      </c>
      <c r="BF292" s="30" t="inlineStr">
        <is>
          <t>Uptrend</t>
        </is>
      </c>
      <c r="BG292" s="30">
        <f>IF(BF292="Uptrend",10,IF(BF292="Sideways",5,0))</f>
        <v/>
      </c>
      <c r="BH292" s="30" t="inlineStr">
        <is>
          <t>Uptrend</t>
        </is>
      </c>
      <c r="BI292" s="30">
        <f>IF(BH292="Uptrend",10,IF(BH292="Sideways",5,0))</f>
        <v/>
      </c>
      <c r="BJ292" s="30" t="inlineStr">
        <is>
          <t>Close to 52 week high or retracement</t>
        </is>
      </c>
      <c r="BK292" s="30">
        <f>IF(BJ292="Overhead supply in last 2 years in last 2 years",-5,IF(BJ292="Close to 52 week high or retracement",5,IF(BJ292="Blue sky scenario",10,IF(BJ292="Long term Downtrend",-10,0))))</f>
        <v/>
      </c>
      <c r="BL292" s="30" t="inlineStr">
        <is>
          <t>Yes</t>
        </is>
      </c>
      <c r="BM292" s="30">
        <f>IF(BL292="Yes",10,0)</f>
        <v/>
      </c>
      <c r="BN292" s="30" t="inlineStr">
        <is>
          <t>More than 20%</t>
        </is>
      </c>
      <c r="BO292" s="30">
        <f>IF(BN292="More than 20%",10,IF(BN292="Between 12 to 20%",5,IF(BN292="Less than 12%",0,0)))</f>
        <v/>
      </c>
      <c r="BP292" s="30" t="inlineStr">
        <is>
          <t>No</t>
        </is>
      </c>
      <c r="BQ292" s="30">
        <f>IF(BP292="No",10,0)</f>
        <v/>
      </c>
      <c r="BR292" s="30" t="inlineStr">
        <is>
          <t>Yes</t>
        </is>
      </c>
      <c r="BS292" s="30">
        <f>IF(BR292="NO",5,0)</f>
        <v/>
      </c>
      <c r="BT292" s="30" t="inlineStr">
        <is>
          <t>Above 2</t>
        </is>
      </c>
      <c r="BU292" s="30">
        <f>IF(BT292="Above 2",0,IF(BT292="Between 1.5 to 2",5,IF(BT292="Less than 1.5",10,0)))</f>
        <v/>
      </c>
      <c r="BV292" s="30" t="inlineStr">
        <is>
          <t>Between 50% to 70%</t>
        </is>
      </c>
      <c r="BW292" s="30">
        <f>IF(BV292="Above 70%",10,IF(BV292="Between 50% to 70%",5,IF(BV292="Less than 50%",0,IF(BV292="Negative",-10,IF(BV292="Less than 50% and Borrowings are increasing",-5,0)))))</f>
        <v/>
      </c>
      <c r="BX292" s="30" t="inlineStr">
        <is>
          <t>Between 0.7 to 1.2</t>
        </is>
      </c>
      <c r="BY292" s="30">
        <f>IF(BX292="More than 1.2",-10,IF(BX292="Between 0.7 to 1.2",0,IF(BX292="Less than 0.7",10,0)))</f>
        <v/>
      </c>
      <c r="BZ292" s="30" t="inlineStr">
        <is>
          <t>No</t>
        </is>
      </c>
      <c r="CA292" s="30">
        <f>IF(BZ292="Yes",-10,0)</f>
        <v/>
      </c>
      <c r="CB292" s="30" t="inlineStr">
        <is>
          <t>Less than 15%</t>
        </is>
      </c>
      <c r="CC292" s="30">
        <f>IF(CB292="More than 15%",-10,IF(CB292="Less than 15%",10,0))</f>
        <v/>
      </c>
      <c r="CD292" s="30" t="inlineStr">
        <is>
          <t>No</t>
        </is>
      </c>
      <c r="CE292" s="30">
        <f>IF(CD292="Yes, more than 10%",-10,IF(CD292="No",10,0))</f>
        <v/>
      </c>
    </row>
    <row r="293">
      <c r="A293" s="30">
        <f>IF(B293=0,"",RANK(B293,$B$2:$B$306,0))</f>
        <v/>
      </c>
      <c r="B293" s="31">
        <f>SUM(N293,Y293,AA293,AC293,AE293,AG293,AI293,AK293,AM293,AO293,AQ293,AS293,AU293,AW293,AY293,BA293,BC293,BE293,BG293,BI293,BK293,BM293,BO293,BQ293,BS293,BU293,BW293,BY293,CA293,CC293,CE293)</f>
        <v/>
      </c>
      <c r="C293" s="32" t="inlineStr">
        <is>
          <t>RML</t>
        </is>
      </c>
      <c r="D293" s="32" t="inlineStr">
        <is>
          <t>Rane (madras) Limited</t>
        </is>
      </c>
      <c r="E293" s="30" t="inlineStr">
        <is>
          <t>auto</t>
        </is>
      </c>
      <c r="F293" s="30" t="inlineStr">
        <is>
          <t>auto ancillaries</t>
        </is>
      </c>
      <c r="G293" s="30" t="inlineStr">
        <is>
          <t>smallcap</t>
        </is>
      </c>
      <c r="H293" s="31" t="n">
        <v>2524.24</v>
      </c>
      <c r="I293" s="31" t="n">
        <v>901.45</v>
      </c>
      <c r="J293" s="31" t="n">
        <v>-1.3</v>
      </c>
      <c r="K293" s="31" t="n">
        <v>8995</v>
      </c>
      <c r="L293" s="30" t="n">
        <v>5</v>
      </c>
      <c r="M293" s="30" t="inlineStr">
        <is>
          <t>Underperforming</t>
        </is>
      </c>
      <c r="N293" s="31">
        <f>IF(M293="Underperforming",-5,IF(L293&gt;=95,15,IF(L293&gt;=90,10,IF(L293&gt;=80,5,0))))</f>
        <v/>
      </c>
      <c r="O293" s="31" t="n">
        <v>59.54</v>
      </c>
      <c r="P293" s="31" t="n">
        <v>18.82</v>
      </c>
      <c r="Q293" s="31" t="n">
        <v>719.86</v>
      </c>
      <c r="R293" s="30" t="inlineStr">
        <is>
          <t>Near 52W High Breakout</t>
        </is>
      </c>
      <c r="S293" s="30" t="inlineStr">
        <is>
          <t>Nifty Auto</t>
        </is>
      </c>
      <c r="T293" s="31" t="n">
        <v>10.59</v>
      </c>
      <c r="U293" s="31" t="n">
        <v>0.72</v>
      </c>
      <c r="V293" s="31" t="n">
        <v>-8.92</v>
      </c>
      <c r="W293" s="31" t="n">
        <v>2.09</v>
      </c>
      <c r="X293" s="30" t="inlineStr">
        <is>
          <t>Growing Industry</t>
        </is>
      </c>
      <c r="Y293" s="30">
        <f>IF(X293="Growing Industry",10,IF(X293="Cyclical in an Upturn",5,0))</f>
        <v/>
      </c>
      <c r="Z293" s="30" t="inlineStr">
        <is>
          <t>Too Many Players with High ROCE</t>
        </is>
      </c>
      <c r="AA293" s="30">
        <f>IF(Z293="Monopoly",10,IF(Z293="Oligopoly",5,IF(Z293="Duopoly that cooperate",10,IF(Z293="Duopoly that compete",5,IF(Z293="Too many players with High ROCE",5,0)))))</f>
        <v/>
      </c>
      <c r="AB293" s="30" t="inlineStr">
        <is>
          <t>No</t>
        </is>
      </c>
      <c r="AC293" s="30">
        <f>IF(AB293="No",5,0)</f>
        <v/>
      </c>
      <c r="AD293" s="30" t="inlineStr">
        <is>
          <t>Tailwind</t>
        </is>
      </c>
      <c r="AE293" s="30">
        <f>IF(AD293="Tailwind",10,0)</f>
        <v/>
      </c>
      <c r="AF293" s="30" t="inlineStr">
        <is>
          <t>Structural (10 Years Consistency)</t>
        </is>
      </c>
      <c r="AG293" s="30">
        <f>IF(AF293="Structural (10 Years Consistency)",10,IF(AF293="Shallow Cyclical (2 to 3 years growth)",5,0))</f>
        <v/>
      </c>
      <c r="AH293" s="30" t="inlineStr">
        <is>
          <t>No</t>
        </is>
      </c>
      <c r="AI293" s="30">
        <f>IF(AH293="Yes due to Product Mix change or Operating Leverage",10,IF(AH293="Yes, these are peak margins",-5,IF(AH293="No",5,0)))</f>
        <v/>
      </c>
      <c r="AJ293" s="30" t="inlineStr">
        <is>
          <t>Stable</t>
        </is>
      </c>
      <c r="AK293" s="30">
        <f>IF(AJ293="Stable",10,0)</f>
        <v/>
      </c>
      <c r="AL293" s="30" t="inlineStr">
        <is>
          <t>Yes</t>
        </is>
      </c>
      <c r="AM293" s="30">
        <f>IF(AL293="Yes",10,0)</f>
        <v/>
      </c>
      <c r="AN293" s="30" t="inlineStr">
        <is>
          <t>B2B</t>
        </is>
      </c>
      <c r="AO293" s="30">
        <f>IF(AN293="B2C",10,IF(AN293="B2B",5,0))</f>
        <v/>
      </c>
      <c r="AP293" s="30" t="inlineStr">
        <is>
          <t>Yes</t>
        </is>
      </c>
      <c r="AQ293" s="30">
        <f>IF(AP293="Yes",10,0)</f>
        <v/>
      </c>
      <c r="AR293" s="30" t="inlineStr">
        <is>
          <t>Higher One Time, Lower Annuity</t>
        </is>
      </c>
      <c r="AS293" s="30">
        <f>IF(AR293="Fully Annuity",10,IF(AR293="Higher Annuity, Lower One Time",5,IF(AR293="Higher One Time, Lower Annuity",3,0)))</f>
        <v/>
      </c>
      <c r="AT293" s="30" t="inlineStr">
        <is>
          <t>Good</t>
        </is>
      </c>
      <c r="AU293" s="30">
        <f>IF(AT293="Good",10,0)</f>
        <v/>
      </c>
      <c r="AV293" s="30" t="inlineStr">
        <is>
          <t>Yes for more than 2 years</t>
        </is>
      </c>
      <c r="AW293" s="30">
        <f>IF(AV293="Yes for more than 2 years",10,IF(AV293="Yes only for next 1 to 2 years",5,0))</f>
        <v/>
      </c>
      <c r="AX293" s="30" t="inlineStr">
        <is>
          <t>0 to 20</t>
        </is>
      </c>
      <c r="AY293" s="30">
        <f>IF(AX293="Above 40",20,IF(AX293="20 to 40",10,IF(AX293="0 to 20",-5,0)))</f>
        <v/>
      </c>
      <c r="AZ293" s="30" t="inlineStr">
        <is>
          <t>Between 50 to 75</t>
        </is>
      </c>
      <c r="BA293" s="30">
        <f>IF(AZ293="Between 50 to 75",10,IF(AZ293="Above 75",0,0))</f>
        <v/>
      </c>
      <c r="BB293" s="30" t="inlineStr">
        <is>
          <t>Stage 2</t>
        </is>
      </c>
      <c r="BC293" s="30">
        <f>IF(BB293="Stage 2",20,IF(BB293="Stage 1",0,IF(BB293="Stage 3",5,IF(BB293="Stage 4",-5,0))))</f>
        <v/>
      </c>
      <c r="BD293" s="30" t="inlineStr">
        <is>
          <t>Negative Trend</t>
        </is>
      </c>
      <c r="BE293" s="30">
        <f>IF(BD293="Positive Trend",20,IF(BD293="Negative Trend",-10,0))</f>
        <v/>
      </c>
      <c r="BF293" s="30" t="inlineStr">
        <is>
          <t>Uptrend</t>
        </is>
      </c>
      <c r="BG293" s="30">
        <f>IF(BF293="Uptrend",10,IF(BF293="Sideways",5,0))</f>
        <v/>
      </c>
      <c r="BH293" s="30" t="inlineStr">
        <is>
          <t>Uptrend</t>
        </is>
      </c>
      <c r="BI293" s="30">
        <f>IF(BH293="Uptrend",10,IF(BH293="Sideways",5,0))</f>
        <v/>
      </c>
      <c r="BJ293" s="30" t="inlineStr">
        <is>
          <t>Close to 52 week high or retracement</t>
        </is>
      </c>
      <c r="BK293" s="30">
        <f>IF(BJ293="Overhead supply in last 2 years in last 2 years",-5,IF(BJ293="Close to 52 week high or retracement",5,IF(BJ293="Blue sky scenario",10,IF(BJ293="Long term Downtrend",-10,0))))</f>
        <v/>
      </c>
      <c r="BL293" s="30" t="inlineStr">
        <is>
          <t>Yes</t>
        </is>
      </c>
      <c r="BM293" s="30">
        <f>IF(BL293="Yes",10,0)</f>
        <v/>
      </c>
      <c r="BN293" s="30" t="inlineStr">
        <is>
          <t>Less than 12%</t>
        </is>
      </c>
      <c r="BO293" s="30">
        <f>IF(BN293="More than 20%",10,IF(BN293="Between 12 to 20%",5,IF(BN293="Less than 12%",0,0)))</f>
        <v/>
      </c>
      <c r="BP293" s="30" t="inlineStr">
        <is>
          <t>No</t>
        </is>
      </c>
      <c r="BQ293" s="30">
        <f>IF(BP293="No",10,0)</f>
        <v/>
      </c>
      <c r="BR293" s="30" t="inlineStr">
        <is>
          <t>No</t>
        </is>
      </c>
      <c r="BS293" s="30">
        <f>IF(BR293="NO",5,0)</f>
        <v/>
      </c>
      <c r="BT293" s="30" t="inlineStr">
        <is>
          <t>Above 2</t>
        </is>
      </c>
      <c r="BU293" s="30">
        <f>IF(BT293="Above 2",0,IF(BT293="Between 1.5 to 2",5,IF(BT293="Less than 1.5",10,0)))</f>
        <v/>
      </c>
      <c r="BV293" s="30" t="inlineStr">
        <is>
          <t>Between 50% to 70%</t>
        </is>
      </c>
      <c r="BW293" s="30">
        <f>IF(BV293="Above 70%",10,IF(BV293="Between 50% to 70%",5,IF(BV293="Less than 50%",0,IF(BV293="Negative",-10,IF(BV293="Less than 50% and Borrowings are increasing",-5,0)))))</f>
        <v/>
      </c>
      <c r="BX293" s="30" t="inlineStr">
        <is>
          <t>Between 0.7 to 1.2</t>
        </is>
      </c>
      <c r="BY293" s="30">
        <f>IF(BX293="More than 1.2",-10,IF(BX293="Between 0.7 to 1.2",0,IF(BX293="Less than 0.7",10,0)))</f>
        <v/>
      </c>
      <c r="BZ293" s="30" t="inlineStr">
        <is>
          <t>No</t>
        </is>
      </c>
      <c r="CA293" s="30">
        <f>IF(BZ293="Yes",-10,0)</f>
        <v/>
      </c>
      <c r="CB293" s="30" t="inlineStr">
        <is>
          <t>Less than 15%</t>
        </is>
      </c>
      <c r="CC293" s="30">
        <f>IF(CB293="More than 15%",-10,IF(CB293="Less than 15%",10,0))</f>
        <v/>
      </c>
      <c r="CD293" s="30" t="inlineStr">
        <is>
          <t>No</t>
        </is>
      </c>
      <c r="CE293" s="30">
        <f>IF(CD293="Yes, more than 10%",-10,IF(CD293="No",10,0))</f>
        <v/>
      </c>
    </row>
    <row r="294">
      <c r="A294" s="30">
        <f>IF(B294=0,"",RANK(B294,$B$2:$B$306,0))</f>
        <v/>
      </c>
      <c r="B294" s="31">
        <f>SUM(N294,Y294,AA294,AC294,AE294,AG294,AI294,AK294,AM294,AO294,AQ294,AS294,AU294,AW294,AY294,BA294,BC294,BE294,BG294,BI294,BK294,BM294,BO294,BQ294,BS294,BU294,BW294,BY294,CA294,CC294,CE294)</f>
        <v/>
      </c>
      <c r="C294" s="32" t="inlineStr">
        <is>
          <t>JBMA</t>
        </is>
      </c>
      <c r="D294" s="32" t="inlineStr">
        <is>
          <t>Jbm Auto Limited</t>
        </is>
      </c>
      <c r="E294" s="30" t="inlineStr">
        <is>
          <t>auto</t>
        </is>
      </c>
      <c r="F294" s="30" t="inlineStr">
        <is>
          <t>auto ancillaries</t>
        </is>
      </c>
      <c r="G294" s="30" t="inlineStr">
        <is>
          <t>midcap</t>
        </is>
      </c>
      <c r="H294" s="31" t="n">
        <v>16384.32</v>
      </c>
      <c r="I294" s="31" t="n">
        <v>679.7</v>
      </c>
      <c r="J294" s="31" t="n">
        <v>-1.89</v>
      </c>
      <c r="K294" s="31" t="n">
        <v>1113860</v>
      </c>
      <c r="L294" s="30" t="n">
        <v>23</v>
      </c>
      <c r="M294" s="30" t="inlineStr">
        <is>
          <t>Underperforming</t>
        </is>
      </c>
      <c r="N294" s="31">
        <f>IF(M294="Underperforming",-5,IF(L294&gt;=95,15,IF(L294&gt;=90,10,IF(L294&gt;=80,5,0))))</f>
        <v/>
      </c>
      <c r="O294" s="31" t="n">
        <v>60.66</v>
      </c>
      <c r="P294" s="31" t="n">
        <v>15.71</v>
      </c>
      <c r="Q294" s="31" t="n">
        <v>506.73</v>
      </c>
      <c r="R294" s="30" t="inlineStr">
        <is>
          <t>Volume Spike / Accumulation</t>
        </is>
      </c>
      <c r="S294" s="30" t="inlineStr">
        <is>
          <t>Nifty Auto</t>
        </is>
      </c>
      <c r="T294" s="31" t="n">
        <v>10.59</v>
      </c>
      <c r="U294" s="31" t="n">
        <v>-3.83</v>
      </c>
      <c r="V294" s="31" t="n">
        <v>-13.04</v>
      </c>
      <c r="W294" s="31" t="n">
        <v>6.38</v>
      </c>
      <c r="X294" s="30" t="inlineStr">
        <is>
          <t>Growing Industry</t>
        </is>
      </c>
      <c r="Y294" s="30">
        <f>IF(X294="Growing Industry",10,IF(X294="Cyclical in an Upturn",5,0))</f>
        <v/>
      </c>
      <c r="Z294" s="30" t="inlineStr">
        <is>
          <t>Too Many Players with High ROCE</t>
        </is>
      </c>
      <c r="AA294" s="30">
        <f>IF(Z294="Monopoly",10,IF(Z294="Oligopoly",5,IF(Z294="Duopoly that cooperate",10,IF(Z294="Duopoly that compete",5,IF(Z294="Too many players with High ROCE",5,0)))))</f>
        <v/>
      </c>
      <c r="AB294" s="30" t="inlineStr">
        <is>
          <t>No</t>
        </is>
      </c>
      <c r="AC294" s="30">
        <f>IF(AB294="No",5,0)</f>
        <v/>
      </c>
      <c r="AD294" s="30" t="inlineStr">
        <is>
          <t>Tailwind</t>
        </is>
      </c>
      <c r="AE294" s="30">
        <f>IF(AD294="Tailwind",10,0)</f>
        <v/>
      </c>
      <c r="AF294" s="30" t="inlineStr">
        <is>
          <t>Structural (10 Years Consistency)</t>
        </is>
      </c>
      <c r="AG294" s="30">
        <f>IF(AF294="Structural (10 Years Consistency)",10,IF(AF294="Shallow Cyclical (2 to 3 years growth)",5,0))</f>
        <v/>
      </c>
      <c r="AH294" s="30" t="inlineStr">
        <is>
          <t>No</t>
        </is>
      </c>
      <c r="AI294" s="30">
        <f>IF(AH294="Yes due to Product Mix change or Operating Leverage",10,IF(AH294="Yes, these are peak margins",-5,IF(AH294="No",5,0)))</f>
        <v/>
      </c>
      <c r="AJ294" s="30" t="inlineStr">
        <is>
          <t>Stable</t>
        </is>
      </c>
      <c r="AK294" s="30">
        <f>IF(AJ294="Stable",10,0)</f>
        <v/>
      </c>
      <c r="AL294" s="30" t="inlineStr">
        <is>
          <t>Yes</t>
        </is>
      </c>
      <c r="AM294" s="30">
        <f>IF(AL294="Yes",10,0)</f>
        <v/>
      </c>
      <c r="AN294" s="30" t="inlineStr">
        <is>
          <t>B2B</t>
        </is>
      </c>
      <c r="AO294" s="30">
        <f>IF(AN294="B2C",10,IF(AN294="B2B",5,0))</f>
        <v/>
      </c>
      <c r="AP294" s="30" t="inlineStr">
        <is>
          <t>Yes</t>
        </is>
      </c>
      <c r="AQ294" s="30">
        <f>IF(AP294="Yes",10,0)</f>
        <v/>
      </c>
      <c r="AR294" s="30" t="inlineStr">
        <is>
          <t>Higher One Time, Lower Annuity</t>
        </is>
      </c>
      <c r="AS294" s="30">
        <f>IF(AR294="Fully Annuity",10,IF(AR294="Higher Annuity, Lower One Time",5,IF(AR294="Higher One Time, Lower Annuity",3,0)))</f>
        <v/>
      </c>
      <c r="AT294" s="30" t="inlineStr">
        <is>
          <t>Good</t>
        </is>
      </c>
      <c r="AU294" s="30">
        <f>IF(AT294="Good",10,0)</f>
        <v/>
      </c>
      <c r="AV294" s="30" t="inlineStr">
        <is>
          <t>Yes for more than 2 years</t>
        </is>
      </c>
      <c r="AW294" s="30">
        <f>IF(AV294="Yes for more than 2 years",10,IF(AV294="Yes only for next 1 to 2 years",5,0))</f>
        <v/>
      </c>
      <c r="AX294" s="30" t="inlineStr">
        <is>
          <t>0 to 20</t>
        </is>
      </c>
      <c r="AY294" s="30">
        <f>IF(AX294="Above 40",20,IF(AX294="20 to 40",10,IF(AX294="0 to 20",-5,0)))</f>
        <v/>
      </c>
      <c r="AZ294" s="30" t="inlineStr">
        <is>
          <t>Between 50 to 75</t>
        </is>
      </c>
      <c r="BA294" s="30">
        <f>IF(AZ294="Between 50 to 75",10,IF(AZ294="Above 75",0,0))</f>
        <v/>
      </c>
      <c r="BB294" s="30" t="inlineStr">
        <is>
          <t>Stage 2</t>
        </is>
      </c>
      <c r="BC294" s="30">
        <f>IF(BB294="Stage 2",20,IF(BB294="Stage 1",0,IF(BB294="Stage 3",5,IF(BB294="Stage 4",-5,0))))</f>
        <v/>
      </c>
      <c r="BD294" s="30" t="inlineStr">
        <is>
          <t>Positive Trend</t>
        </is>
      </c>
      <c r="BE294" s="30">
        <f>IF(BD294="Positive Trend",20,IF(BD294="Negative Trend",-10,0))</f>
        <v/>
      </c>
      <c r="BF294" s="30" t="inlineStr">
        <is>
          <t>Uptrend</t>
        </is>
      </c>
      <c r="BG294" s="30">
        <f>IF(BF294="Uptrend",10,IF(BF294="Sideways",5,0))</f>
        <v/>
      </c>
      <c r="BH294" s="30" t="inlineStr">
        <is>
          <t>Uptrend</t>
        </is>
      </c>
      <c r="BI294" s="30">
        <f>IF(BH294="Uptrend",10,IF(BH294="Sideways",5,0))</f>
        <v/>
      </c>
      <c r="BJ294" s="30" t="inlineStr">
        <is>
          <t>Close to 52 week high or retracement</t>
        </is>
      </c>
      <c r="BK294" s="30">
        <f>IF(BJ294="Overhead supply in last 2 years in last 2 years",-5,IF(BJ294="Close to 52 week high or retracement",5,IF(BJ294="Blue sky scenario",10,IF(BJ294="Long term Downtrend",-10,0))))</f>
        <v/>
      </c>
      <c r="BL294" s="30" t="inlineStr">
        <is>
          <t>Yes</t>
        </is>
      </c>
      <c r="BM294" s="30">
        <f>IF(BL294="Yes",10,0)</f>
        <v/>
      </c>
      <c r="BN294" s="30" t="inlineStr">
        <is>
          <t>Less than 12%</t>
        </is>
      </c>
      <c r="BO294" s="30">
        <f>IF(BN294="More than 20%",10,IF(BN294="Between 12 to 20%",5,IF(BN294="Less than 12%",0,0)))</f>
        <v/>
      </c>
      <c r="BP294" s="30" t="inlineStr">
        <is>
          <t>No</t>
        </is>
      </c>
      <c r="BQ294" s="30">
        <f>IF(BP294="No",10,0)</f>
        <v/>
      </c>
      <c r="BR294" s="30" t="inlineStr">
        <is>
          <t>Yes</t>
        </is>
      </c>
      <c r="BS294" s="30">
        <f>IF(BR294="NO",5,0)</f>
        <v/>
      </c>
      <c r="BT294" s="30" t="inlineStr">
        <is>
          <t>Above 2</t>
        </is>
      </c>
      <c r="BU294" s="30">
        <f>IF(BT294="Above 2",0,IF(BT294="Between 1.5 to 2",5,IF(BT294="Less than 1.5",10,0)))</f>
        <v/>
      </c>
      <c r="BV294" s="30" t="inlineStr">
        <is>
          <t>Negative</t>
        </is>
      </c>
      <c r="BW294" s="30">
        <f>IF(BV294="Above 70%",10,IF(BV294="Between 50% to 70%",5,IF(BV294="Less than 50%",0,IF(BV294="Negative",-10,IF(BV294="Less than 50% and Borrowings are increasing",-5,0)))))</f>
        <v/>
      </c>
      <c r="BX294" s="30" t="inlineStr">
        <is>
          <t>More than 1.2</t>
        </is>
      </c>
      <c r="BY294" s="30">
        <f>IF(BX294="More than 1.2",-10,IF(BX294="Between 0.7 to 1.2",0,IF(BX294="Less than 0.7",10,0)))</f>
        <v/>
      </c>
      <c r="BZ294" s="30" t="inlineStr">
        <is>
          <t>No</t>
        </is>
      </c>
      <c r="CA294" s="30">
        <f>IF(BZ294="Yes",-10,0)</f>
        <v/>
      </c>
      <c r="CB294" s="30" t="inlineStr">
        <is>
          <t>Less than 15%</t>
        </is>
      </c>
      <c r="CC294" s="30">
        <f>IF(CB294="More than 15%",-10,IF(CB294="Less than 15%",10,0))</f>
        <v/>
      </c>
      <c r="CD294" s="30" t="inlineStr">
        <is>
          <t>No</t>
        </is>
      </c>
      <c r="CE294" s="30">
        <f>IF(CD294="Yes, more than 10%",-10,IF(CD294="No",10,0))</f>
        <v/>
      </c>
    </row>
    <row r="295">
      <c r="A295" s="30">
        <f>IF(B295=0,"",RANK(B295,$B$2:$B$306,0))</f>
        <v/>
      </c>
      <c r="B295" s="31">
        <f>SUM(N295,Y295,AA295,AC295,AE295,AG295,AI295,AK295,AM295,AO295,AQ295,AS295,AU295,AW295,AY295,BA295,BC295,BE295,BG295,BI295,BK295,BM295,BO295,BQ295,BS295,BU295,BW295,BY295,CA295,CC295,CE295)</f>
        <v/>
      </c>
      <c r="C295" s="30" t="inlineStr">
        <is>
          <t>ABDL</t>
        </is>
      </c>
      <c r="D295" s="30" t="inlineStr">
        <is>
          <t>Allied Blenders &amp; Distillers Ltd</t>
        </is>
      </c>
      <c r="E295" s="30" t="inlineStr">
        <is>
          <t>fmcg</t>
        </is>
      </c>
      <c r="F295" s="30" t="inlineStr">
        <is>
          <t>breweries &amp; distilleries</t>
        </is>
      </c>
      <c r="G295" s="30" t="inlineStr">
        <is>
          <t>midcap</t>
        </is>
      </c>
      <c r="H295" s="31" t="n">
        <v>15995.23</v>
      </c>
      <c r="I295" s="31" t="n">
        <v>580.7</v>
      </c>
      <c r="J295" s="31" t="n">
        <v>1.55</v>
      </c>
      <c r="K295" s="31" t="n">
        <v>301894</v>
      </c>
      <c r="L295" s="30" t="n">
        <v>48</v>
      </c>
      <c r="M295" s="30" t="inlineStr">
        <is>
          <t>Outperforming</t>
        </is>
      </c>
      <c r="N295" s="31">
        <f>IF(M295="Underperforming",-5,IF(L295&gt;=95,15,IF(L295&gt;=90,10,IF(L295&gt;=80,5,0))))</f>
        <v/>
      </c>
      <c r="O295" s="31" t="n">
        <v>57.08</v>
      </c>
      <c r="P295" s="31" t="n">
        <v>18.86</v>
      </c>
      <c r="Q295" s="31" t="n">
        <v>439.87</v>
      </c>
      <c r="R295" s="30" t="inlineStr">
        <is>
          <t>Earnings / Momentum Support</t>
        </is>
      </c>
      <c r="S295" s="30" t="inlineStr">
        <is>
          <t>Nifty FMCG</t>
        </is>
      </c>
      <c r="T295" s="31" t="n">
        <v>-13.44</v>
      </c>
      <c r="U295" s="31" t="n">
        <v>36.67</v>
      </c>
      <c r="V295" s="31" t="n">
        <v>57.89</v>
      </c>
      <c r="W295" s="31" t="n">
        <v>12.72</v>
      </c>
      <c r="X295" s="30" t="inlineStr">
        <is>
          <t>Growing Industry</t>
        </is>
      </c>
      <c r="Y295" s="30">
        <f>IF(X295="Growing Industry",10,IF(X295="Cyclical in an Upturn",5,0))</f>
        <v/>
      </c>
      <c r="Z295" s="30" t="inlineStr">
        <is>
          <t>Too Many Players with High ROCE</t>
        </is>
      </c>
      <c r="AA295" s="30">
        <f>IF(Z295="Monopoly",10,IF(Z295="Oligopoly",5,IF(Z295="Duopoly that cooperate",10,IF(Z295="Duopoly that compete",5,IF(Z295="Too many players with High ROCE",5,0)))))</f>
        <v/>
      </c>
      <c r="AB295" s="30" t="inlineStr">
        <is>
          <t>No</t>
        </is>
      </c>
      <c r="AC295" s="30">
        <f>IF(AB295="No",5,0)</f>
        <v/>
      </c>
      <c r="AD295" s="30" t="inlineStr">
        <is>
          <t>Headwind</t>
        </is>
      </c>
      <c r="AE295" s="30">
        <f>IF(AD295="Tailwind",10,0)</f>
        <v/>
      </c>
      <c r="AF295" s="30" t="inlineStr">
        <is>
          <t>Structural (10 Years Consistency)</t>
        </is>
      </c>
      <c r="AG295" s="30">
        <f>IF(AF295="Structural (10 Years Consistency)",10,IF(AF295="Shallow Cyclical (2 to 3 years growth)",5,0))</f>
        <v/>
      </c>
      <c r="AH295" s="30" t="inlineStr">
        <is>
          <t>No</t>
        </is>
      </c>
      <c r="AI295" s="30">
        <f>IF(AH295="Yes due to Product Mix change or Operating Leverage",10,IF(AH295="Yes, these are peak margins",-5,IF(AH295="No",5,0)))</f>
        <v/>
      </c>
      <c r="AJ295" s="30" t="inlineStr">
        <is>
          <t>Stable</t>
        </is>
      </c>
      <c r="AK295" s="30">
        <f>IF(AJ295="Stable",10,0)</f>
        <v/>
      </c>
      <c r="AL295" s="30" t="inlineStr">
        <is>
          <t>Yes</t>
        </is>
      </c>
      <c r="AM295" s="30">
        <f>IF(AL295="Yes",10,0)</f>
        <v/>
      </c>
      <c r="AN295" s="30" t="inlineStr">
        <is>
          <t>B2C</t>
        </is>
      </c>
      <c r="AO295" s="30">
        <f>IF(AN295="B2C",10,IF(AN295="B2B",5,0))</f>
        <v/>
      </c>
      <c r="AP295" s="30" t="inlineStr">
        <is>
          <t>No</t>
        </is>
      </c>
      <c r="AQ295" s="30">
        <f>IF(AP295="Yes",10,0)</f>
        <v/>
      </c>
      <c r="AR295" s="30" t="inlineStr">
        <is>
          <t>Higher Annuity, Lower One Time</t>
        </is>
      </c>
      <c r="AS295" s="30">
        <f>IF(AR295="Fully Annuity",10,IF(AR295="Higher Annuity, Lower One Time",5,IF(AR295="Higher One Time, Lower Annuity",3,0)))</f>
        <v/>
      </c>
      <c r="AT295" s="30" t="inlineStr">
        <is>
          <t>Good</t>
        </is>
      </c>
      <c r="AU295" s="30">
        <f>IF(AT295="Good",10,0)</f>
        <v/>
      </c>
      <c r="AV295" s="30" t="inlineStr">
        <is>
          <t>Yes for more than 2 years</t>
        </is>
      </c>
      <c r="AW295" s="30">
        <f>IF(AV295="Yes for more than 2 years",10,IF(AV295="Yes only for next 1 to 2 years",5,0))</f>
        <v/>
      </c>
      <c r="AX295" s="30" t="inlineStr">
        <is>
          <t>0 to 20</t>
        </is>
      </c>
      <c r="AY295" s="30">
        <f>IF(AX295="Above 40",20,IF(AX295="20 to 40",10,IF(AX295="0 to 20",-5,0)))</f>
        <v/>
      </c>
      <c r="AZ295" s="30" t="inlineStr">
        <is>
          <t>Between 50 to 75</t>
        </is>
      </c>
      <c r="BA295" s="30">
        <f>IF(AZ295="Between 50 to 75",10,IF(AZ295="Above 75",0,0))</f>
        <v/>
      </c>
      <c r="BB295" s="30" t="inlineStr">
        <is>
          <t>Stage 2</t>
        </is>
      </c>
      <c r="BC295" s="30">
        <f>IF(BB295="Stage 2",20,IF(BB295="Stage 1",0,IF(BB295="Stage 3",5,IF(BB295="Stage 4",-5,0))))</f>
        <v/>
      </c>
      <c r="BD295" s="30" t="inlineStr">
        <is>
          <t>Negative Trend</t>
        </is>
      </c>
      <c r="BE295" s="30">
        <f>IF(BD295="Positive Trend",20,IF(BD295="Negative Trend",-10,0))</f>
        <v/>
      </c>
      <c r="BF295" s="30" t="inlineStr">
        <is>
          <t>Uptrend</t>
        </is>
      </c>
      <c r="BG295" s="30">
        <f>IF(BF295="Uptrend",10,IF(BF295="Sideways",5,0))</f>
        <v/>
      </c>
      <c r="BH295" s="30" t="inlineStr">
        <is>
          <t>Uptrend</t>
        </is>
      </c>
      <c r="BI295" s="30">
        <f>IF(BH295="Uptrend",10,IF(BH295="Sideways",5,0))</f>
        <v/>
      </c>
      <c r="BJ295" s="30" t="inlineStr">
        <is>
          <t>Close to 52 week high or retracement</t>
        </is>
      </c>
      <c r="BK295" s="30">
        <f>IF(BJ295="Overhead supply in last 2 years in last 2 years",-5,IF(BJ295="Close to 52 week high or retracement",5,IF(BJ295="Blue sky scenario",10,IF(BJ295="Long term Downtrend",-10,0))))</f>
        <v/>
      </c>
      <c r="BL295" s="30" t="inlineStr">
        <is>
          <t>Yes</t>
        </is>
      </c>
      <c r="BM295" s="30">
        <f>IF(BL295="Yes",10,0)</f>
        <v/>
      </c>
      <c r="BN295" s="30" t="inlineStr">
        <is>
          <t>Less than 12%</t>
        </is>
      </c>
      <c r="BO295" s="30">
        <f>IF(BN295="More than 20%",10,IF(BN295="Between 12 to 20%",5,IF(BN295="Less than 12%",0,0)))</f>
        <v/>
      </c>
      <c r="BP295" s="30" t="inlineStr">
        <is>
          <t>No</t>
        </is>
      </c>
      <c r="BQ295" s="30">
        <f>IF(BP295="No",10,0)</f>
        <v/>
      </c>
      <c r="BR295" s="30" t="inlineStr">
        <is>
          <t>Yes</t>
        </is>
      </c>
      <c r="BS295" s="30">
        <f>IF(BR295="NO",5,0)</f>
        <v/>
      </c>
      <c r="BT295" s="30" t="inlineStr">
        <is>
          <t>Above 2</t>
        </is>
      </c>
      <c r="BU295" s="30">
        <f>IF(BT295="Above 2",0,IF(BT295="Between 1.5 to 2",5,IF(BT295="Less than 1.5",10,0)))</f>
        <v/>
      </c>
      <c r="BV295" s="30" t="inlineStr">
        <is>
          <t>Between 50% to 70%</t>
        </is>
      </c>
      <c r="BW295" s="30">
        <f>IF(BV295="Above 70%",10,IF(BV295="Between 50% to 70%",5,IF(BV295="Less than 50%",0,IF(BV295="Negative",-10,IF(BV295="Less than 50% and Borrowings are increasing",-5,0)))))</f>
        <v/>
      </c>
      <c r="BX295" s="30" t="inlineStr">
        <is>
          <t>Less than 0.7</t>
        </is>
      </c>
      <c r="BY295" s="30">
        <f>IF(BX295="More than 1.2",-10,IF(BX295="Between 0.7 to 1.2",0,IF(BX295="Less than 0.7",10,0)))</f>
        <v/>
      </c>
      <c r="BZ295" s="30" t="inlineStr">
        <is>
          <t>No</t>
        </is>
      </c>
      <c r="CA295" s="30">
        <f>IF(BZ295="Yes",-10,0)</f>
        <v/>
      </c>
      <c r="CB295" s="30" t="inlineStr">
        <is>
          <t>Less than 15%</t>
        </is>
      </c>
      <c r="CC295" s="30">
        <f>IF(CB295="More than 15%",-10,IF(CB295="Less than 15%",10,0))</f>
        <v/>
      </c>
      <c r="CD295" s="30" t="inlineStr">
        <is>
          <t>No</t>
        </is>
      </c>
      <c r="CE295" s="30">
        <f>IF(CD295="Yes, more than 10%",-10,IF(CD295="No",10,0))</f>
        <v/>
      </c>
    </row>
    <row r="296">
      <c r="A296" s="30">
        <f>IF(B296=0,"",RANK(B296,$B$2:$B$306,0))</f>
        <v/>
      </c>
      <c r="B296" s="31">
        <f>SUM(N296,Y296,AA296,AC296,AE296,AG296,AI296,AK296,AM296,AO296,AQ296,AS296,AU296,AW296,AY296,BA296,BC296,BE296,BG296,BI296,BK296,BM296,BO296,BQ296,BS296,BU296,BW296,BY296,CA296,CC296,CE296)</f>
        <v/>
      </c>
      <c r="C296" s="32" t="inlineStr">
        <is>
          <t>ITI</t>
        </is>
      </c>
      <c r="D296" s="32" t="inlineStr">
        <is>
          <t>Iti Limited</t>
        </is>
      </c>
      <c r="E296" s="30" t="inlineStr">
        <is>
          <t>aerospace &amp; defence</t>
        </is>
      </c>
      <c r="F296" s="30" t="inlineStr">
        <is>
          <t>telecommunications - equipment</t>
        </is>
      </c>
      <c r="G296" s="30" t="inlineStr">
        <is>
          <t>largecap</t>
        </is>
      </c>
      <c r="H296" s="31" t="n">
        <v>29058.87</v>
      </c>
      <c r="I296" s="31" t="n">
        <v>302</v>
      </c>
      <c r="J296" s="31" t="n">
        <v>0.07000000000000001</v>
      </c>
      <c r="K296" s="31" t="n">
        <v>777791</v>
      </c>
      <c r="L296" s="30" t="n">
        <v>6</v>
      </c>
      <c r="M296" s="30" t="inlineStr">
        <is>
          <t>Underperforming</t>
        </is>
      </c>
      <c r="N296" s="31">
        <f>IF(M296="Underperforming",-5,IF(L296&gt;=95,15,IF(L296&gt;=90,10,IF(L296&gt;=80,5,0))))</f>
        <v/>
      </c>
      <c r="O296" s="31" t="n">
        <v>54.69</v>
      </c>
      <c r="P296" s="31" t="n">
        <v>17.91</v>
      </c>
      <c r="Q296" s="31" t="n">
        <v>228.98</v>
      </c>
      <c r="R296" s="30" t="inlineStr">
        <is>
          <t>Earnings / Momentum Support</t>
        </is>
      </c>
      <c r="S296" s="30" t="inlineStr">
        <is>
          <t>Nifty 50</t>
        </is>
      </c>
      <c r="T296" s="31" t="n">
        <v>-6.54</v>
      </c>
      <c r="U296" s="31" t="n">
        <v>-7.16</v>
      </c>
      <c r="V296" s="31" t="n">
        <v>-0.66</v>
      </c>
      <c r="W296" s="31" t="n">
        <v>2.32</v>
      </c>
      <c r="X296" s="30" t="inlineStr">
        <is>
          <t>Growing Industry</t>
        </is>
      </c>
      <c r="Y296" s="30">
        <f>IF(X296="Growing Industry",10,IF(X296="Cyclical in an Upturn",5,0))</f>
        <v/>
      </c>
      <c r="Z296" s="30" t="inlineStr">
        <is>
          <t>Oligopoly</t>
        </is>
      </c>
      <c r="AA296" s="30">
        <f>IF(Z296="Monopoly",10,IF(Z296="Oligopoly",5,IF(Z296="Duopoly that cooperate",10,IF(Z296="Duopoly that compete",5,IF(Z296="Too many players with High ROCE",5,0)))))</f>
        <v/>
      </c>
      <c r="AB296" s="30" t="inlineStr">
        <is>
          <t>Yes</t>
        </is>
      </c>
      <c r="AC296" s="30">
        <f>IF(AB296="No",5,0)</f>
        <v/>
      </c>
      <c r="AD296" s="30" t="inlineStr">
        <is>
          <t>Headwind</t>
        </is>
      </c>
      <c r="AE296" s="30">
        <f>IF(AD296="Tailwind",10,0)</f>
        <v/>
      </c>
      <c r="AF296" s="30" t="inlineStr">
        <is>
          <t>Structural (10 Years Consistency)</t>
        </is>
      </c>
      <c r="AG296" s="30">
        <f>IF(AF296="Structural (10 Years Consistency)",10,IF(AF296="Shallow Cyclical (2 to 3 years growth)",5,0))</f>
        <v/>
      </c>
      <c r="AH296" s="30" t="inlineStr">
        <is>
          <t>No</t>
        </is>
      </c>
      <c r="AI296" s="30">
        <f>IF(AH296="Yes due to Product Mix change or Operating Leverage",10,IF(AH296="Yes, these are peak margins",-5,IF(AH296="No",5,0)))</f>
        <v/>
      </c>
      <c r="AJ296" s="30" t="inlineStr">
        <is>
          <t>Stable</t>
        </is>
      </c>
      <c r="AK296" s="30">
        <f>IF(AJ296="Stable",10,0)</f>
        <v/>
      </c>
      <c r="AL296" s="30" t="inlineStr">
        <is>
          <t>Yes</t>
        </is>
      </c>
      <c r="AM296" s="30">
        <f>IF(AL296="Yes",10,0)</f>
        <v/>
      </c>
      <c r="AN296" s="30" t="inlineStr">
        <is>
          <t>B2B</t>
        </is>
      </c>
      <c r="AO296" s="30">
        <f>IF(AN296="B2C",10,IF(AN296="B2B",5,0))</f>
        <v/>
      </c>
      <c r="AP296" s="30" t="inlineStr">
        <is>
          <t>No</t>
        </is>
      </c>
      <c r="AQ296" s="30">
        <f>IF(AP296="Yes",10,0)</f>
        <v/>
      </c>
      <c r="AR296" s="30" t="inlineStr">
        <is>
          <t>Higher One Time, Lower Annuity</t>
        </is>
      </c>
      <c r="AS296" s="30">
        <f>IF(AR296="Fully Annuity",10,IF(AR296="Higher Annuity, Lower One Time",5,IF(AR296="Higher One Time, Lower Annuity",3,0)))</f>
        <v/>
      </c>
      <c r="AT296" s="30" t="inlineStr">
        <is>
          <t>Good</t>
        </is>
      </c>
      <c r="AU296" s="30">
        <f>IF(AT296="Good",10,0)</f>
        <v/>
      </c>
      <c r="AV296" s="30" t="inlineStr">
        <is>
          <t>Yes for more than 2 years</t>
        </is>
      </c>
      <c r="AW296" s="30">
        <f>IF(AV296="Yes for more than 2 years",10,IF(AV296="Yes only for next 1 to 2 years",5,0))</f>
        <v/>
      </c>
      <c r="AX296" s="30" t="inlineStr">
        <is>
          <t>0 to 20</t>
        </is>
      </c>
      <c r="AY296" s="30">
        <f>IF(AX296="Above 40",20,IF(AX296="20 to 40",10,IF(AX296="0 to 20",-5,0)))</f>
        <v/>
      </c>
      <c r="AZ296" s="30" t="inlineStr">
        <is>
          <t>Between 50 to 75</t>
        </is>
      </c>
      <c r="BA296" s="30">
        <f>IF(AZ296="Between 50 to 75",10,IF(AZ296="Above 75",0,0))</f>
        <v/>
      </c>
      <c r="BB296" s="30" t="inlineStr">
        <is>
          <t>Stage 1</t>
        </is>
      </c>
      <c r="BC296" s="30">
        <f>IF(BB296="Stage 2",20,IF(BB296="Stage 1",0,IF(BB296="Stage 3",5,IF(BB296="Stage 4",-5,0))))</f>
        <v/>
      </c>
      <c r="BD296" s="30" t="inlineStr">
        <is>
          <t>Positive Trend</t>
        </is>
      </c>
      <c r="BE296" s="30">
        <f>IF(BD296="Positive Trend",20,IF(BD296="Negative Trend",-10,0))</f>
        <v/>
      </c>
      <c r="BF296" s="30" t="inlineStr">
        <is>
          <t>Uptrend</t>
        </is>
      </c>
      <c r="BG296" s="30">
        <f>IF(BF296="Uptrend",10,IF(BF296="Sideways",5,0))</f>
        <v/>
      </c>
      <c r="BH296" s="30" t="inlineStr">
        <is>
          <t>Uptrend</t>
        </is>
      </c>
      <c r="BI296" s="30">
        <f>IF(BH296="Uptrend",10,IF(BH296="Sideways",5,0))</f>
        <v/>
      </c>
      <c r="BJ296" s="30" t="inlineStr">
        <is>
          <t>Close to 52 week high or retracement</t>
        </is>
      </c>
      <c r="BK296" s="30">
        <f>IF(BJ296="Overhead supply in last 2 years in last 2 years",-5,IF(BJ296="Close to 52 week high or retracement",5,IF(BJ296="Blue sky scenario",10,IF(BJ296="Long term Downtrend",-10,0))))</f>
        <v/>
      </c>
      <c r="BL296" s="30" t="inlineStr">
        <is>
          <t>Yes</t>
        </is>
      </c>
      <c r="BM296" s="30">
        <f>IF(BL296="Yes",10,0)</f>
        <v/>
      </c>
      <c r="BN296" s="30" t="inlineStr">
        <is>
          <t>More than 20%</t>
        </is>
      </c>
      <c r="BO296" s="30">
        <f>IF(BN296="More than 20%",10,IF(BN296="Between 12 to 20%",5,IF(BN296="Less than 12%",0,0)))</f>
        <v/>
      </c>
      <c r="BP296" s="30" t="inlineStr">
        <is>
          <t>No</t>
        </is>
      </c>
      <c r="BQ296" s="30">
        <f>IF(BP296="No",10,0)</f>
        <v/>
      </c>
      <c r="BR296" s="30" t="inlineStr">
        <is>
          <t>Yes</t>
        </is>
      </c>
      <c r="BS296" s="30">
        <f>IF(BR296="NO",5,0)</f>
        <v/>
      </c>
      <c r="BT296" s="30" t="inlineStr">
        <is>
          <t>Above 2</t>
        </is>
      </c>
      <c r="BU296" s="30">
        <f>IF(BT296="Above 2",0,IF(BT296="Between 1.5 to 2",5,IF(BT296="Less than 1.5",10,0)))</f>
        <v/>
      </c>
      <c r="BV296" s="30" t="inlineStr">
        <is>
          <t>Above 70%</t>
        </is>
      </c>
      <c r="BW296" s="30">
        <f>IF(BV296="Above 70%",10,IF(BV296="Between 50% to 70%",5,IF(BV296="Less than 50%",0,IF(BV296="Negative",-10,IF(BV296="Less than 50% and Borrowings are increasing",-5,0)))))</f>
        <v/>
      </c>
      <c r="BX296" s="30" t="inlineStr">
        <is>
          <t>Between 0.7 to 1.2</t>
        </is>
      </c>
      <c r="BY296" s="30">
        <f>IF(BX296="More than 1.2",-10,IF(BX296="Between 0.7 to 1.2",0,IF(BX296="Less than 0.7",10,0)))</f>
        <v/>
      </c>
      <c r="BZ296" s="30" t="inlineStr">
        <is>
          <t>No</t>
        </is>
      </c>
      <c r="CA296" s="30">
        <f>IF(BZ296="Yes",-10,0)</f>
        <v/>
      </c>
      <c r="CB296" s="30" t="inlineStr">
        <is>
          <t>Less than 15%</t>
        </is>
      </c>
      <c r="CC296" s="30">
        <f>IF(CB296="More than 15%",-10,IF(CB296="Less than 15%",10,0))</f>
        <v/>
      </c>
      <c r="CD296" s="30" t="inlineStr">
        <is>
          <t>No</t>
        </is>
      </c>
      <c r="CE296" s="30">
        <f>IF(CD296="Yes, more than 10%",-10,IF(CD296="No",10,0))</f>
        <v/>
      </c>
    </row>
    <row r="297">
      <c r="A297" s="30">
        <f>IF(B297=0,"",RANK(B297,$B$2:$B$306,0))</f>
        <v/>
      </c>
      <c r="B297" s="31">
        <f>SUM(N297,Y297,AA297,AC297,AE297,AG297,AI297,AK297,AM297,AO297,AQ297,AS297,AU297,AW297,AY297,BA297,BC297,BE297,BG297,BI297,BK297,BM297,BO297,BQ297,BS297,BU297,BW297,BY297,CA297,CC297,CE297)</f>
        <v/>
      </c>
      <c r="C297" s="30" t="inlineStr">
        <is>
          <t>SGIL</t>
        </is>
      </c>
      <c r="D297" s="30" t="inlineStr">
        <is>
          <t>Synergy Green Industries Ltd</t>
        </is>
      </c>
      <c r="E297" s="30" t="inlineStr">
        <is>
          <t>industrials</t>
        </is>
      </c>
      <c r="F297" s="30" t="inlineStr">
        <is>
          <t>castings &amp; forgings</t>
        </is>
      </c>
      <c r="G297" s="30" t="inlineStr">
        <is>
          <t>smallcap</t>
        </is>
      </c>
      <c r="H297" s="31" t="n">
        <v>923.1</v>
      </c>
      <c r="I297" s="31" t="n">
        <v>571.3</v>
      </c>
      <c r="J297" s="31" t="n">
        <v>-3.81</v>
      </c>
      <c r="K297" s="31" t="n">
        <v>10882</v>
      </c>
      <c r="L297" s="30" t="n">
        <v>16</v>
      </c>
      <c r="M297" s="30" t="inlineStr">
        <is>
          <t>Outperforming</t>
        </is>
      </c>
      <c r="N297" s="31">
        <f>IF(M297="Underperforming",-5,IF(L297&gt;=95,15,IF(L297&gt;=90,10,IF(L297&gt;=80,5,0))))</f>
        <v/>
      </c>
      <c r="O297" s="31" t="n">
        <v>58.42</v>
      </c>
      <c r="P297" s="31" t="n">
        <v>21.4</v>
      </c>
      <c r="Q297" s="31" t="n">
        <v>427.93</v>
      </c>
      <c r="R297" s="30" t="inlineStr">
        <is>
          <t>Volume Spike &amp; Near 52W High Breakout</t>
        </is>
      </c>
      <c r="S297" s="30" t="inlineStr">
        <is>
          <t>Nifty Infra</t>
        </is>
      </c>
      <c r="T297" s="31" t="n">
        <v>1.11</v>
      </c>
      <c r="U297" s="31" t="n">
        <v>10.04</v>
      </c>
      <c r="V297" s="31" t="n">
        <v>8.83</v>
      </c>
      <c r="W297" s="31" t="n">
        <v>4.81</v>
      </c>
      <c r="X297" s="30" t="inlineStr">
        <is>
          <t>Cyclical in an Upturn</t>
        </is>
      </c>
      <c r="Y297" s="30">
        <f>IF(X297="Growing Industry",10,IF(X297="Cyclical in an Upturn",5,0))</f>
        <v/>
      </c>
      <c r="Z297" s="30" t="inlineStr">
        <is>
          <t>Too Many Players with High ROCE</t>
        </is>
      </c>
      <c r="AA297" s="30">
        <f>IF(Z297="Monopoly",10,IF(Z297="Oligopoly",5,IF(Z297="Duopoly that cooperate",10,IF(Z297="Duopoly that compete",5,IF(Z297="Too many players with High ROCE",5,0)))))</f>
        <v/>
      </c>
      <c r="AB297" s="30" t="inlineStr">
        <is>
          <t>No</t>
        </is>
      </c>
      <c r="AC297" s="30">
        <f>IF(AB297="No",5,0)</f>
        <v/>
      </c>
      <c r="AD297" s="30" t="inlineStr">
        <is>
          <t>Tailwind</t>
        </is>
      </c>
      <c r="AE297" s="30">
        <f>IF(AD297="Tailwind",10,0)</f>
        <v/>
      </c>
      <c r="AF297" s="30" t="inlineStr">
        <is>
          <t>Structural (10 Years Consistency)</t>
        </is>
      </c>
      <c r="AG297" s="30">
        <f>IF(AF297="Structural (10 Years Consistency)",10,IF(AF297="Shallow Cyclical (2 to 3 years growth)",5,0))</f>
        <v/>
      </c>
      <c r="AH297" s="30" t="inlineStr">
        <is>
          <t>No</t>
        </is>
      </c>
      <c r="AI297" s="30">
        <f>IF(AH297="Yes due to Product Mix change or Operating Leverage",10,IF(AH297="Yes, these are peak margins",-5,IF(AH297="No",5,0)))</f>
        <v/>
      </c>
      <c r="AJ297" s="30" t="inlineStr">
        <is>
          <t>Stable</t>
        </is>
      </c>
      <c r="AK297" s="30">
        <f>IF(AJ297="Stable",10,0)</f>
        <v/>
      </c>
      <c r="AL297" s="30" t="inlineStr">
        <is>
          <t>Yes</t>
        </is>
      </c>
      <c r="AM297" s="30">
        <f>IF(AL297="Yes",10,0)</f>
        <v/>
      </c>
      <c r="AN297" s="30" t="inlineStr">
        <is>
          <t>B2B</t>
        </is>
      </c>
      <c r="AO297" s="30">
        <f>IF(AN297="B2C",10,IF(AN297="B2B",5,0))</f>
        <v/>
      </c>
      <c r="AP297" s="30" t="inlineStr">
        <is>
          <t>Yes</t>
        </is>
      </c>
      <c r="AQ297" s="30">
        <f>IF(AP297="Yes",10,0)</f>
        <v/>
      </c>
      <c r="AR297" s="30" t="inlineStr">
        <is>
          <t>Higher One Time, Lower Annuity</t>
        </is>
      </c>
      <c r="AS297" s="30">
        <f>IF(AR297="Fully Annuity",10,IF(AR297="Higher Annuity, Lower One Time",5,IF(AR297="Higher One Time, Lower Annuity",3,0)))</f>
        <v/>
      </c>
      <c r="AT297" s="30" t="inlineStr">
        <is>
          <t>Good</t>
        </is>
      </c>
      <c r="AU297" s="30">
        <f>IF(AT297="Good",10,0)</f>
        <v/>
      </c>
      <c r="AV297" s="30" t="inlineStr">
        <is>
          <t>Yes for more than 2 years</t>
        </is>
      </c>
      <c r="AW297" s="30">
        <f>IF(AV297="Yes for more than 2 years",10,IF(AV297="Yes only for next 1 to 2 years",5,0))</f>
        <v/>
      </c>
      <c r="AX297" s="30" t="inlineStr">
        <is>
          <t>20 to 40</t>
        </is>
      </c>
      <c r="AY297" s="30">
        <f>IF(AX297="Above 40",20,IF(AX297="20 to 40",10,IF(AX297="0 to 20",-5,0)))</f>
        <v/>
      </c>
      <c r="AZ297" s="30" t="inlineStr">
        <is>
          <t>Between 50 to 75</t>
        </is>
      </c>
      <c r="BA297" s="30">
        <f>IF(AZ297="Between 50 to 75",10,IF(AZ297="Above 75",0,0))</f>
        <v/>
      </c>
      <c r="BB297" s="30" t="inlineStr">
        <is>
          <t>Stage 2</t>
        </is>
      </c>
      <c r="BC297" s="30">
        <f>IF(BB297="Stage 2",20,IF(BB297="Stage 1",0,IF(BB297="Stage 3",5,IF(BB297="Stage 4",-5,0))))</f>
        <v/>
      </c>
      <c r="BD297" s="30" t="inlineStr">
        <is>
          <t>Negative Trend</t>
        </is>
      </c>
      <c r="BE297" s="30">
        <f>IF(BD297="Positive Trend",20,IF(BD297="Negative Trend",-10,0))</f>
        <v/>
      </c>
      <c r="BF297" s="30" t="inlineStr">
        <is>
          <t>Uptrend</t>
        </is>
      </c>
      <c r="BG297" s="30">
        <f>IF(BF297="Uptrend",10,IF(BF297="Sideways",5,0))</f>
        <v/>
      </c>
      <c r="BH297" s="30" t="inlineStr">
        <is>
          <t>Uptrend</t>
        </is>
      </c>
      <c r="BI297" s="30">
        <f>IF(BH297="Uptrend",10,IF(BH297="Sideways",5,0))</f>
        <v/>
      </c>
      <c r="BJ297" s="30" t="inlineStr">
        <is>
          <t>Blue sky scenario</t>
        </is>
      </c>
      <c r="BK297" s="30">
        <f>IF(BJ297="Overhead supply in last 2 years in last 2 years",-5,IF(BJ297="Close to 52 week high or retracement",5,IF(BJ297="Blue sky scenario",10,IF(BJ297="Long term Downtrend",-10,0))))</f>
        <v/>
      </c>
      <c r="BL297" s="30" t="inlineStr">
        <is>
          <t>Yes</t>
        </is>
      </c>
      <c r="BM297" s="30">
        <f>IF(BL297="Yes",10,0)</f>
        <v/>
      </c>
      <c r="BN297" s="30" t="inlineStr">
        <is>
          <t>Less than 12%</t>
        </is>
      </c>
      <c r="BO297" s="30">
        <f>IF(BN297="More than 20%",10,IF(BN297="Between 12 to 20%",5,IF(BN297="Less than 12%",0,0)))</f>
        <v/>
      </c>
      <c r="BP297" s="30" t="inlineStr">
        <is>
          <t>No</t>
        </is>
      </c>
      <c r="BQ297" s="30">
        <f>IF(BP297="No",10,0)</f>
        <v/>
      </c>
      <c r="BR297" s="30" t="inlineStr">
        <is>
          <t>Yes</t>
        </is>
      </c>
      <c r="BS297" s="30">
        <f>IF(BR297="NO",5,0)</f>
        <v/>
      </c>
      <c r="BT297" s="30" t="inlineStr">
        <is>
          <t>Above 2</t>
        </is>
      </c>
      <c r="BU297" s="30">
        <f>IF(BT297="Above 2",0,IF(BT297="Between 1.5 to 2",5,IF(BT297="Less than 1.5",10,0)))</f>
        <v/>
      </c>
      <c r="BV297" s="30" t="inlineStr">
        <is>
          <t>Less than 50% and Borrowings are increasing</t>
        </is>
      </c>
      <c r="BW297" s="30">
        <f>IF(BV297="Above 70%",10,IF(BV297="Between 50% to 70%",5,IF(BV297="Less than 50%",0,IF(BV297="Negative",-10,IF(BV297="Less than 50% and Borrowings are increasing",-5,0)))))</f>
        <v/>
      </c>
      <c r="BX297" s="30" t="inlineStr">
        <is>
          <t>More than 1.2</t>
        </is>
      </c>
      <c r="BY297" s="30">
        <f>IF(BX297="More than 1.2",-10,IF(BX297="Between 0.7 to 1.2",0,IF(BX297="Less than 0.7",10,0)))</f>
        <v/>
      </c>
      <c r="BZ297" s="30" t="inlineStr">
        <is>
          <t>No</t>
        </is>
      </c>
      <c r="CA297" s="30">
        <f>IF(BZ297="Yes",-10,0)</f>
        <v/>
      </c>
      <c r="CB297" s="30" t="inlineStr">
        <is>
          <t>Less than 15%</t>
        </is>
      </c>
      <c r="CC297" s="30">
        <f>IF(CB297="More than 15%",-10,IF(CB297="Less than 15%",10,0))</f>
        <v/>
      </c>
      <c r="CD297" s="30" t="inlineStr">
        <is>
          <t>No</t>
        </is>
      </c>
      <c r="CE297" s="30">
        <f>IF(CD297="Yes, more than 10%",-10,IF(CD297="No",10,0))</f>
        <v/>
      </c>
    </row>
    <row r="298">
      <c r="A298" s="30">
        <f>IF(B298=0,"",RANK(B298,$B$2:$B$306,0))</f>
        <v/>
      </c>
      <c r="B298" s="31">
        <f>SUM(N298,Y298,AA298,AC298,AE298,AG298,AI298,AK298,AM298,AO298,AQ298,AS298,AU298,AW298,AY298,BA298,BC298,BE298,BG298,BI298,BK298,BM298,BO298,BQ298,BS298,BU298,BW298,BY298,CA298,CC298,CE298)</f>
        <v/>
      </c>
      <c r="C298" s="30" t="inlineStr">
        <is>
          <t>SENCO</t>
        </is>
      </c>
      <c r="D298" s="30" t="inlineStr">
        <is>
          <t>Senco Gold Ltd</t>
        </is>
      </c>
      <c r="E298" s="30" t="inlineStr">
        <is>
          <t>consumer discretionary</t>
        </is>
      </c>
      <c r="F298" s="30" t="inlineStr">
        <is>
          <t>diamond cutting / jewellery</t>
        </is>
      </c>
      <c r="G298" s="30" t="inlineStr">
        <is>
          <t>midcap</t>
        </is>
      </c>
      <c r="H298" s="31" t="n">
        <v>5643.14</v>
      </c>
      <c r="I298" s="31" t="n">
        <v>350.75</v>
      </c>
      <c r="J298" s="31" t="n">
        <v>1.81</v>
      </c>
      <c r="K298" s="31" t="n">
        <v>590460</v>
      </c>
      <c r="L298" s="30" t="n">
        <v>8</v>
      </c>
      <c r="M298" s="30" t="inlineStr">
        <is>
          <t>Outperforming</t>
        </is>
      </c>
      <c r="N298" s="31">
        <f>IF(M298="Underperforming",-5,IF(L298&gt;=95,15,IF(L298&gt;=90,10,IF(L298&gt;=80,5,0))))</f>
        <v/>
      </c>
      <c r="O298" s="31" t="n">
        <v>55.85</v>
      </c>
      <c r="P298" s="31" t="n">
        <v>18.74</v>
      </c>
      <c r="Q298" s="31" t="n">
        <v>275.53</v>
      </c>
      <c r="R298" s="30" t="inlineStr">
        <is>
          <t>Earnings / Momentum Support</t>
        </is>
      </c>
      <c r="S298" s="30" t="inlineStr">
        <is>
          <t>Nifty 50</t>
        </is>
      </c>
      <c r="T298" s="31" t="n">
        <v>-6.54</v>
      </c>
      <c r="U298" s="31" t="n">
        <v>-4.31</v>
      </c>
      <c r="V298" s="31" t="n">
        <v>2.39</v>
      </c>
      <c r="W298" s="31" t="n">
        <v>3.08</v>
      </c>
      <c r="X298" s="30" t="inlineStr">
        <is>
          <t>Growing Industry</t>
        </is>
      </c>
      <c r="Y298" s="30">
        <f>IF(X298="Growing Industry",10,IF(X298="Cyclical in an Upturn",5,0))</f>
        <v/>
      </c>
      <c r="Z298" s="30" t="inlineStr">
        <is>
          <t>Too Many Players with High ROCE</t>
        </is>
      </c>
      <c r="AA298" s="30">
        <f>IF(Z298="Monopoly",10,IF(Z298="Oligopoly",5,IF(Z298="Duopoly that cooperate",10,IF(Z298="Duopoly that compete",5,IF(Z298="Too many players with High ROCE",5,0)))))</f>
        <v/>
      </c>
      <c r="AB298" s="30" t="inlineStr">
        <is>
          <t>No</t>
        </is>
      </c>
      <c r="AC298" s="30">
        <f>IF(AB298="No",5,0)</f>
        <v/>
      </c>
      <c r="AD298" s="30" t="inlineStr">
        <is>
          <t>Tailwind</t>
        </is>
      </c>
      <c r="AE298" s="30">
        <f>IF(AD298="Tailwind",10,0)</f>
        <v/>
      </c>
      <c r="AF298" s="30" t="inlineStr">
        <is>
          <t>Structural (10 Years Consistency)</t>
        </is>
      </c>
      <c r="AG298" s="30">
        <f>IF(AF298="Structural (10 Years Consistency)",10,IF(AF298="Shallow Cyclical (2 to 3 years growth)",5,0))</f>
        <v/>
      </c>
      <c r="AH298" s="30" t="inlineStr">
        <is>
          <t>No</t>
        </is>
      </c>
      <c r="AI298" s="30">
        <f>IF(AH298="Yes due to Product Mix change or Operating Leverage",10,IF(AH298="Yes, these are peak margins",-5,IF(AH298="No",5,0)))</f>
        <v/>
      </c>
      <c r="AJ298" s="30" t="inlineStr">
        <is>
          <t>Stable</t>
        </is>
      </c>
      <c r="AK298" s="30">
        <f>IF(AJ298="Stable",10,0)</f>
        <v/>
      </c>
      <c r="AL298" s="30" t="inlineStr">
        <is>
          <t>Yes</t>
        </is>
      </c>
      <c r="AM298" s="30">
        <f>IF(AL298="Yes",10,0)</f>
        <v/>
      </c>
      <c r="AN298" s="30" t="inlineStr">
        <is>
          <t>B2B</t>
        </is>
      </c>
      <c r="AO298" s="30">
        <f>IF(AN298="B2C",10,IF(AN298="B2B",5,0))</f>
        <v/>
      </c>
      <c r="AP298" s="30" t="inlineStr">
        <is>
          <t>No</t>
        </is>
      </c>
      <c r="AQ298" s="30">
        <f>IF(AP298="Yes",10,0)</f>
        <v/>
      </c>
      <c r="AR298" s="30" t="inlineStr">
        <is>
          <t>Higher One Time, Lower Annuity</t>
        </is>
      </c>
      <c r="AS298" s="30">
        <f>IF(AR298="Fully Annuity",10,IF(AR298="Higher Annuity, Lower One Time",5,IF(AR298="Higher One Time, Lower Annuity",3,0)))</f>
        <v/>
      </c>
      <c r="AT298" s="30" t="inlineStr">
        <is>
          <t>Good</t>
        </is>
      </c>
      <c r="AU298" s="30">
        <f>IF(AT298="Good",10,0)</f>
        <v/>
      </c>
      <c r="AV298" s="30" t="inlineStr">
        <is>
          <t>Yes for more than 2 years</t>
        </is>
      </c>
      <c r="AW298" s="30">
        <f>IF(AV298="Yes for more than 2 years",10,IF(AV298="Yes only for next 1 to 2 years",5,0))</f>
        <v/>
      </c>
      <c r="AX298" s="30" t="inlineStr">
        <is>
          <t>0 to 20</t>
        </is>
      </c>
      <c r="AY298" s="30">
        <f>IF(AX298="Above 40",20,IF(AX298="20 to 40",10,IF(AX298="0 to 20",-5,0)))</f>
        <v/>
      </c>
      <c r="AZ298" s="30" t="inlineStr">
        <is>
          <t>Between 50 to 75</t>
        </is>
      </c>
      <c r="BA298" s="30">
        <f>IF(AZ298="Between 50 to 75",10,IF(AZ298="Above 75",0,0))</f>
        <v/>
      </c>
      <c r="BB298" s="30" t="inlineStr">
        <is>
          <t>Stage 2</t>
        </is>
      </c>
      <c r="BC298" s="30">
        <f>IF(BB298="Stage 2",20,IF(BB298="Stage 1",0,IF(BB298="Stage 3",5,IF(BB298="Stage 4",-5,0))))</f>
        <v/>
      </c>
      <c r="BD298" s="30" t="inlineStr">
        <is>
          <t>Negative Trend</t>
        </is>
      </c>
      <c r="BE298" s="30">
        <f>IF(BD298="Positive Trend",20,IF(BD298="Negative Trend",-10,0))</f>
        <v/>
      </c>
      <c r="BF298" s="30" t="inlineStr">
        <is>
          <t>Uptrend</t>
        </is>
      </c>
      <c r="BG298" s="30">
        <f>IF(BF298="Uptrend",10,IF(BF298="Sideways",5,0))</f>
        <v/>
      </c>
      <c r="BH298" s="30" t="inlineStr">
        <is>
          <t>Uptrend</t>
        </is>
      </c>
      <c r="BI298" s="30">
        <f>IF(BH298="Uptrend",10,IF(BH298="Sideways",5,0))</f>
        <v/>
      </c>
      <c r="BJ298" s="30" t="inlineStr">
        <is>
          <t>Close to 52 week high or retracement</t>
        </is>
      </c>
      <c r="BK298" s="30">
        <f>IF(BJ298="Overhead supply in last 2 years in last 2 years",-5,IF(BJ298="Close to 52 week high or retracement",5,IF(BJ298="Blue sky scenario",10,IF(BJ298="Long term Downtrend",-10,0))))</f>
        <v/>
      </c>
      <c r="BL298" s="30" t="inlineStr">
        <is>
          <t>Yes</t>
        </is>
      </c>
      <c r="BM298" s="30">
        <f>IF(BL298="Yes",10,0)</f>
        <v/>
      </c>
      <c r="BN298" s="30" t="inlineStr">
        <is>
          <t>More than 20%</t>
        </is>
      </c>
      <c r="BO298" s="30">
        <f>IF(BN298="More than 20%",10,IF(BN298="Between 12 to 20%",5,IF(BN298="Less than 12%",0,0)))</f>
        <v/>
      </c>
      <c r="BP298" s="30" t="inlineStr">
        <is>
          <t>No</t>
        </is>
      </c>
      <c r="BQ298" s="30">
        <f>IF(BP298="No",10,0)</f>
        <v/>
      </c>
      <c r="BR298" s="30" t="inlineStr">
        <is>
          <t>No</t>
        </is>
      </c>
      <c r="BS298" s="30">
        <f>IF(BR298="NO",5,0)</f>
        <v/>
      </c>
      <c r="BT298" s="30" t="inlineStr">
        <is>
          <t>Above 2</t>
        </is>
      </c>
      <c r="BU298" s="30">
        <f>IF(BT298="Above 2",0,IF(BT298="Between 1.5 to 2",5,IF(BT298="Less than 1.5",10,0)))</f>
        <v/>
      </c>
      <c r="BV298" s="30" t="inlineStr">
        <is>
          <t>Negative</t>
        </is>
      </c>
      <c r="BW298" s="30">
        <f>IF(BV298="Above 70%",10,IF(BV298="Between 50% to 70%",5,IF(BV298="Less than 50%",0,IF(BV298="Negative",-10,IF(BV298="Less than 50% and Borrowings are increasing",-5,0)))))</f>
        <v/>
      </c>
      <c r="BX298" s="30" t="inlineStr">
        <is>
          <t>Between 0.7 to 1.2</t>
        </is>
      </c>
      <c r="BY298" s="30">
        <f>IF(BX298="More than 1.2",-10,IF(BX298="Between 0.7 to 1.2",0,IF(BX298="Less than 0.7",10,0)))</f>
        <v/>
      </c>
      <c r="BZ298" s="30" t="inlineStr">
        <is>
          <t>No</t>
        </is>
      </c>
      <c r="CA298" s="30">
        <f>IF(BZ298="Yes",-10,0)</f>
        <v/>
      </c>
      <c r="CB298" s="30" t="inlineStr">
        <is>
          <t>Less than 15%</t>
        </is>
      </c>
      <c r="CC298" s="30">
        <f>IF(CB298="More than 15%",-10,IF(CB298="Less than 15%",10,0))</f>
        <v/>
      </c>
      <c r="CD298" s="30" t="inlineStr">
        <is>
          <t>No</t>
        </is>
      </c>
      <c r="CE298" s="30">
        <f>IF(CD298="Yes, more than 10%",-10,IF(CD298="No",10,0))</f>
        <v/>
      </c>
    </row>
    <row r="299">
      <c r="A299" s="30">
        <f>IF(B299=0,"",RANK(B299,$B$2:$B$306,0))</f>
        <v/>
      </c>
      <c r="B299" s="31">
        <f>SUM(N299,Y299,AA299,AC299,AE299,AG299,AI299,AK299,AM299,AO299,AQ299,AS299,AU299,AW299,AY299,BA299,BC299,BE299,BG299,BI299,BK299,BM299,BO299,BQ299,BS299,BU299,BW299,BY299,CA299,CC299,CE299)</f>
        <v/>
      </c>
      <c r="C299" s="30" t="inlineStr">
        <is>
          <t>MSPL</t>
        </is>
      </c>
      <c r="D299" s="30" t="inlineStr">
        <is>
          <t>Msp Steel &amp; Power Limited</t>
        </is>
      </c>
      <c r="E299" s="30" t="inlineStr">
        <is>
          <t>metals &amp; mining</t>
        </is>
      </c>
      <c r="F299" s="30" t="inlineStr">
        <is>
          <t>steel - medium / small</t>
        </is>
      </c>
      <c r="G299" s="30" t="inlineStr">
        <is>
          <t>smallcap</t>
        </is>
      </c>
      <c r="H299" s="31" t="n">
        <v>2320.47</v>
      </c>
      <c r="I299" s="31" t="n">
        <v>41.1</v>
      </c>
      <c r="J299" s="31" t="n">
        <v>0.39</v>
      </c>
      <c r="K299" s="31" t="n">
        <v>4700435</v>
      </c>
      <c r="L299" s="30" t="n">
        <v>62</v>
      </c>
      <c r="M299" s="30" t="inlineStr">
        <is>
          <t>Outperforming</t>
        </is>
      </c>
      <c r="N299" s="31">
        <f>IF(M299="Underperforming",-5,IF(L299&gt;=95,15,IF(L299&gt;=90,10,IF(L299&gt;=80,5,0))))</f>
        <v/>
      </c>
      <c r="O299" s="31" t="n">
        <v>62.53</v>
      </c>
      <c r="P299" s="31" t="n">
        <v>19.59</v>
      </c>
      <c r="Q299" s="31" t="n">
        <v>32.04</v>
      </c>
      <c r="R299" s="30" t="inlineStr">
        <is>
          <t>Volume Spike &amp; Near 52W High Breakout</t>
        </is>
      </c>
      <c r="S299" s="30" t="inlineStr">
        <is>
          <t>Nifty Metal</t>
        </is>
      </c>
      <c r="T299" s="31" t="n">
        <v>40.56</v>
      </c>
      <c r="U299" s="31" t="n">
        <v>55.56</v>
      </c>
      <c r="V299" s="31" t="n">
        <v>10.67</v>
      </c>
      <c r="W299" s="31" t="n">
        <v>16.68</v>
      </c>
      <c r="X299" s="30" t="inlineStr">
        <is>
          <t>Cyclical in an Upturn</t>
        </is>
      </c>
      <c r="Y299" s="30">
        <f>IF(X299="Growing Industry",10,IF(X299="Cyclical in an Upturn",5,0))</f>
        <v/>
      </c>
      <c r="Z299" s="30" t="inlineStr">
        <is>
          <t>Too Many Players with High ROCE</t>
        </is>
      </c>
      <c r="AA299" s="30">
        <f>IF(Z299="Monopoly",10,IF(Z299="Oligopoly",5,IF(Z299="Duopoly that cooperate",10,IF(Z299="Duopoly that compete",5,IF(Z299="Too many players with High ROCE",5,0)))))</f>
        <v/>
      </c>
      <c r="AB299" s="30" t="inlineStr">
        <is>
          <t>No</t>
        </is>
      </c>
      <c r="AC299" s="30">
        <f>IF(AB299="No",5,0)</f>
        <v/>
      </c>
      <c r="AD299" s="30" t="inlineStr">
        <is>
          <t>Tailwind</t>
        </is>
      </c>
      <c r="AE299" s="30">
        <f>IF(AD299="Tailwind",10,0)</f>
        <v/>
      </c>
      <c r="AF299" s="30" t="inlineStr">
        <is>
          <t>Cyclical</t>
        </is>
      </c>
      <c r="AG299" s="30">
        <f>IF(AF299="Structural (10 Years Consistency)",10,IF(AF299="Shallow Cyclical (2 to 3 years growth)",5,0))</f>
        <v/>
      </c>
      <c r="AH299" s="30" t="inlineStr">
        <is>
          <t>No</t>
        </is>
      </c>
      <c r="AI299" s="30">
        <f>IF(AH299="Yes due to Product Mix change or Operating Leverage",10,IF(AH299="Yes, these are peak margins",-5,IF(AH299="No",5,0)))</f>
        <v/>
      </c>
      <c r="AJ299" s="30" t="inlineStr">
        <is>
          <t>Volatile</t>
        </is>
      </c>
      <c r="AK299" s="30">
        <f>IF(AJ299="Stable",10,0)</f>
        <v/>
      </c>
      <c r="AL299" s="30" t="inlineStr">
        <is>
          <t>Yes</t>
        </is>
      </c>
      <c r="AM299" s="30">
        <f>IF(AL299="Yes",10,0)</f>
        <v/>
      </c>
      <c r="AN299" s="30" t="inlineStr">
        <is>
          <t>B2B</t>
        </is>
      </c>
      <c r="AO299" s="30">
        <f>IF(AN299="B2C",10,IF(AN299="B2B",5,0))</f>
        <v/>
      </c>
      <c r="AP299" s="30" t="inlineStr">
        <is>
          <t>Yes</t>
        </is>
      </c>
      <c r="AQ299" s="30">
        <f>IF(AP299="Yes",10,0)</f>
        <v/>
      </c>
      <c r="AR299" s="30" t="inlineStr">
        <is>
          <t>Higher One Time, Lower Annuity</t>
        </is>
      </c>
      <c r="AS299" s="30">
        <f>IF(AR299="Fully Annuity",10,IF(AR299="Higher Annuity, Lower One Time",5,IF(AR299="Higher One Time, Lower Annuity",3,0)))</f>
        <v/>
      </c>
      <c r="AT299" s="30" t="inlineStr">
        <is>
          <t>Good</t>
        </is>
      </c>
      <c r="AU299" s="30">
        <f>IF(AT299="Good",10,0)</f>
        <v/>
      </c>
      <c r="AV299" s="30" t="inlineStr">
        <is>
          <t>Yes for more than 2 years</t>
        </is>
      </c>
      <c r="AW299" s="30">
        <f>IF(AV299="Yes for more than 2 years",10,IF(AV299="Yes only for next 1 to 2 years",5,0))</f>
        <v/>
      </c>
      <c r="AX299" s="30" t="inlineStr">
        <is>
          <t>0 to 20</t>
        </is>
      </c>
      <c r="AY299" s="30">
        <f>IF(AX299="Above 40",20,IF(AX299="20 to 40",10,IF(AX299="0 to 20",-5,0)))</f>
        <v/>
      </c>
      <c r="AZ299" s="30" t="inlineStr">
        <is>
          <t>Between 50 to 75</t>
        </is>
      </c>
      <c r="BA299" s="30">
        <f>IF(AZ299="Between 50 to 75",10,IF(AZ299="Above 75",0,0))</f>
        <v/>
      </c>
      <c r="BB299" s="30" t="inlineStr">
        <is>
          <t>Stage 2</t>
        </is>
      </c>
      <c r="BC299" s="30">
        <f>IF(BB299="Stage 2",20,IF(BB299="Stage 1",0,IF(BB299="Stage 3",5,IF(BB299="Stage 4",-5,0))))</f>
        <v/>
      </c>
      <c r="BD299" s="30" t="inlineStr">
        <is>
          <t>Negative Trend</t>
        </is>
      </c>
      <c r="BE299" s="30">
        <f>IF(BD299="Positive Trend",20,IF(BD299="Negative Trend",-10,0))</f>
        <v/>
      </c>
      <c r="BF299" s="30" t="inlineStr">
        <is>
          <t>Uptrend</t>
        </is>
      </c>
      <c r="BG299" s="30">
        <f>IF(BF299="Uptrend",10,IF(BF299="Sideways",5,0))</f>
        <v/>
      </c>
      <c r="BH299" s="30" t="inlineStr">
        <is>
          <t>Uptrend</t>
        </is>
      </c>
      <c r="BI299" s="30">
        <f>IF(BH299="Uptrend",10,IF(BH299="Sideways",5,0))</f>
        <v/>
      </c>
      <c r="BJ299" s="30" t="inlineStr">
        <is>
          <t>Close to 52 week high or retracement</t>
        </is>
      </c>
      <c r="BK299" s="30">
        <f>IF(BJ299="Overhead supply in last 2 years in last 2 years",-5,IF(BJ299="Close to 52 week high or retracement",5,IF(BJ299="Blue sky scenario",10,IF(BJ299="Long term Downtrend",-10,0))))</f>
        <v/>
      </c>
      <c r="BL299" s="30" t="inlineStr">
        <is>
          <t>Yes</t>
        </is>
      </c>
      <c r="BM299" s="30">
        <f>IF(BL299="Yes",10,0)</f>
        <v/>
      </c>
      <c r="BN299" s="30" t="inlineStr">
        <is>
          <t>Less than 12%</t>
        </is>
      </c>
      <c r="BO299" s="30">
        <f>IF(BN299="More than 20%",10,IF(BN299="Between 12 to 20%",5,IF(BN299="Less than 12%",0,0)))</f>
        <v/>
      </c>
      <c r="BP299" s="30" t="inlineStr">
        <is>
          <t>No</t>
        </is>
      </c>
      <c r="BQ299" s="30">
        <f>IF(BP299="No",10,0)</f>
        <v/>
      </c>
      <c r="BR299" s="30" t="inlineStr">
        <is>
          <t>Yes</t>
        </is>
      </c>
      <c r="BS299" s="30">
        <f>IF(BR299="NO",5,0)</f>
        <v/>
      </c>
      <c r="BT299" s="30" t="inlineStr">
        <is>
          <t>Above 2</t>
        </is>
      </c>
      <c r="BU299" s="30">
        <f>IF(BT299="Above 2",0,IF(BT299="Between 1.5 to 2",5,IF(BT299="Less than 1.5",10,0)))</f>
        <v/>
      </c>
      <c r="BV299" s="30" t="inlineStr">
        <is>
          <t>Above 70%</t>
        </is>
      </c>
      <c r="BW299" s="30">
        <f>IF(BV299="Above 70%",10,IF(BV299="Between 50% to 70%",5,IF(BV299="Less than 50%",0,IF(BV299="Negative",-10,IF(BV299="Less than 50% and Borrowings are increasing",-5,0)))))</f>
        <v/>
      </c>
      <c r="BX299" s="30" t="inlineStr">
        <is>
          <t>Less than 0.7</t>
        </is>
      </c>
      <c r="BY299" s="30">
        <f>IF(BX299="More than 1.2",-10,IF(BX299="Between 0.7 to 1.2",0,IF(BX299="Less than 0.7",10,0)))</f>
        <v/>
      </c>
      <c r="BZ299" s="30" t="inlineStr">
        <is>
          <t>No</t>
        </is>
      </c>
      <c r="CA299" s="30">
        <f>IF(BZ299="Yes",-10,0)</f>
        <v/>
      </c>
      <c r="CB299" s="30" t="inlineStr">
        <is>
          <t>Less than 15%</t>
        </is>
      </c>
      <c r="CC299" s="30">
        <f>IF(CB299="More than 15%",-10,IF(CB299="Less than 15%",10,0))</f>
        <v/>
      </c>
      <c r="CD299" s="30" t="inlineStr">
        <is>
          <t>No</t>
        </is>
      </c>
      <c r="CE299" s="30">
        <f>IF(CD299="Yes, more than 10%",-10,IF(CD299="No",10,0))</f>
        <v/>
      </c>
    </row>
    <row r="300">
      <c r="A300" s="30">
        <f>IF(B300=0,"",RANK(B300,$B$2:$B$306,0))</f>
        <v/>
      </c>
      <c r="B300" s="31">
        <f>SUM(N300,Y300,AA300,AC300,AE300,AG300,AI300,AK300,AM300,AO300,AQ300,AS300,AU300,AW300,AY300,BA300,BC300,BE300,BG300,BI300,BK300,BM300,BO300,BQ300,BS300,BU300,BW300,BY300,CA300,CC300,CE300)</f>
        <v/>
      </c>
      <c r="C300" s="30" t="inlineStr">
        <is>
          <t>BALAMINES</t>
        </is>
      </c>
      <c r="D300" s="30" t="inlineStr">
        <is>
          <t>Balaji Amines Limited</t>
        </is>
      </c>
      <c r="E300" s="30" t="inlineStr">
        <is>
          <t>chemicals</t>
        </is>
      </c>
      <c r="F300" s="30" t="inlineStr">
        <is>
          <t>chemicals</t>
        </is>
      </c>
      <c r="G300" s="30" t="inlineStr">
        <is>
          <t>midcap</t>
        </is>
      </c>
      <c r="H300" s="31" t="n">
        <v>6803.89</v>
      </c>
      <c r="I300" s="31" t="n">
        <v>2043.3</v>
      </c>
      <c r="J300" s="31" t="n">
        <v>-2.7</v>
      </c>
      <c r="K300" s="31" t="n">
        <v>528900</v>
      </c>
      <c r="L300" s="30" t="n">
        <v>88</v>
      </c>
      <c r="M300" s="30" t="inlineStr">
        <is>
          <t>Outperforming</t>
        </is>
      </c>
      <c r="N300" s="31">
        <f>IF(M300="Underperforming",-5,IF(L300&gt;=95,15,IF(L300&gt;=90,10,IF(L300&gt;=80,5,0))))</f>
        <v/>
      </c>
      <c r="O300" s="31" t="n">
        <v>81.09</v>
      </c>
      <c r="P300" s="31" t="n">
        <v>34.39</v>
      </c>
      <c r="Q300" s="31" t="n">
        <v>1526.39</v>
      </c>
      <c r="R300" s="30" t="inlineStr">
        <is>
          <t>Volume Spike &amp; Near 52W High Breakout</t>
        </is>
      </c>
      <c r="S300" s="30" t="inlineStr">
        <is>
          <t>Nifty 50</t>
        </is>
      </c>
      <c r="T300" s="31" t="n">
        <v>-6.54</v>
      </c>
      <c r="U300" s="31" t="n">
        <v>38.92</v>
      </c>
      <c r="V300" s="31" t="n">
        <v>48.64</v>
      </c>
      <c r="W300" s="31" t="n">
        <v>32.17</v>
      </c>
      <c r="X300" s="30" t="inlineStr">
        <is>
          <t>Growing Industry</t>
        </is>
      </c>
      <c r="Y300" s="30">
        <f>IF(X300="Growing Industry",10,IF(X300="Cyclical in an Upturn",5,0))</f>
        <v/>
      </c>
      <c r="Z300" s="30" t="inlineStr">
        <is>
          <t>Duopoly That Cooperate</t>
        </is>
      </c>
      <c r="AA300" s="30">
        <f>IF(Z300="Monopoly",10,IF(Z300="Oligopoly",5,IF(Z300="Duopoly that cooperate",10,IF(Z300="Duopoly that compete",5,IF(Z300="Too many players with High ROCE",5,0)))))</f>
        <v/>
      </c>
      <c r="AB300" s="30" t="inlineStr">
        <is>
          <t>No</t>
        </is>
      </c>
      <c r="AC300" s="30">
        <f>IF(AB300="No",5,0)</f>
        <v/>
      </c>
      <c r="AD300" s="30" t="inlineStr">
        <is>
          <t>Headwind</t>
        </is>
      </c>
      <c r="AE300" s="30">
        <f>IF(AD300="Tailwind",10,0)</f>
        <v/>
      </c>
      <c r="AF300" s="30" t="inlineStr">
        <is>
          <t>Shallow Cyclical (2 to 3 Years Growth)</t>
        </is>
      </c>
      <c r="AG300" s="30">
        <f>IF(AF300="Structural (10 Years Consistency)",10,IF(AF300="Shallow Cyclical (2 to 3 years growth)",5,0))</f>
        <v/>
      </c>
      <c r="AH300" s="30" t="inlineStr">
        <is>
          <t>No</t>
        </is>
      </c>
      <c r="AI300" s="30">
        <f>IF(AH300="Yes due to Product Mix change or Operating Leverage",10,IF(AH300="Yes, these are peak margins",-5,IF(AH300="No",5,0)))</f>
        <v/>
      </c>
      <c r="AJ300" s="30" t="inlineStr">
        <is>
          <t>Stable</t>
        </is>
      </c>
      <c r="AK300" s="30">
        <f>IF(AJ300="Stable",10,0)</f>
        <v/>
      </c>
      <c r="AL300" s="30" t="inlineStr">
        <is>
          <t>Yes</t>
        </is>
      </c>
      <c r="AM300" s="30">
        <f>IF(AL300="Yes",10,0)</f>
        <v/>
      </c>
      <c r="AN300" s="30" t="inlineStr">
        <is>
          <t>B2B</t>
        </is>
      </c>
      <c r="AO300" s="30">
        <f>IF(AN300="B2C",10,IF(AN300="B2B",5,0))</f>
        <v/>
      </c>
      <c r="AP300" s="30" t="inlineStr">
        <is>
          <t>Yes</t>
        </is>
      </c>
      <c r="AQ300" s="30">
        <f>IF(AP300="Yes",10,0)</f>
        <v/>
      </c>
      <c r="AR300" s="30" t="inlineStr">
        <is>
          <t>Higher One Time, Lower Annuity</t>
        </is>
      </c>
      <c r="AS300" s="30">
        <f>IF(AR300="Fully Annuity",10,IF(AR300="Higher Annuity, Lower One Time",5,IF(AR300="Higher One Time, Lower Annuity",3,0)))</f>
        <v/>
      </c>
      <c r="AT300" s="30" t="inlineStr">
        <is>
          <t>Good</t>
        </is>
      </c>
      <c r="AU300" s="30">
        <f>IF(AT300="Good",10,0)</f>
        <v/>
      </c>
      <c r="AV300" s="30" t="inlineStr">
        <is>
          <t>Yes for more than 2 years</t>
        </is>
      </c>
      <c r="AW300" s="30">
        <f>IF(AV300="Yes for more than 2 years",10,IF(AV300="Yes only for next 1 to 2 years",5,0))</f>
        <v/>
      </c>
      <c r="AX300" s="30" t="inlineStr">
        <is>
          <t>20 to 40</t>
        </is>
      </c>
      <c r="AY300" s="30">
        <f>IF(AX300="Above 40",20,IF(AX300="20 to 40",10,IF(AX300="0 to 20",-5,0)))</f>
        <v/>
      </c>
      <c r="AZ300" s="30" t="inlineStr">
        <is>
          <t>Between 50 to 75</t>
        </is>
      </c>
      <c r="BA300" s="30">
        <f>IF(AZ300="Between 50 to 75",10,IF(AZ300="Above 75",0,0))</f>
        <v/>
      </c>
      <c r="BB300" s="30" t="inlineStr">
        <is>
          <t>Stage 4</t>
        </is>
      </c>
      <c r="BC300" s="30">
        <f>IF(BB300="Stage 2",20,IF(BB300="Stage 1",0,IF(BB300="Stage 3",5,IF(BB300="Stage 4",-5,0))))</f>
        <v/>
      </c>
      <c r="BD300" s="30" t="inlineStr">
        <is>
          <t>Negative Trend</t>
        </is>
      </c>
      <c r="BE300" s="30">
        <f>IF(BD300="Positive Trend",20,IF(BD300="Negative Trend",-10,0))</f>
        <v/>
      </c>
      <c r="BF300" s="30" t="inlineStr">
        <is>
          <t>Downtrend</t>
        </is>
      </c>
      <c r="BG300" s="30">
        <f>IF(BF300="Uptrend",10,IF(BF300="Sideways",5,0))</f>
        <v/>
      </c>
      <c r="BH300" s="30" t="inlineStr">
        <is>
          <t>Uptrend</t>
        </is>
      </c>
      <c r="BI300" s="30">
        <f>IF(BH300="Uptrend",10,IF(BH300="Sideways",5,0))</f>
        <v/>
      </c>
      <c r="BJ300" s="30" t="inlineStr">
        <is>
          <t>Overhead supply in last 2 years in last 2 years</t>
        </is>
      </c>
      <c r="BK300" s="30">
        <f>IF(BJ300="Overhead supply in last 2 years in last 2 years",-5,IF(BJ300="Close to 52 week high or retracement",5,IF(BJ300="Blue sky scenario",10,IF(BJ300="Long term Downtrend",-10,0))))</f>
        <v/>
      </c>
      <c r="BL300" s="30" t="inlineStr">
        <is>
          <t>No</t>
        </is>
      </c>
      <c r="BM300" s="30">
        <f>IF(BL300="Yes",10,0)</f>
        <v/>
      </c>
      <c r="BN300" s="30" t="inlineStr">
        <is>
          <t>More than 20%</t>
        </is>
      </c>
      <c r="BO300" s="30">
        <f>IF(BN300="More than 20%",10,IF(BN300="Between 12 to 20%",5,IF(BN300="Less than 12%",0,0)))</f>
        <v/>
      </c>
      <c r="BP300" s="30" t="inlineStr">
        <is>
          <t>No</t>
        </is>
      </c>
      <c r="BQ300" s="30">
        <f>IF(BP300="No",10,0)</f>
        <v/>
      </c>
      <c r="BR300" s="30" t="inlineStr">
        <is>
          <t>No</t>
        </is>
      </c>
      <c r="BS300" s="30">
        <f>IF(BR300="NO",5,0)</f>
        <v/>
      </c>
      <c r="BT300" s="30" t="inlineStr">
        <is>
          <t>Less than 1.5</t>
        </is>
      </c>
      <c r="BU300" s="30">
        <f>IF(BT300="Above 2",0,IF(BT300="Between 1.5 to 2",5,IF(BT300="Less than 1.5",10,0)))</f>
        <v/>
      </c>
      <c r="BV300" s="30" t="inlineStr">
        <is>
          <t>Between 50% to 70%</t>
        </is>
      </c>
      <c r="BW300" s="30">
        <f>IF(BV300="Above 70%",10,IF(BV300="Between 50% to 70%",5,IF(BV300="Less than 50%",0,IF(BV300="Negative",-10,IF(BV300="Less than 50% and Borrowings are increasing",-5,0)))))</f>
        <v/>
      </c>
      <c r="BX300" s="30" t="inlineStr">
        <is>
          <t>Less than 0.7</t>
        </is>
      </c>
      <c r="BY300" s="30">
        <f>IF(BX300="More than 1.2",-10,IF(BX300="Between 0.7 to 1.2",0,IF(BX300="Less than 0.7",10,0)))</f>
        <v/>
      </c>
      <c r="BZ300" s="30" t="inlineStr">
        <is>
          <t>No</t>
        </is>
      </c>
      <c r="CA300" s="30">
        <f>IF(BZ300="Yes",-10,0)</f>
        <v/>
      </c>
      <c r="CB300" s="30" t="inlineStr">
        <is>
          <t>Less than 15%</t>
        </is>
      </c>
      <c r="CC300" s="30">
        <f>IF(CB300="More than 15%",-10,IF(CB300="Less than 15%",10,0))</f>
        <v/>
      </c>
      <c r="CD300" s="30" t="inlineStr">
        <is>
          <t>No</t>
        </is>
      </c>
      <c r="CE300" s="30">
        <f>IF(CD300="Yes, more than 10%",-10,IF(CD300="No",10,0))</f>
        <v/>
      </c>
    </row>
    <row r="301">
      <c r="A301" s="30">
        <f>IF(B301=0,"",RANK(B301,$B$2:$B$306,0))</f>
        <v/>
      </c>
      <c r="B301" s="31">
        <f>SUM(N301,Y301,AA301,AC301,AE301,AG301,AI301,AK301,AM301,AO301,AQ301,AS301,AU301,AW301,AY301,BA301,BC301,BE301,BG301,BI301,BK301,BM301,BO301,BQ301,BS301,BU301,BW301,BY301,CA301,CC301,CE301)</f>
        <v/>
      </c>
      <c r="C301" s="32" t="inlineStr">
        <is>
          <t>IRISDOREME</t>
        </is>
      </c>
      <c r="D301" s="32" t="inlineStr">
        <is>
          <t>Iris Clothings Ltd</t>
        </is>
      </c>
      <c r="E301" s="30" t="inlineStr">
        <is>
          <t>consumer discretionary</t>
        </is>
      </c>
      <c r="F301" s="30" t="inlineStr">
        <is>
          <t>textiles - products</t>
        </is>
      </c>
      <c r="G301" s="30" t="inlineStr">
        <is>
          <t>smallcap</t>
        </is>
      </c>
      <c r="H301" s="31" t="n">
        <v>694.14</v>
      </c>
      <c r="I301" s="31" t="n">
        <v>36.76</v>
      </c>
      <c r="J301" s="31" t="n">
        <v>0.8</v>
      </c>
      <c r="K301" s="31" t="n">
        <v>291849</v>
      </c>
      <c r="L301" s="30" t="n">
        <v>1</v>
      </c>
      <c r="M301" s="30" t="inlineStr">
        <is>
          <t>Underperforming</t>
        </is>
      </c>
      <c r="N301" s="31">
        <f>IF(M301="Underperforming",-5,IF(L301&gt;=95,15,IF(L301&gt;=90,10,IF(L301&gt;=80,5,0))))</f>
        <v/>
      </c>
      <c r="O301" s="31" t="n">
        <v>56.43</v>
      </c>
      <c r="P301" s="31" t="n">
        <v>15.87</v>
      </c>
      <c r="Q301" s="31" t="n">
        <v>26.32</v>
      </c>
      <c r="R301" s="30" t="inlineStr">
        <is>
          <t>Earnings / Momentum Support</t>
        </is>
      </c>
      <c r="S301" s="30" t="inlineStr">
        <is>
          <t>Nifty 50</t>
        </is>
      </c>
      <c r="T301" s="31" t="n">
        <v>-6.54</v>
      </c>
      <c r="U301" s="31" t="n">
        <v>-38.92</v>
      </c>
      <c r="V301" s="31" t="n">
        <v>-34.64</v>
      </c>
      <c r="W301" s="31" t="n">
        <v>-2.61</v>
      </c>
      <c r="X301" s="30" t="inlineStr">
        <is>
          <t>Growing Industry</t>
        </is>
      </c>
      <c r="Y301" s="30">
        <f>IF(X301="Growing Industry",10,IF(X301="Cyclical in an Upturn",5,0))</f>
        <v/>
      </c>
      <c r="Z301" s="30" t="inlineStr">
        <is>
          <t>Too Many Players with High ROCE</t>
        </is>
      </c>
      <c r="AA301" s="30">
        <f>IF(Z301="Monopoly",10,IF(Z301="Oligopoly",5,IF(Z301="Duopoly that cooperate",10,IF(Z301="Duopoly that compete",5,IF(Z301="Too many players with High ROCE",5,0)))))</f>
        <v/>
      </c>
      <c r="AB301" s="30" t="inlineStr">
        <is>
          <t>No</t>
        </is>
      </c>
      <c r="AC301" s="30">
        <f>IF(AB301="No",5,0)</f>
        <v/>
      </c>
      <c r="AD301" s="30" t="inlineStr">
        <is>
          <t>Tailwind</t>
        </is>
      </c>
      <c r="AE301" s="30">
        <f>IF(AD301="Tailwind",10,0)</f>
        <v/>
      </c>
      <c r="AF301" s="30" t="inlineStr">
        <is>
          <t>Structural (10 Years Consistency)</t>
        </is>
      </c>
      <c r="AG301" s="30">
        <f>IF(AF301="Structural (10 Years Consistency)",10,IF(AF301="Shallow Cyclical (2 to 3 years growth)",5,0))</f>
        <v/>
      </c>
      <c r="AH301" s="30" t="inlineStr">
        <is>
          <t>No</t>
        </is>
      </c>
      <c r="AI301" s="30">
        <f>IF(AH301="Yes due to Product Mix change or Operating Leverage",10,IF(AH301="Yes, these are peak margins",-5,IF(AH301="No",5,0)))</f>
        <v/>
      </c>
      <c r="AJ301" s="30" t="inlineStr">
        <is>
          <t>Stable</t>
        </is>
      </c>
      <c r="AK301" s="30">
        <f>IF(AJ301="Stable",10,0)</f>
        <v/>
      </c>
      <c r="AL301" s="30" t="inlineStr">
        <is>
          <t>Yes</t>
        </is>
      </c>
      <c r="AM301" s="30">
        <f>IF(AL301="Yes",10,0)</f>
        <v/>
      </c>
      <c r="AN301" s="30" t="inlineStr">
        <is>
          <t>B2B</t>
        </is>
      </c>
      <c r="AO301" s="30">
        <f>IF(AN301="B2C",10,IF(AN301="B2B",5,0))</f>
        <v/>
      </c>
      <c r="AP301" s="30" t="inlineStr">
        <is>
          <t>No</t>
        </is>
      </c>
      <c r="AQ301" s="30">
        <f>IF(AP301="Yes",10,0)</f>
        <v/>
      </c>
      <c r="AR301" s="30" t="inlineStr">
        <is>
          <t>Higher One Time, Lower Annuity</t>
        </is>
      </c>
      <c r="AS301" s="30">
        <f>IF(AR301="Fully Annuity",10,IF(AR301="Higher Annuity, Lower One Time",5,IF(AR301="Higher One Time, Lower Annuity",3,0)))</f>
        <v/>
      </c>
      <c r="AT301" s="30" t="inlineStr">
        <is>
          <t>Good</t>
        </is>
      </c>
      <c r="AU301" s="30">
        <f>IF(AT301="Good",10,0)</f>
        <v/>
      </c>
      <c r="AV301" s="30" t="inlineStr">
        <is>
          <t>Yes for more than 2 years</t>
        </is>
      </c>
      <c r="AW301" s="30">
        <f>IF(AV301="Yes for more than 2 years",10,IF(AV301="Yes only for next 1 to 2 years",5,0))</f>
        <v/>
      </c>
      <c r="AX301" s="30" t="inlineStr">
        <is>
          <t>0 to 20</t>
        </is>
      </c>
      <c r="AY301" s="30">
        <f>IF(AX301="Above 40",20,IF(AX301="20 to 40",10,IF(AX301="0 to 20",-5,0)))</f>
        <v/>
      </c>
      <c r="AZ301" s="30" t="inlineStr">
        <is>
          <t>Between 50 to 75</t>
        </is>
      </c>
      <c r="BA301" s="30">
        <f>IF(AZ301="Between 50 to 75",10,IF(AZ301="Above 75",0,0))</f>
        <v/>
      </c>
      <c r="BB301" s="30" t="inlineStr">
        <is>
          <t>Stage 2</t>
        </is>
      </c>
      <c r="BC301" s="30">
        <f>IF(BB301="Stage 2",20,IF(BB301="Stage 1",0,IF(BB301="Stage 3",5,IF(BB301="Stage 4",-5,0))))</f>
        <v/>
      </c>
      <c r="BD301" s="30" t="inlineStr">
        <is>
          <t>Negative Trend</t>
        </is>
      </c>
      <c r="BE301" s="30">
        <f>IF(BD301="Positive Trend",20,IF(BD301="Negative Trend",-10,0))</f>
        <v/>
      </c>
      <c r="BF301" s="30" t="inlineStr">
        <is>
          <t>Uptrend</t>
        </is>
      </c>
      <c r="BG301" s="30">
        <f>IF(BF301="Uptrend",10,IF(BF301="Sideways",5,0))</f>
        <v/>
      </c>
      <c r="BH301" s="30" t="inlineStr">
        <is>
          <t>Uptrend</t>
        </is>
      </c>
      <c r="BI301" s="30">
        <f>IF(BH301="Uptrend",10,IF(BH301="Sideways",5,0))</f>
        <v/>
      </c>
      <c r="BJ301" s="30" t="inlineStr">
        <is>
          <t>Close to 52 week high or retracement</t>
        </is>
      </c>
      <c r="BK301" s="30">
        <f>IF(BJ301="Overhead supply in last 2 years in last 2 years",-5,IF(BJ301="Close to 52 week high or retracement",5,IF(BJ301="Blue sky scenario",10,IF(BJ301="Long term Downtrend",-10,0))))</f>
        <v/>
      </c>
      <c r="BL301" s="30" t="inlineStr">
        <is>
          <t>Yes</t>
        </is>
      </c>
      <c r="BM301" s="30">
        <f>IF(BL301="Yes",10,0)</f>
        <v/>
      </c>
      <c r="BN301" s="30" t="inlineStr">
        <is>
          <t>Between 12 to 20%</t>
        </is>
      </c>
      <c r="BO301" s="30">
        <f>IF(BN301="More than 20%",10,IF(BN301="Between 12 to 20%",5,IF(BN301="Less than 12%",0,0)))</f>
        <v/>
      </c>
      <c r="BP301" s="30" t="inlineStr">
        <is>
          <t>No</t>
        </is>
      </c>
      <c r="BQ301" s="30">
        <f>IF(BP301="No",10,0)</f>
        <v/>
      </c>
      <c r="BR301" s="30" t="inlineStr">
        <is>
          <t>Yes</t>
        </is>
      </c>
      <c r="BS301" s="30">
        <f>IF(BR301="NO",5,0)</f>
        <v/>
      </c>
      <c r="BT301" s="30" t="inlineStr">
        <is>
          <t>Above 2</t>
        </is>
      </c>
      <c r="BU301" s="30">
        <f>IF(BT301="Above 2",0,IF(BT301="Between 1.5 to 2",5,IF(BT301="Less than 1.5",10,0)))</f>
        <v/>
      </c>
      <c r="BV301" s="30" t="inlineStr">
        <is>
          <t>Negative</t>
        </is>
      </c>
      <c r="BW301" s="30">
        <f>IF(BV301="Above 70%",10,IF(BV301="Between 50% to 70%",5,IF(BV301="Less than 50%",0,IF(BV301="Negative",-10,IF(BV301="Less than 50% and Borrowings are increasing",-5,0)))))</f>
        <v/>
      </c>
      <c r="BX301" s="30" t="inlineStr">
        <is>
          <t>Less than 0.7</t>
        </is>
      </c>
      <c r="BY301" s="30">
        <f>IF(BX301="More than 1.2",-10,IF(BX301="Between 0.7 to 1.2",0,IF(BX301="Less than 0.7",10,0)))</f>
        <v/>
      </c>
      <c r="BZ301" s="30" t="inlineStr">
        <is>
          <t>No</t>
        </is>
      </c>
      <c r="CA301" s="30">
        <f>IF(BZ301="Yes",-10,0)</f>
        <v/>
      </c>
      <c r="CB301" s="30" t="inlineStr">
        <is>
          <t>Less than 15%</t>
        </is>
      </c>
      <c r="CC301" s="30">
        <f>IF(CB301="More than 15%",-10,IF(CB301="Less than 15%",10,0))</f>
        <v/>
      </c>
      <c r="CD301" s="30" t="inlineStr">
        <is>
          <t>No</t>
        </is>
      </c>
      <c r="CE301" s="30">
        <f>IF(CD301="Yes, more than 10%",-10,IF(CD301="No",10,0))</f>
        <v/>
      </c>
    </row>
    <row r="302">
      <c r="A302" s="30">
        <f>IF(B302=0,"",RANK(B302,$B$2:$B$306,0))</f>
        <v/>
      </c>
      <c r="B302" s="31">
        <f>SUM(N302,Y302,AA302,AC302,AE302,AG302,AI302,AK302,AM302,AO302,AQ302,AS302,AU302,AW302,AY302,BA302,BC302,BE302,BG302,BI302,BK302,BM302,BO302,BQ302,BS302,BU302,BW302,BY302,CA302,CC302,CE302)</f>
        <v/>
      </c>
      <c r="C302" s="30" t="inlineStr">
        <is>
          <t>GUJTHEM</t>
        </is>
      </c>
      <c r="D302" s="30" t="inlineStr">
        <is>
          <t>Gujarat Themis Biosyn Ltd</t>
        </is>
      </c>
      <c r="E302" s="30" t="inlineStr">
        <is>
          <t>healthcare</t>
        </is>
      </c>
      <c r="F302" s="30" t="inlineStr">
        <is>
          <t>pharmaceuticals - indian - bulk drugs</t>
        </is>
      </c>
      <c r="G302" s="30" t="inlineStr">
        <is>
          <t>smallcap</t>
        </is>
      </c>
      <c r="H302" s="31" t="n">
        <v>4485.56</v>
      </c>
      <c r="I302" s="31" t="n">
        <v>413.2</v>
      </c>
      <c r="J302" s="31" t="n">
        <v>0.38</v>
      </c>
      <c r="K302" s="31" t="n">
        <v>137723</v>
      </c>
      <c r="L302" s="30" t="n">
        <v>56</v>
      </c>
      <c r="M302" s="30" t="inlineStr">
        <is>
          <t>Outperforming</t>
        </is>
      </c>
      <c r="N302" s="31">
        <f>IF(M302="Underperforming",-5,IF(L302&gt;=95,15,IF(L302&gt;=90,10,IF(L302&gt;=80,5,0))))</f>
        <v/>
      </c>
      <c r="O302" s="31" t="n">
        <v>62.15</v>
      </c>
      <c r="P302" s="31" t="n">
        <v>24.75</v>
      </c>
      <c r="Q302" s="31" t="n">
        <v>286.42</v>
      </c>
      <c r="R302" s="30" t="inlineStr">
        <is>
          <t>Earnings / Momentum Support</t>
        </is>
      </c>
      <c r="S302" s="30" t="inlineStr">
        <is>
          <t>Nifty Pharma</t>
        </is>
      </c>
      <c r="T302" s="31" t="n">
        <v>11.82</v>
      </c>
      <c r="U302" s="31" t="n">
        <v>28.32</v>
      </c>
      <c r="V302" s="31" t="n">
        <v>14.76</v>
      </c>
      <c r="W302" s="31" t="n">
        <v>14.76</v>
      </c>
      <c r="X302" s="30" t="inlineStr">
        <is>
          <t>Growing Industry</t>
        </is>
      </c>
      <c r="Y302" s="30">
        <f>IF(X302="Growing Industry",10,IF(X302="Cyclical in an Upturn",5,0))</f>
        <v/>
      </c>
      <c r="Z302" s="30" t="inlineStr">
        <is>
          <t>Oligopoly</t>
        </is>
      </c>
      <c r="AA302" s="30">
        <f>IF(Z302="Monopoly",10,IF(Z302="Oligopoly",5,IF(Z302="Duopoly that cooperate",10,IF(Z302="Duopoly that compete",5,IF(Z302="Too many players with High ROCE",5,0)))))</f>
        <v/>
      </c>
      <c r="AB302" s="30" t="inlineStr">
        <is>
          <t>No</t>
        </is>
      </c>
      <c r="AC302" s="30">
        <f>IF(AB302="No",5,0)</f>
        <v/>
      </c>
      <c r="AD302" s="30" t="inlineStr">
        <is>
          <t>Tailwind</t>
        </is>
      </c>
      <c r="AE302" s="30">
        <f>IF(AD302="Tailwind",10,0)</f>
        <v/>
      </c>
      <c r="AF302" s="30" t="inlineStr">
        <is>
          <t>Shallow Cyclical (2 to 3 Years Growth)</t>
        </is>
      </c>
      <c r="AG302" s="30">
        <f>IF(AF302="Structural (10 Years Consistency)",10,IF(AF302="Shallow Cyclical (2 to 3 years growth)",5,0))</f>
        <v/>
      </c>
      <c r="AH302" s="30" t="inlineStr">
        <is>
          <t>Yes due to Product Mix change or Operating Leverage</t>
        </is>
      </c>
      <c r="AI302" s="30">
        <f>IF(AH302="Yes due to Product Mix change or Operating Leverage",10,IF(AH302="Yes, these are peak margins",-5,IF(AH302="No",5,0)))</f>
        <v/>
      </c>
      <c r="AJ302" s="30" t="inlineStr">
        <is>
          <t>Volatile</t>
        </is>
      </c>
      <c r="AK302" s="30">
        <f>IF(AJ302="Stable",10,0)</f>
        <v/>
      </c>
      <c r="AL302" s="30" t="inlineStr">
        <is>
          <t>Yes</t>
        </is>
      </c>
      <c r="AM302" s="30">
        <f>IF(AL302="Yes",10,0)</f>
        <v/>
      </c>
      <c r="AN302" s="30" t="inlineStr">
        <is>
          <t>B2B</t>
        </is>
      </c>
      <c r="AO302" s="30">
        <f>IF(AN302="B2C",10,IF(AN302="B2B",5,0))</f>
        <v/>
      </c>
      <c r="AP302" s="30" t="inlineStr">
        <is>
          <t>Yes</t>
        </is>
      </c>
      <c r="AQ302" s="30">
        <f>IF(AP302="Yes",10,0)</f>
        <v/>
      </c>
      <c r="AR302" s="30" t="inlineStr">
        <is>
          <t>Higher One Time, Lower Annuity</t>
        </is>
      </c>
      <c r="AS302" s="30">
        <f>IF(AR302="Fully Annuity",10,IF(AR302="Higher Annuity, Lower One Time",5,IF(AR302="Higher One Time, Lower Annuity",3,0)))</f>
        <v/>
      </c>
      <c r="AT302" s="30" t="inlineStr">
        <is>
          <t>Allocated capital in Non-core Areas</t>
        </is>
      </c>
      <c r="AU302" s="30">
        <f>IF(AT302="Good",10,0)</f>
        <v/>
      </c>
      <c r="AV302" s="30" t="inlineStr">
        <is>
          <t>Yes for more than 2 years</t>
        </is>
      </c>
      <c r="AW302" s="30">
        <f>IF(AV302="Yes for more than 2 years",10,IF(AV302="Yes only for next 1 to 2 years",5,0))</f>
        <v/>
      </c>
      <c r="AX302" s="30" t="inlineStr">
        <is>
          <t>Above 40</t>
        </is>
      </c>
      <c r="AY302" s="30">
        <f>IF(AX302="Above 40",20,IF(AX302="20 to 40",10,IF(AX302="0 to 20",-5,0)))</f>
        <v/>
      </c>
      <c r="AZ302" s="30" t="inlineStr">
        <is>
          <t>Between 50 to 75</t>
        </is>
      </c>
      <c r="BA302" s="30">
        <f>IF(AZ302="Between 50 to 75",10,IF(AZ302="Above 75",0,0))</f>
        <v/>
      </c>
      <c r="BB302" s="30" t="inlineStr">
        <is>
          <t>Stage 3</t>
        </is>
      </c>
      <c r="BC302" s="30">
        <f>IF(BB302="Stage 2",20,IF(BB302="Stage 1",0,IF(BB302="Stage 3",5,IF(BB302="Stage 4",-5,0))))</f>
        <v/>
      </c>
      <c r="BD302" s="30" t="inlineStr">
        <is>
          <t>Negative Trend</t>
        </is>
      </c>
      <c r="BE302" s="30">
        <f>IF(BD302="Positive Trend",20,IF(BD302="Negative Trend",-10,0))</f>
        <v/>
      </c>
      <c r="BF302" s="30" t="inlineStr">
        <is>
          <t>Sideways</t>
        </is>
      </c>
      <c r="BG302" s="30">
        <f>IF(BF302="Uptrend",10,IF(BF302="Sideways",5,0))</f>
        <v/>
      </c>
      <c r="BH302" s="30" t="inlineStr">
        <is>
          <t>Uptrend</t>
        </is>
      </c>
      <c r="BI302" s="30">
        <f>IF(BH302="Uptrend",10,IF(BH302="Sideways",5,0))</f>
        <v/>
      </c>
      <c r="BJ302" s="30" t="inlineStr">
        <is>
          <t>Overhead supply in last 2 years in last 2 years</t>
        </is>
      </c>
      <c r="BK302" s="30">
        <f>IF(BJ302="Overhead supply in last 2 years in last 2 years",-5,IF(BJ302="Close to 52 week high or retracement",5,IF(BJ302="Blue sky scenario",10,IF(BJ302="Long term Downtrend",-10,0))))</f>
        <v/>
      </c>
      <c r="BL302" s="30" t="inlineStr">
        <is>
          <t>Yes</t>
        </is>
      </c>
      <c r="BM302" s="30">
        <f>IF(BL302="Yes",10,0)</f>
        <v/>
      </c>
      <c r="BN302" s="30" t="inlineStr">
        <is>
          <t>More than 20%</t>
        </is>
      </c>
      <c r="BO302" s="30">
        <f>IF(BN302="More than 20%",10,IF(BN302="Between 12 to 20%",5,IF(BN302="Less than 12%",0,0)))</f>
        <v/>
      </c>
      <c r="BP302" s="30" t="inlineStr">
        <is>
          <t>No</t>
        </is>
      </c>
      <c r="BQ302" s="30">
        <f>IF(BP302="No",10,0)</f>
        <v/>
      </c>
      <c r="BR302" s="30" t="inlineStr">
        <is>
          <t>No</t>
        </is>
      </c>
      <c r="BS302" s="30">
        <f>IF(BR302="NO",5,0)</f>
        <v/>
      </c>
      <c r="BT302" s="30" t="inlineStr">
        <is>
          <t>Less than 1.5</t>
        </is>
      </c>
      <c r="BU302" s="30">
        <f>IF(BT302="Above 2",0,IF(BT302="Between 1.5 to 2",5,IF(BT302="Less than 1.5",10,0)))</f>
        <v/>
      </c>
      <c r="BV302" s="30" t="inlineStr">
        <is>
          <t>Above 70%</t>
        </is>
      </c>
      <c r="BW302" s="30">
        <f>IF(BV302="Above 70%",10,IF(BV302="Between 50% to 70%",5,IF(BV302="Less than 50%",0,IF(BV302="Negative",-10,IF(BV302="Less than 50% and Borrowings are increasing",-5,0)))))</f>
        <v/>
      </c>
      <c r="BX302" s="30" t="inlineStr">
        <is>
          <t>Less than 0.7</t>
        </is>
      </c>
      <c r="BY302" s="30">
        <f>IF(BX302="More than 1.2",-10,IF(BX302="Between 0.7 to 1.2",0,IF(BX302="Less than 0.7",10,0)))</f>
        <v/>
      </c>
      <c r="BZ302" s="30" t="inlineStr">
        <is>
          <t>No</t>
        </is>
      </c>
      <c r="CA302" s="30">
        <f>IF(BZ302="Yes",-10,0)</f>
        <v/>
      </c>
      <c r="CB302" s="30" t="inlineStr">
        <is>
          <t>More than 15%</t>
        </is>
      </c>
      <c r="CC302" s="30">
        <f>IF(CB302="More than 15%",-10,IF(CB302="Less than 15%",10,0))</f>
        <v/>
      </c>
      <c r="CD302" s="30" t="inlineStr">
        <is>
          <t>Yes Upto 10%</t>
        </is>
      </c>
      <c r="CE302" s="30">
        <f>IF(CD302="Yes, more than 10%",-10,IF(CD302="No",10,0))</f>
        <v/>
      </c>
    </row>
    <row r="303">
      <c r="A303" s="30">
        <f>IF(B303=0,"",RANK(B303,$B$2:$B$306,0))</f>
        <v/>
      </c>
      <c r="B303" s="31">
        <f>SUM(N303,Y303,AA303,AC303,AE303,AG303,AI303,AK303,AM303,AO303,AQ303,AS303,AU303,AW303,AY303,BA303,BC303,BE303,BG303,BI303,BK303,BM303,BO303,BQ303,BS303,BU303,BW303,BY303,CA303,CC303,CE303)</f>
        <v/>
      </c>
      <c r="C303" s="32" t="inlineStr">
        <is>
          <t>GAIL</t>
        </is>
      </c>
      <c r="D303" s="32" t="inlineStr">
        <is>
          <t>Gail (india) Limited</t>
        </is>
      </c>
      <c r="E303" s="30" t="inlineStr">
        <is>
          <t>energy</t>
        </is>
      </c>
      <c r="F303" s="30" t="inlineStr">
        <is>
          <t>miscellaneous</t>
        </is>
      </c>
      <c r="G303" s="30" t="inlineStr">
        <is>
          <t>largecap</t>
        </is>
      </c>
      <c r="H303" s="31" t="n">
        <v>110165.79</v>
      </c>
      <c r="I303" s="31" t="n">
        <v>167.4</v>
      </c>
      <c r="J303" s="31" t="n">
        <v>-0.09</v>
      </c>
      <c r="K303" s="31" t="n">
        <v>8047086</v>
      </c>
      <c r="L303" s="30" t="n">
        <v>1</v>
      </c>
      <c r="M303" s="30" t="inlineStr">
        <is>
          <t>Underperforming</t>
        </is>
      </c>
      <c r="N303" s="31">
        <f>IF(M303="Underperforming",-5,IF(L303&gt;=95,15,IF(L303&gt;=90,10,IF(L303&gt;=80,5,0))))</f>
        <v/>
      </c>
      <c r="O303" s="31" t="n">
        <v>55.09</v>
      </c>
      <c r="P303" s="31" t="n">
        <v>14.71</v>
      </c>
      <c r="Q303" s="31" t="n">
        <v>139.65</v>
      </c>
      <c r="R303" s="30" t="inlineStr">
        <is>
          <t>Earnings / Momentum Support</t>
        </is>
      </c>
      <c r="S303" s="30" t="inlineStr">
        <is>
          <t>Nifty Energy</t>
        </is>
      </c>
      <c r="T303" s="31" t="n">
        <v>12.31</v>
      </c>
      <c r="U303" s="31" t="n">
        <v>-9.17</v>
      </c>
      <c r="V303" s="31" t="n">
        <v>-19.13</v>
      </c>
      <c r="W303" s="31" t="n">
        <v>-0.26</v>
      </c>
      <c r="X303" s="30" t="inlineStr">
        <is>
          <t>Cyclical in an Upturn</t>
        </is>
      </c>
      <c r="Y303" s="30">
        <f>IF(X303="Growing Industry",10,IF(X303="Cyclical in an Upturn",5,0))</f>
        <v/>
      </c>
      <c r="Z303" s="30" t="inlineStr">
        <is>
          <t>Oligopoly</t>
        </is>
      </c>
      <c r="AA303" s="30">
        <f>IF(Z303="Monopoly",10,IF(Z303="Oligopoly",5,IF(Z303="Duopoly that cooperate",10,IF(Z303="Duopoly that compete",5,IF(Z303="Too many players with High ROCE",5,0)))))</f>
        <v/>
      </c>
      <c r="AB303" s="30" t="inlineStr">
        <is>
          <t>Yes</t>
        </is>
      </c>
      <c r="AC303" s="30">
        <f>IF(AB303="No",5,0)</f>
        <v/>
      </c>
      <c r="AD303" s="30" t="inlineStr">
        <is>
          <t>Tailwind</t>
        </is>
      </c>
      <c r="AE303" s="30">
        <f>IF(AD303="Tailwind",10,0)</f>
        <v/>
      </c>
      <c r="AF303" s="30" t="inlineStr">
        <is>
          <t>Cyclical</t>
        </is>
      </c>
      <c r="AG303" s="30">
        <f>IF(AF303="Structural (10 Years Consistency)",10,IF(AF303="Shallow Cyclical (2 to 3 years growth)",5,0))</f>
        <v/>
      </c>
      <c r="AH303" s="30" t="inlineStr">
        <is>
          <t>No</t>
        </is>
      </c>
      <c r="AI303" s="30">
        <f>IF(AH303="Yes due to Product Mix change or Operating Leverage",10,IF(AH303="Yes, these are peak margins",-5,IF(AH303="No",5,0)))</f>
        <v/>
      </c>
      <c r="AJ303" s="30" t="inlineStr">
        <is>
          <t>Volatile</t>
        </is>
      </c>
      <c r="AK303" s="30">
        <f>IF(AJ303="Stable",10,0)</f>
        <v/>
      </c>
      <c r="AL303" s="30" t="inlineStr">
        <is>
          <t>Yes</t>
        </is>
      </c>
      <c r="AM303" s="30">
        <f>IF(AL303="Yes",10,0)</f>
        <v/>
      </c>
      <c r="AN303" s="30" t="inlineStr">
        <is>
          <t>B2B</t>
        </is>
      </c>
      <c r="AO303" s="30">
        <f>IF(AN303="B2C",10,IF(AN303="B2B",5,0))</f>
        <v/>
      </c>
      <c r="AP303" s="30" t="inlineStr">
        <is>
          <t>No</t>
        </is>
      </c>
      <c r="AQ303" s="30">
        <f>IF(AP303="Yes",10,0)</f>
        <v/>
      </c>
      <c r="AR303" s="30" t="inlineStr">
        <is>
          <t>Higher One Time, Lower Annuity</t>
        </is>
      </c>
      <c r="AS303" s="30">
        <f>IF(AR303="Fully Annuity",10,IF(AR303="Higher Annuity, Lower One Time",5,IF(AR303="Higher One Time, Lower Annuity",3,0)))</f>
        <v/>
      </c>
      <c r="AT303" s="30" t="inlineStr">
        <is>
          <t>Good</t>
        </is>
      </c>
      <c r="AU303" s="30">
        <f>IF(AT303="Good",10,0)</f>
        <v/>
      </c>
      <c r="AV303" s="30" t="inlineStr">
        <is>
          <t>Yes for more than 2 years</t>
        </is>
      </c>
      <c r="AW303" s="30">
        <f>IF(AV303="Yes for more than 2 years",10,IF(AV303="Yes only for next 1 to 2 years",5,0))</f>
        <v/>
      </c>
      <c r="AX303" s="30" t="inlineStr">
        <is>
          <t>0 to 20</t>
        </is>
      </c>
      <c r="AY303" s="30">
        <f>IF(AX303="Above 40",20,IF(AX303="20 to 40",10,IF(AX303="0 to 20",-5,0)))</f>
        <v/>
      </c>
      <c r="AZ303" s="30" t="inlineStr">
        <is>
          <t>Between 50 to 75</t>
        </is>
      </c>
      <c r="BA303" s="30">
        <f>IF(AZ303="Between 50 to 75",10,IF(AZ303="Above 75",0,0))</f>
        <v/>
      </c>
      <c r="BB303" s="30" t="inlineStr">
        <is>
          <t>Stage 1</t>
        </is>
      </c>
      <c r="BC303" s="30">
        <f>IF(BB303="Stage 2",20,IF(BB303="Stage 1",0,IF(BB303="Stage 3",5,IF(BB303="Stage 4",-5,0))))</f>
        <v/>
      </c>
      <c r="BD303" s="30" t="inlineStr">
        <is>
          <t>Positive Trend</t>
        </is>
      </c>
      <c r="BE303" s="30">
        <f>IF(BD303="Positive Trend",20,IF(BD303="Negative Trend",-10,0))</f>
        <v/>
      </c>
      <c r="BF303" s="30" t="inlineStr">
        <is>
          <t>Uptrend</t>
        </is>
      </c>
      <c r="BG303" s="30">
        <f>IF(BF303="Uptrend",10,IF(BF303="Sideways",5,0))</f>
        <v/>
      </c>
      <c r="BH303" s="30" t="inlineStr">
        <is>
          <t>Uptrend</t>
        </is>
      </c>
      <c r="BI303" s="30">
        <f>IF(BH303="Uptrend",10,IF(BH303="Sideways",5,0))</f>
        <v/>
      </c>
      <c r="BJ303" s="30" t="inlineStr">
        <is>
          <t>Close to 52 week high or retracement</t>
        </is>
      </c>
      <c r="BK303" s="30">
        <f>IF(BJ303="Overhead supply in last 2 years in last 2 years",-5,IF(BJ303="Close to 52 week high or retracement",5,IF(BJ303="Blue sky scenario",10,IF(BJ303="Long term Downtrend",-10,0))))</f>
        <v/>
      </c>
      <c r="BL303" s="30" t="inlineStr">
        <is>
          <t>Yes</t>
        </is>
      </c>
      <c r="BM303" s="30">
        <f>IF(BL303="Yes",10,0)</f>
        <v/>
      </c>
      <c r="BN303" s="30" t="inlineStr">
        <is>
          <t>Less than 12%</t>
        </is>
      </c>
      <c r="BO303" s="30">
        <f>IF(BN303="More than 20%",10,IF(BN303="Between 12 to 20%",5,IF(BN303="Less than 12%",0,0)))</f>
        <v/>
      </c>
      <c r="BP303" s="30" t="inlineStr">
        <is>
          <t>No</t>
        </is>
      </c>
      <c r="BQ303" s="30">
        <f>IF(BP303="No",10,0)</f>
        <v/>
      </c>
      <c r="BR303" s="30" t="inlineStr">
        <is>
          <t>No</t>
        </is>
      </c>
      <c r="BS303" s="30">
        <f>IF(BR303="NO",5,0)</f>
        <v/>
      </c>
      <c r="BT303" s="30" t="inlineStr">
        <is>
          <t>Above 2</t>
        </is>
      </c>
      <c r="BU303" s="30">
        <f>IF(BT303="Above 2",0,IF(BT303="Between 1.5 to 2",5,IF(BT303="Less than 1.5",10,0)))</f>
        <v/>
      </c>
      <c r="BV303" s="30" t="inlineStr">
        <is>
          <t>Above 70%</t>
        </is>
      </c>
      <c r="BW303" s="30">
        <f>IF(BV303="Above 70%",10,IF(BV303="Between 50% to 70%",5,IF(BV303="Less than 50%",0,IF(BV303="Negative",-10,IF(BV303="Less than 50% and Borrowings are increasing",-5,0)))))</f>
        <v/>
      </c>
      <c r="BX303" s="30" t="inlineStr">
        <is>
          <t>Less than 0.7</t>
        </is>
      </c>
      <c r="BY303" s="30">
        <f>IF(BX303="More than 1.2",-10,IF(BX303="Between 0.7 to 1.2",0,IF(BX303="Less than 0.7",10,0)))</f>
        <v/>
      </c>
      <c r="BZ303" s="30" t="inlineStr">
        <is>
          <t>No</t>
        </is>
      </c>
      <c r="CA303" s="30">
        <f>IF(BZ303="Yes",-10,0)</f>
        <v/>
      </c>
      <c r="CB303" s="30" t="inlineStr">
        <is>
          <t>Less than 15%</t>
        </is>
      </c>
      <c r="CC303" s="30">
        <f>IF(CB303="More than 15%",-10,IF(CB303="Less than 15%",10,0))</f>
        <v/>
      </c>
      <c r="CD303" s="30" t="inlineStr">
        <is>
          <t>No</t>
        </is>
      </c>
      <c r="CE303" s="30">
        <f>IF(CD303="Yes, more than 10%",-10,IF(CD303="No",10,0))</f>
        <v/>
      </c>
    </row>
    <row r="304">
      <c r="A304" s="30">
        <f>IF(B304=0,"",RANK(B304,$B$2:$B$306,0))</f>
        <v/>
      </c>
      <c r="B304" s="31">
        <f>SUM(N304,Y304,AA304,AC304,AE304,AG304,AI304,AK304,AM304,AO304,AQ304,AS304,AU304,AW304,AY304,BA304,BC304,BE304,BG304,BI304,BK304,BM304,BO304,BQ304,BS304,BU304,BW304,BY304,CA304,CC304,CE304)</f>
        <v/>
      </c>
      <c r="C304" s="30" t="inlineStr">
        <is>
          <t>TITAN</t>
        </is>
      </c>
      <c r="D304" s="30" t="inlineStr">
        <is>
          <t>Titan Company Limited</t>
        </is>
      </c>
      <c r="E304" s="30" t="inlineStr">
        <is>
          <t>consumer discretionary</t>
        </is>
      </c>
      <c r="F304" s="30" t="inlineStr">
        <is>
          <t>diamond cutting / jewellery</t>
        </is>
      </c>
      <c r="G304" s="30" t="inlineStr">
        <is>
          <t>largecap</t>
        </is>
      </c>
      <c r="H304" s="31" t="n">
        <v>375622.32</v>
      </c>
      <c r="I304" s="31" t="n">
        <v>4260.2</v>
      </c>
      <c r="J304" s="31" t="n">
        <v>0.6899999999999999</v>
      </c>
      <c r="K304" s="31" t="n">
        <v>1390200</v>
      </c>
      <c r="L304" s="30" t="n">
        <v>13</v>
      </c>
      <c r="M304" s="30" t="inlineStr">
        <is>
          <t>Outperforming</t>
        </is>
      </c>
      <c r="N304" s="31">
        <f>IF(M304="Underperforming",-5,IF(L304&gt;=95,15,IF(L304&gt;=90,10,IF(L304&gt;=80,5,0))))</f>
        <v/>
      </c>
      <c r="O304" s="31" t="n">
        <v>54.43</v>
      </c>
      <c r="P304" s="31" t="n">
        <v>12.87</v>
      </c>
      <c r="Q304" s="31" t="n">
        <v>3854.87</v>
      </c>
      <c r="R304" s="30" t="inlineStr">
        <is>
          <t>Earnings / Momentum Support</t>
        </is>
      </c>
      <c r="S304" s="30" t="inlineStr">
        <is>
          <t>Nifty 50</t>
        </is>
      </c>
      <c r="T304" s="31" t="n">
        <v>-6.54</v>
      </c>
      <c r="U304" s="31" t="n">
        <v>20.03</v>
      </c>
      <c r="V304" s="31" t="n">
        <v>28.44</v>
      </c>
      <c r="W304" s="31" t="n">
        <v>3.87</v>
      </c>
      <c r="X304" s="30" t="inlineStr">
        <is>
          <t>Growing Industry</t>
        </is>
      </c>
      <c r="Y304" s="30">
        <f>IF(X304="Growing Industry",10,IF(X304="Cyclical in an Upturn",5,0))</f>
        <v/>
      </c>
      <c r="Z304" s="30" t="inlineStr">
        <is>
          <t>Too Many Players with High ROCE</t>
        </is>
      </c>
      <c r="AA304" s="30">
        <f>IF(Z304="Monopoly",10,IF(Z304="Oligopoly",5,IF(Z304="Duopoly that cooperate",10,IF(Z304="Duopoly that compete",5,IF(Z304="Too many players with High ROCE",5,0)))))</f>
        <v/>
      </c>
      <c r="AB304" s="30" t="inlineStr">
        <is>
          <t>No</t>
        </is>
      </c>
      <c r="AC304" s="30">
        <f>IF(AB304="No",5,0)</f>
        <v/>
      </c>
      <c r="AD304" s="30" t="inlineStr">
        <is>
          <t>Tailwind</t>
        </is>
      </c>
      <c r="AE304" s="30">
        <f>IF(AD304="Tailwind",10,0)</f>
        <v/>
      </c>
      <c r="AF304" s="30" t="inlineStr">
        <is>
          <t>Structural (10 Years Consistency)</t>
        </is>
      </c>
      <c r="AG304" s="30">
        <f>IF(AF304="Structural (10 Years Consistency)",10,IF(AF304="Shallow Cyclical (2 to 3 years growth)",5,0))</f>
        <v/>
      </c>
      <c r="AH304" s="30" t="inlineStr">
        <is>
          <t>No</t>
        </is>
      </c>
      <c r="AI304" s="30">
        <f>IF(AH304="Yes due to Product Mix change or Operating Leverage",10,IF(AH304="Yes, these are peak margins",-5,IF(AH304="No",5,0)))</f>
        <v/>
      </c>
      <c r="AJ304" s="30" t="inlineStr">
        <is>
          <t>Stable</t>
        </is>
      </c>
      <c r="AK304" s="30">
        <f>IF(AJ304="Stable",10,0)</f>
        <v/>
      </c>
      <c r="AL304" s="30" t="inlineStr">
        <is>
          <t>Yes</t>
        </is>
      </c>
      <c r="AM304" s="30">
        <f>IF(AL304="Yes",10,0)</f>
        <v/>
      </c>
      <c r="AN304" s="30" t="inlineStr">
        <is>
          <t>B2B</t>
        </is>
      </c>
      <c r="AO304" s="30">
        <f>IF(AN304="B2C",10,IF(AN304="B2B",5,0))</f>
        <v/>
      </c>
      <c r="AP304" s="30" t="inlineStr">
        <is>
          <t>No</t>
        </is>
      </c>
      <c r="AQ304" s="30">
        <f>IF(AP304="Yes",10,0)</f>
        <v/>
      </c>
      <c r="AR304" s="30" t="inlineStr">
        <is>
          <t>Higher One Time, Lower Annuity</t>
        </is>
      </c>
      <c r="AS304" s="30">
        <f>IF(AR304="Fully Annuity",10,IF(AR304="Higher Annuity, Lower One Time",5,IF(AR304="Higher One Time, Lower Annuity",3,0)))</f>
        <v/>
      </c>
      <c r="AT304" s="30" t="inlineStr">
        <is>
          <t>Good</t>
        </is>
      </c>
      <c r="AU304" s="30">
        <f>IF(AT304="Good",10,0)</f>
        <v/>
      </c>
      <c r="AV304" s="30" t="inlineStr">
        <is>
          <t>Yes for more than 2 years</t>
        </is>
      </c>
      <c r="AW304" s="30">
        <f>IF(AV304="Yes for more than 2 years",10,IF(AV304="Yes only for next 1 to 2 years",5,0))</f>
        <v/>
      </c>
      <c r="AX304" s="30" t="inlineStr">
        <is>
          <t>0 to 20</t>
        </is>
      </c>
      <c r="AY304" s="30">
        <f>IF(AX304="Above 40",20,IF(AX304="20 to 40",10,IF(AX304="0 to 20",-5,0)))</f>
        <v/>
      </c>
      <c r="AZ304" s="30" t="inlineStr">
        <is>
          <t>Between 50 to 75</t>
        </is>
      </c>
      <c r="BA304" s="30">
        <f>IF(AZ304="Between 50 to 75",10,IF(AZ304="Above 75",0,0))</f>
        <v/>
      </c>
      <c r="BB304" s="30" t="inlineStr">
        <is>
          <t>Stage 1</t>
        </is>
      </c>
      <c r="BC304" s="30">
        <f>IF(BB304="Stage 2",20,IF(BB304="Stage 1",0,IF(BB304="Stage 3",5,IF(BB304="Stage 4",-5,0))))</f>
        <v/>
      </c>
      <c r="BD304" s="30" t="inlineStr">
        <is>
          <t>Negative Trend</t>
        </is>
      </c>
      <c r="BE304" s="30">
        <f>IF(BD304="Positive Trend",20,IF(BD304="Negative Trend",-10,0))</f>
        <v/>
      </c>
      <c r="BF304" s="30" t="inlineStr">
        <is>
          <t>Uptrend</t>
        </is>
      </c>
      <c r="BG304" s="30">
        <f>IF(BF304="Uptrend",10,IF(BF304="Sideways",5,0))</f>
        <v/>
      </c>
      <c r="BH304" s="30" t="inlineStr">
        <is>
          <t>Uptrend</t>
        </is>
      </c>
      <c r="BI304" s="30">
        <f>IF(BH304="Uptrend",10,IF(BH304="Sideways",5,0))</f>
        <v/>
      </c>
      <c r="BJ304" s="30" t="inlineStr">
        <is>
          <t>Close to 52 week high or retracement</t>
        </is>
      </c>
      <c r="BK304" s="30">
        <f>IF(BJ304="Overhead supply in last 2 years in last 2 years",-5,IF(BJ304="Close to 52 week high or retracement",5,IF(BJ304="Blue sky scenario",10,IF(BJ304="Long term Downtrend",-10,0))))</f>
        <v/>
      </c>
      <c r="BL304" s="30" t="inlineStr">
        <is>
          <t>Yes</t>
        </is>
      </c>
      <c r="BM304" s="30">
        <f>IF(BL304="Yes",10,0)</f>
        <v/>
      </c>
      <c r="BN304" s="30" t="inlineStr">
        <is>
          <t>More than 20%</t>
        </is>
      </c>
      <c r="BO304" s="30">
        <f>IF(BN304="More than 20%",10,IF(BN304="Between 12 to 20%",5,IF(BN304="Less than 12%",0,0)))</f>
        <v/>
      </c>
      <c r="BP304" s="30" t="inlineStr">
        <is>
          <t>No</t>
        </is>
      </c>
      <c r="BQ304" s="30">
        <f>IF(BP304="No",10,0)</f>
        <v/>
      </c>
      <c r="BR304" s="30" t="inlineStr">
        <is>
          <t>Yes</t>
        </is>
      </c>
      <c r="BS304" s="30">
        <f>IF(BR304="NO",5,0)</f>
        <v/>
      </c>
      <c r="BT304" s="30" t="inlineStr">
        <is>
          <t>Above 2</t>
        </is>
      </c>
      <c r="BU304" s="30">
        <f>IF(BT304="Above 2",0,IF(BT304="Between 1.5 to 2",5,IF(BT304="Less than 1.5",10,0)))</f>
        <v/>
      </c>
      <c r="BV304" s="30" t="inlineStr">
        <is>
          <t>Between 50% to 70%</t>
        </is>
      </c>
      <c r="BW304" s="30">
        <f>IF(BV304="Above 70%",10,IF(BV304="Between 50% to 70%",5,IF(BV304="Less than 50%",0,IF(BV304="Negative",-10,IF(BV304="Less than 50% and Borrowings are increasing",-5,0)))))</f>
        <v/>
      </c>
      <c r="BX304" s="30" t="inlineStr">
        <is>
          <t>More than 1.2</t>
        </is>
      </c>
      <c r="BY304" s="30">
        <f>IF(BX304="More than 1.2",-10,IF(BX304="Between 0.7 to 1.2",0,IF(BX304="Less than 0.7",10,0)))</f>
        <v/>
      </c>
      <c r="BZ304" s="30" t="inlineStr">
        <is>
          <t>No</t>
        </is>
      </c>
      <c r="CA304" s="30">
        <f>IF(BZ304="Yes",-10,0)</f>
        <v/>
      </c>
      <c r="CB304" s="30" t="inlineStr">
        <is>
          <t>Less than 15%</t>
        </is>
      </c>
      <c r="CC304" s="30">
        <f>IF(CB304="More than 15%",-10,IF(CB304="Less than 15%",10,0))</f>
        <v/>
      </c>
      <c r="CD304" s="30" t="inlineStr">
        <is>
          <t>No</t>
        </is>
      </c>
      <c r="CE304" s="30">
        <f>IF(CD304="Yes, more than 10%",-10,IF(CD304="No",10,0))</f>
        <v/>
      </c>
    </row>
    <row r="305">
      <c r="A305" s="30">
        <f>IF(B305=0,"",RANK(B305,$B$2:$B$306,0))</f>
        <v/>
      </c>
      <c r="B305" s="31">
        <f>SUM(N305,Y305,AA305,AC305,AE305,AG305,AI305,AK305,AM305,AO305,AQ305,AS305,AU305,AW305,AY305,BA305,BC305,BE305,BG305,BI305,BK305,BM305,BO305,BQ305,BS305,BU305,BW305,BY305,CA305,CC305,CE305)</f>
        <v/>
      </c>
      <c r="C305" s="32" t="inlineStr">
        <is>
          <t>KOVAI</t>
        </is>
      </c>
      <c r="D305" s="32" t="inlineStr">
        <is>
          <t>Kovai Medical Center &amp; Hospital Ltd</t>
        </is>
      </c>
      <c r="E305" s="30" t="inlineStr">
        <is>
          <t>healthcare</t>
        </is>
      </c>
      <c r="F305" s="30" t="inlineStr">
        <is>
          <t>healthcare</t>
        </is>
      </c>
      <c r="G305" s="30" t="inlineStr">
        <is>
          <t>midcap</t>
        </is>
      </c>
      <c r="H305" s="31" t="n">
        <v>5896.79</v>
      </c>
      <c r="I305" s="31" t="n">
        <v>5398</v>
      </c>
      <c r="J305" s="31" t="n">
        <v>0.17</v>
      </c>
      <c r="K305" s="31" t="n">
        <v>2202</v>
      </c>
      <c r="L305" s="30" t="n">
        <v>1</v>
      </c>
      <c r="M305" s="30" t="inlineStr">
        <is>
          <t>Underperforming</t>
        </is>
      </c>
      <c r="N305" s="31">
        <f>IF(M305="Underperforming",-5,IF(L305&gt;=95,15,IF(L305&gt;=90,10,IF(L305&gt;=80,5,0))))</f>
        <v/>
      </c>
      <c r="O305" s="31" t="n">
        <v>43.76</v>
      </c>
      <c r="P305" s="31" t="n">
        <v>19.97</v>
      </c>
      <c r="Q305" s="31" t="n">
        <v>4759.27</v>
      </c>
      <c r="R305" s="30" t="inlineStr">
        <is>
          <t>Earnings / Momentum Support</t>
        </is>
      </c>
      <c r="S305" s="30" t="inlineStr">
        <is>
          <t>Nifty Pharma</t>
        </is>
      </c>
      <c r="T305" s="31" t="n">
        <v>11.82</v>
      </c>
      <c r="U305" s="31" t="n">
        <v>-11.82</v>
      </c>
      <c r="V305" s="31" t="n">
        <v>-21.14</v>
      </c>
      <c r="W305" s="31" t="n">
        <v>-1.95</v>
      </c>
      <c r="X305" s="30" t="inlineStr">
        <is>
          <t>Growing Industry</t>
        </is>
      </c>
      <c r="Y305" s="30">
        <f>IF(X305="Growing Industry",10,IF(X305="Cyclical in an Upturn",5,0))</f>
        <v/>
      </c>
      <c r="Z305" s="30" t="inlineStr">
        <is>
          <t>Too Many Players with High ROCE</t>
        </is>
      </c>
      <c r="AA305" s="30">
        <f>IF(Z305="Monopoly",10,IF(Z305="Oligopoly",5,IF(Z305="Duopoly that cooperate",10,IF(Z305="Duopoly that compete",5,IF(Z305="Too many players with High ROCE",5,0)))))</f>
        <v/>
      </c>
      <c r="AB305" s="30" t="inlineStr">
        <is>
          <t>Yes</t>
        </is>
      </c>
      <c r="AC305" s="30">
        <f>IF(AB305="No",5,0)</f>
        <v/>
      </c>
      <c r="AD305" s="30" t="inlineStr">
        <is>
          <t>Headwind</t>
        </is>
      </c>
      <c r="AE305" s="30">
        <f>IF(AD305="Tailwind",10,0)</f>
        <v/>
      </c>
      <c r="AF305" s="30" t="inlineStr">
        <is>
          <t>Structural (10 Years Consistency)</t>
        </is>
      </c>
      <c r="AG305" s="30">
        <f>IF(AF305="Structural (10 Years Consistency)",10,IF(AF305="Shallow Cyclical (2 to 3 years growth)",5,0))</f>
        <v/>
      </c>
      <c r="AH305" s="30" t="inlineStr">
        <is>
          <t>No</t>
        </is>
      </c>
      <c r="AI305" s="30">
        <f>IF(AH305="Yes due to Product Mix change or Operating Leverage",10,IF(AH305="Yes, these are peak margins",-5,IF(AH305="No",5,0)))</f>
        <v/>
      </c>
      <c r="AJ305" s="30" t="inlineStr">
        <is>
          <t>Stable</t>
        </is>
      </c>
      <c r="AK305" s="30">
        <f>IF(AJ305="Stable",10,0)</f>
        <v/>
      </c>
      <c r="AL305" s="30" t="inlineStr">
        <is>
          <t>Yes</t>
        </is>
      </c>
      <c r="AM305" s="30">
        <f>IF(AL305="Yes",10,0)</f>
        <v/>
      </c>
      <c r="AN305" s="30" t="inlineStr">
        <is>
          <t>B2B</t>
        </is>
      </c>
      <c r="AO305" s="30">
        <f>IF(AN305="B2C",10,IF(AN305="B2B",5,0))</f>
        <v/>
      </c>
      <c r="AP305" s="30" t="inlineStr">
        <is>
          <t>No</t>
        </is>
      </c>
      <c r="AQ305" s="30">
        <f>IF(AP305="Yes",10,0)</f>
        <v/>
      </c>
      <c r="AR305" s="30" t="inlineStr">
        <is>
          <t>Higher Annuity, Lower One Time</t>
        </is>
      </c>
      <c r="AS305" s="30">
        <f>IF(AR305="Fully Annuity",10,IF(AR305="Higher Annuity, Lower One Time",5,IF(AR305="Higher One Time, Lower Annuity",3,0)))</f>
        <v/>
      </c>
      <c r="AT305" s="30" t="inlineStr">
        <is>
          <t>Good</t>
        </is>
      </c>
      <c r="AU305" s="30">
        <f>IF(AT305="Good",10,0)</f>
        <v/>
      </c>
      <c r="AV305" s="30" t="inlineStr">
        <is>
          <t>Yes for more than 2 years</t>
        </is>
      </c>
      <c r="AW305" s="30">
        <f>IF(AV305="Yes for more than 2 years",10,IF(AV305="Yes only for next 1 to 2 years",5,0))</f>
        <v/>
      </c>
      <c r="AX305" s="30" t="inlineStr">
        <is>
          <t>0 to 20</t>
        </is>
      </c>
      <c r="AY305" s="30">
        <f>IF(AX305="Above 40",20,IF(AX305="20 to 40",10,IF(AX305="0 to 20",-5,0)))</f>
        <v/>
      </c>
      <c r="AZ305" s="30" t="inlineStr">
        <is>
          <t>Below 45</t>
        </is>
      </c>
      <c r="BA305" s="30">
        <f>IF(AZ305="Between 50 to 75",10,IF(AZ305="Above 75",0,0))</f>
        <v/>
      </c>
      <c r="BB305" s="30" t="inlineStr">
        <is>
          <t>Stage 4</t>
        </is>
      </c>
      <c r="BC305" s="30">
        <f>IF(BB305="Stage 2",20,IF(BB305="Stage 1",0,IF(BB305="Stage 3",5,IF(BB305="Stage 4",-5,0))))</f>
        <v/>
      </c>
      <c r="BD305" s="30" t="inlineStr">
        <is>
          <t>Negative Trend</t>
        </is>
      </c>
      <c r="BE305" s="30">
        <f>IF(BD305="Positive Trend",20,IF(BD305="Negative Trend",-10,0))</f>
        <v/>
      </c>
      <c r="BF305" s="30" t="inlineStr">
        <is>
          <t>Uptrend</t>
        </is>
      </c>
      <c r="BG305" s="30">
        <f>IF(BF305="Uptrend",10,IF(BF305="Sideways",5,0))</f>
        <v/>
      </c>
      <c r="BH305" s="30" t="inlineStr">
        <is>
          <t>Uptrend</t>
        </is>
      </c>
      <c r="BI305" s="30">
        <f>IF(BH305="Uptrend",10,IF(BH305="Sideways",5,0))</f>
        <v/>
      </c>
      <c r="BJ305" s="30" t="inlineStr">
        <is>
          <t>Close to 52 week high or retracement</t>
        </is>
      </c>
      <c r="BK305" s="30">
        <f>IF(BJ305="Overhead supply in last 2 years in last 2 years",-5,IF(BJ305="Close to 52 week high or retracement",5,IF(BJ305="Blue sky scenario",10,IF(BJ305="Long term Downtrend",-10,0))))</f>
        <v/>
      </c>
      <c r="BL305" s="30" t="inlineStr">
        <is>
          <t>Yes</t>
        </is>
      </c>
      <c r="BM305" s="30">
        <f>IF(BL305="Yes",10,0)</f>
        <v/>
      </c>
      <c r="BN305" s="30" t="inlineStr">
        <is>
          <t>Between 12 to 20%</t>
        </is>
      </c>
      <c r="BO305" s="30">
        <f>IF(BN305="More than 20%",10,IF(BN305="Between 12 to 20%",5,IF(BN305="Less than 12%",0,0)))</f>
        <v/>
      </c>
      <c r="BP305" s="30" t="inlineStr">
        <is>
          <t>No</t>
        </is>
      </c>
      <c r="BQ305" s="30">
        <f>IF(BP305="No",10,0)</f>
        <v/>
      </c>
      <c r="BR305" s="30" t="inlineStr">
        <is>
          <t>No</t>
        </is>
      </c>
      <c r="BS305" s="30">
        <f>IF(BR305="NO",5,0)</f>
        <v/>
      </c>
      <c r="BT305" s="30" t="inlineStr">
        <is>
          <t>Between 1.5 to 2</t>
        </is>
      </c>
      <c r="BU305" s="30">
        <f>IF(BT305="Above 2",0,IF(BT305="Between 1.5 to 2",5,IF(BT305="Less than 1.5",10,0)))</f>
        <v/>
      </c>
      <c r="BV305" s="30" t="inlineStr">
        <is>
          <t>Above 70%</t>
        </is>
      </c>
      <c r="BW305" s="30">
        <f>IF(BV305="Above 70%",10,IF(BV305="Between 50% to 70%",5,IF(BV305="Less than 50%",0,IF(BV305="Negative",-10,IF(BV305="Less than 50% and Borrowings are increasing",-5,0)))))</f>
        <v/>
      </c>
      <c r="BX305" s="30" t="inlineStr">
        <is>
          <t>Less than 0.7</t>
        </is>
      </c>
      <c r="BY305" s="30">
        <f>IF(BX305="More than 1.2",-10,IF(BX305="Between 0.7 to 1.2",0,IF(BX305="Less than 0.7",10,0)))</f>
        <v/>
      </c>
      <c r="BZ305" s="30" t="inlineStr">
        <is>
          <t>No</t>
        </is>
      </c>
      <c r="CA305" s="30">
        <f>IF(BZ305="Yes",-10,0)</f>
        <v/>
      </c>
      <c r="CB305" s="30" t="inlineStr">
        <is>
          <t>Less than 15%</t>
        </is>
      </c>
      <c r="CC305" s="30">
        <f>IF(CB305="More than 15%",-10,IF(CB305="Less than 15%",10,0))</f>
        <v/>
      </c>
      <c r="CD305" s="30" t="inlineStr">
        <is>
          <t>No</t>
        </is>
      </c>
      <c r="CE305" s="30">
        <f>IF(CD305="Yes, more than 10%",-10,IF(CD305="No",10,0))</f>
        <v/>
      </c>
    </row>
    <row r="306">
      <c r="A306" s="30">
        <f>IF(B306=0,"",RANK(B306,$B$2:$B$306,0))</f>
        <v/>
      </c>
      <c r="B306" s="31">
        <f>SUM(N306,Y306,AA306,AC306,AE306,AG306,AI306,AK306,AM306,AO306,AQ306,AS306,AU306,AW306,AY306,BA306,BC306,BE306,BG306,BI306,BK306,BM306,BO306,BQ306,BS306,BU306,BW306,BY306,CA306,CC306,CE306)</f>
        <v/>
      </c>
      <c r="C306" s="32" t="inlineStr">
        <is>
          <t>RAJRATAN</t>
        </is>
      </c>
      <c r="D306" s="32" t="inlineStr">
        <is>
          <t>Rajratan Global Wire Ltd</t>
        </is>
      </c>
      <c r="E306" s="30" t="inlineStr">
        <is>
          <t>metals &amp; mining</t>
        </is>
      </c>
      <c r="F306" s="30" t="inlineStr">
        <is>
          <t>steel - medium / small</t>
        </is>
      </c>
      <c r="G306" s="30" t="inlineStr">
        <is>
          <t>smallcap</t>
        </is>
      </c>
      <c r="H306" s="31" t="n">
        <v>2173.76</v>
      </c>
      <c r="I306" s="31" t="n">
        <v>432.15</v>
      </c>
      <c r="J306" s="31" t="n">
        <v>0.93</v>
      </c>
      <c r="K306" s="31" t="n">
        <v>81406</v>
      </c>
      <c r="L306" s="30" t="n">
        <v>11</v>
      </c>
      <c r="M306" s="30" t="inlineStr">
        <is>
          <t>Underperforming</t>
        </is>
      </c>
      <c r="N306" s="31">
        <f>IF(M306="Underperforming",-5,IF(L306&gt;=95,15,IF(L306&gt;=90,10,IF(L306&gt;=80,5,0))))</f>
        <v/>
      </c>
      <c r="O306" s="31" t="n">
        <v>53.06</v>
      </c>
      <c r="P306" s="31" t="n">
        <v>7.42</v>
      </c>
      <c r="Q306" s="31" t="n">
        <v>318.6</v>
      </c>
      <c r="R306" s="30" t="inlineStr">
        <is>
          <t>Earnings / Momentum Support</t>
        </is>
      </c>
      <c r="S306" s="30" t="inlineStr">
        <is>
          <t>Nifty Metal</t>
        </is>
      </c>
      <c r="T306" s="31" t="n">
        <v>40.56</v>
      </c>
      <c r="U306" s="31" t="n">
        <v>-0.4</v>
      </c>
      <c r="V306" s="31" t="n">
        <v>-29.14</v>
      </c>
      <c r="W306" s="31" t="n">
        <v>3.58</v>
      </c>
      <c r="X306" s="30" t="inlineStr">
        <is>
          <t>Cyclical in an Upturn</t>
        </is>
      </c>
      <c r="Y306" s="30">
        <f>IF(X306="Growing Industry",10,IF(X306="Cyclical in an Upturn",5,0))</f>
        <v/>
      </c>
      <c r="Z306" s="30" t="inlineStr">
        <is>
          <t>Too Many Players with High ROCE</t>
        </is>
      </c>
      <c r="AA306" s="30">
        <f>IF(Z306="Monopoly",10,IF(Z306="Oligopoly",5,IF(Z306="Duopoly that cooperate",10,IF(Z306="Duopoly that compete",5,IF(Z306="Too many players with High ROCE",5,0)))))</f>
        <v/>
      </c>
      <c r="AB306" s="30" t="inlineStr">
        <is>
          <t>No</t>
        </is>
      </c>
      <c r="AC306" s="30">
        <f>IF(AB306="No",5,0)</f>
        <v/>
      </c>
      <c r="AD306" s="30" t="inlineStr">
        <is>
          <t>Headwind</t>
        </is>
      </c>
      <c r="AE306" s="30">
        <f>IF(AD306="Tailwind",10,0)</f>
        <v/>
      </c>
      <c r="AF306" s="30" t="inlineStr">
        <is>
          <t>Cyclical</t>
        </is>
      </c>
      <c r="AG306" s="30">
        <f>IF(AF306="Structural (10 Years Consistency)",10,IF(AF306="Shallow Cyclical (2 to 3 years growth)",5,0))</f>
        <v/>
      </c>
      <c r="AH306" s="30" t="inlineStr">
        <is>
          <t>No</t>
        </is>
      </c>
      <c r="AI306" s="30">
        <f>IF(AH306="Yes due to Product Mix change or Operating Leverage",10,IF(AH306="Yes, these are peak margins",-5,IF(AH306="No",5,0)))</f>
        <v/>
      </c>
      <c r="AJ306" s="30" t="inlineStr">
        <is>
          <t>Volatile</t>
        </is>
      </c>
      <c r="AK306" s="30">
        <f>IF(AJ306="Stable",10,0)</f>
        <v/>
      </c>
      <c r="AL306" s="30" t="inlineStr">
        <is>
          <t>Yes</t>
        </is>
      </c>
      <c r="AM306" s="30">
        <f>IF(AL306="Yes",10,0)</f>
        <v/>
      </c>
      <c r="AN306" s="30" t="inlineStr">
        <is>
          <t>B2B</t>
        </is>
      </c>
      <c r="AO306" s="30">
        <f>IF(AN306="B2C",10,IF(AN306="B2B",5,0))</f>
        <v/>
      </c>
      <c r="AP306" s="30" t="inlineStr">
        <is>
          <t>No</t>
        </is>
      </c>
      <c r="AQ306" s="30">
        <f>IF(AP306="Yes",10,0)</f>
        <v/>
      </c>
      <c r="AR306" s="30" t="inlineStr">
        <is>
          <t>Higher One Time, Lower Annuity</t>
        </is>
      </c>
      <c r="AS306" s="30">
        <f>IF(AR306="Fully Annuity",10,IF(AR306="Higher Annuity, Lower One Time",5,IF(AR306="Higher One Time, Lower Annuity",3,0)))</f>
        <v/>
      </c>
      <c r="AT306" s="30" t="inlineStr">
        <is>
          <t>Good</t>
        </is>
      </c>
      <c r="AU306" s="30">
        <f>IF(AT306="Good",10,0)</f>
        <v/>
      </c>
      <c r="AV306" s="30" t="inlineStr">
        <is>
          <t>Yes for more than 2 years</t>
        </is>
      </c>
      <c r="AW306" s="30">
        <f>IF(AV306="Yes for more than 2 years",10,IF(AV306="Yes only for next 1 to 2 years",5,0))</f>
        <v/>
      </c>
      <c r="AX306" s="30" t="inlineStr">
        <is>
          <t>0 to 20</t>
        </is>
      </c>
      <c r="AY306" s="30">
        <f>IF(AX306="Above 40",20,IF(AX306="20 to 40",10,IF(AX306="0 to 20",-5,0)))</f>
        <v/>
      </c>
      <c r="AZ306" s="30" t="inlineStr">
        <is>
          <t>Between 50 to 75</t>
        </is>
      </c>
      <c r="BA306" s="30">
        <f>IF(AZ306="Between 50 to 75",10,IF(AZ306="Above 75",0,0))</f>
        <v/>
      </c>
      <c r="BB306" s="30" t="inlineStr">
        <is>
          <t>Stage 1</t>
        </is>
      </c>
      <c r="BC306" s="30">
        <f>IF(BB306="Stage 2",20,IF(BB306="Stage 1",0,IF(BB306="Stage 3",5,IF(BB306="Stage 4",-5,0))))</f>
        <v/>
      </c>
      <c r="BD306" s="30" t="inlineStr">
        <is>
          <t>Negative Trend</t>
        </is>
      </c>
      <c r="BE306" s="30">
        <f>IF(BD306="Positive Trend",20,IF(BD306="Negative Trend",-10,0))</f>
        <v/>
      </c>
      <c r="BF306" s="30" t="inlineStr">
        <is>
          <t>Uptrend</t>
        </is>
      </c>
      <c r="BG306" s="30">
        <f>IF(BF306="Uptrend",10,IF(BF306="Sideways",5,0))</f>
        <v/>
      </c>
      <c r="BH306" s="30" t="inlineStr">
        <is>
          <t>Uptrend</t>
        </is>
      </c>
      <c r="BI306" s="30">
        <f>IF(BH306="Uptrend",10,IF(BH306="Sideways",5,0))</f>
        <v/>
      </c>
      <c r="BJ306" s="30" t="inlineStr">
        <is>
          <t>Close to 52 week high or retracement</t>
        </is>
      </c>
      <c r="BK306" s="30">
        <f>IF(BJ306="Overhead supply in last 2 years in last 2 years",-5,IF(BJ306="Close to 52 week high or retracement",5,IF(BJ306="Blue sky scenario",10,IF(BJ306="Long term Downtrend",-10,0))))</f>
        <v/>
      </c>
      <c r="BL306" s="30" t="inlineStr">
        <is>
          <t>Yes</t>
        </is>
      </c>
      <c r="BM306" s="30">
        <f>IF(BL306="Yes",10,0)</f>
        <v/>
      </c>
      <c r="BN306" s="30" t="inlineStr">
        <is>
          <t>Less than 12%</t>
        </is>
      </c>
      <c r="BO306" s="30">
        <f>IF(BN306="More than 20%",10,IF(BN306="Between 12 to 20%",5,IF(BN306="Less than 12%",0,0)))</f>
        <v/>
      </c>
      <c r="BP306" s="30" t="inlineStr">
        <is>
          <t>No</t>
        </is>
      </c>
      <c r="BQ306" s="30">
        <f>IF(BP306="No",10,0)</f>
        <v/>
      </c>
      <c r="BR306" s="30" t="inlineStr">
        <is>
          <t>No</t>
        </is>
      </c>
      <c r="BS306" s="30">
        <f>IF(BR306="NO",5,0)</f>
        <v/>
      </c>
      <c r="BT306" s="30" t="inlineStr">
        <is>
          <t>Above 2</t>
        </is>
      </c>
      <c r="BU306" s="30">
        <f>IF(BT306="Above 2",0,IF(BT306="Between 1.5 to 2",5,IF(BT306="Less than 1.5",10,0)))</f>
        <v/>
      </c>
      <c r="BV306" s="30" t="inlineStr">
        <is>
          <t>Between 50% to 70%</t>
        </is>
      </c>
      <c r="BW306" s="30">
        <f>IF(BV306="Above 70%",10,IF(BV306="Between 50% to 70%",5,IF(BV306="Less than 50%",0,IF(BV306="Negative",-10,IF(BV306="Less than 50% and Borrowings are increasing",-5,0)))))</f>
        <v/>
      </c>
      <c r="BX306" s="30" t="inlineStr">
        <is>
          <t>Less than 0.7</t>
        </is>
      </c>
      <c r="BY306" s="30">
        <f>IF(BX306="More than 1.2",-10,IF(BX306="Between 0.7 to 1.2",0,IF(BX306="Less than 0.7",10,0)))</f>
        <v/>
      </c>
      <c r="BZ306" s="30" t="inlineStr">
        <is>
          <t>No</t>
        </is>
      </c>
      <c r="CA306" s="30">
        <f>IF(BZ306="Yes",-10,0)</f>
        <v/>
      </c>
      <c r="CB306" s="30" t="inlineStr">
        <is>
          <t>Less than 15%</t>
        </is>
      </c>
      <c r="CC306" s="30">
        <f>IF(CB306="More than 15%",-10,IF(CB306="Less than 15%",10,0))</f>
        <v/>
      </c>
      <c r="CD306" s="30" t="inlineStr">
        <is>
          <t>No</t>
        </is>
      </c>
      <c r="CE306" s="30">
        <f>IF(CD306="Yes, more than 10%",-10,IF(CD306="No",10,0))</f>
        <v/>
      </c>
    </row>
  </sheetData>
  <autoFilter ref="A1:CE306"/>
  <conditionalFormatting sqref="B2:B30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0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0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0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0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0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0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0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0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0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0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0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0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0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0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0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0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0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0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0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0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0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0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0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0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0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0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0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0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0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0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06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06">
    <cfRule type="cellIs" priority="36" operator="equal" dxfId="3" stopIfTrue="1">
      <formula>"Underperforming"</formula>
    </cfRule>
  </conditionalFormatting>
  <conditionalFormatting sqref="N2:N306">
    <cfRule type="cellIs" priority="37" operator="equal" dxfId="3" stopIfTrue="1">
      <formula>-5</formula>
    </cfRule>
  </conditionalFormatting>
  <conditionalFormatting sqref="Q2:Q306">
    <cfRule type="expression" priority="38" dxfId="0" stopIfTrue="1">
      <formula>=AND(Q2&lt;&gt;"",Q2&gt;0,I2&gt;=Q2)</formula>
    </cfRule>
    <cfRule type="expression" priority="39" dxfId="3" stopIfTrue="1">
      <formula>=AND(Q2&lt;&gt;"",Q2&gt;0,I2&lt;Q2)</formula>
    </cfRule>
  </conditionalFormatting>
  <dataValidations count="30">
    <dataValidation sqref="X2:X306" showDropDown="0" showInputMessage="0" showErrorMessage="0" allowBlank="1" type="list">
      <formula1>"Growing Industry,Stagnant Industry,Cyclical in an Upturn"</formula1>
    </dataValidation>
    <dataValidation sqref="Z2:Z30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06" showDropDown="0" showInputMessage="0" showErrorMessage="0" allowBlank="1" type="list">
      <formula1>"Yes,No"</formula1>
    </dataValidation>
    <dataValidation sqref="AD2:AD306" showDropDown="0" showInputMessage="0" showErrorMessage="0" allowBlank="1" type="list">
      <formula1>"Tailwind,Headwind"</formula1>
    </dataValidation>
    <dataValidation sqref="AF2:AF306" showDropDown="0" showInputMessage="0" showErrorMessage="0" allowBlank="1" type="list">
      <formula1>"Structural (10 Years Consistency),Shallow Cyclical (2 to 3 Years Growth),Cyclical"</formula1>
    </dataValidation>
    <dataValidation sqref="AH2:AH306" showDropDown="0" showInputMessage="0" showErrorMessage="0" allowBlank="1" type="list">
      <formula1>"Yes due to Product Mix change or Operating Leverage,Yes, these are peak margins,No"</formula1>
    </dataValidation>
    <dataValidation sqref="AJ2:AJ306" showDropDown="0" showInputMessage="0" showErrorMessage="0" allowBlank="1" type="list">
      <formula1>"Stable,Volatile"</formula1>
    </dataValidation>
    <dataValidation sqref="AL2:AL306" showDropDown="0" showInputMessage="0" showErrorMessage="0" allowBlank="1" type="list">
      <formula1>"Yes,No"</formula1>
    </dataValidation>
    <dataValidation sqref="AN2:AN306" showDropDown="0" showInputMessage="0" showErrorMessage="0" allowBlank="1" type="list">
      <formula1>"B2C,B2B,B2G"</formula1>
    </dataValidation>
    <dataValidation sqref="AP2:AP306" showDropDown="0" showInputMessage="0" showErrorMessage="0" allowBlank="1" type="list">
      <formula1>"Yes,No"</formula1>
    </dataValidation>
    <dataValidation sqref="AR2:AR306" showDropDown="0" showInputMessage="0" showErrorMessage="0" allowBlank="1" type="list">
      <formula1>"Fully Annuity,Higher Annuity, Lower One time,Higher One Time, Lower Annuity,Fully One Time"</formula1>
    </dataValidation>
    <dataValidation sqref="AT2:AT306" showDropDown="0" showInputMessage="0" showErrorMessage="0" allowBlank="1" type="list">
      <formula1>"Good,Allocated capital in Non-core Areas"</formula1>
    </dataValidation>
    <dataValidation sqref="AV2:AV306" showDropDown="0" showInputMessage="0" showErrorMessage="0" allowBlank="1" type="list">
      <formula1>"Yes for more than 2 years,Yes only for next 1 to 2 years,No"</formula1>
    </dataValidation>
    <dataValidation sqref="AX2:AX306" showDropDown="0" showInputMessage="0" showErrorMessage="0" allowBlank="1" type="list">
      <formula1>"Above 40,20 to 40,0 to 20"</formula1>
    </dataValidation>
    <dataValidation sqref="AZ2:AZ306" showDropDown="0" showInputMessage="0" showErrorMessage="0" allowBlank="1" type="list">
      <formula1>"Between 50 to 75,Above 75,Below 45"</formula1>
    </dataValidation>
    <dataValidation sqref="BB2:BB306" showDropDown="0" showInputMessage="0" showErrorMessage="0" allowBlank="1" type="list">
      <formula1>"Stage 1,Stage 2,Stage 3,Stage 4"</formula1>
    </dataValidation>
    <dataValidation sqref="BD2:BD306" showDropDown="0" showInputMessage="0" showErrorMessage="0" allowBlank="1" type="list">
      <formula1>"Positive Trend,Negative Trend"</formula1>
    </dataValidation>
    <dataValidation sqref="BF2:BF306" showDropDown="0" showInputMessage="0" showErrorMessage="0" allowBlank="1" type="list">
      <formula1>"Uptrend,Sideways,Downtrend"</formula1>
    </dataValidation>
    <dataValidation sqref="BH2:BH306" showDropDown="0" showInputMessage="0" showErrorMessage="0" allowBlank="1" type="list">
      <formula1>"Uptrend,Sideways,Downtrend"</formula1>
    </dataValidation>
    <dataValidation sqref="BJ2:BJ30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06" showDropDown="0" showInputMessage="0" showErrorMessage="0" allowBlank="1" type="list">
      <formula1>"Yes,No"</formula1>
    </dataValidation>
    <dataValidation sqref="BN2:BN306" showDropDown="0" showInputMessage="0" showErrorMessage="0" allowBlank="1" type="list">
      <formula1>"More than 20%,Between 12 to 20%,Less than 12%"</formula1>
    </dataValidation>
    <dataValidation sqref="BP2:BP306" showDropDown="0" showInputMessage="0" showErrorMessage="0" allowBlank="1" type="list">
      <formula1>"Yes,No"</formula1>
    </dataValidation>
    <dataValidation sqref="BR2:BR306" showDropDown="0" showInputMessage="0" showErrorMessage="0" allowBlank="1" type="list">
      <formula1>"Yes,No"</formula1>
    </dataValidation>
    <dataValidation sqref="BT2:BT306" showDropDown="0" showInputMessage="0" showErrorMessage="0" allowBlank="1" type="list">
      <formula1>"Above 2,Between 1.5 to 2,Less than 1.5"</formula1>
    </dataValidation>
    <dataValidation sqref="BV2:BV306" showDropDown="0" showInputMessage="0" showErrorMessage="0" allowBlank="1" type="list">
      <formula1>"Above 70%,Between 50% to 70%,Less than 50%,Less than 50% and Borrowings are increasing,Negative"</formula1>
    </dataValidation>
    <dataValidation sqref="BX2:BX306" showDropDown="0" showInputMessage="0" showErrorMessage="0" allowBlank="1" type="list">
      <formula1>"More than 1.2,Between 0.7 to 1.2,Less than 0.7"</formula1>
    </dataValidation>
    <dataValidation sqref="BZ2:BZ306" showDropDown="0" showInputMessage="0" showErrorMessage="0" allowBlank="1" type="list">
      <formula1>"Yes,No"</formula1>
    </dataValidation>
    <dataValidation sqref="CB2:CB306" showDropDown="0" showInputMessage="0" showErrorMessage="0" allowBlank="1" type="list">
      <formula1>"More than 15%,Less than 15%"</formula1>
    </dataValidation>
    <dataValidation sqref="CD2:CD30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3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IF(B2=0,"",RANK(B2,$B$2:$B$34,0))</f>
        <v/>
      </c>
      <c r="B2" s="31">
        <f>SUM(N2,Y2,AA2,AC2,AE2,AG2,AI2,AK2,AM2,AO2,AQ2,AS2,AU2,AW2,AY2,BA2,BC2,BE2,BG2,BI2,BK2,BM2,BO2,BQ2,BS2,BU2,BW2,BY2,CA2)</f>
        <v/>
      </c>
      <c r="C2" s="30" t="inlineStr">
        <is>
          <t>NORTHARC</t>
        </is>
      </c>
      <c r="D2" s="30" t="inlineStr">
        <is>
          <t>Northern ARC Capital Ltd</t>
        </is>
      </c>
      <c r="E2" s="30" t="inlineStr">
        <is>
          <t>financials</t>
        </is>
      </c>
      <c r="F2" s="30" t="inlineStr">
        <is>
          <t>finance &amp; investments</t>
        </is>
      </c>
      <c r="G2" s="30" t="inlineStr">
        <is>
          <t>smallcap</t>
        </is>
      </c>
      <c r="H2" s="31" t="n">
        <v>4690.43</v>
      </c>
      <c r="I2" s="31" t="n">
        <v>296.85</v>
      </c>
      <c r="J2" s="31" t="n">
        <v>2.26</v>
      </c>
      <c r="K2" s="31" t="n">
        <v>1273858</v>
      </c>
      <c r="L2" s="30" t="n">
        <v>44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65.29000000000001</v>
      </c>
      <c r="P2" s="31" t="n">
        <v>29.43</v>
      </c>
      <c r="Q2" s="31" t="n">
        <v>227.62</v>
      </c>
      <c r="R2" s="30" t="inlineStr">
        <is>
          <t>Near 52W High Breakout</t>
        </is>
      </c>
      <c r="S2" s="30" t="inlineStr">
        <is>
          <t>Nifty Bank</t>
        </is>
      </c>
      <c r="T2" s="31" t="n">
        <v>-3.68</v>
      </c>
      <c r="U2" s="31" t="n">
        <v>36.69</v>
      </c>
      <c r="V2" s="31" t="n">
        <v>41.91</v>
      </c>
      <c r="W2" s="31" t="n">
        <v>11.69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20 to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IF(B3=0,"",RANK(B3,$B$2:$B$34,0))</f>
        <v/>
      </c>
      <c r="B3" s="31">
        <f>SUM(N3,Y3,AA3,AC3,AE3,AG3,AI3,AK3,AM3,AO3,AQ3,AS3,AU3,AW3,AY3,BA3,BC3,BE3,BG3,BI3,BK3,BM3,BO3,BQ3,BS3,BU3,BW3,BY3,CA3)</f>
        <v/>
      </c>
      <c r="C3" s="30" t="inlineStr">
        <is>
          <t>TMB</t>
        </is>
      </c>
      <c r="D3" s="30" t="inlineStr">
        <is>
          <t>Tamilnad Mercantile Bank Ltd</t>
        </is>
      </c>
      <c r="E3" s="30" t="inlineStr">
        <is>
          <t>bank</t>
        </is>
      </c>
      <c r="F3" s="30" t="inlineStr">
        <is>
          <t>banks - private sector</t>
        </is>
      </c>
      <c r="G3" s="30" t="inlineStr">
        <is>
          <t>midcap</t>
        </is>
      </c>
      <c r="H3" s="31" t="n">
        <v>11846.27</v>
      </c>
      <c r="I3" s="31" t="n">
        <v>745.9</v>
      </c>
      <c r="J3" s="31" t="n">
        <v>-0.29</v>
      </c>
      <c r="K3" s="31" t="n">
        <v>163724</v>
      </c>
      <c r="L3" s="30" t="n">
        <v>58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66.17</v>
      </c>
      <c r="P3" s="31" t="n">
        <v>29.63</v>
      </c>
      <c r="Q3" s="31" t="n">
        <v>587.11</v>
      </c>
      <c r="R3" s="30" t="inlineStr">
        <is>
          <t>Near 52W High Breakout</t>
        </is>
      </c>
      <c r="S3" s="30" t="inlineStr">
        <is>
          <t>Nifty Bank</t>
        </is>
      </c>
      <c r="T3" s="31" t="n">
        <v>-3.68</v>
      </c>
      <c r="U3" s="31" t="n">
        <v>67.62</v>
      </c>
      <c r="V3" s="31" t="n">
        <v>74.03</v>
      </c>
      <c r="W3" s="31" t="n">
        <v>15.2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20 to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IF(B4=0,"",RANK(B4,$B$2:$B$34,0))</f>
        <v/>
      </c>
      <c r="B4" s="31">
        <f>SUM(N4,Y4,AA4,AC4,AE4,AG4,AI4,AK4,AM4,AO4,AQ4,AS4,AU4,AW4,AY4,BA4,BC4,BE4,BG4,BI4,BK4,BM4,BO4,BQ4,BS4,BU4,BW4,BY4,CA4)</f>
        <v/>
      </c>
      <c r="C4" s="30" t="inlineStr">
        <is>
          <t>RBLBANK</t>
        </is>
      </c>
      <c r="D4" s="30" t="inlineStr">
        <is>
          <t>Rbl Bank Limited</t>
        </is>
      </c>
      <c r="E4" s="30" t="inlineStr">
        <is>
          <t>bank</t>
        </is>
      </c>
      <c r="F4" s="30" t="inlineStr">
        <is>
          <t>banks - private sector</t>
        </is>
      </c>
      <c r="G4" s="30" t="inlineStr">
        <is>
          <t>largecap</t>
        </is>
      </c>
      <c r="H4" s="31" t="n">
        <v>21865.69</v>
      </c>
      <c r="I4" s="31" t="n">
        <v>351.35</v>
      </c>
      <c r="J4" s="31" t="n">
        <v>-0.68</v>
      </c>
      <c r="K4" s="31" t="n">
        <v>4035165</v>
      </c>
      <c r="L4" s="30" t="n">
        <v>52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65.39</v>
      </c>
      <c r="P4" s="31" t="n">
        <v>27.24</v>
      </c>
      <c r="Q4" s="31" t="n">
        <v>289.75</v>
      </c>
      <c r="R4" s="30" t="inlineStr">
        <is>
          <t>Near 52W High Breakout</t>
        </is>
      </c>
      <c r="S4" s="30" t="inlineStr">
        <is>
          <t>Nifty Bank</t>
        </is>
      </c>
      <c r="T4" s="31" t="n">
        <v>-3.68</v>
      </c>
      <c r="U4" s="31" t="n">
        <v>62.03</v>
      </c>
      <c r="V4" s="31" t="n">
        <v>68.22</v>
      </c>
      <c r="W4" s="31" t="n">
        <v>13.73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IF(B5=0,"",RANK(B5,$B$2:$B$34,0))</f>
        <v/>
      </c>
      <c r="B5" s="31">
        <f>SUM(N5,Y5,AA5,AC5,AE5,AG5,AI5,AK5,AM5,AO5,AQ5,AS5,AU5,AW5,AY5,BA5,BC5,BE5,BG5,BI5,BK5,BM5,BO5,BQ5,BS5,BU5,BW5,BY5,CA5)</f>
        <v/>
      </c>
      <c r="C5" s="30" t="inlineStr">
        <is>
          <t>FEDFINA</t>
        </is>
      </c>
      <c r="D5" s="30" t="inlineStr">
        <is>
          <t>Fedbank Financial Services Ltd</t>
        </is>
      </c>
      <c r="E5" s="30" t="inlineStr">
        <is>
          <t>financials</t>
        </is>
      </c>
      <c r="F5" s="30" t="inlineStr">
        <is>
          <t>finance &amp; investments</t>
        </is>
      </c>
      <c r="G5" s="30" t="inlineStr">
        <is>
          <t>midcap</t>
        </is>
      </c>
      <c r="H5" s="31" t="n">
        <v>6064.01</v>
      </c>
      <c r="I5" s="31" t="n">
        <v>160.58</v>
      </c>
      <c r="J5" s="31" t="n">
        <v>-0.91</v>
      </c>
      <c r="K5" s="31" t="n">
        <v>790024</v>
      </c>
      <c r="L5" s="30" t="n">
        <v>59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64.55</v>
      </c>
      <c r="P5" s="31" t="n">
        <v>21.35</v>
      </c>
      <c r="Q5" s="31" t="n">
        <v>124.39</v>
      </c>
      <c r="R5" s="30" t="inlineStr">
        <is>
          <t>Near 52W High Breakout</t>
        </is>
      </c>
      <c r="S5" s="30" t="inlineStr">
        <is>
          <t>Nifty Bank</t>
        </is>
      </c>
      <c r="T5" s="31" t="n">
        <v>-3.68</v>
      </c>
      <c r="U5" s="31" t="n">
        <v>54.27</v>
      </c>
      <c r="V5" s="31" t="n">
        <v>60.16</v>
      </c>
      <c r="W5" s="31" t="n">
        <v>15.63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IF(B6=0,"",RANK(B6,$B$2:$B$34,0))</f>
        <v/>
      </c>
      <c r="B6" s="31">
        <f>SUM(N6,Y6,AA6,AC6,AE6,AG6,AI6,AK6,AM6,AO6,AQ6,AS6,AU6,AW6,AY6,BA6,BC6,BE6,BG6,BI6,BK6,BM6,BO6,BQ6,BS6,BU6,BW6,BY6,CA6)</f>
        <v/>
      </c>
      <c r="C6" s="30" t="inlineStr">
        <is>
          <t>WELINV</t>
        </is>
      </c>
      <c r="D6" s="30" t="inlineStr">
        <is>
          <t>Welspun Investments And Commercials Limited</t>
        </is>
      </c>
      <c r="E6" s="30" t="inlineStr">
        <is>
          <t>financials</t>
        </is>
      </c>
      <c r="F6" s="30" t="inlineStr">
        <is>
          <t>finance &amp; investments</t>
        </is>
      </c>
      <c r="G6" s="30" t="inlineStr">
        <is>
          <t>smallcap</t>
        </is>
      </c>
      <c r="H6" s="31" t="n">
        <v>648.23</v>
      </c>
      <c r="I6" s="31" t="n">
        <v>1780</v>
      </c>
      <c r="J6" s="31" t="n">
        <v>0.35</v>
      </c>
      <c r="K6" s="31" t="n">
        <v>105</v>
      </c>
      <c r="L6" s="30" t="n">
        <v>66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71.59</v>
      </c>
      <c r="P6" s="31" t="n">
        <v>40.7</v>
      </c>
      <c r="Q6" s="31" t="n">
        <v>1417.87</v>
      </c>
      <c r="R6" s="30" t="inlineStr">
        <is>
          <t>Earnings / Momentum Support</t>
        </is>
      </c>
      <c r="S6" s="30" t="inlineStr">
        <is>
          <t>Nifty Bank</t>
        </is>
      </c>
      <c r="T6" s="31" t="n">
        <v>-3.68</v>
      </c>
      <c r="U6" s="31" t="n">
        <v>52.61</v>
      </c>
      <c r="V6" s="31" t="n">
        <v>58.44</v>
      </c>
      <c r="W6" s="31" t="n">
        <v>18.46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No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Above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IF(B7=0,"",RANK(B7,$B$2:$B$34,0))</f>
        <v/>
      </c>
      <c r="B7" s="31">
        <f>SUM(N7,Y7,AA7,AC7,AE7,AG7,AI7,AK7,AM7,AO7,AQ7,AS7,AU7,AW7,AY7,BA7,BC7,BE7,BG7,BI7,BK7,BM7,BO7,BQ7,BS7,BU7,BW7,BY7,CA7)</f>
        <v/>
      </c>
      <c r="C7" s="30" t="inlineStr">
        <is>
          <t>J&amp;KBANK</t>
        </is>
      </c>
      <c r="D7" s="30" t="inlineStr">
        <is>
          <t>The Jammu &amp; Kashmir Bank Limited</t>
        </is>
      </c>
      <c r="E7" s="30" t="inlineStr">
        <is>
          <t>bank</t>
        </is>
      </c>
      <c r="F7" s="30" t="inlineStr">
        <is>
          <t>banks - private sector</t>
        </is>
      </c>
      <c r="G7" s="30" t="inlineStr">
        <is>
          <t>midcap</t>
        </is>
      </c>
      <c r="H7" s="31" t="n">
        <v>16262.26</v>
      </c>
      <c r="I7" s="31" t="n">
        <v>147.52</v>
      </c>
      <c r="J7" s="31" t="n">
        <v>-0.11</v>
      </c>
      <c r="K7" s="31" t="n">
        <v>2304188</v>
      </c>
      <c r="L7" s="30" t="n">
        <v>48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69.53</v>
      </c>
      <c r="P7" s="31" t="n">
        <v>48.37</v>
      </c>
      <c r="Q7" s="31" t="n">
        <v>116.65</v>
      </c>
      <c r="R7" s="30" t="inlineStr">
        <is>
          <t>Near 52W High Breakout</t>
        </is>
      </c>
      <c r="S7" s="30" t="inlineStr">
        <is>
          <t>Nifty Bank</t>
        </is>
      </c>
      <c r="T7" s="31" t="n">
        <v>-3.68</v>
      </c>
      <c r="U7" s="31" t="n">
        <v>40.9</v>
      </c>
      <c r="V7" s="31" t="n">
        <v>46.28</v>
      </c>
      <c r="W7" s="31" t="n">
        <v>12.46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less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Above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IF(B8=0,"",RANK(B8,$B$2:$B$34,0))</f>
        <v/>
      </c>
      <c r="B8" s="31">
        <f>SUM(N8,Y8,AA8,AC8,AE8,AG8,AI8,AK8,AM8,AO8,AQ8,AS8,AU8,AW8,AY8,BA8,BC8,BE8,BG8,BI8,BK8,BM8,BO8,BQ8,BS8,BU8,BW8,BY8,CA8)</f>
        <v/>
      </c>
      <c r="C8" s="30" t="inlineStr">
        <is>
          <t>SATIN</t>
        </is>
      </c>
      <c r="D8" s="30" t="inlineStr">
        <is>
          <t>Satin Creditcare Network Limited</t>
        </is>
      </c>
      <c r="E8" s="30" t="inlineStr">
        <is>
          <t>financials</t>
        </is>
      </c>
      <c r="F8" s="30" t="inlineStr">
        <is>
          <t>finance &amp; investments</t>
        </is>
      </c>
      <c r="G8" s="30" t="inlineStr">
        <is>
          <t>smallcap</t>
        </is>
      </c>
      <c r="H8" s="31" t="n">
        <v>2672.62</v>
      </c>
      <c r="I8" s="31" t="n">
        <v>241.39</v>
      </c>
      <c r="J8" s="31" t="n">
        <v>-0.22</v>
      </c>
      <c r="K8" s="31" t="n">
        <v>706024</v>
      </c>
      <c r="L8" s="30" t="n">
        <v>76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77.16</v>
      </c>
      <c r="P8" s="31" t="n">
        <v>37.11</v>
      </c>
      <c r="Q8" s="31" t="n">
        <v>189.41</v>
      </c>
      <c r="R8" s="30" t="inlineStr">
        <is>
          <t>Near 52W High Breakout</t>
        </is>
      </c>
      <c r="S8" s="30" t="inlineStr">
        <is>
          <t>Nifty Bank</t>
        </is>
      </c>
      <c r="T8" s="31" t="n">
        <v>-3.68</v>
      </c>
      <c r="U8" s="31" t="n">
        <v>52.87</v>
      </c>
      <c r="V8" s="31" t="n">
        <v>58.71</v>
      </c>
      <c r="W8" s="31" t="n">
        <v>23.12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Above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Blue sky scenario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IF(B9=0,"",RANK(B9,$B$2:$B$34,0))</f>
        <v/>
      </c>
      <c r="B9" s="31">
        <f>SUM(N9,Y9,AA9,AC9,AE9,AG9,AI9,AK9,AM9,AO9,AQ9,AS9,AU9,AW9,AY9,BA9,BC9,BE9,BG9,BI9,BK9,BM9,BO9,BQ9,BS9,BU9,BW9,BY9,CA9)</f>
        <v/>
      </c>
      <c r="C9" s="30" t="inlineStr">
        <is>
          <t>ANGELONE</t>
        </is>
      </c>
      <c r="D9" s="30" t="inlineStr">
        <is>
          <t>Angel One Ltd</t>
        </is>
      </c>
      <c r="E9" s="30" t="inlineStr">
        <is>
          <t>financials</t>
        </is>
      </c>
      <c r="F9" s="30" t="inlineStr">
        <is>
          <t>finance &amp; investments</t>
        </is>
      </c>
      <c r="G9" s="30" t="inlineStr">
        <is>
          <t>largecap</t>
        </is>
      </c>
      <c r="H9" s="31" t="n">
        <v>30759.72</v>
      </c>
      <c r="I9" s="31" t="n">
        <v>332.6</v>
      </c>
      <c r="J9" s="31" t="n">
        <v>-1.51</v>
      </c>
      <c r="K9" s="31" t="n">
        <v>13273649</v>
      </c>
      <c r="L9" s="30" t="n">
        <v>57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63.59</v>
      </c>
      <c r="P9" s="31" t="n">
        <v>26.22</v>
      </c>
      <c r="Q9" s="31" t="n">
        <v>257.82</v>
      </c>
      <c r="R9" s="30" t="inlineStr">
        <is>
          <t>Near 52W High Breakout</t>
        </is>
      </c>
      <c r="S9" s="30" t="inlineStr">
        <is>
          <t>Nifty Bank</t>
        </is>
      </c>
      <c r="T9" s="31" t="n">
        <v>-3.68</v>
      </c>
      <c r="U9" s="31" t="n">
        <v>5.06</v>
      </c>
      <c r="V9" s="31" t="n">
        <v>9.07</v>
      </c>
      <c r="W9" s="31" t="n">
        <v>15.09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between 2.5x to 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Blue sky scenario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IF(B10=0,"",RANK(B10,$B$2:$B$34,0))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FEDERALBNK</t>
        </is>
      </c>
      <c r="D10" s="30" t="inlineStr">
        <is>
          <t>The Federal Bank  Limited</t>
        </is>
      </c>
      <c r="E10" s="30" t="inlineStr">
        <is>
          <t>bank</t>
        </is>
      </c>
      <c r="F10" s="30" t="inlineStr">
        <is>
          <t>banks - private sector</t>
        </is>
      </c>
      <c r="G10" s="30" t="inlineStr">
        <is>
          <t>largecap</t>
        </is>
      </c>
      <c r="H10" s="31" t="n">
        <v>73953.11</v>
      </c>
      <c r="I10" s="31" t="n">
        <v>304.15</v>
      </c>
      <c r="J10" s="31" t="n">
        <v>1.35</v>
      </c>
      <c r="K10" s="31" t="n">
        <v>9322801</v>
      </c>
      <c r="L10" s="30" t="n">
        <v>38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64.2</v>
      </c>
      <c r="P10" s="31" t="n">
        <v>19.76</v>
      </c>
      <c r="Q10" s="31" t="n">
        <v>257.24</v>
      </c>
      <c r="R10" s="30" t="inlineStr">
        <is>
          <t>Near 52W High Breakout</t>
        </is>
      </c>
      <c r="S10" s="30" t="inlineStr">
        <is>
          <t>Nifty Bank</t>
        </is>
      </c>
      <c r="T10" s="31" t="n">
        <v>-3.68</v>
      </c>
      <c r="U10" s="31" t="n">
        <v>47.27</v>
      </c>
      <c r="V10" s="31" t="n">
        <v>52.89</v>
      </c>
      <c r="W10" s="31" t="n">
        <v>10.23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less than 2.5x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0 to 20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Blue sky scenario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IF(B11=0,"",RANK(B11,$B$2:$B$34,0))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STARHEALTH</t>
        </is>
      </c>
      <c r="D11" s="30" t="inlineStr">
        <is>
          <t>Star Health &amp; Allied Insurance Company Ltd</t>
        </is>
      </c>
      <c r="E11" s="30" t="inlineStr">
        <is>
          <t>financials</t>
        </is>
      </c>
      <c r="F11" s="30" t="inlineStr">
        <is>
          <t>finance &amp; investments</t>
        </is>
      </c>
      <c r="G11" s="30" t="inlineStr">
        <is>
          <t>largecap</t>
        </is>
      </c>
      <c r="H11" s="31" t="n">
        <v>30964.73</v>
      </c>
      <c r="I11" s="31" t="n">
        <v>526</v>
      </c>
      <c r="J11" s="31" t="n">
        <v>-0.05</v>
      </c>
      <c r="K11" s="31" t="n">
        <v>355643</v>
      </c>
      <c r="L11" s="30" t="n">
        <v>19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62.54</v>
      </c>
      <c r="P11" s="31" t="n">
        <v>23.71</v>
      </c>
      <c r="Q11" s="31" t="n">
        <v>434.56</v>
      </c>
      <c r="R11" s="30" t="inlineStr">
        <is>
          <t>Near 52W High Breakout</t>
        </is>
      </c>
      <c r="S11" s="30" t="inlineStr">
        <is>
          <t>Nifty Bank</t>
        </is>
      </c>
      <c r="T11" s="31" t="n">
        <v>-3.68</v>
      </c>
      <c r="U11" s="31" t="n">
        <v>11.91</v>
      </c>
      <c r="V11" s="31" t="n">
        <v>16.19</v>
      </c>
      <c r="W11" s="31" t="n">
        <v>5.42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between 2.5x to 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Close to 52 week high or retracement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IF(B12=0,"",RANK(B12,$B$2:$B$34,0))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CONSOFINVT</t>
        </is>
      </c>
      <c r="D12" s="30" t="inlineStr">
        <is>
          <t>Consolidated Finvest &amp; Holdings Limited</t>
        </is>
      </c>
      <c r="E12" s="30" t="inlineStr">
        <is>
          <t>financials</t>
        </is>
      </c>
      <c r="F12" s="30" t="inlineStr">
        <is>
          <t>finance &amp; investments</t>
        </is>
      </c>
      <c r="G12" s="30" t="inlineStr">
        <is>
          <t>smallcap</t>
        </is>
      </c>
      <c r="H12" s="31" t="n">
        <v>771.5700000000001</v>
      </c>
      <c r="I12" s="31" t="n">
        <v>237.69</v>
      </c>
      <c r="J12" s="31" t="n">
        <v>-0.41</v>
      </c>
      <c r="K12" s="31" t="n">
        <v>39910</v>
      </c>
      <c r="L12" s="30" t="n">
        <v>22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65.15000000000001</v>
      </c>
      <c r="P12" s="31" t="n">
        <v>23.73</v>
      </c>
      <c r="Q12" s="31" t="n">
        <v>184.32</v>
      </c>
      <c r="R12" s="30" t="inlineStr">
        <is>
          <t>Volume Spike &amp; Near 52W High Breakout</t>
        </is>
      </c>
      <c r="S12" s="30" t="inlineStr">
        <is>
          <t>Nifty Bank</t>
        </is>
      </c>
      <c r="T12" s="31" t="n">
        <v>-3.68</v>
      </c>
      <c r="U12" s="31" t="n">
        <v>18.91</v>
      </c>
      <c r="V12" s="31" t="n">
        <v>23.45</v>
      </c>
      <c r="W12" s="31" t="n">
        <v>5.88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less than 2.5x and Growth less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Blue sky scenario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IF(B13=0,"",RANK(B13,$B$2:$B$34,0))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YESBANK</t>
        </is>
      </c>
      <c r="D13" s="30" t="inlineStr">
        <is>
          <t>Yes Bank Limited</t>
        </is>
      </c>
      <c r="E13" s="30" t="inlineStr">
        <is>
          <t>bank</t>
        </is>
      </c>
      <c r="F13" s="30" t="inlineStr">
        <is>
          <t>banks - private sector</t>
        </is>
      </c>
      <c r="G13" s="30" t="inlineStr">
        <is>
          <t>largecap</t>
        </is>
      </c>
      <c r="H13" s="31" t="n">
        <v>71448.72</v>
      </c>
      <c r="I13" s="31" t="n">
        <v>23.3</v>
      </c>
      <c r="J13" s="31" t="n">
        <v>2.33</v>
      </c>
      <c r="K13" s="31" t="n">
        <v>148106091</v>
      </c>
      <c r="L13" s="30" t="n">
        <v>21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61.95</v>
      </c>
      <c r="P13" s="31" t="n">
        <v>20.62</v>
      </c>
      <c r="Q13" s="31" t="n">
        <v>19.27</v>
      </c>
      <c r="R13" s="30" t="inlineStr">
        <is>
          <t>Near 52W High Breakout</t>
        </is>
      </c>
      <c r="S13" s="30" t="inlineStr">
        <is>
          <t>Nifty Bank</t>
        </is>
      </c>
      <c r="T13" s="31" t="n">
        <v>-3.68</v>
      </c>
      <c r="U13" s="31" t="n">
        <v>11.75</v>
      </c>
      <c r="V13" s="31" t="n">
        <v>16.02</v>
      </c>
      <c r="W13" s="31" t="n">
        <v>5.85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less than 2.5x and Growth less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20 to 40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Close to 52 week high or retracement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IF(B14=0,"",RANK(B14,$B$2:$B$34,0))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HEALTHX</t>
        </is>
      </c>
      <c r="D14" s="30" t="inlineStr">
        <is>
          <t>Health X Platform Ltd</t>
        </is>
      </c>
      <c r="E14" s="30" t="inlineStr">
        <is>
          <t>financials</t>
        </is>
      </c>
      <c r="F14" s="30" t="inlineStr">
        <is>
          <t>finance &amp; investments</t>
        </is>
      </c>
      <c r="G14" s="30" t="inlineStr">
        <is>
          <t>smallcap</t>
        </is>
      </c>
      <c r="H14" s="31" t="n">
        <v>963.86</v>
      </c>
      <c r="I14" s="31" t="n">
        <v>305</v>
      </c>
      <c r="J14" s="31" t="n">
        <v>0.66</v>
      </c>
      <c r="K14" s="31" t="n">
        <v>5958</v>
      </c>
      <c r="L14" s="30" t="n">
        <v>13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57.1</v>
      </c>
      <c r="P14" s="31" t="n">
        <v>14.77</v>
      </c>
      <c r="Q14" s="31" t="n">
        <v>232.96</v>
      </c>
      <c r="R14" s="30" t="inlineStr">
        <is>
          <t>Volume Spike / Accumulation</t>
        </is>
      </c>
      <c r="S14" s="30" t="inlineStr">
        <is>
          <t>Nifty Bank</t>
        </is>
      </c>
      <c r="T14" s="31" t="n">
        <v>-3.68</v>
      </c>
      <c r="U14" s="31" t="n">
        <v>9.75</v>
      </c>
      <c r="V14" s="31" t="n">
        <v>13.95</v>
      </c>
      <c r="W14" s="31" t="n">
        <v>3.87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less than 2.5x and Growth more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0 to 20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2</t>
        </is>
      </c>
      <c r="BQ14" s="30">
        <f>IF(BP14="Stage 2",20,IF(BP14="Stage 1",0,IF(BP14="Stage 3",5,IF(BP14="Stage 4",-5,0))))</f>
        <v/>
      </c>
      <c r="BR14" s="30" t="inlineStr">
        <is>
          <t>Positive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Close to 52 week high or retracement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IF(B15=0,"",RANK(B15,$B$2:$B$34,0))</f>
        <v/>
      </c>
      <c r="B15" s="31">
        <f>SUM(N15,Y15,AA15,AC15,AE15,AG15,AI15,AK15,AM15,AO15,AQ15,AS15,AU15,AW15,AY15,BA15,BC15,BE15,BG15,BI15,BK15,BM15,BO15,BQ15,BS15,BU15,BW15,BY15,CA15)</f>
        <v/>
      </c>
      <c r="C15" s="32" t="inlineStr">
        <is>
          <t>RANEHOLDIN</t>
        </is>
      </c>
      <c r="D15" s="32" t="inlineStr">
        <is>
          <t>Rane Holdings Limited</t>
        </is>
      </c>
      <c r="E15" s="30" t="inlineStr">
        <is>
          <t>financials</t>
        </is>
      </c>
      <c r="F15" s="30" t="inlineStr">
        <is>
          <t>finance &amp; investments</t>
        </is>
      </c>
      <c r="G15" s="30" t="inlineStr">
        <is>
          <t>smallcap</t>
        </is>
      </c>
      <c r="H15" s="31" t="n">
        <v>2083.7</v>
      </c>
      <c r="I15" s="31" t="n">
        <v>1446.2</v>
      </c>
      <c r="J15" s="31" t="n">
        <v>-0.9</v>
      </c>
      <c r="K15" s="31" t="n">
        <v>9054</v>
      </c>
      <c r="L15" s="30" t="n">
        <v>10</v>
      </c>
      <c r="M15" s="30" t="inlineStr">
        <is>
          <t>Underperforming</t>
        </is>
      </c>
      <c r="N15" s="31">
        <f>IF(M15="Underperforming",-5,IF(L15&gt;=95,15,IF(L15&gt;=90,10,IF(L15&gt;=80,5,0))))</f>
        <v/>
      </c>
      <c r="O15" s="31" t="n">
        <v>61.02</v>
      </c>
      <c r="P15" s="31" t="n">
        <v>24.35</v>
      </c>
      <c r="Q15" s="31" t="n">
        <v>1057.62</v>
      </c>
      <c r="R15" s="30" t="inlineStr">
        <is>
          <t>Earnings / Momentum Support</t>
        </is>
      </c>
      <c r="S15" s="30" t="inlineStr">
        <is>
          <t>Nifty Bank</t>
        </is>
      </c>
      <c r="T15" s="31" t="n">
        <v>-3.68</v>
      </c>
      <c r="U15" s="31" t="n">
        <v>-4.73</v>
      </c>
      <c r="V15" s="31" t="n">
        <v>-1.09</v>
      </c>
      <c r="W15" s="31" t="n">
        <v>3.48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No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less than 2.5x and Growth more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20 to 40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Positive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Close to 52 week high or retracement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IF(B16=0,"",RANK(B16,$B$2:$B$34,0))</f>
        <v/>
      </c>
      <c r="B16" s="31">
        <f>SUM(N16,Y16,AA16,AC16,AE16,AG16,AI16,AK16,AM16,AO16,AQ16,AS16,AU16,AW16,AY16,BA16,BC16,BE16,BG16,BI16,BK16,BM16,BO16,BQ16,BS16,BU16,BW16,BY16,CA16)</f>
        <v/>
      </c>
      <c r="C16" s="30" t="inlineStr">
        <is>
          <t>MONARCH</t>
        </is>
      </c>
      <c r="D16" s="30" t="inlineStr">
        <is>
          <t>Monarch Networth Capital Ltd</t>
        </is>
      </c>
      <c r="E16" s="30" t="inlineStr">
        <is>
          <t>financials</t>
        </is>
      </c>
      <c r="F16" s="30" t="inlineStr">
        <is>
          <t>finance &amp; investments</t>
        </is>
      </c>
      <c r="G16" s="30" t="inlineStr">
        <is>
          <t>smallcap</t>
        </is>
      </c>
      <c r="H16" s="31" t="n">
        <v>2688.39</v>
      </c>
      <c r="I16" s="31" t="n">
        <v>338.9</v>
      </c>
      <c r="J16" s="31" t="n">
        <v>-0.07000000000000001</v>
      </c>
      <c r="K16" s="31" t="n">
        <v>73443</v>
      </c>
      <c r="L16" s="30" t="n">
        <v>32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62.93</v>
      </c>
      <c r="P16" s="31" t="n">
        <v>20.83</v>
      </c>
      <c r="Q16" s="31" t="n">
        <v>267</v>
      </c>
      <c r="R16" s="30" t="inlineStr">
        <is>
          <t>Earnings / Momentum Support</t>
        </is>
      </c>
      <c r="S16" s="30" t="inlineStr">
        <is>
          <t>Nifty Bank</t>
        </is>
      </c>
      <c r="T16" s="31" t="n">
        <v>-3.68</v>
      </c>
      <c r="U16" s="31" t="n">
        <v>5.06</v>
      </c>
      <c r="V16" s="31" t="n">
        <v>9.07</v>
      </c>
      <c r="W16" s="31" t="n">
        <v>8.27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No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between 2.5x to 5x and Growth more than 20%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20 to 40</t>
        </is>
      </c>
      <c r="BM16" s="30">
        <f>IF(BL16="Above 40",20,IF(BL16="20 to 40",10,IF(BL16="0 to 20",-5,0)))</f>
        <v/>
      </c>
      <c r="BN16" s="30" t="inlineStr">
        <is>
          <t>Between 50 to 75</t>
        </is>
      </c>
      <c r="BO16" s="30">
        <f>IF(BN16="Between 50 to 75",10,IF(BN16="Above 75",0,0))</f>
        <v/>
      </c>
      <c r="BP16" s="30" t="inlineStr">
        <is>
          <t>Stage 2</t>
        </is>
      </c>
      <c r="BQ16" s="30">
        <f>IF(BP16="Stage 2",20,IF(BP16="Stage 1",0,IF(BP16="Stage 3",5,IF(BP16="Stage 4",-5,0))))</f>
        <v/>
      </c>
      <c r="BR16" s="30" t="inlineStr">
        <is>
          <t>Positive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Close to 52 week high or retracement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IF(B17=0,"",RANK(B17,$B$2:$B$34,0))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NAM-INDIA</t>
        </is>
      </c>
      <c r="D17" s="30" t="inlineStr">
        <is>
          <t>Nippon Life India Asset Management Ltd</t>
        </is>
      </c>
      <c r="E17" s="30" t="inlineStr">
        <is>
          <t>financials</t>
        </is>
      </c>
      <c r="F17" s="30" t="inlineStr">
        <is>
          <t>finance &amp; investments</t>
        </is>
      </c>
      <c r="G17" s="30" t="inlineStr">
        <is>
          <t>largecap</t>
        </is>
      </c>
      <c r="H17" s="31" t="n">
        <v>72049.67999999999</v>
      </c>
      <c r="I17" s="31" t="n">
        <v>1113.1</v>
      </c>
      <c r="J17" s="31" t="n">
        <v>-1.42</v>
      </c>
      <c r="K17" s="31" t="n">
        <v>765915</v>
      </c>
      <c r="L17" s="30" t="n">
        <v>53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68.22</v>
      </c>
      <c r="P17" s="31" t="n">
        <v>25.17</v>
      </c>
      <c r="Q17" s="31" t="n">
        <v>870.6</v>
      </c>
      <c r="R17" s="30" t="inlineStr">
        <is>
          <t>Near 52W High Breakout</t>
        </is>
      </c>
      <c r="S17" s="30" t="inlineStr">
        <is>
          <t>Nifty Bank</t>
        </is>
      </c>
      <c r="T17" s="31" t="n">
        <v>-3.68</v>
      </c>
      <c r="U17" s="31" t="n">
        <v>44.05</v>
      </c>
      <c r="V17" s="31" t="n">
        <v>49.56</v>
      </c>
      <c r="W17" s="31" t="n">
        <v>13.95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above 5x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20 to 40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2</t>
        </is>
      </c>
      <c r="BQ17" s="30">
        <f>IF(BP17="Stage 2",20,IF(BP17="Stage 1",0,IF(BP17="Stage 3",5,IF(BP17="Stage 4",-5,0))))</f>
        <v/>
      </c>
      <c r="BR17" s="30" t="inlineStr">
        <is>
          <t>Positive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Blue sky scenario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IF(B18=0,"",RANK(B18,$B$2:$B$34,0))</f>
        <v/>
      </c>
      <c r="B18" s="31">
        <f>SUM(N18,Y18,AA18,AC18,AE18,AG18,AI18,AK18,AM18,AO18,AQ18,AS18,AU18,AW18,AY18,BA18,BC18,BE18,BG18,BI18,BK18,BM18,BO18,BQ18,BS18,BU18,BW18,BY18,CA18)</f>
        <v/>
      </c>
      <c r="C18" s="30" t="inlineStr">
        <is>
          <t>OFSS</t>
        </is>
      </c>
      <c r="D18" s="30" t="inlineStr">
        <is>
          <t>Oracle Financial Services Software Limited</t>
        </is>
      </c>
      <c r="E18" s="30" t="inlineStr">
        <is>
          <t>i.t</t>
        </is>
      </c>
      <c r="F18" s="30" t="inlineStr">
        <is>
          <t>computers - software - large</t>
        </is>
      </c>
      <c r="G18" s="30" t="inlineStr">
        <is>
          <t>largecap</t>
        </is>
      </c>
      <c r="H18" s="31" t="n">
        <v>87888.08</v>
      </c>
      <c r="I18" s="31" t="n">
        <v>9936.5</v>
      </c>
      <c r="J18" s="31" t="n">
        <v>-1.6</v>
      </c>
      <c r="K18" s="31" t="n">
        <v>197221</v>
      </c>
      <c r="L18" s="30" t="n">
        <v>61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71.5</v>
      </c>
      <c r="P18" s="31" t="n">
        <v>36.84</v>
      </c>
      <c r="Q18" s="31" t="n">
        <v>7994.63</v>
      </c>
      <c r="R18" s="30" t="inlineStr">
        <is>
          <t>Near 52W High Breakout</t>
        </is>
      </c>
      <c r="S18" s="30" t="inlineStr">
        <is>
          <t>Nifty IT</t>
        </is>
      </c>
      <c r="T18" s="31" t="n">
        <v>-22.21</v>
      </c>
      <c r="U18" s="31" t="n">
        <v>18.14</v>
      </c>
      <c r="V18" s="31" t="n">
        <v>51.88</v>
      </c>
      <c r="W18" s="31" t="n">
        <v>16.21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above 5x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20 to 40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2</t>
        </is>
      </c>
      <c r="BQ18" s="30">
        <f>IF(BP18="Stage 2",20,IF(BP18="Stage 1",0,IF(BP18="Stage 3",5,IF(BP18="Stage 4",-5,0))))</f>
        <v/>
      </c>
      <c r="BR18" s="30" t="inlineStr">
        <is>
          <t>Positive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Close to 52 week high or retracement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IF(B19=0,"",RANK(B19,$B$2:$B$34,0))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EQUITASBNK</t>
        </is>
      </c>
      <c r="D19" s="30" t="inlineStr">
        <is>
          <t>Equitas Small Finance Bank Ltd</t>
        </is>
      </c>
      <c r="E19" s="30" t="inlineStr">
        <is>
          <t>bank</t>
        </is>
      </c>
      <c r="F19" s="30" t="inlineStr">
        <is>
          <t>banks - private sector</t>
        </is>
      </c>
      <c r="G19" s="30" t="inlineStr">
        <is>
          <t>midcap</t>
        </is>
      </c>
      <c r="H19" s="31" t="n">
        <v>8249.74</v>
      </c>
      <c r="I19" s="31" t="n">
        <v>73.95</v>
      </c>
      <c r="J19" s="31" t="n">
        <v>2.28</v>
      </c>
      <c r="K19" s="31" t="n">
        <v>15166973</v>
      </c>
      <c r="L19" s="30" t="n">
        <v>31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62.32</v>
      </c>
      <c r="P19" s="31" t="n">
        <v>19.6</v>
      </c>
      <c r="Q19" s="31" t="n">
        <v>58.38</v>
      </c>
      <c r="R19" s="30" t="inlineStr">
        <is>
          <t>Volume Spike &amp; Near 52W High Breakout</t>
        </is>
      </c>
      <c r="S19" s="30" t="inlineStr">
        <is>
          <t>Nifty Bank</t>
        </is>
      </c>
      <c r="T19" s="31" t="n">
        <v>-3.68</v>
      </c>
      <c r="U19" s="31" t="n">
        <v>10.95</v>
      </c>
      <c r="V19" s="31" t="n">
        <v>15.19</v>
      </c>
      <c r="W19" s="31" t="n">
        <v>8.09</v>
      </c>
      <c r="X19" s="30" t="inlineStr">
        <is>
          <t>Cyclical in an Upturn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Cyclical in an Uptick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inlineStr">
        <is>
          <t>Yes</t>
        </is>
      </c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No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No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less than 2.5x and Growth more than 20%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20 to 40</t>
        </is>
      </c>
      <c r="BM19" s="30">
        <f>IF(BL19="Above 40",20,IF(BL19="20 to 40",10,IF(BL19="0 to 20",-5,0)))</f>
        <v/>
      </c>
      <c r="BN19" s="30" t="inlineStr">
        <is>
          <t>Between 50 to 75</t>
        </is>
      </c>
      <c r="BO19" s="30">
        <f>IF(BN19="Between 50 to 75",10,IF(BN19="Above 75",0,0))</f>
        <v/>
      </c>
      <c r="BP19" s="30" t="inlineStr">
        <is>
          <t>Stage 2</t>
        </is>
      </c>
      <c r="BQ19" s="30">
        <f>IF(BP19="Stage 2",20,IF(BP19="Stage 1",0,IF(BP19="Stage 3",5,IF(BP19="Stage 4",-5,0))))</f>
        <v/>
      </c>
      <c r="BR19" s="30" t="inlineStr">
        <is>
          <t>Positive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Close to 52 week high or retracement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IF(B20=0,"",RANK(B20,$B$2:$B$34,0))</f>
        <v/>
      </c>
      <c r="B20" s="31">
        <f>SUM(N20,Y20,AA20,AC20,AE20,AG20,AI20,AK20,AM20,AO20,AQ20,AS20,AU20,AW20,AY20,BA20,BC20,BE20,BG20,BI20,BK20,BM20,BO20,BQ20,BS20,BU20,BW20,BY20,CA20)</f>
        <v/>
      </c>
      <c r="C20" s="30" t="inlineStr">
        <is>
          <t>SAMMAANCAP</t>
        </is>
      </c>
      <c r="D20" s="30" t="inlineStr">
        <is>
          <t>Sammaan Capital Ltd</t>
        </is>
      </c>
      <c r="E20" s="30" t="inlineStr">
        <is>
          <t>financials</t>
        </is>
      </c>
      <c r="F20" s="30" t="inlineStr">
        <is>
          <t>finance - housing</t>
        </is>
      </c>
      <c r="G20" s="30" t="inlineStr">
        <is>
          <t>largecap</t>
        </is>
      </c>
      <c r="H20" s="31" t="n">
        <v>21272.76</v>
      </c>
      <c r="I20" s="31" t="n">
        <v>184.28</v>
      </c>
      <c r="J20" s="31" t="n">
        <v>0.63</v>
      </c>
      <c r="K20" s="31" t="n">
        <v>25603657</v>
      </c>
      <c r="L20" s="30" t="n">
        <v>53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67.39</v>
      </c>
      <c r="P20" s="31" t="n">
        <v>16.24</v>
      </c>
      <c r="Q20" s="31" t="n">
        <v>142.77</v>
      </c>
      <c r="R20" s="30" t="inlineStr">
        <is>
          <t>Near 52W High Breakout</t>
        </is>
      </c>
      <c r="S20" s="30" t="inlineStr">
        <is>
          <t>Nifty Bank</t>
        </is>
      </c>
      <c r="T20" s="31" t="n">
        <v>-3.68</v>
      </c>
      <c r="U20" s="31" t="n">
        <v>45.63</v>
      </c>
      <c r="V20" s="31" t="n">
        <v>51.19</v>
      </c>
      <c r="W20" s="31" t="n">
        <v>14.27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less than 2.5x and Growth less than 20%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0 to 20</t>
        </is>
      </c>
      <c r="BM20" s="30">
        <f>IF(BL20="Above 40",20,IF(BL20="20 to 40",10,IF(BL20="0 to 20",-5,0)))</f>
        <v/>
      </c>
      <c r="BN20" s="30" t="inlineStr">
        <is>
          <t>Between 50 to 75</t>
        </is>
      </c>
      <c r="BO20" s="30">
        <f>IF(BN20="Between 50 to 75",10,IF(BN20="Above 75",0,0))</f>
        <v/>
      </c>
      <c r="BP20" s="30" t="inlineStr">
        <is>
          <t>Stage 2</t>
        </is>
      </c>
      <c r="BQ20" s="30">
        <f>IF(BP20="Stage 2",20,IF(BP20="Stage 1",0,IF(BP20="Stage 3",5,IF(BP20="Stage 4",-5,0))))</f>
        <v/>
      </c>
      <c r="BR20" s="30" t="inlineStr">
        <is>
          <t>Positive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Blue sky scenario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IF(B21=0,"",RANK(B21,$B$2:$B$34,0))</f>
        <v/>
      </c>
      <c r="B21" s="31">
        <f>SUM(N21,Y21,AA21,AC21,AE21,AG21,AI21,AK21,AM21,AO21,AQ21,AS21,AU21,AW21,AY21,BA21,BC21,BE21,BG21,BI21,BK21,BM21,BO21,BQ21,BS21,BU21,BW21,BY21,CA21)</f>
        <v/>
      </c>
      <c r="C21" s="30" t="inlineStr">
        <is>
          <t>BANDHANBNK</t>
        </is>
      </c>
      <c r="D21" s="30" t="inlineStr">
        <is>
          <t>Bandhan Bank Ltd</t>
        </is>
      </c>
      <c r="E21" s="30" t="inlineStr">
        <is>
          <t>bank</t>
        </is>
      </c>
      <c r="F21" s="30" t="inlineStr">
        <is>
          <t>banks - private sector</t>
        </is>
      </c>
      <c r="G21" s="30" t="inlineStr">
        <is>
          <t>largecap</t>
        </is>
      </c>
      <c r="H21" s="31" t="n">
        <v>33095.82</v>
      </c>
      <c r="I21" s="31" t="n">
        <v>205.87</v>
      </c>
      <c r="J21" s="31" t="n">
        <v>0.21</v>
      </c>
      <c r="K21" s="31" t="n">
        <v>6152884</v>
      </c>
      <c r="L21" s="30" t="n">
        <v>28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64.90000000000001</v>
      </c>
      <c r="P21" s="31" t="n">
        <v>28.23</v>
      </c>
      <c r="Q21" s="31" t="n">
        <v>167.52</v>
      </c>
      <c r="R21" s="30" t="inlineStr">
        <is>
          <t>Near 52W High Breakout</t>
        </is>
      </c>
      <c r="S21" s="30" t="inlineStr">
        <is>
          <t>Nifty Bank</t>
        </is>
      </c>
      <c r="T21" s="31" t="n">
        <v>-3.68</v>
      </c>
      <c r="U21" s="31" t="n">
        <v>19.71</v>
      </c>
      <c r="V21" s="31" t="n">
        <v>24.28</v>
      </c>
      <c r="W21" s="31" t="n">
        <v>7.27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less than 2.5x and Growth more than 20%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20 to 40</t>
        </is>
      </c>
      <c r="BM21" s="30">
        <f>IF(BL21="Above 40",20,IF(BL21="20 to 40",10,IF(BL21="0 to 20",-5,0)))</f>
        <v/>
      </c>
      <c r="BN21" s="30" t="inlineStr">
        <is>
          <t>Between 50 to 75</t>
        </is>
      </c>
      <c r="BO21" s="30">
        <f>IF(BN21="Between 50 to 75",10,IF(BN21="Above 75",0,0))</f>
        <v/>
      </c>
      <c r="BP21" s="30" t="inlineStr">
        <is>
          <t>Stage 2</t>
        </is>
      </c>
      <c r="BQ21" s="30">
        <f>IF(BP21="Stage 2",20,IF(BP21="Stage 1",0,IF(BP21="Stage 3",5,IF(BP21="Stage 4",-5,0))))</f>
        <v/>
      </c>
      <c r="BR21" s="30" t="inlineStr">
        <is>
          <t>Negative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Blue sky scenario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IF(B22=0,"",RANK(B22,$B$2:$B$34,0))</f>
        <v/>
      </c>
      <c r="B22" s="31">
        <f>SUM(N22,Y22,AA22,AC22,AE22,AG22,AI22,AK22,AM22,AO22,AQ22,AS22,AU22,AW22,AY22,BA22,BC22,BE22,BG22,BI22,BK22,BM22,BO22,BQ22,BS22,BU22,BW22,BY22,CA22)</f>
        <v/>
      </c>
      <c r="C22" s="30" t="inlineStr">
        <is>
          <t>CGCL</t>
        </is>
      </c>
      <c r="D22" s="30" t="inlineStr">
        <is>
          <t>Capri Global Capital Limited</t>
        </is>
      </c>
      <c r="E22" s="30" t="inlineStr">
        <is>
          <t>financials</t>
        </is>
      </c>
      <c r="F22" s="30" t="inlineStr">
        <is>
          <t>finance &amp; investments</t>
        </is>
      </c>
      <c r="G22" s="30" t="inlineStr">
        <is>
          <t>midcap</t>
        </is>
      </c>
      <c r="H22" s="31" t="n">
        <v>19486.5</v>
      </c>
      <c r="I22" s="31" t="n">
        <v>202.77</v>
      </c>
      <c r="J22" s="31" t="n">
        <v>0.12</v>
      </c>
      <c r="K22" s="31" t="n">
        <v>3384453</v>
      </c>
      <c r="L22" s="30" t="n">
        <v>46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63.03</v>
      </c>
      <c r="P22" s="31" t="n">
        <v>17.37</v>
      </c>
      <c r="Q22" s="31" t="n">
        <v>162.25</v>
      </c>
      <c r="R22" s="30" t="inlineStr">
        <is>
          <t>Near 52W High Breakout</t>
        </is>
      </c>
      <c r="S22" s="30" t="inlineStr">
        <is>
          <t>Nifty Bank</t>
        </is>
      </c>
      <c r="T22" s="31" t="n">
        <v>-3.68</v>
      </c>
      <c r="U22" s="31" t="n">
        <v>33.51</v>
      </c>
      <c r="V22" s="31" t="n">
        <v>38.61</v>
      </c>
      <c r="W22" s="31" t="n">
        <v>12.14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between 2.5x to 5x and Growth more than 20%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0 to 20</t>
        </is>
      </c>
      <c r="BM22" s="30">
        <f>IF(BL22="Above 40",20,IF(BL22="20 to 40",10,IF(BL22="0 to 20",-5,0)))</f>
        <v/>
      </c>
      <c r="BN22" s="30" t="inlineStr">
        <is>
          <t>Between 50 to 75</t>
        </is>
      </c>
      <c r="BO22" s="30">
        <f>IF(BN22="Between 50 to 75",10,IF(BN22="Above 75",0,0))</f>
        <v/>
      </c>
      <c r="BP22" s="30" t="inlineStr">
        <is>
          <t>Stage 2</t>
        </is>
      </c>
      <c r="BQ22" s="30">
        <f>IF(BP22="Stage 2",20,IF(BP22="Stage 1",0,IF(BP22="Stage 3",5,IF(BP22="Stage 4",-5,0))))</f>
        <v/>
      </c>
      <c r="BR22" s="30" t="inlineStr">
        <is>
          <t>Positive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Close to 52 week high or retracement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  <row r="23">
      <c r="A23" s="30">
        <f>IF(B23=0,"",RANK(B23,$B$2:$B$34,0))</f>
        <v/>
      </c>
      <c r="B23" s="31">
        <f>SUM(N23,Y23,AA23,AC23,AE23,AG23,AI23,AK23,AM23,AO23,AQ23,AS23,AU23,AW23,AY23,BA23,BC23,BE23,BG23,BI23,BK23,BM23,BO23,BQ23,BS23,BU23,BW23,BY23,CA23)</f>
        <v/>
      </c>
      <c r="C23" s="32" t="inlineStr">
        <is>
          <t>GEECEE</t>
        </is>
      </c>
      <c r="D23" s="32" t="inlineStr">
        <is>
          <t>Geecee Ventures Limited</t>
        </is>
      </c>
      <c r="E23" s="30" t="inlineStr">
        <is>
          <t>financials</t>
        </is>
      </c>
      <c r="F23" s="30" t="inlineStr">
        <is>
          <t>finance &amp; investments</t>
        </is>
      </c>
      <c r="G23" s="30" t="inlineStr">
        <is>
          <t>smallcap</t>
        </is>
      </c>
      <c r="H23" s="31" t="n">
        <v>690.51</v>
      </c>
      <c r="I23" s="31" t="n">
        <v>329.95</v>
      </c>
      <c r="J23" s="31" t="n">
        <v>-0.08</v>
      </c>
      <c r="K23" s="31" t="n">
        <v>6000</v>
      </c>
      <c r="L23" s="30" t="n">
        <v>4</v>
      </c>
      <c r="M23" s="30" t="inlineStr">
        <is>
          <t>Underperforming</t>
        </is>
      </c>
      <c r="N23" s="31">
        <f>IF(M23="Underperforming",-5,IF(L23&gt;=95,15,IF(L23&gt;=90,10,IF(L23&gt;=80,5,0))))</f>
        <v/>
      </c>
      <c r="O23" s="31" t="n">
        <v>56.25</v>
      </c>
      <c r="P23" s="31" t="n">
        <v>26.26</v>
      </c>
      <c r="Q23" s="31" t="n">
        <v>243.91</v>
      </c>
      <c r="R23" s="30" t="inlineStr">
        <is>
          <t>Earnings / Momentum Support</t>
        </is>
      </c>
      <c r="S23" s="30" t="inlineStr">
        <is>
          <t>Nifty Bank</t>
        </is>
      </c>
      <c r="T23" s="31" t="n">
        <v>-3.68</v>
      </c>
      <c r="U23" s="31" t="n">
        <v>-14.33</v>
      </c>
      <c r="V23" s="31" t="n">
        <v>-11.06</v>
      </c>
      <c r="W23" s="31" t="n">
        <v>1.67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Fragmented with High ROE</t>
        </is>
      </c>
      <c r="AA23" s="30">
        <f>IF(Z23="Fragmented with Low ROE",-5,IF(Z23="Fragmented with High ROE",10,IF(Z23= "highly cyclical",5,0)))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Headwind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Consistency)",15,IF(AF23="Shallow Cyclical (2 to 3 years growth)",10,IF(AF23 = "Cyclical in an Uptick",5,IF(AF23 = "Cyclical in an Downtick",-10,0))))</f>
        <v/>
      </c>
      <c r="AH23" s="30" t="inlineStr">
        <is>
          <t>Yes</t>
        </is>
      </c>
      <c r="AI23" s="30">
        <f>IF(AH23="Yes",10,0)</f>
        <v/>
      </c>
      <c r="AJ23" s="30" t="inlineStr">
        <is>
          <t>Yes</t>
        </is>
      </c>
      <c r="AK23" s="30">
        <f>IF(AJ23="Yes",10,0)</f>
        <v/>
      </c>
      <c r="AL23" s="30" t="n"/>
      <c r="AM23" s="30">
        <f>IF(AL23="No",10,0)</f>
        <v/>
      </c>
      <c r="AN23" s="30" t="inlineStr">
        <is>
          <t>Yes</t>
        </is>
      </c>
      <c r="AO23" s="30">
        <f>IF(AN23="Yes",10,0)</f>
        <v/>
      </c>
      <c r="AP23" s="30" t="inlineStr">
        <is>
          <t>No</t>
        </is>
      </c>
      <c r="AQ23" s="30">
        <f>IF(AP23="Yes",10,0)</f>
        <v/>
      </c>
      <c r="AR23" s="30" t="inlineStr">
        <is>
          <t>Yes</t>
        </is>
      </c>
      <c r="AS23" s="30">
        <f>IF(AR23="Yes",5,0)</f>
        <v/>
      </c>
      <c r="AT23" s="30" t="inlineStr">
        <is>
          <t>No</t>
        </is>
      </c>
      <c r="AU23" s="30">
        <f>IF(AT23="No",10,IF(AT23="Yes",-10,0))</f>
        <v/>
      </c>
      <c r="AV23" s="30" t="inlineStr">
        <is>
          <t>No</t>
        </is>
      </c>
      <c r="AW23" s="30">
        <f>IF(AV23="No",10,0)</f>
        <v/>
      </c>
      <c r="AX23" s="30" t="inlineStr">
        <is>
          <t>No</t>
        </is>
      </c>
      <c r="AY23" s="30">
        <f>IF(AX23="No",10,IF(AX23= "Yes CEO Resignation",-5,0))</f>
        <v/>
      </c>
      <c r="AZ23" s="30" t="inlineStr">
        <is>
          <t>No</t>
        </is>
      </c>
      <c r="BA23" s="30">
        <f>IF(AZ23="No",10,IF(AZ23="Yes",-5,0))</f>
        <v/>
      </c>
      <c r="BB23" s="30" t="inlineStr">
        <is>
          <t>No</t>
        </is>
      </c>
      <c r="BC23" s="30">
        <f>IF(BB23="No",5,IF(BB23="Yes",-5,0))</f>
        <v/>
      </c>
      <c r="BD23" s="30" t="inlineStr">
        <is>
          <t>Yes</t>
        </is>
      </c>
      <c r="BE23" s="30">
        <f>IF(BD23="Yes",10,0)</f>
        <v/>
      </c>
      <c r="BF23" s="30" t="inlineStr">
        <is>
          <t>Yes</t>
        </is>
      </c>
      <c r="BG23" s="30">
        <f>IF(BF23="Yes",10,0)</f>
        <v/>
      </c>
      <c r="BH23" s="30" t="inlineStr">
        <is>
          <t>Yes</t>
        </is>
      </c>
      <c r="BI23" s="30">
        <f>IF(BH23="Yes",10,0)</f>
        <v/>
      </c>
      <c r="BJ23" s="30" t="inlineStr">
        <is>
          <t>P/BV less than 2.5x and Growth more than 20%</t>
        </is>
      </c>
      <c r="BK23" s="30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0" t="inlineStr">
        <is>
          <t>20 to 40</t>
        </is>
      </c>
      <c r="BM23" s="30">
        <f>IF(BL23="Above 40",20,IF(BL23="20 to 40",10,IF(BL23="0 to 20",-5,0)))</f>
        <v/>
      </c>
      <c r="BN23" s="30" t="inlineStr">
        <is>
          <t>Between 50 to 75</t>
        </is>
      </c>
      <c r="BO23" s="30">
        <f>IF(BN23="Between 50 to 75",10,IF(BN23="Above 75",0,0))</f>
        <v/>
      </c>
      <c r="BP23" s="30" t="inlineStr">
        <is>
          <t>Stage 2</t>
        </is>
      </c>
      <c r="BQ23" s="30">
        <f>IF(BP23="Stage 2",20,IF(BP23="Stage 1",0,IF(BP23="Stage 3",5,IF(BP23="Stage 4",-5,0))))</f>
        <v/>
      </c>
      <c r="BR23" s="30" t="inlineStr">
        <is>
          <t>Positive Trend</t>
        </is>
      </c>
      <c r="BS23" s="30">
        <f>IF(BR23="Positive Trend",20,IF(BR23="Negative Trend",-10,0))</f>
        <v/>
      </c>
      <c r="BT23" s="30" t="inlineStr">
        <is>
          <t>Uptrend</t>
        </is>
      </c>
      <c r="BU23" s="30">
        <f>IF(BT23="Uptrend",10,IF(BT23="Sideways",5,0))</f>
        <v/>
      </c>
      <c r="BV23" s="30" t="inlineStr">
        <is>
          <t>Uptrend</t>
        </is>
      </c>
      <c r="BW23" s="30">
        <f>IF(BV23="Uptrend",10,IF(BV23="Sideways",5,0))</f>
        <v/>
      </c>
      <c r="BX23" s="30" t="inlineStr">
        <is>
          <t>Close to 52 week high or retracement</t>
        </is>
      </c>
      <c r="BY23" s="30">
        <f>IF(BX23="Overhead supply in last 2 years in last 2 years",-5,IF(BX23="Close to 52 week high or retracement",5,IF(BX23="Blue sky scenario",10,IF(BX23="Long term Downtrend",-10,0))))</f>
        <v/>
      </c>
      <c r="BZ23" s="30" t="inlineStr">
        <is>
          <t>Yes</t>
        </is>
      </c>
      <c r="CA23" s="30">
        <f>IF(BZ23="Yes",10,0)</f>
        <v/>
      </c>
    </row>
    <row r="24">
      <c r="A24" s="30">
        <f>IF(B24=0,"",RANK(B24,$B$2:$B$34,0))</f>
        <v/>
      </c>
      <c r="B24" s="31">
        <f>SUM(N24,Y24,AA24,AC24,AE24,AG24,AI24,AK24,AM24,AO24,AQ24,AS24,AU24,AW24,AY24,BA24,BC24,BE24,BG24,BI24,BK24,BM24,BO24,BQ24,BS24,BU24,BW24,BY24,CA24)</f>
        <v/>
      </c>
      <c r="C24" s="30" t="inlineStr">
        <is>
          <t>SOUTHBANK</t>
        </is>
      </c>
      <c r="D24" s="30" t="inlineStr">
        <is>
          <t>The South Indian Bank Limited</t>
        </is>
      </c>
      <c r="E24" s="30" t="inlineStr">
        <is>
          <t>bank</t>
        </is>
      </c>
      <c r="F24" s="30" t="inlineStr">
        <is>
          <t>banks - private sector</t>
        </is>
      </c>
      <c r="G24" s="30" t="inlineStr">
        <is>
          <t>midcap</t>
        </is>
      </c>
      <c r="H24" s="31" t="n">
        <v>11676.97</v>
      </c>
      <c r="I24" s="31" t="n">
        <v>44</v>
      </c>
      <c r="J24" s="31" t="n">
        <v>-1.37</v>
      </c>
      <c r="K24" s="31" t="n">
        <v>15745980</v>
      </c>
      <c r="L24" s="30" t="n">
        <v>45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63.37</v>
      </c>
      <c r="P24" s="31" t="n">
        <v>11.39</v>
      </c>
      <c r="Q24" s="31" t="n">
        <v>34.44</v>
      </c>
      <c r="R24" s="30" t="inlineStr">
        <is>
          <t>Near 52W High Breakout</t>
        </is>
      </c>
      <c r="S24" s="30" t="inlineStr">
        <is>
          <t>Nifty Bank</t>
        </is>
      </c>
      <c r="T24" s="31" t="n">
        <v>-3.68</v>
      </c>
      <c r="U24" s="31" t="n">
        <v>52.99</v>
      </c>
      <c r="V24" s="31" t="n">
        <v>58.84</v>
      </c>
      <c r="W24" s="31" t="n">
        <v>11.92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Fragmented with High ROE</t>
        </is>
      </c>
      <c r="AA24" s="30">
        <f>IF(Z24="Fragmented with Low ROE",-5,IF(Z24="Fragmented with High ROE",10,IF(Z24= "highly cyclical",5,0)))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Consistency)",15,IF(AF24="Shallow Cyclical (2 to 3 years growth)",10,IF(AF24 = "Cyclical in an Uptick",5,IF(AF24 = "Cyclical in an Downtick",-10,0))))</f>
        <v/>
      </c>
      <c r="AH24" s="30" t="inlineStr">
        <is>
          <t>Yes</t>
        </is>
      </c>
      <c r="AI24" s="30">
        <f>IF(AH24="Yes",10,0)</f>
        <v/>
      </c>
      <c r="AJ24" s="30" t="inlineStr">
        <is>
          <t>Yes</t>
        </is>
      </c>
      <c r="AK24" s="30">
        <f>IF(AJ24="Yes",10,0)</f>
        <v/>
      </c>
      <c r="AL24" s="30" t="n"/>
      <c r="AM24" s="30">
        <f>IF(AL24="No",10,0)</f>
        <v/>
      </c>
      <c r="AN24" s="30" t="inlineStr">
        <is>
          <t>Yes</t>
        </is>
      </c>
      <c r="AO24" s="30">
        <f>IF(AN24="Yes",10,0)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Yes</t>
        </is>
      </c>
      <c r="AS24" s="30">
        <f>IF(AR24="Yes",5,0)</f>
        <v/>
      </c>
      <c r="AT24" s="30" t="inlineStr">
        <is>
          <t>No</t>
        </is>
      </c>
      <c r="AU24" s="30">
        <f>IF(AT24="No",10,IF(AT24="Yes",-10,0))</f>
        <v/>
      </c>
      <c r="AV24" s="30" t="inlineStr">
        <is>
          <t>No</t>
        </is>
      </c>
      <c r="AW24" s="30">
        <f>IF(AV24="No",10,0)</f>
        <v/>
      </c>
      <c r="AX24" s="30" t="inlineStr">
        <is>
          <t>No</t>
        </is>
      </c>
      <c r="AY24" s="30">
        <f>IF(AX24="No",10,IF(AX24= "Yes CEO Resignation",-5,0))</f>
        <v/>
      </c>
      <c r="AZ24" s="30" t="inlineStr">
        <is>
          <t>No</t>
        </is>
      </c>
      <c r="BA24" s="30">
        <f>IF(AZ24="No",10,IF(AZ24="Yes",-5,0))</f>
        <v/>
      </c>
      <c r="BB24" s="30" t="inlineStr">
        <is>
          <t>No</t>
        </is>
      </c>
      <c r="BC24" s="30">
        <f>IF(BB24="No",5,IF(BB24="Yes",-5,0))</f>
        <v/>
      </c>
      <c r="BD24" s="30" t="inlineStr">
        <is>
          <t>Yes</t>
        </is>
      </c>
      <c r="BE24" s="30">
        <f>IF(BD24="Yes",10,0)</f>
        <v/>
      </c>
      <c r="BF24" s="30" t="inlineStr">
        <is>
          <t>Yes</t>
        </is>
      </c>
      <c r="BG24" s="30">
        <f>IF(BF24="Yes",10,0)</f>
        <v/>
      </c>
      <c r="BH24" s="30" t="inlineStr">
        <is>
          <t>Yes</t>
        </is>
      </c>
      <c r="BI24" s="30">
        <f>IF(BH24="Yes",10,0)</f>
        <v/>
      </c>
      <c r="BJ24" s="30" t="inlineStr">
        <is>
          <t>P/BV less than 2.5x and Growth less than 20%</t>
        </is>
      </c>
      <c r="BK24" s="30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0" t="inlineStr">
        <is>
          <t>0 to 20</t>
        </is>
      </c>
      <c r="BM24" s="30">
        <f>IF(BL24="Above 40",20,IF(BL24="20 to 40",10,IF(BL24="0 to 20",-5,0)))</f>
        <v/>
      </c>
      <c r="BN24" s="30" t="inlineStr">
        <is>
          <t>Between 50 to 75</t>
        </is>
      </c>
      <c r="BO24" s="30">
        <f>IF(BN24="Between 50 to 75",10,IF(BN24="Above 75",0,0))</f>
        <v/>
      </c>
      <c r="BP24" s="30" t="inlineStr">
        <is>
          <t>Stage 2</t>
        </is>
      </c>
      <c r="BQ24" s="30">
        <f>IF(BP24="Stage 2",20,IF(BP24="Stage 1",0,IF(BP24="Stage 3",5,IF(BP24="Stage 4",-5,0))))</f>
        <v/>
      </c>
      <c r="BR24" s="30" t="inlineStr">
        <is>
          <t>Positive Trend</t>
        </is>
      </c>
      <c r="BS24" s="30">
        <f>IF(BR24="Positive Trend",20,IF(BR24="Negative Trend",-10,0))</f>
        <v/>
      </c>
      <c r="BT24" s="30" t="inlineStr">
        <is>
          <t>Uptrend</t>
        </is>
      </c>
      <c r="BU24" s="30">
        <f>IF(BT24="Uptrend",10,IF(BT24="Sideways",5,0))</f>
        <v/>
      </c>
      <c r="BV24" s="30" t="inlineStr">
        <is>
          <t>Uptrend</t>
        </is>
      </c>
      <c r="BW24" s="30">
        <f>IF(BV24="Uptrend",10,IF(BV24="Sideways",5,0))</f>
        <v/>
      </c>
      <c r="BX24" s="30" t="inlineStr">
        <is>
          <t>Blue sky scenario</t>
        </is>
      </c>
      <c r="BY24" s="30">
        <f>IF(BX24="Overhead supply in last 2 years in last 2 years",-5,IF(BX24="Close to 52 week high or retracement",5,IF(BX24="Blue sky scenario",10,IF(BX24="Long term Downtrend",-10,0))))</f>
        <v/>
      </c>
      <c r="BZ24" s="30" t="inlineStr">
        <is>
          <t>Yes</t>
        </is>
      </c>
      <c r="CA24" s="30">
        <f>IF(BZ24="Yes",10,0)</f>
        <v/>
      </c>
    </row>
    <row r="25">
      <c r="A25" s="30">
        <f>IF(B25=0,"",RANK(B25,$B$2:$B$34,0))</f>
        <v/>
      </c>
      <c r="B25" s="31">
        <f>SUM(N25,Y25,AA25,AC25,AE25,AG25,AI25,AK25,AM25,AO25,AQ25,AS25,AU25,AW25,AY25,BA25,BC25,BE25,BG25,BI25,BK25,BM25,BO25,BQ25,BS25,BU25,BW25,BY25,CA25)</f>
        <v/>
      </c>
      <c r="C25" s="30" t="inlineStr">
        <is>
          <t>IFCI</t>
        </is>
      </c>
      <c r="D25" s="30" t="inlineStr">
        <is>
          <t>Ifci Limited</t>
        </is>
      </c>
      <c r="E25" s="30" t="inlineStr">
        <is>
          <t>financials</t>
        </is>
      </c>
      <c r="F25" s="30" t="inlineStr">
        <is>
          <t>finance - term-lending institutions</t>
        </is>
      </c>
      <c r="G25" s="30" t="inlineStr">
        <is>
          <t>largecap</t>
        </is>
      </c>
      <c r="H25" s="31" t="n">
        <v>22087.99</v>
      </c>
      <c r="I25" s="31" t="n">
        <v>79.59999999999999</v>
      </c>
      <c r="J25" s="31" t="n">
        <v>-2.9</v>
      </c>
      <c r="K25" s="31" t="n">
        <v>69288318</v>
      </c>
      <c r="L25" s="30" t="n">
        <v>57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70.06999999999999</v>
      </c>
      <c r="P25" s="31" t="n">
        <v>19.97</v>
      </c>
      <c r="Q25" s="31" t="n">
        <v>59.03</v>
      </c>
      <c r="R25" s="30" t="inlineStr">
        <is>
          <t>Volume Spike &amp; Near 52W High Breakout</t>
        </is>
      </c>
      <c r="S25" s="30" t="inlineStr">
        <is>
          <t>Nifty Bank</t>
        </is>
      </c>
      <c r="T25" s="31" t="n">
        <v>-3.68</v>
      </c>
      <c r="U25" s="31" t="n">
        <v>20.55</v>
      </c>
      <c r="V25" s="31" t="n">
        <v>25.16</v>
      </c>
      <c r="W25" s="31" t="n">
        <v>15.15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Fragmented with High ROE</t>
        </is>
      </c>
      <c r="AA25" s="30">
        <f>IF(Z25="Fragmented with Low ROE",-5,IF(Z25="Fragmented with High ROE",10,IF(Z25= "highly cyclical",5,0)))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Consistency)",15,IF(AF25="Shallow Cyclical (2 to 3 years growth)",10,IF(AF25 = "Cyclical in an Uptick",5,IF(AF25 = "Cyclical in an Downtick",-10,0))))</f>
        <v/>
      </c>
      <c r="AH25" s="30" t="inlineStr">
        <is>
          <t>Yes</t>
        </is>
      </c>
      <c r="AI25" s="30">
        <f>IF(AH25="Yes",10,0)</f>
        <v/>
      </c>
      <c r="AJ25" s="30" t="inlineStr">
        <is>
          <t>Yes</t>
        </is>
      </c>
      <c r="AK25" s="30">
        <f>IF(AJ25="Yes",10,0)</f>
        <v/>
      </c>
      <c r="AL25" s="30" t="n"/>
      <c r="AM25" s="30">
        <f>IF(AL25="No",10,0)</f>
        <v/>
      </c>
      <c r="AN25" s="30" t="inlineStr">
        <is>
          <t>Yes</t>
        </is>
      </c>
      <c r="AO25" s="30">
        <f>IF(AN25="Yes",10,0)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Yes</t>
        </is>
      </c>
      <c r="AS25" s="30">
        <f>IF(AR25="Yes",5,0)</f>
        <v/>
      </c>
      <c r="AT25" s="30" t="inlineStr">
        <is>
          <t>No</t>
        </is>
      </c>
      <c r="AU25" s="30">
        <f>IF(AT25="No",10,IF(AT25="Yes",-10,0))</f>
        <v/>
      </c>
      <c r="AV25" s="30" t="inlineStr">
        <is>
          <t>No</t>
        </is>
      </c>
      <c r="AW25" s="30">
        <f>IF(AV25="No",10,0)</f>
        <v/>
      </c>
      <c r="AX25" s="30" t="inlineStr">
        <is>
          <t>No</t>
        </is>
      </c>
      <c r="AY25" s="30">
        <f>IF(AX25="No",10,IF(AX25= "Yes CEO Resignation",-5,0))</f>
        <v/>
      </c>
      <c r="AZ25" s="30" t="inlineStr">
        <is>
          <t>No</t>
        </is>
      </c>
      <c r="BA25" s="30">
        <f>IF(AZ25="No",10,IF(AZ25="Yes",-5,0))</f>
        <v/>
      </c>
      <c r="BB25" s="30" t="inlineStr">
        <is>
          <t>No</t>
        </is>
      </c>
      <c r="BC25" s="30">
        <f>IF(BB25="No",5,IF(BB25="Yes",-5,0))</f>
        <v/>
      </c>
      <c r="BD25" s="30" t="inlineStr">
        <is>
          <t>Yes</t>
        </is>
      </c>
      <c r="BE25" s="30">
        <f>IF(BD25="Yes",10,0)</f>
        <v/>
      </c>
      <c r="BF25" s="30" t="inlineStr">
        <is>
          <t>Yes</t>
        </is>
      </c>
      <c r="BG25" s="30">
        <f>IF(BF25="Yes",10,0)</f>
        <v/>
      </c>
      <c r="BH25" s="30" t="inlineStr">
        <is>
          <t>Yes</t>
        </is>
      </c>
      <c r="BI25" s="30">
        <f>IF(BH25="Yes",10,0)</f>
        <v/>
      </c>
      <c r="BJ25" s="30" t="inlineStr">
        <is>
          <t>P/BV less than 2.5x and Growth less than 20%</t>
        </is>
      </c>
      <c r="BK25" s="30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0" t="inlineStr">
        <is>
          <t>0 to 20</t>
        </is>
      </c>
      <c r="BM25" s="30">
        <f>IF(BL25="Above 40",20,IF(BL25="20 to 40",10,IF(BL25="0 to 20",-5,0)))</f>
        <v/>
      </c>
      <c r="BN25" s="30" t="inlineStr">
        <is>
          <t>Between 50 to 75</t>
        </is>
      </c>
      <c r="BO25" s="30">
        <f>IF(BN25="Between 50 to 75",10,IF(BN25="Above 75",0,0))</f>
        <v/>
      </c>
      <c r="BP25" s="30" t="inlineStr">
        <is>
          <t>Stage 2</t>
        </is>
      </c>
      <c r="BQ25" s="30">
        <f>IF(BP25="Stage 2",20,IF(BP25="Stage 1",0,IF(BP25="Stage 3",5,IF(BP25="Stage 4",-5,0))))</f>
        <v/>
      </c>
      <c r="BR25" s="30" t="inlineStr">
        <is>
          <t>Positive Trend</t>
        </is>
      </c>
      <c r="BS25" s="30">
        <f>IF(BR25="Positive Trend",20,IF(BR25="Negative Trend",-10,0))</f>
        <v/>
      </c>
      <c r="BT25" s="30" t="inlineStr">
        <is>
          <t>Uptrend</t>
        </is>
      </c>
      <c r="BU25" s="30">
        <f>IF(BT25="Uptrend",10,IF(BT25="Sideways",5,0))</f>
        <v/>
      </c>
      <c r="BV25" s="30" t="inlineStr">
        <is>
          <t>Uptrend</t>
        </is>
      </c>
      <c r="BW25" s="30">
        <f>IF(BV25="Uptrend",10,IF(BV25="Sideways",5,0))</f>
        <v/>
      </c>
      <c r="BX25" s="30" t="inlineStr">
        <is>
          <t>Blue sky scenario</t>
        </is>
      </c>
      <c r="BY25" s="30">
        <f>IF(BX25="Overhead supply in last 2 years in last 2 years",-5,IF(BX25="Close to 52 week high or retracement",5,IF(BX25="Blue sky scenario",10,IF(BX25="Long term Downtrend",-10,0))))</f>
        <v/>
      </c>
      <c r="BZ25" s="30" t="inlineStr">
        <is>
          <t>Yes</t>
        </is>
      </c>
      <c r="CA25" s="30">
        <f>IF(BZ25="Yes",10,0)</f>
        <v/>
      </c>
    </row>
    <row r="26">
      <c r="A26" s="30">
        <f>IF(B26=0,"",RANK(B26,$B$2:$B$34,0))</f>
        <v/>
      </c>
      <c r="B26" s="31">
        <f>SUM(N26,Y26,AA26,AC26,AE26,AG26,AI26,AK26,AM26,AO26,AQ26,AS26,AU26,AW26,AY26,BA26,BC26,BE26,BG26,BI26,BK26,BM26,BO26,BQ26,BS26,BU26,BW26,BY26,CA26)</f>
        <v/>
      </c>
      <c r="C26" s="30" t="inlineStr">
        <is>
          <t>PAISALO</t>
        </is>
      </c>
      <c r="D26" s="30" t="inlineStr">
        <is>
          <t>Paisalo Digital Ltd</t>
        </is>
      </c>
      <c r="E26" s="30" t="inlineStr">
        <is>
          <t>financials</t>
        </is>
      </c>
      <c r="F26" s="30" t="inlineStr">
        <is>
          <t>finance &amp; investments</t>
        </is>
      </c>
      <c r="G26" s="30" t="inlineStr">
        <is>
          <t>midcap</t>
        </is>
      </c>
      <c r="H26" s="31" t="n">
        <v>5036.02</v>
      </c>
      <c r="I26" s="31" t="n">
        <v>57.87</v>
      </c>
      <c r="J26" s="31" t="n">
        <v>4.52</v>
      </c>
      <c r="K26" s="31" t="n">
        <v>17932750</v>
      </c>
      <c r="L26" s="30" t="n">
        <v>86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76.33</v>
      </c>
      <c r="P26" s="31" t="n">
        <v>29.13</v>
      </c>
      <c r="Q26" s="31" t="n">
        <v>45.1</v>
      </c>
      <c r="R26" s="30" t="inlineStr">
        <is>
          <t>Near 52W High Breakout</t>
        </is>
      </c>
      <c r="S26" s="30" t="inlineStr">
        <is>
          <t>Nifty Bank</t>
        </is>
      </c>
      <c r="T26" s="31" t="n">
        <v>-3.68</v>
      </c>
      <c r="U26" s="31" t="n">
        <v>82.79000000000001</v>
      </c>
      <c r="V26" s="31" t="n">
        <v>89.78</v>
      </c>
      <c r="W26" s="31" t="n">
        <v>30.55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Fragmented with High ROE</t>
        </is>
      </c>
      <c r="AA26" s="30">
        <f>IF(Z26="Fragmented with Low ROE",-5,IF(Z26="Fragmented with High ROE",10,IF(Z26= "highly cyclical",5,0)))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Consistency)",15,IF(AF26="Shallow Cyclical (2 to 3 years growth)",10,IF(AF26 = "Cyclical in an Uptick",5,IF(AF26 = "Cyclical in an Downtick",-10,0))))</f>
        <v/>
      </c>
      <c r="AH26" s="30" t="inlineStr">
        <is>
          <t>Yes</t>
        </is>
      </c>
      <c r="AI26" s="30">
        <f>IF(AH26="Yes",10,0)</f>
        <v/>
      </c>
      <c r="AJ26" s="30" t="inlineStr">
        <is>
          <t>Yes</t>
        </is>
      </c>
      <c r="AK26" s="30">
        <f>IF(AJ26="Yes",10,0)</f>
        <v/>
      </c>
      <c r="AL26" s="30" t="n"/>
      <c r="AM26" s="30">
        <f>IF(AL26="No",10,0)</f>
        <v/>
      </c>
      <c r="AN26" s="30" t="inlineStr">
        <is>
          <t>Yes</t>
        </is>
      </c>
      <c r="AO26" s="30">
        <f>IF(AN26="Yes",10,0)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Yes</t>
        </is>
      </c>
      <c r="AS26" s="30">
        <f>IF(AR26="Yes",5,0)</f>
        <v/>
      </c>
      <c r="AT26" s="30" t="inlineStr">
        <is>
          <t>No</t>
        </is>
      </c>
      <c r="AU26" s="30">
        <f>IF(AT26="No",10,IF(AT26="Yes",-10,0))</f>
        <v/>
      </c>
      <c r="AV26" s="30" t="inlineStr">
        <is>
          <t>No</t>
        </is>
      </c>
      <c r="AW26" s="30">
        <f>IF(AV26="No",10,0)</f>
        <v/>
      </c>
      <c r="AX26" s="30" t="inlineStr">
        <is>
          <t>No</t>
        </is>
      </c>
      <c r="AY26" s="30">
        <f>IF(AX26="No",10,IF(AX26= "Yes CEO Resignation",-5,0))</f>
        <v/>
      </c>
      <c r="AZ26" s="30" t="inlineStr">
        <is>
          <t>No</t>
        </is>
      </c>
      <c r="BA26" s="30">
        <f>IF(AZ26="No",10,IF(AZ26="Yes",-5,0))</f>
        <v/>
      </c>
      <c r="BB26" s="30" t="inlineStr">
        <is>
          <t>No</t>
        </is>
      </c>
      <c r="BC26" s="30">
        <f>IF(BB26="No",5,IF(BB26="Yes",-5,0))</f>
        <v/>
      </c>
      <c r="BD26" s="30" t="inlineStr">
        <is>
          <t>Yes</t>
        </is>
      </c>
      <c r="BE26" s="30">
        <f>IF(BD26="Yes",10,0)</f>
        <v/>
      </c>
      <c r="BF26" s="30" t="inlineStr">
        <is>
          <t>Yes</t>
        </is>
      </c>
      <c r="BG26" s="30">
        <f>IF(BF26="Yes",10,0)</f>
        <v/>
      </c>
      <c r="BH26" s="30" t="inlineStr">
        <is>
          <t>Yes</t>
        </is>
      </c>
      <c r="BI26" s="30">
        <f>IF(BH26="Yes",10,0)</f>
        <v/>
      </c>
      <c r="BJ26" s="30" t="inlineStr">
        <is>
          <t>P/BV between 2.5x to 5x and Growth less than 20%</t>
        </is>
      </c>
      <c r="BK26" s="30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0" t="inlineStr">
        <is>
          <t>20 to 40</t>
        </is>
      </c>
      <c r="BM26" s="30">
        <f>IF(BL26="Above 40",20,IF(BL26="20 to 40",10,IF(BL26="0 to 20",-5,0)))</f>
        <v/>
      </c>
      <c r="BN26" s="30" t="inlineStr">
        <is>
          <t>Above 75</t>
        </is>
      </c>
      <c r="BO26" s="30">
        <f>IF(BN26="Between 50 to 75",10,IF(BN26="Above 75",0,0))</f>
        <v/>
      </c>
      <c r="BP26" s="30" t="inlineStr">
        <is>
          <t>Stage 2</t>
        </is>
      </c>
      <c r="BQ26" s="30">
        <f>IF(BP26="Stage 2",20,IF(BP26="Stage 1",0,IF(BP26="Stage 3",5,IF(BP26="Stage 4",-5,0))))</f>
        <v/>
      </c>
      <c r="BR26" s="30" t="inlineStr">
        <is>
          <t>Positive Trend</t>
        </is>
      </c>
      <c r="BS26" s="30">
        <f>IF(BR26="Positive Trend",20,IF(BR26="Negative Trend",-10,0))</f>
        <v/>
      </c>
      <c r="BT26" s="30" t="inlineStr">
        <is>
          <t>Uptrend</t>
        </is>
      </c>
      <c r="BU26" s="30">
        <f>IF(BT26="Uptrend",10,IF(BT26="Sideways",5,0))</f>
        <v/>
      </c>
      <c r="BV26" s="30" t="inlineStr">
        <is>
          <t>Uptrend</t>
        </is>
      </c>
      <c r="BW26" s="30">
        <f>IF(BV26="Uptrend",10,IF(BV26="Sideways",5,0))</f>
        <v/>
      </c>
      <c r="BX26" s="30" t="inlineStr">
        <is>
          <t>Close to 52 week high or retracement</t>
        </is>
      </c>
      <c r="BY26" s="30">
        <f>IF(BX26="Overhead supply in last 2 years in last 2 years",-5,IF(BX26="Close to 52 week high or retracement",5,IF(BX26="Blue sky scenario",10,IF(BX26="Long term Downtrend",-10,0))))</f>
        <v/>
      </c>
      <c r="BZ26" s="30" t="inlineStr">
        <is>
          <t>Yes</t>
        </is>
      </c>
      <c r="CA26" s="30">
        <f>IF(BZ26="Yes",10,0)</f>
        <v/>
      </c>
    </row>
    <row r="27">
      <c r="A27" s="30">
        <f>IF(B27=0,"",RANK(B27,$B$2:$B$34,0))</f>
        <v/>
      </c>
      <c r="B27" s="31">
        <f>SUM(N27,Y27,AA27,AC27,AE27,AG27,AI27,AK27,AM27,AO27,AQ27,AS27,AU27,AW27,AY27,BA27,BC27,BE27,BG27,BI27,BK27,BM27,BO27,BQ27,BS27,BU27,BW27,BY27,CA27)</f>
        <v/>
      </c>
      <c r="C27" s="30" t="inlineStr">
        <is>
          <t>SURYODAY</t>
        </is>
      </c>
      <c r="D27" s="30" t="inlineStr">
        <is>
          <t>Suryoday Small Finance Bank Ltd</t>
        </is>
      </c>
      <c r="E27" s="30" t="inlineStr">
        <is>
          <t>bank</t>
        </is>
      </c>
      <c r="F27" s="30" t="inlineStr">
        <is>
          <t>banks - private sector</t>
        </is>
      </c>
      <c r="G27" s="30" t="inlineStr">
        <is>
          <t>smallcap</t>
        </is>
      </c>
      <c r="H27" s="31" t="n">
        <v>1821.7</v>
      </c>
      <c r="I27" s="31" t="n">
        <v>171.83</v>
      </c>
      <c r="J27" s="31" t="n">
        <v>0.26</v>
      </c>
      <c r="K27" s="31" t="n">
        <v>265733</v>
      </c>
      <c r="L27" s="30" t="n">
        <v>43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63.87</v>
      </c>
      <c r="P27" s="31" t="n">
        <v>27.71</v>
      </c>
      <c r="Q27" s="31" t="n">
        <v>138.24</v>
      </c>
      <c r="R27" s="30" t="inlineStr">
        <is>
          <t>Near 52W High Breakout</t>
        </is>
      </c>
      <c r="S27" s="30" t="inlineStr">
        <is>
          <t>Nifty Bank</t>
        </is>
      </c>
      <c r="T27" s="31" t="n">
        <v>-3.68</v>
      </c>
      <c r="U27" s="31" t="n">
        <v>18.54</v>
      </c>
      <c r="V27" s="31" t="n">
        <v>23.07</v>
      </c>
      <c r="W27" s="31" t="n">
        <v>11.32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Fragmented with High ROE</t>
        </is>
      </c>
      <c r="AA27" s="30">
        <f>IF(Z27="Fragmented with Low ROE",-5,IF(Z27="Fragmented with High ROE",10,IF(Z27= "highly cyclical",5,0)))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Consistency)",15,IF(AF27="Shallow Cyclical (2 to 3 years growth)",10,IF(AF27 = "Cyclical in an Uptick",5,IF(AF27 = "Cyclical in an Downtick",-10,0))))</f>
        <v/>
      </c>
      <c r="AH27" s="30" t="inlineStr">
        <is>
          <t>Yes</t>
        </is>
      </c>
      <c r="AI27" s="30">
        <f>IF(AH27="Yes",10,0)</f>
        <v/>
      </c>
      <c r="AJ27" s="30" t="inlineStr">
        <is>
          <t>Yes</t>
        </is>
      </c>
      <c r="AK27" s="30">
        <f>IF(AJ27="Yes",10,0)</f>
        <v/>
      </c>
      <c r="AL27" s="30" t="n"/>
      <c r="AM27" s="30">
        <f>IF(AL27="No",10,0)</f>
        <v/>
      </c>
      <c r="AN27" s="30" t="inlineStr">
        <is>
          <t>Yes</t>
        </is>
      </c>
      <c r="AO27" s="30">
        <f>IF(AN27="Yes",10,0)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Yes</t>
        </is>
      </c>
      <c r="AS27" s="30">
        <f>IF(AR27="Yes",5,0)</f>
        <v/>
      </c>
      <c r="AT27" s="30" t="inlineStr">
        <is>
          <t>No</t>
        </is>
      </c>
      <c r="AU27" s="30">
        <f>IF(AT27="No",10,IF(AT27="Yes",-10,0))</f>
        <v/>
      </c>
      <c r="AV27" s="30" t="inlineStr">
        <is>
          <t>No</t>
        </is>
      </c>
      <c r="AW27" s="30">
        <f>IF(AV27="No",10,0)</f>
        <v/>
      </c>
      <c r="AX27" s="30" t="inlineStr">
        <is>
          <t>No</t>
        </is>
      </c>
      <c r="AY27" s="30">
        <f>IF(AX27="No",10,IF(AX27= "Yes CEO Resignation",-5,0))</f>
        <v/>
      </c>
      <c r="AZ27" s="30" t="inlineStr">
        <is>
          <t>No</t>
        </is>
      </c>
      <c r="BA27" s="30">
        <f>IF(AZ27="No",10,IF(AZ27="Yes",-5,0))</f>
        <v/>
      </c>
      <c r="BB27" s="30" t="inlineStr">
        <is>
          <t>No</t>
        </is>
      </c>
      <c r="BC27" s="30">
        <f>IF(BB27="No",5,IF(BB27="Yes",-5,0))</f>
        <v/>
      </c>
      <c r="BD27" s="30" t="inlineStr">
        <is>
          <t>Yes</t>
        </is>
      </c>
      <c r="BE27" s="30">
        <f>IF(BD27="Yes",10,0)</f>
        <v/>
      </c>
      <c r="BF27" s="30" t="inlineStr">
        <is>
          <t>Yes</t>
        </is>
      </c>
      <c r="BG27" s="30">
        <f>IF(BF27="Yes",10,0)</f>
        <v/>
      </c>
      <c r="BH27" s="30" t="inlineStr">
        <is>
          <t>Yes</t>
        </is>
      </c>
      <c r="BI27" s="30">
        <f>IF(BH27="Yes",10,0)</f>
        <v/>
      </c>
      <c r="BJ27" s="30" t="inlineStr">
        <is>
          <t>P/BV less than 2.5x and Growth more than 20%</t>
        </is>
      </c>
      <c r="BK27" s="30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0" t="inlineStr">
        <is>
          <t>20 to 40</t>
        </is>
      </c>
      <c r="BM27" s="30">
        <f>IF(BL27="Above 40",20,IF(BL27="20 to 40",10,IF(BL27="0 to 20",-5,0)))</f>
        <v/>
      </c>
      <c r="BN27" s="30" t="inlineStr">
        <is>
          <t>Between 50 to 75</t>
        </is>
      </c>
      <c r="BO27" s="30">
        <f>IF(BN27="Between 50 to 75",10,IF(BN27="Above 75",0,0))</f>
        <v/>
      </c>
      <c r="BP27" s="30" t="inlineStr">
        <is>
          <t>Stage 2</t>
        </is>
      </c>
      <c r="BQ27" s="30">
        <f>IF(BP27="Stage 2",20,IF(BP27="Stage 1",0,IF(BP27="Stage 3",5,IF(BP27="Stage 4",-5,0))))</f>
        <v/>
      </c>
      <c r="BR27" s="30" t="inlineStr">
        <is>
          <t>Negative Trend</t>
        </is>
      </c>
      <c r="BS27" s="30">
        <f>IF(BR27="Positive Trend",20,IF(BR27="Negative Trend",-10,0))</f>
        <v/>
      </c>
      <c r="BT27" s="30" t="inlineStr">
        <is>
          <t>Uptrend</t>
        </is>
      </c>
      <c r="BU27" s="30">
        <f>IF(BT27="Uptrend",10,IF(BT27="Sideways",5,0))</f>
        <v/>
      </c>
      <c r="BV27" s="30" t="inlineStr">
        <is>
          <t>Uptrend</t>
        </is>
      </c>
      <c r="BW27" s="30">
        <f>IF(BV27="Uptrend",10,IF(BV27="Sideways",5,0))</f>
        <v/>
      </c>
      <c r="BX27" s="30" t="inlineStr">
        <is>
          <t>Close to 52 week high or retracement</t>
        </is>
      </c>
      <c r="BY27" s="30">
        <f>IF(BX27="Overhead supply in last 2 years in last 2 years",-5,IF(BX27="Close to 52 week high or retracement",5,IF(BX27="Blue sky scenario",10,IF(BX27="Long term Downtrend",-10,0))))</f>
        <v/>
      </c>
      <c r="BZ27" s="30" t="inlineStr">
        <is>
          <t>Yes</t>
        </is>
      </c>
      <c r="CA27" s="30">
        <f>IF(BZ27="Yes",10,0)</f>
        <v/>
      </c>
    </row>
    <row r="28">
      <c r="A28" s="30">
        <f>IF(B28=0,"",RANK(B28,$B$2:$B$34,0))</f>
        <v/>
      </c>
      <c r="B28" s="31">
        <f>SUM(N28,Y28,AA28,AC28,AE28,AG28,AI28,AK28,AM28,AO28,AQ28,AS28,AU28,AW28,AY28,BA28,BC28,BE28,BG28,BI28,BK28,BM28,BO28,BQ28,BS28,BU28,BW28,BY28,CA28)</f>
        <v/>
      </c>
      <c r="C28" s="30" t="inlineStr">
        <is>
          <t>MUFIN</t>
        </is>
      </c>
      <c r="D28" s="30" t="inlineStr">
        <is>
          <t>Mufin Green Finance Ltd</t>
        </is>
      </c>
      <c r="E28" s="30" t="inlineStr">
        <is>
          <t>financials</t>
        </is>
      </c>
      <c r="F28" s="30" t="inlineStr">
        <is>
          <t>finance &amp; investments</t>
        </is>
      </c>
      <c r="G28" s="30" t="inlineStr">
        <is>
          <t>smallcap</t>
        </is>
      </c>
      <c r="H28" s="31" t="n">
        <v>2418.57</v>
      </c>
      <c r="I28" s="31" t="n">
        <v>122.5</v>
      </c>
      <c r="J28" s="31" t="n">
        <v>0.37</v>
      </c>
      <c r="K28" s="31" t="n">
        <v>1450926</v>
      </c>
      <c r="L28" s="30" t="n">
        <v>48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61.82</v>
      </c>
      <c r="P28" s="31" t="n">
        <v>15.5</v>
      </c>
      <c r="Q28" s="31" t="n">
        <v>97.33</v>
      </c>
      <c r="R28" s="30" t="inlineStr">
        <is>
          <t>Near 52W High Breakout</t>
        </is>
      </c>
      <c r="S28" s="30" t="inlineStr">
        <is>
          <t>Nifty Bank</t>
        </is>
      </c>
      <c r="T28" s="31" t="n">
        <v>-3.68</v>
      </c>
      <c r="U28" s="31" t="n">
        <v>54.71</v>
      </c>
      <c r="V28" s="31" t="n">
        <v>60.62</v>
      </c>
      <c r="W28" s="31" t="n">
        <v>12.4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Fragmented with High ROE</t>
        </is>
      </c>
      <c r="AA28" s="30">
        <f>IF(Z28="Fragmented with Low ROE",-5,IF(Z28="Fragmented with High ROE",10,IF(Z28= "highly cyclical",5,0)))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Consistency)",15,IF(AF28="Shallow Cyclical (2 to 3 years growth)",10,IF(AF28 = "Cyclical in an Uptick",5,IF(AF28 = "Cyclical in an Downtick",-10,0))))</f>
        <v/>
      </c>
      <c r="AH28" s="30" t="inlineStr">
        <is>
          <t>Yes</t>
        </is>
      </c>
      <c r="AI28" s="30">
        <f>IF(AH28="Yes",10,0)</f>
        <v/>
      </c>
      <c r="AJ28" s="30" t="inlineStr">
        <is>
          <t>Yes</t>
        </is>
      </c>
      <c r="AK28" s="30">
        <f>IF(AJ28="Yes",10,0)</f>
        <v/>
      </c>
      <c r="AL28" s="30" t="n"/>
      <c r="AM28" s="30">
        <f>IF(AL28="No",10,0)</f>
        <v/>
      </c>
      <c r="AN28" s="30" t="inlineStr">
        <is>
          <t>Yes</t>
        </is>
      </c>
      <c r="AO28" s="30">
        <f>IF(AN28="Yes",10,0)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Yes</t>
        </is>
      </c>
      <c r="AS28" s="30">
        <f>IF(AR28="Yes",5,0)</f>
        <v/>
      </c>
      <c r="AT28" s="30" t="inlineStr">
        <is>
          <t>No</t>
        </is>
      </c>
      <c r="AU28" s="30">
        <f>IF(AT28="No",10,IF(AT28="Yes",-10,0))</f>
        <v/>
      </c>
      <c r="AV28" s="30" t="inlineStr">
        <is>
          <t>No</t>
        </is>
      </c>
      <c r="AW28" s="30">
        <f>IF(AV28="No",10,0)</f>
        <v/>
      </c>
      <c r="AX28" s="30" t="inlineStr">
        <is>
          <t>No</t>
        </is>
      </c>
      <c r="AY28" s="30">
        <f>IF(AX28="No",10,IF(AX28= "Yes CEO Resignation",-5,0))</f>
        <v/>
      </c>
      <c r="AZ28" s="30" t="inlineStr">
        <is>
          <t>No</t>
        </is>
      </c>
      <c r="BA28" s="30">
        <f>IF(AZ28="No",10,IF(AZ28="Yes",-5,0))</f>
        <v/>
      </c>
      <c r="BB28" s="30" t="inlineStr">
        <is>
          <t>No</t>
        </is>
      </c>
      <c r="BC28" s="30">
        <f>IF(BB28="No",5,IF(BB28="Yes",-5,0))</f>
        <v/>
      </c>
      <c r="BD28" s="30" t="inlineStr">
        <is>
          <t>Yes</t>
        </is>
      </c>
      <c r="BE28" s="30">
        <f>IF(BD28="Yes",10,0)</f>
        <v/>
      </c>
      <c r="BF28" s="30" t="inlineStr">
        <is>
          <t>Yes</t>
        </is>
      </c>
      <c r="BG28" s="30">
        <f>IF(BF28="Yes",10,0)</f>
        <v/>
      </c>
      <c r="BH28" s="30" t="inlineStr">
        <is>
          <t>Yes</t>
        </is>
      </c>
      <c r="BI28" s="30">
        <f>IF(BH28="Yes",10,0)</f>
        <v/>
      </c>
      <c r="BJ28" s="30" t="inlineStr">
        <is>
          <t>P/BV above 5x</t>
        </is>
      </c>
      <c r="BK28" s="30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0" t="inlineStr">
        <is>
          <t>0 to 20</t>
        </is>
      </c>
      <c r="BM28" s="30">
        <f>IF(BL28="Above 40",20,IF(BL28="20 to 40",10,IF(BL28="0 to 20",-5,0)))</f>
        <v/>
      </c>
      <c r="BN28" s="30" t="inlineStr">
        <is>
          <t>Between 50 to 75</t>
        </is>
      </c>
      <c r="BO28" s="30">
        <f>IF(BN28="Between 50 to 75",10,IF(BN28="Above 75",0,0))</f>
        <v/>
      </c>
      <c r="BP28" s="30" t="inlineStr">
        <is>
          <t>Stage 2</t>
        </is>
      </c>
      <c r="BQ28" s="30">
        <f>IF(BP28="Stage 2",20,IF(BP28="Stage 1",0,IF(BP28="Stage 3",5,IF(BP28="Stage 4",-5,0))))</f>
        <v/>
      </c>
      <c r="BR28" s="30" t="inlineStr">
        <is>
          <t>Positive Trend</t>
        </is>
      </c>
      <c r="BS28" s="30">
        <f>IF(BR28="Positive Trend",20,IF(BR28="Negative Trend",-10,0))</f>
        <v/>
      </c>
      <c r="BT28" s="30" t="inlineStr">
        <is>
          <t>Uptrend</t>
        </is>
      </c>
      <c r="BU28" s="30">
        <f>IF(BT28="Uptrend",10,IF(BT28="Sideways",5,0))</f>
        <v/>
      </c>
      <c r="BV28" s="30" t="inlineStr">
        <is>
          <t>Uptrend</t>
        </is>
      </c>
      <c r="BW28" s="30">
        <f>IF(BV28="Uptrend",10,IF(BV28="Sideways",5,0))</f>
        <v/>
      </c>
      <c r="BX28" s="30" t="inlineStr">
        <is>
          <t>Close to 52 week high or retracement</t>
        </is>
      </c>
      <c r="BY28" s="30">
        <f>IF(BX28="Overhead supply in last 2 years in last 2 years",-5,IF(BX28="Close to 52 week high or retracement",5,IF(BX28="Blue sky scenario",10,IF(BX28="Long term Downtrend",-10,0))))</f>
        <v/>
      </c>
      <c r="BZ28" s="30" t="inlineStr">
        <is>
          <t>Yes</t>
        </is>
      </c>
      <c r="CA28" s="30">
        <f>IF(BZ28="Yes",10,0)</f>
        <v/>
      </c>
    </row>
    <row r="29">
      <c r="A29" s="30">
        <f>IF(B29=0,"",RANK(B29,$B$2:$B$34,0))</f>
        <v/>
      </c>
      <c r="B29" s="31">
        <f>SUM(N29,Y29,AA29,AC29,AE29,AG29,AI29,AK29,AM29,AO29,AQ29,AS29,AU29,AW29,AY29,BA29,BC29,BE29,BG29,BI29,BK29,BM29,BO29,BQ29,BS29,BU29,BW29,BY29,CA29)</f>
        <v/>
      </c>
      <c r="C29" s="30" t="inlineStr">
        <is>
          <t>PRIMESECU</t>
        </is>
      </c>
      <c r="D29" s="30" t="inlineStr">
        <is>
          <t>Prime Securities Limited</t>
        </is>
      </c>
      <c r="E29" s="30" t="inlineStr">
        <is>
          <t>financials</t>
        </is>
      </c>
      <c r="F29" s="30" t="inlineStr">
        <is>
          <t>finance &amp; investments</t>
        </is>
      </c>
      <c r="G29" s="30" t="inlineStr">
        <is>
          <t>smallcap</t>
        </is>
      </c>
      <c r="H29" s="31" t="n">
        <v>954.46</v>
      </c>
      <c r="I29" s="31" t="n">
        <v>300.9</v>
      </c>
      <c r="J29" s="31" t="n">
        <v>6.87</v>
      </c>
      <c r="K29" s="31" t="n">
        <v>205529</v>
      </c>
      <c r="L29" s="30" t="n">
        <v>19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59.55</v>
      </c>
      <c r="P29" s="31" t="n">
        <v>13.09</v>
      </c>
      <c r="Q29" s="31" t="n">
        <v>237.61</v>
      </c>
      <c r="R29" s="30" t="inlineStr">
        <is>
          <t>Volume Spike &amp; Near 52W High Breakout</t>
        </is>
      </c>
      <c r="S29" s="30" t="inlineStr">
        <is>
          <t>Nifty Bank</t>
        </is>
      </c>
      <c r="T29" s="31" t="n">
        <v>-3.68</v>
      </c>
      <c r="U29" s="31" t="n">
        <v>18.09</v>
      </c>
      <c r="V29" s="31" t="n">
        <v>22.6</v>
      </c>
      <c r="W29" s="31" t="n">
        <v>5.41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Fragmented with High ROE</t>
        </is>
      </c>
      <c r="AA29" s="30">
        <f>IF(Z29="Fragmented with Low ROE",-5,IF(Z29="Fragmented with High ROE",10,IF(Z29= "highly cyclical",5,0)))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Consistency)",15,IF(AF29="Shallow Cyclical (2 to 3 years growth)",10,IF(AF29 = "Cyclical in an Uptick",5,IF(AF29 = "Cyclical in an Downtick",-10,0))))</f>
        <v/>
      </c>
      <c r="AH29" s="30" t="inlineStr">
        <is>
          <t>Yes</t>
        </is>
      </c>
      <c r="AI29" s="30">
        <f>IF(AH29="Yes",10,0)</f>
        <v/>
      </c>
      <c r="AJ29" s="30" t="inlineStr">
        <is>
          <t>Yes</t>
        </is>
      </c>
      <c r="AK29" s="30">
        <f>IF(AJ29="Yes",10,0)</f>
        <v/>
      </c>
      <c r="AL29" s="30" t="n"/>
      <c r="AM29" s="30">
        <f>IF(AL29="No",10,0)</f>
        <v/>
      </c>
      <c r="AN29" s="30" t="inlineStr">
        <is>
          <t>Yes</t>
        </is>
      </c>
      <c r="AO29" s="30">
        <f>IF(AN29="Yes",10,0)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Yes</t>
        </is>
      </c>
      <c r="AS29" s="30">
        <f>IF(AR29="Yes",5,0)</f>
        <v/>
      </c>
      <c r="AT29" s="30" t="inlineStr">
        <is>
          <t>No</t>
        </is>
      </c>
      <c r="AU29" s="30">
        <f>IF(AT29="No",10,IF(AT29="Yes",-10,0))</f>
        <v/>
      </c>
      <c r="AV29" s="30" t="inlineStr">
        <is>
          <t>No</t>
        </is>
      </c>
      <c r="AW29" s="30">
        <f>IF(AV29="No",10,0)</f>
        <v/>
      </c>
      <c r="AX29" s="30" t="inlineStr">
        <is>
          <t>No</t>
        </is>
      </c>
      <c r="AY29" s="30">
        <f>IF(AX29="No",10,IF(AX29= "Yes CEO Resignation",-5,0))</f>
        <v/>
      </c>
      <c r="AZ29" s="30" t="inlineStr">
        <is>
          <t>No</t>
        </is>
      </c>
      <c r="BA29" s="30">
        <f>IF(AZ29="No",10,IF(AZ29="Yes",-5,0))</f>
        <v/>
      </c>
      <c r="BB29" s="30" t="inlineStr">
        <is>
          <t>No</t>
        </is>
      </c>
      <c r="BC29" s="30">
        <f>IF(BB29="No",5,IF(BB29="Yes",-5,0))</f>
        <v/>
      </c>
      <c r="BD29" s="30" t="inlineStr">
        <is>
          <t>Yes</t>
        </is>
      </c>
      <c r="BE29" s="30">
        <f>IF(BD29="Yes",10,0)</f>
        <v/>
      </c>
      <c r="BF29" s="30" t="inlineStr">
        <is>
          <t>Yes</t>
        </is>
      </c>
      <c r="BG29" s="30">
        <f>IF(BF29="Yes",10,0)</f>
        <v/>
      </c>
      <c r="BH29" s="30" t="inlineStr">
        <is>
          <t>Yes</t>
        </is>
      </c>
      <c r="BI29" s="30">
        <f>IF(BH29="Yes",10,0)</f>
        <v/>
      </c>
      <c r="BJ29" s="30" t="inlineStr">
        <is>
          <t>P/BV between 2.5x to 5x and Growth more than 20%</t>
        </is>
      </c>
      <c r="BK29" s="30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0" t="inlineStr">
        <is>
          <t>0 to 20</t>
        </is>
      </c>
      <c r="BM29" s="30">
        <f>IF(BL29="Above 40",20,IF(BL29="20 to 40",10,IF(BL29="0 to 20",-5,0)))</f>
        <v/>
      </c>
      <c r="BN29" s="30" t="inlineStr">
        <is>
          <t>Between 50 to 75</t>
        </is>
      </c>
      <c r="BO29" s="30">
        <f>IF(BN29="Between 50 to 75",10,IF(BN29="Above 75",0,0))</f>
        <v/>
      </c>
      <c r="BP29" s="30" t="inlineStr">
        <is>
          <t>Stage 1</t>
        </is>
      </c>
      <c r="BQ29" s="30">
        <f>IF(BP29="Stage 2",20,IF(BP29="Stage 1",0,IF(BP29="Stage 3",5,IF(BP29="Stage 4",-5,0))))</f>
        <v/>
      </c>
      <c r="BR29" s="30" t="inlineStr">
        <is>
          <t>Positive Trend</t>
        </is>
      </c>
      <c r="BS29" s="30">
        <f>IF(BR29="Positive Trend",20,IF(BR29="Negative Trend",-10,0))</f>
        <v/>
      </c>
      <c r="BT29" s="30" t="inlineStr">
        <is>
          <t>Uptrend</t>
        </is>
      </c>
      <c r="BU29" s="30">
        <f>IF(BT29="Uptrend",10,IF(BT29="Sideways",5,0))</f>
        <v/>
      </c>
      <c r="BV29" s="30" t="inlineStr">
        <is>
          <t>Uptrend</t>
        </is>
      </c>
      <c r="BW29" s="30">
        <f>IF(BV29="Uptrend",10,IF(BV29="Sideways",5,0))</f>
        <v/>
      </c>
      <c r="BX29" s="30" t="inlineStr">
        <is>
          <t>Close to 52 week high or retracement</t>
        </is>
      </c>
      <c r="BY29" s="30">
        <f>IF(BX29="Overhead supply in last 2 years in last 2 years",-5,IF(BX29="Close to 52 week high or retracement",5,IF(BX29="Blue sky scenario",10,IF(BX29="Long term Downtrend",-10,0))))</f>
        <v/>
      </c>
      <c r="BZ29" s="30" t="inlineStr">
        <is>
          <t>Yes</t>
        </is>
      </c>
      <c r="CA29" s="30">
        <f>IF(BZ29="Yes",10,0)</f>
        <v/>
      </c>
    </row>
    <row r="30">
      <c r="A30" s="30">
        <f>IF(B30=0,"",RANK(B30,$B$2:$B$34,0))</f>
        <v/>
      </c>
      <c r="B30" s="31">
        <f>SUM(N30,Y30,AA30,AC30,AE30,AG30,AI30,AK30,AM30,AO30,AQ30,AS30,AU30,AW30,AY30,BA30,BC30,BE30,BG30,BI30,BK30,BM30,BO30,BQ30,BS30,BU30,BW30,BY30,CA30)</f>
        <v/>
      </c>
      <c r="C30" s="32" t="inlineStr">
        <is>
          <t>GEOJITFSL</t>
        </is>
      </c>
      <c r="D30" s="32" t="inlineStr">
        <is>
          <t>Geojit Financial Services Ltd</t>
        </is>
      </c>
      <c r="E30" s="30" t="inlineStr">
        <is>
          <t>financials</t>
        </is>
      </c>
      <c r="F30" s="30" t="inlineStr">
        <is>
          <t>finance &amp; investments</t>
        </is>
      </c>
      <c r="G30" s="30" t="inlineStr">
        <is>
          <t>smallcap</t>
        </is>
      </c>
      <c r="H30" s="31" t="n">
        <v>2091.18</v>
      </c>
      <c r="I30" s="31" t="n">
        <v>76.81999999999999</v>
      </c>
      <c r="J30" s="31" t="n">
        <v>2.54</v>
      </c>
      <c r="K30" s="31" t="n">
        <v>850052</v>
      </c>
      <c r="L30" s="30" t="n">
        <v>15</v>
      </c>
      <c r="M30" s="30" t="inlineStr">
        <is>
          <t>Underperforming</t>
        </is>
      </c>
      <c r="N30" s="31">
        <f>IF(M30="Underperforming",-5,IF(L30&gt;=95,15,IF(L30&gt;=90,10,IF(L30&gt;=80,5,0))))</f>
        <v/>
      </c>
      <c r="O30" s="31" t="n">
        <v>60.43</v>
      </c>
      <c r="P30" s="31" t="n">
        <v>18.5</v>
      </c>
      <c r="Q30" s="31" t="n">
        <v>58.27</v>
      </c>
      <c r="R30" s="30" t="inlineStr">
        <is>
          <t>Earnings / Momentum Support</t>
        </is>
      </c>
      <c r="S30" s="30" t="inlineStr">
        <is>
          <t>Nifty Bank</t>
        </is>
      </c>
      <c r="T30" s="31" t="n">
        <v>-3.68</v>
      </c>
      <c r="U30" s="31" t="n">
        <v>-8.779999999999999</v>
      </c>
      <c r="V30" s="31" t="n">
        <v>-5.29</v>
      </c>
      <c r="W30" s="31" t="n">
        <v>4.48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Fragmented with High ROE</t>
        </is>
      </c>
      <c r="AA30" s="30">
        <f>IF(Z30="Fragmented with Low ROE",-5,IF(Z30="Fragmented with High ROE",10,IF(Z30= "highly cyclical",5,0)))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Consistency)",15,IF(AF30="Shallow Cyclical (2 to 3 years growth)",10,IF(AF30 = "Cyclical in an Uptick",5,IF(AF30 = "Cyclical in an Downtick",-10,0))))</f>
        <v/>
      </c>
      <c r="AH30" s="30" t="inlineStr">
        <is>
          <t>Yes</t>
        </is>
      </c>
      <c r="AI30" s="30">
        <f>IF(AH30="Yes",10,0)</f>
        <v/>
      </c>
      <c r="AJ30" s="30" t="inlineStr">
        <is>
          <t>Yes</t>
        </is>
      </c>
      <c r="AK30" s="30">
        <f>IF(AJ30="Yes",10,0)</f>
        <v/>
      </c>
      <c r="AL30" s="30" t="n"/>
      <c r="AM30" s="30">
        <f>IF(AL30="No",10,0)</f>
        <v/>
      </c>
      <c r="AN30" s="30" t="inlineStr">
        <is>
          <t>Yes</t>
        </is>
      </c>
      <c r="AO30" s="30">
        <f>IF(AN30="Yes",10,0)</f>
        <v/>
      </c>
      <c r="AP30" s="30" t="inlineStr">
        <is>
          <t>No</t>
        </is>
      </c>
      <c r="AQ30" s="30">
        <f>IF(AP30="Yes",10,0)</f>
        <v/>
      </c>
      <c r="AR30" s="30" t="inlineStr">
        <is>
          <t>Yes</t>
        </is>
      </c>
      <c r="AS30" s="30">
        <f>IF(AR30="Yes",5,0)</f>
        <v/>
      </c>
      <c r="AT30" s="30" t="inlineStr">
        <is>
          <t>No</t>
        </is>
      </c>
      <c r="AU30" s="30">
        <f>IF(AT30="No",10,IF(AT30="Yes",-10,0))</f>
        <v/>
      </c>
      <c r="AV30" s="30" t="inlineStr">
        <is>
          <t>No</t>
        </is>
      </c>
      <c r="AW30" s="30">
        <f>IF(AV30="No",10,0)</f>
        <v/>
      </c>
      <c r="AX30" s="30" t="inlineStr">
        <is>
          <t>No</t>
        </is>
      </c>
      <c r="AY30" s="30">
        <f>IF(AX30="No",10,IF(AX30= "Yes CEO Resignation",-5,0))</f>
        <v/>
      </c>
      <c r="AZ30" s="30" t="inlineStr">
        <is>
          <t>No</t>
        </is>
      </c>
      <c r="BA30" s="30">
        <f>IF(AZ30="No",10,IF(AZ30="Yes",-5,0))</f>
        <v/>
      </c>
      <c r="BB30" s="30" t="inlineStr">
        <is>
          <t>No</t>
        </is>
      </c>
      <c r="BC30" s="30">
        <f>IF(BB30="No",5,IF(BB30="Yes",-5,0))</f>
        <v/>
      </c>
      <c r="BD30" s="30" t="inlineStr">
        <is>
          <t>Yes</t>
        </is>
      </c>
      <c r="BE30" s="30">
        <f>IF(BD30="Yes",10,0)</f>
        <v/>
      </c>
      <c r="BF30" s="30" t="inlineStr">
        <is>
          <t>Yes</t>
        </is>
      </c>
      <c r="BG30" s="30">
        <f>IF(BF30="Yes",10,0)</f>
        <v/>
      </c>
      <c r="BH30" s="30" t="inlineStr">
        <is>
          <t>Yes</t>
        </is>
      </c>
      <c r="BI30" s="30">
        <f>IF(BH30="Yes",10,0)</f>
        <v/>
      </c>
      <c r="BJ30" s="30" t="inlineStr">
        <is>
          <t>P/BV less than 2.5x and Growth less than 20%</t>
        </is>
      </c>
      <c r="BK30" s="30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0" t="inlineStr">
        <is>
          <t>0 to 20</t>
        </is>
      </c>
      <c r="BM30" s="30">
        <f>IF(BL30="Above 40",20,IF(BL30="20 to 40",10,IF(BL30="0 to 20",-5,0)))</f>
        <v/>
      </c>
      <c r="BN30" s="30" t="inlineStr">
        <is>
          <t>Between 50 to 75</t>
        </is>
      </c>
      <c r="BO30" s="30">
        <f>IF(BN30="Between 50 to 75",10,IF(BN30="Above 75",0,0))</f>
        <v/>
      </c>
      <c r="BP30" s="30" t="inlineStr">
        <is>
          <t>Stage 2</t>
        </is>
      </c>
      <c r="BQ30" s="30">
        <f>IF(BP30="Stage 2",20,IF(BP30="Stage 1",0,IF(BP30="Stage 3",5,IF(BP30="Stage 4",-5,0))))</f>
        <v/>
      </c>
      <c r="BR30" s="30" t="inlineStr">
        <is>
          <t>Positive Trend</t>
        </is>
      </c>
      <c r="BS30" s="30">
        <f>IF(BR30="Positive Trend",20,IF(BR30="Negative Trend",-10,0))</f>
        <v/>
      </c>
      <c r="BT30" s="30" t="inlineStr">
        <is>
          <t>Uptrend</t>
        </is>
      </c>
      <c r="BU30" s="30">
        <f>IF(BT30="Uptrend",10,IF(BT30="Sideways",5,0))</f>
        <v/>
      </c>
      <c r="BV30" s="30" t="inlineStr">
        <is>
          <t>Uptrend</t>
        </is>
      </c>
      <c r="BW30" s="30">
        <f>IF(BV30="Uptrend",10,IF(BV30="Sideways",5,0))</f>
        <v/>
      </c>
      <c r="BX30" s="30" t="inlineStr">
        <is>
          <t>Close to 52 week high or retracement</t>
        </is>
      </c>
      <c r="BY30" s="30">
        <f>IF(BX30="Overhead supply in last 2 years in last 2 years",-5,IF(BX30="Close to 52 week high or retracement",5,IF(BX30="Blue sky scenario",10,IF(BX30="Long term Downtrend",-10,0))))</f>
        <v/>
      </c>
      <c r="BZ30" s="30" t="inlineStr">
        <is>
          <t>Yes</t>
        </is>
      </c>
      <c r="CA30" s="30">
        <f>IF(BZ30="Yes",10,0)</f>
        <v/>
      </c>
    </row>
    <row r="31">
      <c r="A31" s="30">
        <f>IF(B31=0,"",RANK(B31,$B$2:$B$34,0))</f>
        <v/>
      </c>
      <c r="B31" s="31">
        <f>SUM(N31,Y31,AA31,AC31,AE31,AG31,AI31,AK31,AM31,AO31,AQ31,AS31,AU31,AW31,AY31,BA31,BC31,BE31,BG31,BI31,BK31,BM31,BO31,BQ31,BS31,BU31,BW31,BY31,CA31)</f>
        <v/>
      </c>
      <c r="C31" s="30" t="inlineStr">
        <is>
          <t>NUVAMA</t>
        </is>
      </c>
      <c r="D31" s="30" t="inlineStr">
        <is>
          <t>Nuvama Wealth Management Ltd</t>
        </is>
      </c>
      <c r="E31" s="30" t="inlineStr">
        <is>
          <t>financials</t>
        </is>
      </c>
      <c r="F31" s="30" t="inlineStr">
        <is>
          <t>finance &amp; investments</t>
        </is>
      </c>
      <c r="G31" s="30" t="inlineStr">
        <is>
          <t>largecap</t>
        </is>
      </c>
      <c r="H31" s="31" t="n">
        <v>28518.62</v>
      </c>
      <c r="I31" s="31" t="n">
        <v>1574.4</v>
      </c>
      <c r="J31" s="31" t="n">
        <v>0.5</v>
      </c>
      <c r="K31" s="31" t="n">
        <v>335047</v>
      </c>
      <c r="L31" s="30" t="n">
        <v>35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60.36</v>
      </c>
      <c r="P31" s="31" t="n">
        <v>28.92</v>
      </c>
      <c r="Q31" s="31" t="n">
        <v>1259.72</v>
      </c>
      <c r="R31" s="30" t="inlineStr">
        <is>
          <t>Near 52W High Breakout</t>
        </is>
      </c>
      <c r="S31" s="30" t="inlineStr">
        <is>
          <t>Nifty Bank</t>
        </is>
      </c>
      <c r="T31" s="31" t="n">
        <v>-3.68</v>
      </c>
      <c r="U31" s="31" t="n">
        <v>9.949999999999999</v>
      </c>
      <c r="V31" s="31" t="n">
        <v>14.16</v>
      </c>
      <c r="W31" s="31" t="n">
        <v>9.07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Fragmented with High ROE</t>
        </is>
      </c>
      <c r="AA31" s="30">
        <f>IF(Z31="Fragmented with Low ROE",-5,IF(Z31="Fragmented with High ROE",10,IF(Z31= "highly cyclical",5,0)))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Consistency)",15,IF(AF31="Shallow Cyclical (2 to 3 years growth)",10,IF(AF31 = "Cyclical in an Uptick",5,IF(AF31 = "Cyclical in an Downtick",-10,0))))</f>
        <v/>
      </c>
      <c r="AH31" s="30" t="inlineStr">
        <is>
          <t>Yes</t>
        </is>
      </c>
      <c r="AI31" s="30">
        <f>IF(AH31="Yes",10,0)</f>
        <v/>
      </c>
      <c r="AJ31" s="30" t="inlineStr">
        <is>
          <t>Yes</t>
        </is>
      </c>
      <c r="AK31" s="30">
        <f>IF(AJ31="Yes",10,0)</f>
        <v/>
      </c>
      <c r="AL31" s="30" t="n"/>
      <c r="AM31" s="30">
        <f>IF(AL31="No",10,0)</f>
        <v/>
      </c>
      <c r="AN31" s="30" t="inlineStr">
        <is>
          <t>Yes</t>
        </is>
      </c>
      <c r="AO31" s="30">
        <f>IF(AN31="Yes",10,0)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Yes</t>
        </is>
      </c>
      <c r="AS31" s="30">
        <f>IF(AR31="Yes",5,0)</f>
        <v/>
      </c>
      <c r="AT31" s="30" t="inlineStr">
        <is>
          <t>No</t>
        </is>
      </c>
      <c r="AU31" s="30">
        <f>IF(AT31="No",10,IF(AT31="Yes",-10,0))</f>
        <v/>
      </c>
      <c r="AV31" s="30" t="inlineStr">
        <is>
          <t>No</t>
        </is>
      </c>
      <c r="AW31" s="30">
        <f>IF(AV31="No",10,0)</f>
        <v/>
      </c>
      <c r="AX31" s="30" t="inlineStr">
        <is>
          <t>No</t>
        </is>
      </c>
      <c r="AY31" s="30">
        <f>IF(AX31="No",10,IF(AX31= "Yes CEO Resignation",-5,0))</f>
        <v/>
      </c>
      <c r="AZ31" s="30" t="inlineStr">
        <is>
          <t>No</t>
        </is>
      </c>
      <c r="BA31" s="30">
        <f>IF(AZ31="No",10,IF(AZ31="Yes",-5,0))</f>
        <v/>
      </c>
      <c r="BB31" s="30" t="inlineStr">
        <is>
          <t>No</t>
        </is>
      </c>
      <c r="BC31" s="30">
        <f>IF(BB31="No",5,IF(BB31="Yes",-5,0))</f>
        <v/>
      </c>
      <c r="BD31" s="30" t="inlineStr">
        <is>
          <t>Yes</t>
        </is>
      </c>
      <c r="BE31" s="30">
        <f>IF(BD31="Yes",10,0)</f>
        <v/>
      </c>
      <c r="BF31" s="30" t="inlineStr">
        <is>
          <t>Yes</t>
        </is>
      </c>
      <c r="BG31" s="30">
        <f>IF(BF31="Yes",10,0)</f>
        <v/>
      </c>
      <c r="BH31" s="30" t="inlineStr">
        <is>
          <t>Yes</t>
        </is>
      </c>
      <c r="BI31" s="30">
        <f>IF(BH31="Yes",10,0)</f>
        <v/>
      </c>
      <c r="BJ31" s="30" t="inlineStr">
        <is>
          <t>P/BV above 5x</t>
        </is>
      </c>
      <c r="BK31" s="30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0" t="inlineStr">
        <is>
          <t>20 to 40</t>
        </is>
      </c>
      <c r="BM31" s="30">
        <f>IF(BL31="Above 40",20,IF(BL31="20 to 40",10,IF(BL31="0 to 20",-5,0)))</f>
        <v/>
      </c>
      <c r="BN31" s="30" t="inlineStr">
        <is>
          <t>Between 50 to 75</t>
        </is>
      </c>
      <c r="BO31" s="30">
        <f>IF(BN31="Between 50 to 75",10,IF(BN31="Above 75",0,0))</f>
        <v/>
      </c>
      <c r="BP31" s="30" t="inlineStr">
        <is>
          <t>Stage 2</t>
        </is>
      </c>
      <c r="BQ31" s="30">
        <f>IF(BP31="Stage 2",20,IF(BP31="Stage 1",0,IF(BP31="Stage 3",5,IF(BP31="Stage 4",-5,0))))</f>
        <v/>
      </c>
      <c r="BR31" s="30" t="inlineStr">
        <is>
          <t>Negative Trend</t>
        </is>
      </c>
      <c r="BS31" s="30">
        <f>IF(BR31="Positive Trend",20,IF(BR31="Negative Trend",-10,0))</f>
        <v/>
      </c>
      <c r="BT31" s="30" t="inlineStr">
        <is>
          <t>Uptrend</t>
        </is>
      </c>
      <c r="BU31" s="30">
        <f>IF(BT31="Uptrend",10,IF(BT31="Sideways",5,0))</f>
        <v/>
      </c>
      <c r="BV31" s="30" t="inlineStr">
        <is>
          <t>Uptrend</t>
        </is>
      </c>
      <c r="BW31" s="30">
        <f>IF(BV31="Uptrend",10,IF(BV31="Sideways",5,0))</f>
        <v/>
      </c>
      <c r="BX31" s="30" t="inlineStr">
        <is>
          <t>Blue sky scenario</t>
        </is>
      </c>
      <c r="BY31" s="30">
        <f>IF(BX31="Overhead supply in last 2 years in last 2 years",-5,IF(BX31="Close to 52 week high or retracement",5,IF(BX31="Blue sky scenario",10,IF(BX31="Long term Downtrend",-10,0))))</f>
        <v/>
      </c>
      <c r="BZ31" s="30" t="inlineStr">
        <is>
          <t>Yes</t>
        </is>
      </c>
      <c r="CA31" s="30">
        <f>IF(BZ31="Yes",10,0)</f>
        <v/>
      </c>
    </row>
    <row r="32">
      <c r="A32" s="30">
        <f>IF(B32=0,"",RANK(B32,$B$2:$B$34,0))</f>
        <v/>
      </c>
      <c r="B32" s="31">
        <f>SUM(N32,Y32,AA32,AC32,AE32,AG32,AI32,AK32,AM32,AO32,AQ32,AS32,AU32,AW32,AY32,BA32,BC32,BE32,BG32,BI32,BK32,BM32,BO32,BQ32,BS32,BU32,BW32,BY32,CA32)</f>
        <v/>
      </c>
      <c r="C32" s="30" t="inlineStr">
        <is>
          <t>CANBK</t>
        </is>
      </c>
      <c r="D32" s="30" t="inlineStr">
        <is>
          <t>Canara Bank Ltd</t>
        </is>
      </c>
      <c r="E32" s="30" t="inlineStr">
        <is>
          <t>bank</t>
        </is>
      </c>
      <c r="F32" s="30" t="inlineStr">
        <is>
          <t>banks - public sector</t>
        </is>
      </c>
      <c r="G32" s="30" t="inlineStr">
        <is>
          <t>largecap</t>
        </is>
      </c>
      <c r="H32" s="31" t="n">
        <v>120748.51</v>
      </c>
      <c r="I32" s="31" t="n">
        <v>135.81</v>
      </c>
      <c r="J32" s="31" t="n">
        <v>2.02</v>
      </c>
      <c r="K32" s="31" t="n">
        <v>47139920</v>
      </c>
      <c r="L32" s="30" t="n">
        <v>12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49.75</v>
      </c>
      <c r="P32" s="31" t="n">
        <v>9.68</v>
      </c>
      <c r="Q32" s="31" t="n">
        <v>117.92</v>
      </c>
      <c r="R32" s="30" t="inlineStr">
        <is>
          <t>Volume Spike / Accumulation</t>
        </is>
      </c>
      <c r="S32" s="30" t="inlineStr">
        <is>
          <t>Nifty Bank</t>
        </is>
      </c>
      <c r="T32" s="31" t="n">
        <v>-3.68</v>
      </c>
      <c r="U32" s="31" t="n">
        <v>21.58</v>
      </c>
      <c r="V32" s="31" t="n">
        <v>26.22</v>
      </c>
      <c r="W32" s="31" t="n">
        <v>3.79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Fragmented with High ROE</t>
        </is>
      </c>
      <c r="AA32" s="30">
        <f>IF(Z32="Fragmented with Low ROE",-5,IF(Z32="Fragmented with High ROE",10,IF(Z32= "highly cyclical",5,0)))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Headwind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Consistency)",15,IF(AF32="Shallow Cyclical (2 to 3 years growth)",10,IF(AF32 = "Cyclical in an Uptick",5,IF(AF32 = "Cyclical in an Downtick",-10,0))))</f>
        <v/>
      </c>
      <c r="AH32" s="30" t="inlineStr">
        <is>
          <t>Yes</t>
        </is>
      </c>
      <c r="AI32" s="30">
        <f>IF(AH32="Yes",10,0)</f>
        <v/>
      </c>
      <c r="AJ32" s="30" t="inlineStr">
        <is>
          <t>Yes</t>
        </is>
      </c>
      <c r="AK32" s="30">
        <f>IF(AJ32="Yes",10,0)</f>
        <v/>
      </c>
      <c r="AL32" s="30" t="n"/>
      <c r="AM32" s="30">
        <f>IF(AL32="No",10,0)</f>
        <v/>
      </c>
      <c r="AN32" s="30" t="inlineStr">
        <is>
          <t>Yes</t>
        </is>
      </c>
      <c r="AO32" s="30">
        <f>IF(AN32="Yes",10,0)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Yes</t>
        </is>
      </c>
      <c r="AS32" s="30">
        <f>IF(AR32="Yes",5,0)</f>
        <v/>
      </c>
      <c r="AT32" s="30" t="inlineStr">
        <is>
          <t>No</t>
        </is>
      </c>
      <c r="AU32" s="30">
        <f>IF(AT32="No",10,IF(AT32="Yes",-10,0))</f>
        <v/>
      </c>
      <c r="AV32" s="30" t="inlineStr">
        <is>
          <t>No</t>
        </is>
      </c>
      <c r="AW32" s="30">
        <f>IF(AV32="No",10,0)</f>
        <v/>
      </c>
      <c r="AX32" s="30" t="inlineStr">
        <is>
          <t>No</t>
        </is>
      </c>
      <c r="AY32" s="30">
        <f>IF(AX32="No",10,IF(AX32= "Yes CEO Resignation",-5,0))</f>
        <v/>
      </c>
      <c r="AZ32" s="30" t="inlineStr">
        <is>
          <t>No</t>
        </is>
      </c>
      <c r="BA32" s="30">
        <f>IF(AZ32="No",10,IF(AZ32="Yes",-5,0))</f>
        <v/>
      </c>
      <c r="BB32" s="30" t="inlineStr">
        <is>
          <t>No</t>
        </is>
      </c>
      <c r="BC32" s="30">
        <f>IF(BB32="No",5,IF(BB32="Yes",-5,0))</f>
        <v/>
      </c>
      <c r="BD32" s="30" t="inlineStr">
        <is>
          <t>Yes</t>
        </is>
      </c>
      <c r="BE32" s="30">
        <f>IF(BD32="Yes",10,0)</f>
        <v/>
      </c>
      <c r="BF32" s="30" t="inlineStr">
        <is>
          <t>Yes</t>
        </is>
      </c>
      <c r="BG32" s="30">
        <f>IF(BF32="Yes",10,0)</f>
        <v/>
      </c>
      <c r="BH32" s="30" t="inlineStr">
        <is>
          <t>Yes</t>
        </is>
      </c>
      <c r="BI32" s="30">
        <f>IF(BH32="Yes",10,0)</f>
        <v/>
      </c>
      <c r="BJ32" s="30" t="inlineStr">
        <is>
          <t>P/BV less than 2.5x and Growth less than 20%</t>
        </is>
      </c>
      <c r="BK32" s="30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0" t="inlineStr">
        <is>
          <t>0 to 20</t>
        </is>
      </c>
      <c r="BM32" s="30">
        <f>IF(BL32="Above 40",20,IF(BL32="20 to 40",10,IF(BL32="0 to 20",-5,0)))</f>
        <v/>
      </c>
      <c r="BN32" s="30" t="inlineStr">
        <is>
          <t>Below 45</t>
        </is>
      </c>
      <c r="BO32" s="30">
        <f>IF(BN32="Between 50 to 75",10,IF(BN32="Above 75",0,0))</f>
        <v/>
      </c>
      <c r="BP32" s="30" t="inlineStr">
        <is>
          <t>Stage 1</t>
        </is>
      </c>
      <c r="BQ32" s="30">
        <f>IF(BP32="Stage 2",20,IF(BP32="Stage 1",0,IF(BP32="Stage 3",5,IF(BP32="Stage 4",-5,0))))</f>
        <v/>
      </c>
      <c r="BR32" s="30" t="inlineStr">
        <is>
          <t>Positive Trend</t>
        </is>
      </c>
      <c r="BS32" s="30">
        <f>IF(BR32="Positive Trend",20,IF(BR32="Negative Trend",-10,0))</f>
        <v/>
      </c>
      <c r="BT32" s="30" t="inlineStr">
        <is>
          <t>Uptrend</t>
        </is>
      </c>
      <c r="BU32" s="30">
        <f>IF(BT32="Uptrend",10,IF(BT32="Sideways",5,0))</f>
        <v/>
      </c>
      <c r="BV32" s="30" t="inlineStr">
        <is>
          <t>Uptrend</t>
        </is>
      </c>
      <c r="BW32" s="30">
        <f>IF(BV32="Uptrend",10,IF(BV32="Sideways",5,0))</f>
        <v/>
      </c>
      <c r="BX32" s="30" t="inlineStr">
        <is>
          <t>Close to 52 week high or retracement</t>
        </is>
      </c>
      <c r="BY32" s="30">
        <f>IF(BX32="Overhead supply in last 2 years in last 2 years",-5,IF(BX32="Close to 52 week high or retracement",5,IF(BX32="Blue sky scenario",10,IF(BX32="Long term Downtrend",-10,0))))</f>
        <v/>
      </c>
      <c r="BZ32" s="30" t="inlineStr">
        <is>
          <t>Yes</t>
        </is>
      </c>
      <c r="CA32" s="30">
        <f>IF(BZ32="Yes",10,0)</f>
        <v/>
      </c>
    </row>
    <row r="33">
      <c r="A33" s="30">
        <f>IF(B33=0,"",RANK(B33,$B$2:$B$34,0))</f>
        <v/>
      </c>
      <c r="B33" s="31">
        <f>SUM(N33,Y33,AA33,AC33,AE33,AG33,AI33,AK33,AM33,AO33,AQ33,AS33,AU33,AW33,AY33,BA33,BC33,BE33,BG33,BI33,BK33,BM33,BO33,BQ33,BS33,BU33,BW33,BY33,CA33)</f>
        <v/>
      </c>
      <c r="C33" s="32" t="inlineStr">
        <is>
          <t>BFINVEST</t>
        </is>
      </c>
      <c r="D33" s="32" t="inlineStr">
        <is>
          <t>Bf Investment Limited</t>
        </is>
      </c>
      <c r="E33" s="30" t="inlineStr">
        <is>
          <t>financials</t>
        </is>
      </c>
      <c r="F33" s="30" t="inlineStr">
        <is>
          <t>finance &amp; investments</t>
        </is>
      </c>
      <c r="G33" s="30" t="inlineStr">
        <is>
          <t>smallcap</t>
        </is>
      </c>
      <c r="H33" s="31" t="n">
        <v>1688.45</v>
      </c>
      <c r="I33" s="31" t="n">
        <v>437.1</v>
      </c>
      <c r="J33" s="31" t="n">
        <v>-2.49</v>
      </c>
      <c r="K33" s="31" t="n">
        <v>38932</v>
      </c>
      <c r="L33" s="30" t="n">
        <v>2</v>
      </c>
      <c r="M33" s="30" t="inlineStr">
        <is>
          <t>Underperforming</t>
        </is>
      </c>
      <c r="N33" s="31">
        <f>IF(M33="Underperforming",-5,IF(L33&gt;=95,15,IF(L33&gt;=90,10,IF(L33&gt;=80,5,0))))</f>
        <v/>
      </c>
      <c r="O33" s="31" t="n">
        <v>55.45</v>
      </c>
      <c r="P33" s="31" t="n">
        <v>19.14</v>
      </c>
      <c r="Q33" s="31" t="n">
        <v>337.54</v>
      </c>
      <c r="R33" s="30" t="inlineStr">
        <is>
          <t>Volume Spike / Accumulation</t>
        </is>
      </c>
      <c r="S33" s="30" t="inlineStr">
        <is>
          <t>Nifty Bank</t>
        </is>
      </c>
      <c r="T33" s="31" t="n">
        <v>-3.68</v>
      </c>
      <c r="U33" s="31" t="n">
        <v>-14.69</v>
      </c>
      <c r="V33" s="31" t="n">
        <v>-11.43</v>
      </c>
      <c r="W33" s="31" t="n">
        <v>-0.01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Fragmented with High ROE</t>
        </is>
      </c>
      <c r="AA33" s="30">
        <f>IF(Z33="Fragmented with Low ROE",-5,IF(Z33="Fragmented with High ROE",10,IF(Z33= "highly cyclical",5,0)))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Consistency)",15,IF(AF33="Shallow Cyclical (2 to 3 years growth)",10,IF(AF33 = "Cyclical in an Uptick",5,IF(AF33 = "Cyclical in an Downtick",-10,0))))</f>
        <v/>
      </c>
      <c r="AH33" s="30" t="inlineStr">
        <is>
          <t>Yes</t>
        </is>
      </c>
      <c r="AI33" s="30">
        <f>IF(AH33="Yes",10,0)</f>
        <v/>
      </c>
      <c r="AJ33" s="30" t="inlineStr">
        <is>
          <t>Yes</t>
        </is>
      </c>
      <c r="AK33" s="30">
        <f>IF(AJ33="Yes",10,0)</f>
        <v/>
      </c>
      <c r="AL33" s="30" t="n"/>
      <c r="AM33" s="30">
        <f>IF(AL33="No",10,0)</f>
        <v/>
      </c>
      <c r="AN33" s="30" t="inlineStr">
        <is>
          <t>Yes</t>
        </is>
      </c>
      <c r="AO33" s="30">
        <f>IF(AN33="Yes",10,0)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Yes</t>
        </is>
      </c>
      <c r="AS33" s="30">
        <f>IF(AR33="Yes",5,0)</f>
        <v/>
      </c>
      <c r="AT33" s="30" t="inlineStr">
        <is>
          <t>No</t>
        </is>
      </c>
      <c r="AU33" s="30">
        <f>IF(AT33="No",10,IF(AT33="Yes",-10,0))</f>
        <v/>
      </c>
      <c r="AV33" s="30" t="inlineStr">
        <is>
          <t>No</t>
        </is>
      </c>
      <c r="AW33" s="30">
        <f>IF(AV33="No",10,0)</f>
        <v/>
      </c>
      <c r="AX33" s="30" t="inlineStr">
        <is>
          <t>No</t>
        </is>
      </c>
      <c r="AY33" s="30">
        <f>IF(AX33="No",10,IF(AX33= "Yes CEO Resignation",-5,0))</f>
        <v/>
      </c>
      <c r="AZ33" s="30" t="inlineStr">
        <is>
          <t>No</t>
        </is>
      </c>
      <c r="BA33" s="30">
        <f>IF(AZ33="No",10,IF(AZ33="Yes",-5,0))</f>
        <v/>
      </c>
      <c r="BB33" s="30" t="inlineStr">
        <is>
          <t>No</t>
        </is>
      </c>
      <c r="BC33" s="30">
        <f>IF(BB33="No",5,IF(BB33="Yes",-5,0))</f>
        <v/>
      </c>
      <c r="BD33" s="30" t="inlineStr">
        <is>
          <t>Yes</t>
        </is>
      </c>
      <c r="BE33" s="30">
        <f>IF(BD33="Yes",10,0)</f>
        <v/>
      </c>
      <c r="BF33" s="30" t="inlineStr">
        <is>
          <t>Yes</t>
        </is>
      </c>
      <c r="BG33" s="30">
        <f>IF(BF33="Yes",10,0)</f>
        <v/>
      </c>
      <c r="BH33" s="30" t="inlineStr">
        <is>
          <t>Yes</t>
        </is>
      </c>
      <c r="BI33" s="30">
        <f>IF(BH33="Yes",10,0)</f>
        <v/>
      </c>
      <c r="BJ33" s="30" t="inlineStr">
        <is>
          <t>P/BV less than 2.5x and Growth more than 20%</t>
        </is>
      </c>
      <c r="BK33" s="30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0" t="inlineStr">
        <is>
          <t>0 to 20</t>
        </is>
      </c>
      <c r="BM33" s="30">
        <f>IF(BL33="Above 40",20,IF(BL33="20 to 40",10,IF(BL33="0 to 20",-5,0)))</f>
        <v/>
      </c>
      <c r="BN33" s="30" t="inlineStr">
        <is>
          <t>Between 50 to 75</t>
        </is>
      </c>
      <c r="BO33" s="30">
        <f>IF(BN33="Between 50 to 75",10,IF(BN33="Above 75",0,0))</f>
        <v/>
      </c>
      <c r="BP33" s="30" t="inlineStr">
        <is>
          <t>Stage 1</t>
        </is>
      </c>
      <c r="BQ33" s="30">
        <f>IF(BP33="Stage 2",20,IF(BP33="Stage 1",0,IF(BP33="Stage 3",5,IF(BP33="Stage 4",-5,0))))</f>
        <v/>
      </c>
      <c r="BR33" s="30" t="inlineStr">
        <is>
          <t>Negative Trend</t>
        </is>
      </c>
      <c r="BS33" s="30">
        <f>IF(BR33="Positive Trend",20,IF(BR33="Negative Trend",-10,0))</f>
        <v/>
      </c>
      <c r="BT33" s="30" t="inlineStr">
        <is>
          <t>Uptrend</t>
        </is>
      </c>
      <c r="BU33" s="30">
        <f>IF(BT33="Uptrend",10,IF(BT33="Sideways",5,0))</f>
        <v/>
      </c>
      <c r="BV33" s="30" t="inlineStr">
        <is>
          <t>Uptrend</t>
        </is>
      </c>
      <c r="BW33" s="30">
        <f>IF(BV33="Uptrend",10,IF(BV33="Sideways",5,0))</f>
        <v/>
      </c>
      <c r="BX33" s="30" t="inlineStr">
        <is>
          <t>Close to 52 week high or retracement</t>
        </is>
      </c>
      <c r="BY33" s="30">
        <f>IF(BX33="Overhead supply in last 2 years in last 2 years",-5,IF(BX33="Close to 52 week high or retracement",5,IF(BX33="Blue sky scenario",10,IF(BX33="Long term Downtrend",-10,0))))</f>
        <v/>
      </c>
      <c r="BZ33" s="30" t="inlineStr">
        <is>
          <t>Yes</t>
        </is>
      </c>
      <c r="CA33" s="30">
        <f>IF(BZ33="Yes",10,0)</f>
        <v/>
      </c>
    </row>
    <row r="34">
      <c r="A34" s="30">
        <f>IF(B34=0,"",RANK(B34,$B$2:$B$34,0))</f>
        <v/>
      </c>
      <c r="B34" s="31">
        <f>SUM(N34,Y34,AA34,AC34,AE34,AG34,AI34,AK34,AM34,AO34,AQ34,AS34,AU34,AW34,AY34,BA34,BC34,BE34,BG34,BI34,BK34,BM34,BO34,BQ34,BS34,BU34,BW34,BY34,CA34)</f>
        <v/>
      </c>
      <c r="C34" s="30" t="inlineStr">
        <is>
          <t>IIFLCAPS</t>
        </is>
      </c>
      <c r="D34" s="30" t="inlineStr">
        <is>
          <t>IIFL Capital Services Ltd</t>
        </is>
      </c>
      <c r="E34" s="30" t="inlineStr">
        <is>
          <t>financials</t>
        </is>
      </c>
      <c r="F34" s="30" t="inlineStr">
        <is>
          <t>finance &amp; investments</t>
        </is>
      </c>
      <c r="G34" s="30" t="inlineStr">
        <is>
          <t>midcap</t>
        </is>
      </c>
      <c r="H34" s="31" t="n">
        <v>10537.39</v>
      </c>
      <c r="I34" s="31" t="n">
        <v>342.75</v>
      </c>
      <c r="J34" s="31" t="n">
        <v>1.3</v>
      </c>
      <c r="K34" s="31" t="n">
        <v>1117367</v>
      </c>
      <c r="L34" s="30" t="n">
        <v>7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56.78</v>
      </c>
      <c r="P34" s="31" t="n">
        <v>19.38</v>
      </c>
      <c r="Q34" s="31" t="n">
        <v>269.53</v>
      </c>
      <c r="R34" s="30" t="inlineStr">
        <is>
          <t>Earnings / Momentum Support</t>
        </is>
      </c>
      <c r="S34" s="30" t="inlineStr">
        <is>
          <t>Nifty Bank</t>
        </is>
      </c>
      <c r="T34" s="31" t="n">
        <v>-3.68</v>
      </c>
      <c r="U34" s="31" t="n">
        <v>1.09</v>
      </c>
      <c r="V34" s="31" t="n">
        <v>4.96</v>
      </c>
      <c r="W34" s="31" t="n">
        <v>2.77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Fragmented with High ROE</t>
        </is>
      </c>
      <c r="AA34" s="30">
        <f>IF(Z34="Fragmented with Low ROE",-5,IF(Z34="Fragmented with High ROE",10,IF(Z34= "highly cyclical",5,0)))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Consistency)",15,IF(AF34="Shallow Cyclical (2 to 3 years growth)",10,IF(AF34 = "Cyclical in an Uptick",5,IF(AF34 = "Cyclical in an Downtick",-10,0))))</f>
        <v/>
      </c>
      <c r="AH34" s="30" t="inlineStr">
        <is>
          <t>Yes</t>
        </is>
      </c>
      <c r="AI34" s="30">
        <f>IF(AH34="Yes",10,0)</f>
        <v/>
      </c>
      <c r="AJ34" s="30" t="inlineStr">
        <is>
          <t>Yes</t>
        </is>
      </c>
      <c r="AK34" s="30">
        <f>IF(AJ34="Yes",10,0)</f>
        <v/>
      </c>
      <c r="AL34" s="30" t="n"/>
      <c r="AM34" s="30">
        <f>IF(AL34="No",10,0)</f>
        <v/>
      </c>
      <c r="AN34" s="30" t="inlineStr">
        <is>
          <t>Yes</t>
        </is>
      </c>
      <c r="AO34" s="30">
        <f>IF(AN34="Yes",10,0)</f>
        <v/>
      </c>
      <c r="AP34" s="30" t="inlineStr">
        <is>
          <t>No</t>
        </is>
      </c>
      <c r="AQ34" s="30">
        <f>IF(AP34="Yes",10,0)</f>
        <v/>
      </c>
      <c r="AR34" s="30" t="inlineStr">
        <is>
          <t>Yes</t>
        </is>
      </c>
      <c r="AS34" s="30">
        <f>IF(AR34="Yes",5,0)</f>
        <v/>
      </c>
      <c r="AT34" s="30" t="inlineStr">
        <is>
          <t>No</t>
        </is>
      </c>
      <c r="AU34" s="30">
        <f>IF(AT34="No",10,IF(AT34="Yes",-10,0))</f>
        <v/>
      </c>
      <c r="AV34" s="30" t="inlineStr">
        <is>
          <t>No</t>
        </is>
      </c>
      <c r="AW34" s="30">
        <f>IF(AV34="No",10,0)</f>
        <v/>
      </c>
      <c r="AX34" s="30" t="inlineStr">
        <is>
          <t>No</t>
        </is>
      </c>
      <c r="AY34" s="30">
        <f>IF(AX34="No",10,IF(AX34= "Yes CEO Resignation",-5,0))</f>
        <v/>
      </c>
      <c r="AZ34" s="30" t="inlineStr">
        <is>
          <t>No</t>
        </is>
      </c>
      <c r="BA34" s="30">
        <f>IF(AZ34="No",10,IF(AZ34="Yes",-5,0))</f>
        <v/>
      </c>
      <c r="BB34" s="30" t="inlineStr">
        <is>
          <t>No</t>
        </is>
      </c>
      <c r="BC34" s="30">
        <f>IF(BB34="No",5,IF(BB34="Yes",-5,0))</f>
        <v/>
      </c>
      <c r="BD34" s="30" t="inlineStr">
        <is>
          <t>Yes</t>
        </is>
      </c>
      <c r="BE34" s="30">
        <f>IF(BD34="Yes",10,0)</f>
        <v/>
      </c>
      <c r="BF34" s="30" t="inlineStr">
        <is>
          <t>Yes</t>
        </is>
      </c>
      <c r="BG34" s="30">
        <f>IF(BF34="Yes",10,0)</f>
        <v/>
      </c>
      <c r="BH34" s="30" t="inlineStr">
        <is>
          <t>Yes</t>
        </is>
      </c>
      <c r="BI34" s="30">
        <f>IF(BH34="Yes",10,0)</f>
        <v/>
      </c>
      <c r="BJ34" s="30" t="inlineStr">
        <is>
          <t>P/BV between 2.5x to 5x and Growth less than 20%</t>
        </is>
      </c>
      <c r="BK34" s="30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0" t="inlineStr">
        <is>
          <t>0 to 20</t>
        </is>
      </c>
      <c r="BM34" s="30">
        <f>IF(BL34="Above 40",20,IF(BL34="20 to 40",10,IF(BL34="0 to 20",-5,0)))</f>
        <v/>
      </c>
      <c r="BN34" s="30" t="inlineStr">
        <is>
          <t>Between 50 to 75</t>
        </is>
      </c>
      <c r="BO34" s="30">
        <f>IF(BN34="Between 50 to 75",10,IF(BN34="Above 75",0,0))</f>
        <v/>
      </c>
      <c r="BP34" s="30" t="inlineStr">
        <is>
          <t>Stage 2</t>
        </is>
      </c>
      <c r="BQ34" s="30">
        <f>IF(BP34="Stage 2",20,IF(BP34="Stage 1",0,IF(BP34="Stage 3",5,IF(BP34="Stage 4",-5,0))))</f>
        <v/>
      </c>
      <c r="BR34" s="30" t="inlineStr">
        <is>
          <t>Negative Trend</t>
        </is>
      </c>
      <c r="BS34" s="30">
        <f>IF(BR34="Positive Trend",20,IF(BR34="Negative Trend",-10,0))</f>
        <v/>
      </c>
      <c r="BT34" s="30" t="inlineStr">
        <is>
          <t>Uptrend</t>
        </is>
      </c>
      <c r="BU34" s="30">
        <f>IF(BT34="Uptrend",10,IF(BT34="Sideways",5,0))</f>
        <v/>
      </c>
      <c r="BV34" s="30" t="inlineStr">
        <is>
          <t>Uptrend</t>
        </is>
      </c>
      <c r="BW34" s="30">
        <f>IF(BV34="Uptrend",10,IF(BV34="Sideways",5,0))</f>
        <v/>
      </c>
      <c r="BX34" s="30" t="inlineStr">
        <is>
          <t>Close to 52 week high or retracement</t>
        </is>
      </c>
      <c r="BY34" s="30">
        <f>IF(BX34="Overhead supply in last 2 years in last 2 years",-5,IF(BX34="Close to 52 week high or retracement",5,IF(BX34="Blue sky scenario",10,IF(BX34="Long term Downtrend",-10,0))))</f>
        <v/>
      </c>
      <c r="BZ34" s="30" t="inlineStr">
        <is>
          <t>Yes</t>
        </is>
      </c>
      <c r="CA34" s="30">
        <f>IF(BZ34="Yes",10,0)</f>
        <v/>
      </c>
    </row>
  </sheetData>
  <autoFilter ref="A1:CA34"/>
  <conditionalFormatting sqref="B2:B3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34">
    <cfRule type="cellIs" priority="34" operator="equal" dxfId="3" stopIfTrue="1">
      <formula>"Underperforming"</formula>
    </cfRule>
  </conditionalFormatting>
  <conditionalFormatting sqref="N2:N34">
    <cfRule type="cellIs" priority="35" operator="equal" dxfId="3" stopIfTrue="1">
      <formula>-5</formula>
    </cfRule>
  </conditionalFormatting>
  <conditionalFormatting sqref="Q2:Q34">
    <cfRule type="expression" priority="36" dxfId="0" stopIfTrue="1">
      <formula>=AND(Q2&lt;&gt;"",Q2&gt;0,I2&gt;=Q2)</formula>
    </cfRule>
    <cfRule type="expression" priority="37" dxfId="3" stopIfTrue="1">
      <formula>=AND(Q2&lt;&gt;"",Q2&gt;0,I2&lt;Q2)</formula>
    </cfRule>
  </conditionalFormatting>
  <dataValidations count="28">
    <dataValidation sqref="X2:X34" showDropDown="0" showInputMessage="0" showErrorMessage="0" allowBlank="1" type="list">
      <formula1>"Growing Industry,Stagnant Industry,Cyclical in an Upturn"</formula1>
    </dataValidation>
    <dataValidation sqref="Z2:Z34" showDropDown="0" showInputMessage="0" showErrorMessage="0" allowBlank="1" type="list">
      <formula1>"Fragmented with Low ROE,Fragmented with High ROE,Highly Cyclical"</formula1>
    </dataValidation>
    <dataValidation sqref="AB2:AB34" showDropDown="0" showInputMessage="0" showErrorMessage="0" allowBlank="1" type="list">
      <formula1>"Yes,No"</formula1>
    </dataValidation>
    <dataValidation sqref="AD2:AD34" showDropDown="0" showInputMessage="0" showErrorMessage="0" allowBlank="1" type="list">
      <formula1>"Tailwind,Headwind"</formula1>
    </dataValidation>
    <dataValidation sqref="AF2:AF3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34" showDropDown="0" showInputMessage="0" showErrorMessage="0" allowBlank="1" type="list">
      <formula1>"Yes,No"</formula1>
    </dataValidation>
    <dataValidation sqref="AJ2:AJ34" showDropDown="0" showInputMessage="0" showErrorMessage="0" allowBlank="1" type="list">
      <formula1>"Yes,No,Not Applicable"</formula1>
    </dataValidation>
    <dataValidation sqref="AL2:AL34" showDropDown="0" showInputMessage="0" showErrorMessage="0" allowBlank="1" type="list">
      <formula1>"Yes,No"</formula1>
    </dataValidation>
    <dataValidation sqref="AN2:AN34" showDropDown="0" showInputMessage="0" showErrorMessage="0" allowBlank="1" type="list">
      <formula1>"Yes,No"</formula1>
    </dataValidation>
    <dataValidation sqref="AP2:AP34" showDropDown="0" showInputMessage="0" showErrorMessage="0" allowBlank="1" type="list">
      <formula1>"Yes,No"</formula1>
    </dataValidation>
    <dataValidation sqref="AR2:AR34" showDropDown="0" showInputMessage="0" showErrorMessage="0" allowBlank="1" type="list">
      <formula1>"Yes,No"</formula1>
    </dataValidation>
    <dataValidation sqref="AT2:AT34" showDropDown="0" showInputMessage="0" showErrorMessage="0" allowBlank="1" type="list">
      <formula1>"No,Yes"</formula1>
    </dataValidation>
    <dataValidation sqref="AV2:AV34" showDropDown="0" showInputMessage="0" showErrorMessage="0" allowBlank="1" type="list">
      <formula1>"No,Yes"</formula1>
    </dataValidation>
    <dataValidation sqref="AX2:AX34" showDropDown="0" showInputMessage="0" showErrorMessage="0" allowBlank="1" type="list">
      <formula1>"No,Yes CEO Resignation,Yes CEO Retirement"</formula1>
    </dataValidation>
    <dataValidation sqref="AZ2:AZ34" showDropDown="0" showInputMessage="0" showErrorMessage="0" allowBlank="1" type="list">
      <formula1>"No,Yes"</formula1>
    </dataValidation>
    <dataValidation sqref="BB2:BB34" showDropDown="0" showInputMessage="0" showErrorMessage="0" allowBlank="1" type="list">
      <formula1>"No,Yes"</formula1>
    </dataValidation>
    <dataValidation sqref="BD2:BD34" showDropDown="0" showInputMessage="0" showErrorMessage="0" allowBlank="1" type="list">
      <formula1>"Yes,No"</formula1>
    </dataValidation>
    <dataValidation sqref="BF2:BF34" showDropDown="0" showInputMessage="0" showErrorMessage="0" allowBlank="1" type="list">
      <formula1>"Yes,No"</formula1>
    </dataValidation>
    <dataValidation sqref="BH2:BH34" showDropDown="0" showInputMessage="0" showErrorMessage="0" allowBlank="1" type="list">
      <formula1>"Yes,No"</formula1>
    </dataValidation>
    <dataValidation sqref="BJ2:BJ3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34" showDropDown="0" showInputMessage="0" showErrorMessage="0" allowBlank="1" type="list">
      <formula1>"Above 40,20 to 40,0 to 20"</formula1>
    </dataValidation>
    <dataValidation sqref="BN2:BN34" showDropDown="0" showInputMessage="0" showErrorMessage="0" allowBlank="1" type="list">
      <formula1>"Between 50 to 75,Above 75,Below 45"</formula1>
    </dataValidation>
    <dataValidation sqref="BP2:BP34" showDropDown="0" showInputMessage="0" showErrorMessage="0" allowBlank="1" type="list">
      <formula1>"Stage 1,Stage 2,Stage 3,Stage 4"</formula1>
    </dataValidation>
    <dataValidation sqref="BR2:BR34" showDropDown="0" showInputMessage="0" showErrorMessage="0" allowBlank="1" type="list">
      <formula1>"Positive Trend,Negative Trend"</formula1>
    </dataValidation>
    <dataValidation sqref="BT2:BT34" showDropDown="0" showInputMessage="0" showErrorMessage="0" allowBlank="1" type="list">
      <formula1>"Uptrend,Sideways,Downtrend"</formula1>
    </dataValidation>
    <dataValidation sqref="BV2:BV34" showDropDown="0" showInputMessage="0" showErrorMessage="0" allowBlank="1" type="list">
      <formula1>"Uptrend,Sideways,Downtrend"</formula1>
    </dataValidation>
    <dataValidation sqref="BX2:BX3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3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IF(B2=0,"",RANK(B2,$B$2:$B$22,0))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139.1</v>
      </c>
      <c r="E2" s="31" t="inlineStr">
        <is>
          <t>5%</t>
        </is>
      </c>
      <c r="F2" s="31" t="n">
        <v>50000</v>
      </c>
      <c r="G2" s="31" t="n">
        <v>136</v>
      </c>
      <c r="H2" s="30" t="inlineStr">
        <is>
          <t>INDOBORAX</t>
        </is>
      </c>
      <c r="I2" s="30" t="inlineStr">
        <is>
          <t>Indo Borax &amp; Chemicals Ltd</t>
        </is>
      </c>
      <c r="J2" s="30" t="inlineStr">
        <is>
          <t>chemicals</t>
        </is>
      </c>
      <c r="K2" s="30" t="inlineStr">
        <is>
          <t>chemicals</t>
        </is>
      </c>
      <c r="L2" s="30" t="inlineStr">
        <is>
          <t>smallcap</t>
        </is>
      </c>
      <c r="M2" s="31" t="n">
        <v>1151.07</v>
      </c>
      <c r="N2" s="31" t="n">
        <v>367.4</v>
      </c>
      <c r="O2" s="31" t="n">
        <v>2.43</v>
      </c>
      <c r="P2" s="31" t="n">
        <v>113924</v>
      </c>
      <c r="Q2" s="30" t="n">
        <v>80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81.72</v>
      </c>
      <c r="U2" s="31" t="n">
        <v>45.82</v>
      </c>
      <c r="V2" s="31" t="n">
        <v>291.76</v>
      </c>
      <c r="W2" s="30" t="inlineStr">
        <is>
          <t>Near 52W High Breakout</t>
        </is>
      </c>
      <c r="X2" s="30" t="inlineStr">
        <is>
          <t>Nifty 50</t>
        </is>
      </c>
      <c r="Y2" s="31" t="n">
        <v>-6.54</v>
      </c>
      <c r="Z2" s="31" t="n">
        <v>88.01000000000001</v>
      </c>
      <c r="AA2" s="31" t="n">
        <v>101.18</v>
      </c>
      <c r="AB2" s="31" t="n">
        <v>24.83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No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One Time, Lower Annuity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Above 40</t>
        </is>
      </c>
      <c r="BD2" s="30">
        <f>IF(BC2="Above 40",20,IF(BC2="20 to 40",10,IF(BC2="0 to 20",-5,0)))</f>
        <v/>
      </c>
      <c r="BE2" s="30" t="inlineStr">
        <is>
          <t>Above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No</t>
        </is>
      </c>
      <c r="BX2" s="30">
        <f>IF(BW2="NO",5,0)</f>
        <v/>
      </c>
      <c r="BY2" s="30" t="inlineStr">
        <is>
          <t>Less than 1.5</t>
        </is>
      </c>
      <c r="BZ2" s="30">
        <f>IF(BY2="Above 2",0,IF(BY2="Between 1.5 to 2",5,IF(BY2="Less than 1.5",10,0)))</f>
        <v/>
      </c>
      <c r="CA2" s="30" t="inlineStr">
        <is>
          <t>Above 70%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IF(B3=0,"",RANK(B3,$B$2:$B$22,0))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140</v>
      </c>
      <c r="E3" s="31" t="inlineStr">
        <is>
          <t>5%</t>
        </is>
      </c>
      <c r="F3" s="31" t="n">
        <v>50000</v>
      </c>
      <c r="G3" s="31" t="n">
        <v>30</v>
      </c>
      <c r="H3" s="30" t="inlineStr">
        <is>
          <t>VENUSREM</t>
        </is>
      </c>
      <c r="I3" s="30" t="inlineStr">
        <is>
          <t>Venus Remedies Limited</t>
        </is>
      </c>
      <c r="J3" s="30" t="inlineStr">
        <is>
          <t>healthcare</t>
        </is>
      </c>
      <c r="K3" s="30" t="inlineStr">
        <is>
          <t>pharmaceuticals - indian - formulations</t>
        </is>
      </c>
      <c r="L3" s="30" t="inlineStr">
        <is>
          <t>smallcap</t>
        </is>
      </c>
      <c r="M3" s="31" t="n">
        <v>2079.64</v>
      </c>
      <c r="N3" s="31" t="n">
        <v>1633.5</v>
      </c>
      <c r="O3" s="31" t="n">
        <v>4.99</v>
      </c>
      <c r="P3" s="31" t="n">
        <v>177144</v>
      </c>
      <c r="Q3" s="30" t="n">
        <v>98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80.33</v>
      </c>
      <c r="U3" s="31" t="n">
        <v>45.77</v>
      </c>
      <c r="V3" s="31" t="n">
        <v>1234.27</v>
      </c>
      <c r="W3" s="30" t="inlineStr">
        <is>
          <t>Volume Spike &amp; Near 52W High Breakout</t>
        </is>
      </c>
      <c r="X3" s="30" t="inlineStr">
        <is>
          <t>Nifty Pharma</t>
        </is>
      </c>
      <c r="Y3" s="31" t="n">
        <v>11.82</v>
      </c>
      <c r="Z3" s="31" t="n">
        <v>279.88</v>
      </c>
      <c r="AA3" s="31" t="n">
        <v>239.72</v>
      </c>
      <c r="AB3" s="31" t="n">
        <v>65.43000000000001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Yes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B2B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Annuity, Lower One Time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Above 75</t>
        </is>
      </c>
      <c r="BF3" s="30">
        <f>IF(BE3="Between 50 to 75",10,IF(BE3="Above 75",0,0))</f>
        <v/>
      </c>
      <c r="BG3" s="30" t="inlineStr">
        <is>
          <t>Stage 2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Blue sky scenario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No</t>
        </is>
      </c>
      <c r="BX3" s="30">
        <f>IF(BW3="NO",5,0)</f>
        <v/>
      </c>
      <c r="BY3" s="30" t="inlineStr">
        <is>
          <t>Above 2</t>
        </is>
      </c>
      <c r="BZ3" s="30">
        <f>IF(BY3="Above 2",0,IF(BY3="Between 1.5 to 2",5,IF(BY3="Less than 1.5",10,0)))</f>
        <v/>
      </c>
      <c r="CA3" s="30" t="inlineStr">
        <is>
          <t>Above 70%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IF(B4=0,"",RANK(B4,$B$2:$B$22,0))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138.7</v>
      </c>
      <c r="E4" s="31" t="inlineStr">
        <is>
          <t>5%</t>
        </is>
      </c>
      <c r="F4" s="31" t="n">
        <v>50000</v>
      </c>
      <c r="G4" s="31" t="n">
        <v>48</v>
      </c>
      <c r="H4" s="30" t="inlineStr">
        <is>
          <t>ATHERENERG</t>
        </is>
      </c>
      <c r="I4" s="30" t="inlineStr">
        <is>
          <t>Ather Energy Ltd</t>
        </is>
      </c>
      <c r="J4" s="30" t="inlineStr">
        <is>
          <t>auto</t>
        </is>
      </c>
      <c r="K4" s="30" t="inlineStr">
        <is>
          <t>automobiles - scooters and 3 - wheelers</t>
        </is>
      </c>
      <c r="L4" s="30" t="inlineStr">
        <is>
          <t>largecap</t>
        </is>
      </c>
      <c r="M4" s="31" t="n">
        <v>37813.85</v>
      </c>
      <c r="N4" s="31" t="n">
        <v>1033.6</v>
      </c>
      <c r="O4" s="31" t="n">
        <v>4.6</v>
      </c>
      <c r="P4" s="31" t="n">
        <v>4325836</v>
      </c>
      <c r="Q4" s="30" t="n">
        <v>93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73.7</v>
      </c>
      <c r="U4" s="31" t="n">
        <v>45.08</v>
      </c>
      <c r="V4" s="31" t="n">
        <v>780.66</v>
      </c>
      <c r="W4" s="30" t="inlineStr">
        <is>
          <t>Near 52W High Breakout</t>
        </is>
      </c>
      <c r="X4" s="30" t="inlineStr">
        <is>
          <t>Nifty Auto</t>
        </is>
      </c>
      <c r="Y4" s="31" t="n">
        <v>10.59</v>
      </c>
      <c r="Z4" s="31" t="n">
        <v>234.5</v>
      </c>
      <c r="AA4" s="31" t="n">
        <v>202.48</v>
      </c>
      <c r="AB4" s="31" t="n">
        <v>40.67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No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Yes</t>
        </is>
      </c>
      <c r="AV4" s="30">
        <f>IF(AU4="Yes",10,0)</f>
        <v/>
      </c>
      <c r="AW4" s="30" t="inlineStr">
        <is>
          <t>Higher One Time, Lower Annuity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Above 40</t>
        </is>
      </c>
      <c r="BD4" s="30">
        <f>IF(BC4="Above 40",20,IF(BC4="20 to 40",10,IF(BC4="0 to 20",-5,0)))</f>
        <v/>
      </c>
      <c r="BE4" s="30" t="inlineStr">
        <is>
          <t>Between 50 to 75</t>
        </is>
      </c>
      <c r="BF4" s="30">
        <f>IF(BE4="Between 50 to 75",10,IF(BE4="Above 75",0,0))</f>
        <v/>
      </c>
      <c r="BG4" s="30" t="inlineStr">
        <is>
          <t>Stage 2</t>
        </is>
      </c>
      <c r="BH4" s="30">
        <f>IF(BG4="Stage 2",20,IF(BG4="Stage 1",0,IF(BG4="Stage 3",5,IF(BG4="Stage 4",-5,0))))</f>
        <v/>
      </c>
      <c r="BI4" s="30" t="inlineStr">
        <is>
          <t>Positive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Blue sky scenario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More than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No</t>
        </is>
      </c>
      <c r="BX4" s="30">
        <f>IF(BW4="NO",5,0)</f>
        <v/>
      </c>
      <c r="BY4" s="30" t="inlineStr">
        <is>
          <t>Less than 1.5</t>
        </is>
      </c>
      <c r="BZ4" s="30">
        <f>IF(BY4="Above 2",0,IF(BY4="Between 1.5 to 2",5,IF(BY4="Less than 1.5",10,0)))</f>
        <v/>
      </c>
      <c r="CA4" s="30" t="inlineStr">
        <is>
          <t>Negative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IF(B5=0,"",RANK(B5,$B$2:$B$22,0))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137.9</v>
      </c>
      <c r="E5" s="31" t="inlineStr">
        <is>
          <t>5%</t>
        </is>
      </c>
      <c r="F5" s="31" t="n">
        <v>50000</v>
      </c>
      <c r="G5" s="31" t="n">
        <v>16</v>
      </c>
      <c r="H5" s="30" t="inlineStr">
        <is>
          <t>STYLAMIND</t>
        </is>
      </c>
      <c r="I5" s="30" t="inlineStr">
        <is>
          <t>Stylam Industries Ltd</t>
        </is>
      </c>
      <c r="J5" s="30" t="inlineStr">
        <is>
          <t>building materials</t>
        </is>
      </c>
      <c r="K5" s="30" t="inlineStr">
        <is>
          <t>miscellaneous</t>
        </is>
      </c>
      <c r="L5" s="30" t="inlineStr">
        <is>
          <t>midcap</t>
        </is>
      </c>
      <c r="M5" s="31" t="n">
        <v>5147.13</v>
      </c>
      <c r="N5" s="31" t="n">
        <v>3053.5</v>
      </c>
      <c r="O5" s="31" t="n">
        <v>0.54</v>
      </c>
      <c r="P5" s="31" t="n">
        <v>19378</v>
      </c>
      <c r="Q5" s="30" t="n">
        <v>72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88.92</v>
      </c>
      <c r="U5" s="31" t="n">
        <v>54.35</v>
      </c>
      <c r="V5" s="31" t="n">
        <v>2599.24</v>
      </c>
      <c r="W5" s="30" t="inlineStr">
        <is>
          <t>Near 52W High Breakout</t>
        </is>
      </c>
      <c r="X5" s="30" t="inlineStr">
        <is>
          <t>Nifty Infra</t>
        </is>
      </c>
      <c r="Y5" s="31" t="n">
        <v>1.11</v>
      </c>
      <c r="Z5" s="31" t="n">
        <v>80.39</v>
      </c>
      <c r="AA5" s="31" t="n">
        <v>78.41</v>
      </c>
      <c r="AB5" s="31" t="n">
        <v>21.07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No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B2B</t>
        </is>
      </c>
      <c r="AT5" s="30">
        <f>IF(AS5="B2C",10,IF(AS5="B2B",5,0))</f>
        <v/>
      </c>
      <c r="AU5" s="30" t="inlineStr">
        <is>
          <t>Yes</t>
        </is>
      </c>
      <c r="AV5" s="30">
        <f>IF(AU5="Yes",10,0)</f>
        <v/>
      </c>
      <c r="AW5" s="30" t="inlineStr">
        <is>
          <t>Higher One Time, Lower Annuity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Above 40</t>
        </is>
      </c>
      <c r="BD5" s="30">
        <f>IF(BC5="Above 40",20,IF(BC5="20 to 40",10,IF(BC5="0 to 20",-5,0)))</f>
        <v/>
      </c>
      <c r="BE5" s="30" t="inlineStr">
        <is>
          <t>Above 75</t>
        </is>
      </c>
      <c r="BF5" s="30">
        <f>IF(BE5="Between 50 to 75",10,IF(BE5="Above 75",0,0))</f>
        <v/>
      </c>
      <c r="BG5" s="30" t="inlineStr">
        <is>
          <t>Stage 2</t>
        </is>
      </c>
      <c r="BH5" s="30">
        <f>IF(BG5="Stage 2",20,IF(BG5="Stage 1",0,IF(BG5="Stage 3",5,IF(BG5="Stage 4",-5,0))))</f>
        <v/>
      </c>
      <c r="BI5" s="30" t="inlineStr">
        <is>
          <t>Positive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Blue sky scenario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More than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No</t>
        </is>
      </c>
      <c r="BX5" s="30">
        <f>IF(BW5="NO",5,0)</f>
        <v/>
      </c>
      <c r="BY5" s="30" t="inlineStr">
        <is>
          <t>Less than 1.5</t>
        </is>
      </c>
      <c r="BZ5" s="30">
        <f>IF(BY5="Above 2",0,IF(BY5="Between 1.5 to 2",5,IF(BY5="Less than 1.5",10,0)))</f>
        <v/>
      </c>
      <c r="CA5" s="30" t="inlineStr">
        <is>
          <t>Above 70%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IF(B6=0,"",RANK(B6,$B$2:$B$22,0))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139.4</v>
      </c>
      <c r="E6" s="31" t="inlineStr">
        <is>
          <t>5%</t>
        </is>
      </c>
      <c r="F6" s="31" t="n">
        <v>50000</v>
      </c>
      <c r="G6" s="31" t="n">
        <v>364</v>
      </c>
      <c r="H6" s="30" t="inlineStr">
        <is>
          <t>CUPID</t>
        </is>
      </c>
      <c r="I6" s="30" t="inlineStr">
        <is>
          <t>Cupid Limited</t>
        </is>
      </c>
      <c r="J6" s="30" t="inlineStr">
        <is>
          <t>fmcg</t>
        </is>
      </c>
      <c r="K6" s="30" t="inlineStr">
        <is>
          <t>personal care - indian</t>
        </is>
      </c>
      <c r="L6" s="30" t="inlineStr">
        <is>
          <t>midcap</t>
        </is>
      </c>
      <c r="M6" s="31" t="n">
        <v>17896.09</v>
      </c>
      <c r="N6" s="31" t="n">
        <v>137.1</v>
      </c>
      <c r="O6" s="31" t="n">
        <v>3.01</v>
      </c>
      <c r="P6" s="31" t="n">
        <v>15150953</v>
      </c>
      <c r="Q6" s="30" t="n">
        <v>98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76.19</v>
      </c>
      <c r="U6" s="31" t="n">
        <v>40.67</v>
      </c>
      <c r="V6" s="31" t="n">
        <v>104.14</v>
      </c>
      <c r="W6" s="30" t="inlineStr">
        <is>
          <t>Near 52W High Breakout</t>
        </is>
      </c>
      <c r="X6" s="30" t="inlineStr">
        <is>
          <t>Nifty FMCG</t>
        </is>
      </c>
      <c r="Y6" s="31" t="n">
        <v>-13.44</v>
      </c>
      <c r="Z6" s="31" t="n">
        <v>534.72</v>
      </c>
      <c r="AA6" s="31" t="n">
        <v>633.28</v>
      </c>
      <c r="AB6" s="31" t="n">
        <v>64.33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No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B2C</t>
        </is>
      </c>
      <c r="AT6" s="30">
        <f>IF(AS6="B2C",10,IF(AS6="B2B",5,0))</f>
        <v/>
      </c>
      <c r="AU6" s="30" t="inlineStr">
        <is>
          <t>Yes</t>
        </is>
      </c>
      <c r="AV6" s="30">
        <f>IF(AU6="Yes",10,0)</f>
        <v/>
      </c>
      <c r="AW6" s="30" t="inlineStr">
        <is>
          <t>Higher Annuity, Lower One Time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Above 40</t>
        </is>
      </c>
      <c r="BD6" s="30">
        <f>IF(BC6="Above 40",20,IF(BC6="20 to 40",10,IF(BC6="0 to 20",-5,0)))</f>
        <v/>
      </c>
      <c r="BE6" s="30" t="inlineStr">
        <is>
          <t>Above 75</t>
        </is>
      </c>
      <c r="BF6" s="30">
        <f>IF(BE6="Between 50 to 75",10,IF(BE6="Above 75",0,0))</f>
        <v/>
      </c>
      <c r="BG6" s="30" t="inlineStr">
        <is>
          <t>Stage 2</t>
        </is>
      </c>
      <c r="BH6" s="30">
        <f>IF(BG6="Stage 2",20,IF(BG6="Stage 1",0,IF(BG6="Stage 3",5,IF(BG6="Stage 4",-5,0))))</f>
        <v/>
      </c>
      <c r="BI6" s="30" t="inlineStr">
        <is>
          <t>Positive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Blue sky scenario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More than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Yes</t>
        </is>
      </c>
      <c r="BX6" s="30">
        <f>IF(BW6="NO",5,0)</f>
        <v/>
      </c>
      <c r="BY6" s="30" t="inlineStr">
        <is>
          <t>Above 2</t>
        </is>
      </c>
      <c r="BZ6" s="30">
        <f>IF(BY6="Above 2",0,IF(BY6="Between 1.5 to 2",5,IF(BY6="Less than 1.5",10,0)))</f>
        <v/>
      </c>
      <c r="CA6" s="30" t="inlineStr">
        <is>
          <t>Less than 50%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IF(B7=0,"",RANK(B7,$B$2:$B$22,0))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139.4</v>
      </c>
      <c r="E7" s="31" t="inlineStr">
        <is>
          <t>5%</t>
        </is>
      </c>
      <c r="F7" s="31" t="n">
        <v>50000</v>
      </c>
      <c r="G7" s="31" t="n">
        <v>40</v>
      </c>
      <c r="H7" s="30" t="inlineStr">
        <is>
          <t>SYRMA</t>
        </is>
      </c>
      <c r="I7" s="30" t="inlineStr">
        <is>
          <t>Syrma SGS Technology Ltd</t>
        </is>
      </c>
      <c r="J7" s="30" t="inlineStr">
        <is>
          <t>consumer discretionary</t>
        </is>
      </c>
      <c r="K7" s="30" t="inlineStr">
        <is>
          <t>electronics - components</t>
        </is>
      </c>
      <c r="L7" s="30" t="inlineStr">
        <is>
          <t>largecap</t>
        </is>
      </c>
      <c r="M7" s="31" t="n">
        <v>23556.17</v>
      </c>
      <c r="N7" s="31" t="n">
        <v>1226.8</v>
      </c>
      <c r="O7" s="31" t="n">
        <v>0.43</v>
      </c>
      <c r="P7" s="31" t="n">
        <v>737121</v>
      </c>
      <c r="Q7" s="30" t="n">
        <v>90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73.01000000000001</v>
      </c>
      <c r="U7" s="31" t="n">
        <v>29.35</v>
      </c>
      <c r="V7" s="31" t="n">
        <v>942.45</v>
      </c>
      <c r="W7" s="30" t="inlineStr">
        <is>
          <t>Near 52W High Breakout</t>
        </is>
      </c>
      <c r="X7" s="30" t="inlineStr">
        <is>
          <t>Nifty 50</t>
        </is>
      </c>
      <c r="Y7" s="31" t="n">
        <v>-6.54</v>
      </c>
      <c r="Z7" s="31" t="n">
        <v>129.78</v>
      </c>
      <c r="AA7" s="31" t="n">
        <v>145.87</v>
      </c>
      <c r="AB7" s="31" t="n">
        <v>33.93</v>
      </c>
      <c r="AC7" s="30" t="inlineStr">
        <is>
          <t>Growing Industry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No</t>
        </is>
      </c>
      <c r="AH7" s="30">
        <f>IF(AG7="No",5,0)</f>
        <v/>
      </c>
      <c r="AI7" s="30" t="inlineStr">
        <is>
          <t>Tailwind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Yes</t>
        </is>
      </c>
      <c r="AV7" s="30">
        <f>IF(AU7="Yes",10,0)</f>
        <v/>
      </c>
      <c r="AW7" s="30" t="inlineStr">
        <is>
          <t>Higher One Time, Lower Annuity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20 to 40</t>
        </is>
      </c>
      <c r="BD7" s="30">
        <f>IF(BC7="Above 40",20,IF(BC7="20 to 40",10,IF(BC7="0 to 20",-5,0)))</f>
        <v/>
      </c>
      <c r="BE7" s="30" t="inlineStr">
        <is>
          <t>Between 50 to 75</t>
        </is>
      </c>
      <c r="BF7" s="30">
        <f>IF(BE7="Between 50 to 75",10,IF(BE7="Above 75",0,0))</f>
        <v/>
      </c>
      <c r="BG7" s="30" t="inlineStr">
        <is>
          <t>Stage 2</t>
        </is>
      </c>
      <c r="BH7" s="30">
        <f>IF(BG7="Stage 2",20,IF(BG7="Stage 1",0,IF(BG7="Stage 3",5,IF(BG7="Stage 4",-5,0))))</f>
        <v/>
      </c>
      <c r="BI7" s="30" t="inlineStr">
        <is>
          <t>Positive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Blue sky scenario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Yes</t>
        </is>
      </c>
      <c r="BX7" s="30">
        <f>IF(BW7="NO",5,0)</f>
        <v/>
      </c>
      <c r="BY7" s="30" t="inlineStr">
        <is>
          <t>Between 1.5 to 2</t>
        </is>
      </c>
      <c r="BZ7" s="30">
        <f>IF(BY7="Above 2",0,IF(BY7="Between 1.5 to 2",5,IF(BY7="Less than 1.5",10,0)))</f>
        <v/>
      </c>
      <c r="CA7" s="30" t="inlineStr">
        <is>
          <t>Between 50% to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Less than 0.7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IF(B8=0,"",RANK(B8,$B$2:$B$22,0))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140</v>
      </c>
      <c r="E8" s="31" t="inlineStr">
        <is>
          <t>5%</t>
        </is>
      </c>
      <c r="F8" s="31" t="n">
        <v>50000</v>
      </c>
      <c r="G8" s="31" t="n">
        <v>137</v>
      </c>
      <c r="H8" s="30" t="inlineStr">
        <is>
          <t>MODISONLTD</t>
        </is>
      </c>
      <c r="I8" s="30" t="inlineStr">
        <is>
          <t>Modison Ltd</t>
        </is>
      </c>
      <c r="J8" s="30" t="inlineStr">
        <is>
          <t>industrials</t>
        </is>
      </c>
      <c r="K8" s="30" t="inlineStr">
        <is>
          <t>electric equipment</t>
        </is>
      </c>
      <c r="L8" s="30" t="inlineStr">
        <is>
          <t>smallcap</t>
        </is>
      </c>
      <c r="M8" s="31" t="n">
        <v>1120.99</v>
      </c>
      <c r="N8" s="31" t="n">
        <v>362.7</v>
      </c>
      <c r="O8" s="31" t="n">
        <v>4.99</v>
      </c>
      <c r="P8" s="31" t="n">
        <v>224859</v>
      </c>
      <c r="Q8" s="30" t="n">
        <v>98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87.36</v>
      </c>
      <c r="U8" s="31" t="n">
        <v>29.03</v>
      </c>
      <c r="V8" s="31" t="n">
        <v>279.43</v>
      </c>
      <c r="W8" s="30" t="inlineStr">
        <is>
          <t>Near 52W High Breakout</t>
        </is>
      </c>
      <c r="X8" s="30" t="inlineStr">
        <is>
          <t>Nifty 50</t>
        </is>
      </c>
      <c r="Y8" s="31" t="n">
        <v>-6.54</v>
      </c>
      <c r="Z8" s="31" t="n">
        <v>129.78</v>
      </c>
      <c r="AA8" s="31" t="n">
        <v>145.87</v>
      </c>
      <c r="AB8" s="31" t="n">
        <v>67.47</v>
      </c>
      <c r="AC8" s="30" t="inlineStr">
        <is>
          <t>Cyclical in an Upturn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Tailwind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Yes</t>
        </is>
      </c>
      <c r="AV8" s="30">
        <f>IF(AU8="Yes",10,0)</f>
        <v/>
      </c>
      <c r="AW8" s="30" t="inlineStr">
        <is>
          <t>Higher One Time, Lower Annuity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20 to 40</t>
        </is>
      </c>
      <c r="BD8" s="30">
        <f>IF(BC8="Above 40",20,IF(BC8="20 to 40",10,IF(BC8="0 to 20",-5,0)))</f>
        <v/>
      </c>
      <c r="BE8" s="30" t="inlineStr">
        <is>
          <t>Above 75</t>
        </is>
      </c>
      <c r="BF8" s="30">
        <f>IF(BE8="Between 50 to 75",10,IF(BE8="Above 75",0,0))</f>
        <v/>
      </c>
      <c r="BG8" s="30" t="inlineStr">
        <is>
          <t>Stage 2</t>
        </is>
      </c>
      <c r="BH8" s="30">
        <f>IF(BG8="Stage 2",20,IF(BG8="Stage 1",0,IF(BG8="Stage 3",5,IF(BG8="Stage 4",-5,0))))</f>
        <v/>
      </c>
      <c r="BI8" s="30" t="inlineStr">
        <is>
          <t>Positive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Blue sky scenario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More than 20%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No</t>
        </is>
      </c>
      <c r="BX8" s="30">
        <f>IF(BW8="NO",5,0)</f>
        <v/>
      </c>
      <c r="BY8" s="30" t="inlineStr">
        <is>
          <t>Above 2</t>
        </is>
      </c>
      <c r="BZ8" s="30">
        <f>IF(BY8="Above 2",0,IF(BY8="Between 1.5 to 2",5,IF(BY8="Less than 1.5",10,0)))</f>
        <v/>
      </c>
      <c r="CA8" s="30" t="inlineStr">
        <is>
          <t>Above 70%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IF(B9=0,"",RANK(B9,$B$2:$B$22,0))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139.4</v>
      </c>
      <c r="E9" s="31" t="inlineStr">
        <is>
          <t>5%</t>
        </is>
      </c>
      <c r="F9" s="31" t="n">
        <v>50000</v>
      </c>
      <c r="G9" s="31" t="n">
        <v>15</v>
      </c>
      <c r="H9" s="30" t="inlineStr">
        <is>
          <t>ACUTAAS</t>
        </is>
      </c>
      <c r="I9" s="30" t="inlineStr">
        <is>
          <t>Acutaas Chemicals Ltd</t>
        </is>
      </c>
      <c r="J9" s="30" t="inlineStr">
        <is>
          <t>healthcare</t>
        </is>
      </c>
      <c r="K9" s="30" t="inlineStr">
        <is>
          <t>pharmaceuticals - indian - bulk drugs</t>
        </is>
      </c>
      <c r="L9" s="30" t="inlineStr">
        <is>
          <t>largecap</t>
        </is>
      </c>
      <c r="M9" s="31" t="n">
        <v>25909.75</v>
      </c>
      <c r="N9" s="31" t="n">
        <v>3328.3</v>
      </c>
      <c r="O9" s="31" t="n">
        <v>5.17</v>
      </c>
      <c r="P9" s="31" t="n">
        <v>1067585</v>
      </c>
      <c r="Q9" s="30" t="n">
        <v>90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79.45</v>
      </c>
      <c r="U9" s="31" t="n">
        <v>64.38</v>
      </c>
      <c r="V9" s="31" t="n">
        <v>2603.5</v>
      </c>
      <c r="W9" s="30" t="inlineStr">
        <is>
          <t>Near 52W High Breakout</t>
        </is>
      </c>
      <c r="X9" s="30" t="inlineStr">
        <is>
          <t>Nifty Pharma</t>
        </is>
      </c>
      <c r="Y9" s="31" t="n">
        <v>11.82</v>
      </c>
      <c r="Z9" s="31" t="n">
        <v>192.13</v>
      </c>
      <c r="AA9" s="31" t="n">
        <v>161.24</v>
      </c>
      <c r="AB9" s="31" t="n">
        <v>34.55</v>
      </c>
      <c r="AC9" s="30" t="inlineStr">
        <is>
          <t>Growing Industry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Yes</t>
        </is>
      </c>
      <c r="AH9" s="30">
        <f>IF(AG9="No",5,0)</f>
        <v/>
      </c>
      <c r="AI9" s="30" t="inlineStr">
        <is>
          <t>Tailwind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Yes</t>
        </is>
      </c>
      <c r="AV9" s="30">
        <f>IF(AU9="Yes",10,0)</f>
        <v/>
      </c>
      <c r="AW9" s="30" t="inlineStr">
        <is>
          <t>Higher Annuity, Lower One Time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Above 40</t>
        </is>
      </c>
      <c r="BD9" s="30">
        <f>IF(BC9="Above 40",20,IF(BC9="20 to 40",10,IF(BC9="0 to 20",-5,0)))</f>
        <v/>
      </c>
      <c r="BE9" s="30" t="inlineStr">
        <is>
          <t>Above 75</t>
        </is>
      </c>
      <c r="BF9" s="30">
        <f>IF(BE9="Between 50 to 75",10,IF(BE9="Above 75",0,0))</f>
        <v/>
      </c>
      <c r="BG9" s="30" t="inlineStr">
        <is>
          <t>Stage 2</t>
        </is>
      </c>
      <c r="BH9" s="30">
        <f>IF(BG9="Stage 2",20,IF(BG9="Stage 1",0,IF(BG9="Stage 3",5,IF(BG9="Stage 4",-5,0))))</f>
        <v/>
      </c>
      <c r="BI9" s="30" t="inlineStr">
        <is>
          <t>Positive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Blue sky scenario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More than 20%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Yes</t>
        </is>
      </c>
      <c r="BX9" s="30">
        <f>IF(BW9="NO",5,0)</f>
        <v/>
      </c>
      <c r="BY9" s="30" t="inlineStr">
        <is>
          <t>Above 2</t>
        </is>
      </c>
      <c r="BZ9" s="30">
        <f>IF(BY9="Above 2",0,IF(BY9="Between 1.5 to 2",5,IF(BY9="Less than 1.5",10,0)))</f>
        <v/>
      </c>
      <c r="CA9" s="30" t="inlineStr">
        <is>
          <t>Between 50% to 70%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Less than 0.7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IF(B10=0,"",RANK(B10,$B$2:$B$22,0))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139.1</v>
      </c>
      <c r="E10" s="31" t="inlineStr">
        <is>
          <t>5%</t>
        </is>
      </c>
      <c r="F10" s="31" t="n">
        <v>50000</v>
      </c>
      <c r="G10" s="31" t="n">
        <v>45</v>
      </c>
      <c r="H10" s="30" t="inlineStr">
        <is>
          <t>RPEL</t>
        </is>
      </c>
      <c r="I10" s="30" t="inlineStr">
        <is>
          <t>Raghav Productivity Enhancers Ltd</t>
        </is>
      </c>
      <c r="J10" s="30" t="inlineStr">
        <is>
          <t>building materials</t>
        </is>
      </c>
      <c r="K10" s="30" t="inlineStr">
        <is>
          <t>refractories / intermediates</t>
        </is>
      </c>
      <c r="L10" s="30" t="inlineStr">
        <is>
          <t>smallcap</t>
        </is>
      </c>
      <c r="M10" s="31" t="n">
        <v>4638.03</v>
      </c>
      <c r="N10" s="31" t="n">
        <v>1110.15</v>
      </c>
      <c r="O10" s="31" t="n">
        <v>9.890000000000001</v>
      </c>
      <c r="P10" s="31" t="n">
        <v>594955</v>
      </c>
      <c r="Q10" s="30" t="n">
        <v>83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74.29000000000001</v>
      </c>
      <c r="U10" s="31" t="n">
        <v>28.7</v>
      </c>
      <c r="V10" s="31" t="n">
        <v>838.27</v>
      </c>
      <c r="W10" s="30" t="inlineStr">
        <is>
          <t>Near 52W High Breakout</t>
        </is>
      </c>
      <c r="X10" s="30" t="inlineStr">
        <is>
          <t>Nifty Infra</t>
        </is>
      </c>
      <c r="Y10" s="31" t="n">
        <v>1.11</v>
      </c>
      <c r="Z10" s="31" t="n">
        <v>56.18</v>
      </c>
      <c r="AA10" s="31" t="n">
        <v>54.46</v>
      </c>
      <c r="AB10" s="31" t="n">
        <v>27.34</v>
      </c>
      <c r="AC10" s="30" t="inlineStr">
        <is>
          <t>Growing Industry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No</t>
        </is>
      </c>
      <c r="AH10" s="30">
        <f>IF(AG10="No",5,0)</f>
        <v/>
      </c>
      <c r="AI10" s="30" t="inlineStr">
        <is>
          <t>Tailwind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Yes</t>
        </is>
      </c>
      <c r="AV10" s="30">
        <f>IF(AU10="Yes",10,0)</f>
        <v/>
      </c>
      <c r="AW10" s="30" t="inlineStr">
        <is>
          <t>Higher One Time, Lower Annuity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20 to 40</t>
        </is>
      </c>
      <c r="BD10" s="30">
        <f>IF(BC10="Above 40",20,IF(BC10="20 to 40",10,IF(BC10="0 to 20",-5,0)))</f>
        <v/>
      </c>
      <c r="BE10" s="30" t="inlineStr">
        <is>
          <t>Between 50 to 75</t>
        </is>
      </c>
      <c r="BF10" s="30">
        <f>IF(BE10="Between 50 to 75",10,IF(BE10="Above 75",0,0))</f>
        <v/>
      </c>
      <c r="BG10" s="30" t="inlineStr">
        <is>
          <t>Stage 2</t>
        </is>
      </c>
      <c r="BH10" s="30">
        <f>IF(BG10="Stage 2",20,IF(BG10="Stage 1",0,IF(BG10="Stage 3",5,IF(BG10="Stage 4",-5,0))))</f>
        <v/>
      </c>
      <c r="BI10" s="30" t="inlineStr">
        <is>
          <t>Positive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Blue sky scenario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More than 20%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Yes</t>
        </is>
      </c>
      <c r="BX10" s="30">
        <f>IF(BW10="NO",5,0)</f>
        <v/>
      </c>
      <c r="BY10" s="30" t="inlineStr">
        <is>
          <t>Between 1.5 to 2</t>
        </is>
      </c>
      <c r="BZ10" s="30">
        <f>IF(BY10="Above 2",0,IF(BY10="Between 1.5 to 2",5,IF(BY10="Less than 1.5",10,0)))</f>
        <v/>
      </c>
      <c r="CA10" s="30" t="inlineStr">
        <is>
          <t>Less than 50%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Less than 0.7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IF(B11=0,"",RANK(B11,$B$2:$B$22,0))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EMA Crossover</t>
        </is>
      </c>
      <c r="D11" s="31" t="n">
        <v>143.2</v>
      </c>
      <c r="E11" s="31" t="inlineStr">
        <is>
          <t>7%</t>
        </is>
      </c>
      <c r="F11" s="31" t="n">
        <v>70000</v>
      </c>
      <c r="G11" s="31" t="n">
        <v>2680</v>
      </c>
      <c r="H11" s="30" t="inlineStr">
        <is>
          <t>PRIMO</t>
        </is>
      </c>
      <c r="I11" s="30" t="inlineStr">
        <is>
          <t>Primo Chemicals Ltd</t>
        </is>
      </c>
      <c r="J11" s="30" t="inlineStr">
        <is>
          <t>chemicals</t>
        </is>
      </c>
      <c r="K11" s="30" t="inlineStr">
        <is>
          <t>chlor alkali / soda ash</t>
        </is>
      </c>
      <c r="L11" s="30" t="inlineStr">
        <is>
          <t>smallcap</t>
        </is>
      </c>
      <c r="M11" s="31" t="n">
        <v>532.4299999999999</v>
      </c>
      <c r="N11" s="31" t="n">
        <v>26.11</v>
      </c>
      <c r="O11" s="31" t="n">
        <v>18.84</v>
      </c>
      <c r="P11" s="31" t="n">
        <v>2989541</v>
      </c>
      <c r="Q11" s="30" t="n">
        <v>47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58.37</v>
      </c>
      <c r="U11" s="31" t="n">
        <v>20.31</v>
      </c>
      <c r="V11" s="31" t="n">
        <v>17.28</v>
      </c>
      <c r="W11" s="30" t="inlineStr">
        <is>
          <t>Volume Spike / Accumulation</t>
        </is>
      </c>
      <c r="X11" s="30" t="inlineStr">
        <is>
          <t>Nifty 50</t>
        </is>
      </c>
      <c r="Y11" s="31" t="n">
        <v>-6.54</v>
      </c>
      <c r="Z11" s="31" t="n">
        <v>6.1</v>
      </c>
      <c r="AA11" s="31" t="n">
        <v>13.52</v>
      </c>
      <c r="AB11" s="31" t="n">
        <v>12.23</v>
      </c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No</t>
        </is>
      </c>
      <c r="AH11" s="30">
        <f>IF(AG11="No",5,0)</f>
        <v/>
      </c>
      <c r="AI11" s="30" t="inlineStr">
        <is>
          <t>Tailwind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Yes</t>
        </is>
      </c>
      <c r="AV11" s="30">
        <f>IF(AU11="Yes",10,0)</f>
        <v/>
      </c>
      <c r="AW11" s="30" t="inlineStr">
        <is>
          <t>Higher One Time, Lower Annuity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20 to 40</t>
        </is>
      </c>
      <c r="BD11" s="30">
        <f>IF(BC11="Above 40",20,IF(BC11="20 to 40",10,IF(BC11="0 to 20",-5,0)))</f>
        <v/>
      </c>
      <c r="BE11" s="30" t="inlineStr">
        <is>
          <t>Between 50 to 75</t>
        </is>
      </c>
      <c r="BF11" s="30">
        <f>IF(BE11="Between 50 to 75",10,IF(BE11="Above 75",0,0))</f>
        <v/>
      </c>
      <c r="BG11" s="30" t="inlineStr">
        <is>
          <t>Stage 2</t>
        </is>
      </c>
      <c r="BH11" s="30">
        <f>IF(BG11="Stage 2",20,IF(BG11="Stage 1",0,IF(BG11="Stage 3",5,IF(BG11="Stage 4",-5,0))))</f>
        <v/>
      </c>
      <c r="BI11" s="30" t="inlineStr">
        <is>
          <t>Positive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Close to 52 week high or retracement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Yes</t>
        </is>
      </c>
      <c r="BX11" s="30">
        <f>IF(BW11="NO",5,0)</f>
        <v/>
      </c>
      <c r="BY11" s="30" t="inlineStr">
        <is>
          <t>Above 2</t>
        </is>
      </c>
      <c r="BZ11" s="30">
        <f>IF(BY11="Above 2",0,IF(BY11="Between 1.5 to 2",5,IF(BY11="Less than 1.5",10,0)))</f>
        <v/>
      </c>
      <c r="CA11" s="30" t="inlineStr">
        <is>
          <t>Above 70%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Less than 0.7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IF(B12=0,"",RANK(B12,$B$2:$B$22,0))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138.1</v>
      </c>
      <c r="E12" s="31" t="inlineStr">
        <is>
          <t>5%</t>
        </is>
      </c>
      <c r="F12" s="31" t="n">
        <v>50000</v>
      </c>
      <c r="G12" s="31" t="n">
        <v>72</v>
      </c>
      <c r="H12" s="30" t="inlineStr">
        <is>
          <t>HSCL</t>
        </is>
      </c>
      <c r="I12" s="30" t="inlineStr">
        <is>
          <t>Himadri Speciality Chemical Limited</t>
        </is>
      </c>
      <c r="J12" s="30" t="inlineStr">
        <is>
          <t>chemicals</t>
        </is>
      </c>
      <c r="K12" s="30" t="inlineStr">
        <is>
          <t>chemicals</t>
        </is>
      </c>
      <c r="L12" s="30" t="inlineStr">
        <is>
          <t>largecap</t>
        </is>
      </c>
      <c r="M12" s="31" t="n">
        <v>32391.57</v>
      </c>
      <c r="N12" s="31" t="n">
        <v>685.05</v>
      </c>
      <c r="O12" s="31" t="n">
        <v>6.71</v>
      </c>
      <c r="P12" s="31" t="n">
        <v>24445679</v>
      </c>
      <c r="Q12" s="30" t="n">
        <v>69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73.98999999999999</v>
      </c>
      <c r="U12" s="31" t="n">
        <v>27.87</v>
      </c>
      <c r="V12" s="31" t="n">
        <v>526.01</v>
      </c>
      <c r="W12" s="30" t="inlineStr">
        <is>
          <t>Volume Spike &amp; Near 52W High Breakout</t>
        </is>
      </c>
      <c r="X12" s="30" t="inlineStr">
        <is>
          <t>Nifty 50</t>
        </is>
      </c>
      <c r="Y12" s="31" t="n">
        <v>-6.54</v>
      </c>
      <c r="Z12" s="31" t="n">
        <v>38.19</v>
      </c>
      <c r="AA12" s="31" t="n">
        <v>47.87</v>
      </c>
      <c r="AB12" s="31" t="n">
        <v>19.02</v>
      </c>
      <c r="AC12" s="30" t="inlineStr">
        <is>
          <t>Growing Industry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No</t>
        </is>
      </c>
      <c r="AH12" s="30">
        <f>IF(AG12="No",5,0)</f>
        <v/>
      </c>
      <c r="AI12" s="30" t="inlineStr">
        <is>
          <t>Tailwind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Yes</t>
        </is>
      </c>
      <c r="AV12" s="30">
        <f>IF(AU12="Yes",10,0)</f>
        <v/>
      </c>
      <c r="AW12" s="30" t="inlineStr">
        <is>
          <t>Higher One Time, Lower Annuity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20 to 40</t>
        </is>
      </c>
      <c r="BD12" s="30">
        <f>IF(BC12="Above 40",20,IF(BC12="20 to 40",10,IF(BC12="0 to 20",-5,0)))</f>
        <v/>
      </c>
      <c r="BE12" s="30" t="inlineStr">
        <is>
          <t>Between 50 to 75</t>
        </is>
      </c>
      <c r="BF12" s="30">
        <f>IF(BE12="Between 50 to 75",10,IF(BE12="Above 75",0,0))</f>
        <v/>
      </c>
      <c r="BG12" s="30" t="inlineStr">
        <is>
          <t>Stage 2</t>
        </is>
      </c>
      <c r="BH12" s="30">
        <f>IF(BG12="Stage 2",20,IF(BG12="Stage 1",0,IF(BG12="Stage 3",5,IF(BG12="Stage 4",-5,0))))</f>
        <v/>
      </c>
      <c r="BI12" s="30" t="inlineStr">
        <is>
          <t>Positive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Blue sky scenario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More than 20%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Yes</t>
        </is>
      </c>
      <c r="BX12" s="30">
        <f>IF(BW12="NO",5,0)</f>
        <v/>
      </c>
      <c r="BY12" s="30" t="inlineStr">
        <is>
          <t>Between 1.5 to 2</t>
        </is>
      </c>
      <c r="BZ12" s="30">
        <f>IF(BY12="Above 2",0,IF(BY12="Between 1.5 to 2",5,IF(BY12="Less than 1.5",10,0)))</f>
        <v/>
      </c>
      <c r="CA12" s="30" t="inlineStr">
        <is>
          <t>Less than 50%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Less than 0.7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IF(B13=0,"",RANK(B13,$B$2:$B$22,0))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139.7</v>
      </c>
      <c r="E13" s="31" t="inlineStr">
        <is>
          <t>5%</t>
        </is>
      </c>
      <c r="F13" s="31" t="n">
        <v>50000</v>
      </c>
      <c r="G13" s="31" t="n">
        <v>42</v>
      </c>
      <c r="H13" s="30" t="inlineStr">
        <is>
          <t>SAILIFE</t>
        </is>
      </c>
      <c r="I13" s="30" t="inlineStr">
        <is>
          <t>Sai Life Sciences Ltd</t>
        </is>
      </c>
      <c r="J13" s="30" t="inlineStr">
        <is>
          <t>healthcare</t>
        </is>
      </c>
      <c r="K13" s="30" t="inlineStr">
        <is>
          <t>pharmaceuticals - indian - bulk drugs &amp; formln</t>
        </is>
      </c>
      <c r="L13" s="30" t="inlineStr">
        <is>
          <t>largecap</t>
        </is>
      </c>
      <c r="M13" s="31" t="n">
        <v>24551.57</v>
      </c>
      <c r="N13" s="31" t="n">
        <v>1186.4</v>
      </c>
      <c r="O13" s="31" t="n">
        <v>2.34</v>
      </c>
      <c r="P13" s="31" t="n">
        <v>749906</v>
      </c>
      <c r="Q13" s="30" t="n">
        <v>50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70.11</v>
      </c>
      <c r="U13" s="31" t="n">
        <v>30.3</v>
      </c>
      <c r="V13" s="31" t="n">
        <v>938.2</v>
      </c>
      <c r="W13" s="30" t="inlineStr">
        <is>
          <t>Near 52W High Breakout</t>
        </is>
      </c>
      <c r="X13" s="30" t="inlineStr">
        <is>
          <t>Nifty Pharma</t>
        </is>
      </c>
      <c r="Y13" s="31" t="n">
        <v>11.82</v>
      </c>
      <c r="Z13" s="31" t="n">
        <v>60.93</v>
      </c>
      <c r="AA13" s="31" t="n">
        <v>43.92</v>
      </c>
      <c r="AB13" s="31" t="n">
        <v>13.14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Yes</t>
        </is>
      </c>
      <c r="AH13" s="30">
        <f>IF(AG13="No",5,0)</f>
        <v/>
      </c>
      <c r="AI13" s="30" t="inlineStr">
        <is>
          <t>Tailwind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Yes</t>
        </is>
      </c>
      <c r="AV13" s="30">
        <f>IF(AU13="Yes",10,0)</f>
        <v/>
      </c>
      <c r="AW13" s="30" t="inlineStr">
        <is>
          <t>Higher Annuity, Lower One Time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20 to 40</t>
        </is>
      </c>
      <c r="BD13" s="30">
        <f>IF(BC13="Above 40",20,IF(BC13="20 to 40",10,IF(BC13="0 to 20",-5,0)))</f>
        <v/>
      </c>
      <c r="BE13" s="30" t="inlineStr">
        <is>
          <t>Between 50 to 75</t>
        </is>
      </c>
      <c r="BF13" s="30">
        <f>IF(BE13="Between 50 to 75",10,IF(BE13="Above 75",0,0))</f>
        <v/>
      </c>
      <c r="BG13" s="30" t="inlineStr">
        <is>
          <t>Stage 2</t>
        </is>
      </c>
      <c r="BH13" s="30">
        <f>IF(BG13="Stage 2",20,IF(BG13="Stage 1",0,IF(BG13="Stage 3",5,IF(BG13="Stage 4",-5,0))))</f>
        <v/>
      </c>
      <c r="BI13" s="30" t="inlineStr">
        <is>
          <t>Positive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Blue sky scenario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Between 12 to 20%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Yes</t>
        </is>
      </c>
      <c r="BX13" s="30">
        <f>IF(BW13="NO",5,0)</f>
        <v/>
      </c>
      <c r="BY13" s="30" t="inlineStr">
        <is>
          <t>Above 2</t>
        </is>
      </c>
      <c r="BZ13" s="30">
        <f>IF(BY13="Above 2",0,IF(BY13="Between 1.5 to 2",5,IF(BY13="Less than 1.5",10,0)))</f>
        <v/>
      </c>
      <c r="CA13" s="30" t="inlineStr">
        <is>
          <t>Above 70%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Less than 0.7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IF(B14=0,"",RANK(B14,$B$2:$B$22,0))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139.8</v>
      </c>
      <c r="E14" s="31" t="inlineStr">
        <is>
          <t>5%</t>
        </is>
      </c>
      <c r="F14" s="31" t="n">
        <v>50000</v>
      </c>
      <c r="G14" s="31" t="n">
        <v>34</v>
      </c>
      <c r="H14" s="30" t="inlineStr">
        <is>
          <t>LAURUSLABS</t>
        </is>
      </c>
      <c r="I14" s="30" t="inlineStr">
        <is>
          <t>Laurus Labs Limited</t>
        </is>
      </c>
      <c r="J14" s="30" t="inlineStr">
        <is>
          <t>healthcare</t>
        </is>
      </c>
      <c r="K14" s="30" t="inlineStr">
        <is>
          <t>pharmaceuticals - indian - bulk drugs &amp; formln</t>
        </is>
      </c>
      <c r="L14" s="30" t="inlineStr">
        <is>
          <t>largecap</t>
        </is>
      </c>
      <c r="M14" s="31" t="n">
        <v>77048.33</v>
      </c>
      <c r="N14" s="31" t="n">
        <v>1446.8</v>
      </c>
      <c r="O14" s="31" t="n">
        <v>1.37</v>
      </c>
      <c r="P14" s="31" t="n">
        <v>1515580</v>
      </c>
      <c r="Q14" s="30" t="n">
        <v>83</v>
      </c>
      <c r="R14" s="30" t="inlineStr">
        <is>
          <t>Outperforming</t>
        </is>
      </c>
      <c r="S14" s="31">
        <f>IF(R14="Underperforming",-5,IF(Q14&gt;=95,15,IF(Q14&gt;=90,10,IF(Q14&gt;=80,5,0))))</f>
        <v/>
      </c>
      <c r="T14" s="31" t="n">
        <v>79.90000000000001</v>
      </c>
      <c r="U14" s="31" t="n">
        <v>29.97</v>
      </c>
      <c r="V14" s="31" t="n">
        <v>1224.52</v>
      </c>
      <c r="W14" s="30" t="inlineStr">
        <is>
          <t>Near 52W High Breakout</t>
        </is>
      </c>
      <c r="X14" s="30" t="inlineStr">
        <is>
          <t>Nifty Pharma</t>
        </is>
      </c>
      <c r="Y14" s="31" t="n">
        <v>11.82</v>
      </c>
      <c r="Z14" s="31" t="n">
        <v>125.75</v>
      </c>
      <c r="AA14" s="31" t="n">
        <v>101.88</v>
      </c>
      <c r="AB14" s="31" t="n">
        <v>27.21</v>
      </c>
      <c r="AC14" s="30" t="inlineStr">
        <is>
          <t>Growing Industry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Yes</t>
        </is>
      </c>
      <c r="AH14" s="30">
        <f>IF(AG14="No",5,0)</f>
        <v/>
      </c>
      <c r="AI14" s="30" t="inlineStr">
        <is>
          <t>Tailwind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Yes</t>
        </is>
      </c>
      <c r="AV14" s="30">
        <f>IF(AU14="Yes",10,0)</f>
        <v/>
      </c>
      <c r="AW14" s="30" t="inlineStr">
        <is>
          <t>Higher Annuity, Lower One Time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20 to 40</t>
        </is>
      </c>
      <c r="BD14" s="30">
        <f>IF(BC14="Above 40",20,IF(BC14="20 to 40",10,IF(BC14="0 to 20",-5,0)))</f>
        <v/>
      </c>
      <c r="BE14" s="30" t="inlineStr">
        <is>
          <t>Above 75</t>
        </is>
      </c>
      <c r="BF14" s="30">
        <f>IF(BE14="Between 50 to 75",10,IF(BE14="Above 75",0,0))</f>
        <v/>
      </c>
      <c r="BG14" s="30" t="inlineStr">
        <is>
          <t>Stage 2</t>
        </is>
      </c>
      <c r="BH14" s="30">
        <f>IF(BG14="Stage 2",20,IF(BG14="Stage 1",0,IF(BG14="Stage 3",5,IF(BG14="Stage 4",-5,0))))</f>
        <v/>
      </c>
      <c r="BI14" s="30" t="inlineStr">
        <is>
          <t>Positive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Blue sky scenario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Between 12 to 20%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Yes</t>
        </is>
      </c>
      <c r="BX14" s="30">
        <f>IF(BW14="NO",5,0)</f>
        <v/>
      </c>
      <c r="BY14" s="30" t="inlineStr">
        <is>
          <t>Above 2</t>
        </is>
      </c>
      <c r="BZ14" s="30">
        <f>IF(BY14="Above 2",0,IF(BY14="Between 1.5 to 2",5,IF(BY14="Less than 1.5",10,0)))</f>
        <v/>
      </c>
      <c r="CA14" s="30" t="inlineStr">
        <is>
          <t>Above 70%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Less than 0.7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IF(B15=0,"",RANK(B15,$B$2:$B$22,0))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139.1</v>
      </c>
      <c r="E15" s="31" t="inlineStr">
        <is>
          <t>5%</t>
        </is>
      </c>
      <c r="F15" s="31" t="n">
        <v>50000</v>
      </c>
      <c r="G15" s="31" t="n">
        <v>92</v>
      </c>
      <c r="H15" s="30" t="inlineStr">
        <is>
          <t>SHILPAMED</t>
        </is>
      </c>
      <c r="I15" s="30" t="inlineStr">
        <is>
          <t>Shilpa Medicare Limited</t>
        </is>
      </c>
      <c r="J15" s="30" t="inlineStr">
        <is>
          <t>healthcare</t>
        </is>
      </c>
      <c r="K15" s="30" t="inlineStr">
        <is>
          <t>pharmaceuticals - indian - formulations</t>
        </is>
      </c>
      <c r="L15" s="30" t="inlineStr">
        <is>
          <t>midcap</t>
        </is>
      </c>
      <c r="M15" s="31" t="n">
        <v>10283.69</v>
      </c>
      <c r="N15" s="31" t="n">
        <v>538.05</v>
      </c>
      <c r="O15" s="31" t="n">
        <v>2.33</v>
      </c>
      <c r="P15" s="31" t="n">
        <v>1777281</v>
      </c>
      <c r="Q15" s="30" t="n">
        <v>68</v>
      </c>
      <c r="R15" s="30" t="inlineStr">
        <is>
          <t>Outperforming</t>
        </is>
      </c>
      <c r="S15" s="31">
        <f>IF(R15="Underperforming",-5,IF(Q15&gt;=95,15,IF(Q15&gt;=90,10,IF(Q15&gt;=80,5,0))))</f>
        <v/>
      </c>
      <c r="T15" s="31" t="n">
        <v>78.78</v>
      </c>
      <c r="U15" s="31" t="n">
        <v>39.68</v>
      </c>
      <c r="V15" s="31" t="n">
        <v>418.43</v>
      </c>
      <c r="W15" s="30" t="inlineStr">
        <is>
          <t>Volume Spike &amp; Near 52W High Breakout</t>
        </is>
      </c>
      <c r="X15" s="30" t="inlineStr">
        <is>
          <t>Nifty Pharma</t>
        </is>
      </c>
      <c r="Y15" s="31" t="n">
        <v>11.82</v>
      </c>
      <c r="Z15" s="31" t="n">
        <v>17.82</v>
      </c>
      <c r="AA15" s="31" t="n">
        <v>5.36</v>
      </c>
      <c r="AB15" s="31" t="n">
        <v>18.9</v>
      </c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Yes</t>
        </is>
      </c>
      <c r="AH15" s="30">
        <f>IF(AG15="No",5,0)</f>
        <v/>
      </c>
      <c r="AI15" s="30" t="inlineStr">
        <is>
          <t>Tailwind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Yes</t>
        </is>
      </c>
      <c r="AV15" s="30">
        <f>IF(AU15="Yes",10,0)</f>
        <v/>
      </c>
      <c r="AW15" s="30" t="inlineStr">
        <is>
          <t>Higher Annuity, Lower One Time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20 to 40</t>
        </is>
      </c>
      <c r="BD15" s="30">
        <f>IF(BC15="Above 40",20,IF(BC15="20 to 40",10,IF(BC15="0 to 20",-5,0)))</f>
        <v/>
      </c>
      <c r="BE15" s="30" t="inlineStr">
        <is>
          <t>Above 75</t>
        </is>
      </c>
      <c r="BF15" s="30">
        <f>IF(BE15="Between 50 to 75",10,IF(BE15="Above 75",0,0))</f>
        <v/>
      </c>
      <c r="BG15" s="30" t="inlineStr">
        <is>
          <t>Stage 2</t>
        </is>
      </c>
      <c r="BH15" s="30">
        <f>IF(BG15="Stage 2",20,IF(BG15="Stage 1",0,IF(BG15="Stage 3",5,IF(BG15="Stage 4",-5,0))))</f>
        <v/>
      </c>
      <c r="BI15" s="30" t="inlineStr">
        <is>
          <t>Positive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Blue sky scenario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More than 20%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Yes</t>
        </is>
      </c>
      <c r="BX15" s="30">
        <f>IF(BW15="NO",5,0)</f>
        <v/>
      </c>
      <c r="BY15" s="30" t="inlineStr">
        <is>
          <t>Above 2</t>
        </is>
      </c>
      <c r="BZ15" s="30">
        <f>IF(BY15="Above 2",0,IF(BY15="Between 1.5 to 2",5,IF(BY15="Less than 1.5",10,0)))</f>
        <v/>
      </c>
      <c r="CA15" s="30" t="inlineStr">
        <is>
          <t>Above 70%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Less than 0.7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IF(B16=0,"",RANK(B16,$B$2:$B$22,0))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140</v>
      </c>
      <c r="E16" s="31" t="inlineStr">
        <is>
          <t>5%</t>
        </is>
      </c>
      <c r="F16" s="31" t="n">
        <v>50000</v>
      </c>
      <c r="G16" s="31" t="n">
        <v>52</v>
      </c>
      <c r="H16" s="30" t="inlineStr">
        <is>
          <t>IDEAFORGE</t>
        </is>
      </c>
      <c r="I16" s="30" t="inlineStr">
        <is>
          <t>Ideaforge Technology Ltd</t>
        </is>
      </c>
      <c r="J16" s="30" t="inlineStr">
        <is>
          <t>aerospace &amp; defence</t>
        </is>
      </c>
      <c r="K16" s="30" t="inlineStr">
        <is>
          <t>engineering</t>
        </is>
      </c>
      <c r="L16" s="30" t="inlineStr">
        <is>
          <t>smallcap</t>
        </is>
      </c>
      <c r="M16" s="31" t="n">
        <v>3894.83</v>
      </c>
      <c r="N16" s="31" t="n">
        <v>945</v>
      </c>
      <c r="O16" s="31" t="n">
        <v>5</v>
      </c>
      <c r="P16" s="31" t="n">
        <v>221612</v>
      </c>
      <c r="Q16" s="30" t="n">
        <v>92</v>
      </c>
      <c r="R16" s="30" t="inlineStr">
        <is>
          <t>Outperforming</t>
        </is>
      </c>
      <c r="S16" s="31">
        <f>IF(R16="Underperforming",-5,IF(Q16&gt;=95,15,IF(Q16&gt;=90,10,IF(Q16&gt;=80,5,0))))</f>
        <v/>
      </c>
      <c r="T16" s="31" t="n">
        <v>80.69</v>
      </c>
      <c r="U16" s="31" t="n">
        <v>37.87</v>
      </c>
      <c r="V16" s="31" t="n">
        <v>682.3</v>
      </c>
      <c r="W16" s="30" t="inlineStr">
        <is>
          <t>Near 52W High Breakout</t>
        </is>
      </c>
      <c r="X16" s="30" t="inlineStr">
        <is>
          <t>Nifty Infra</t>
        </is>
      </c>
      <c r="Y16" s="31" t="n">
        <v>1.11</v>
      </c>
      <c r="Z16" s="31" t="n">
        <v>59.8</v>
      </c>
      <c r="AA16" s="31" t="n">
        <v>58.04</v>
      </c>
      <c r="AB16" s="31" t="n">
        <v>40.21</v>
      </c>
      <c r="AC16" s="30" t="inlineStr">
        <is>
          <t>Growing Industry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No</t>
        </is>
      </c>
      <c r="AH16" s="30">
        <f>IF(AG16="No",5,0)</f>
        <v/>
      </c>
      <c r="AI16" s="30" t="inlineStr">
        <is>
          <t>Tailwind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Yes</t>
        </is>
      </c>
      <c r="AV16" s="30">
        <f>IF(AU16="Yes",10,0)</f>
        <v/>
      </c>
      <c r="AW16" s="30" t="inlineStr">
        <is>
          <t>Higher One Time, Lower Annuity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20 to 40</t>
        </is>
      </c>
      <c r="BD16" s="30">
        <f>IF(BC16="Above 40",20,IF(BC16="20 to 40",10,IF(BC16="0 to 20",-5,0)))</f>
        <v/>
      </c>
      <c r="BE16" s="30" t="inlineStr">
        <is>
          <t>Above 75</t>
        </is>
      </c>
      <c r="BF16" s="30">
        <f>IF(BE16="Between 50 to 75",10,IF(BE16="Above 75",0,0))</f>
        <v/>
      </c>
      <c r="BG16" s="30" t="inlineStr">
        <is>
          <t>Stage 2</t>
        </is>
      </c>
      <c r="BH16" s="30">
        <f>IF(BG16="Stage 2",20,IF(BG16="Stage 1",0,IF(BG16="Stage 3",5,IF(BG16="Stage 4",-5,0))))</f>
        <v/>
      </c>
      <c r="BI16" s="30" t="inlineStr">
        <is>
          <t>Positive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Blue sky scenario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More than 20%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No</t>
        </is>
      </c>
      <c r="BX16" s="30">
        <f>IF(BW16="NO",5,0)</f>
        <v/>
      </c>
      <c r="BY16" s="30" t="inlineStr">
        <is>
          <t>Above 2</t>
        </is>
      </c>
      <c r="BZ16" s="30">
        <f>IF(BY16="Above 2",0,IF(BY16="Between 1.5 to 2",5,IF(BY16="Less than 1.5",10,0)))</f>
        <v/>
      </c>
      <c r="CA16" s="30" t="inlineStr">
        <is>
          <t>Negative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Less than 0.7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IF(B17=0,"",RANK(B17,$B$2:$B$22,0))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139.3</v>
      </c>
      <c r="E17" s="31" t="inlineStr">
        <is>
          <t>5%</t>
        </is>
      </c>
      <c r="F17" s="31" t="n">
        <v>50000</v>
      </c>
      <c r="G17" s="31" t="n">
        <v>22</v>
      </c>
      <c r="H17" s="30" t="inlineStr">
        <is>
          <t>RRKABEL</t>
        </is>
      </c>
      <c r="I17" s="30" t="inlineStr">
        <is>
          <t>R R Kabel Ltd</t>
        </is>
      </c>
      <c r="J17" s="30" t="inlineStr">
        <is>
          <t>industrials</t>
        </is>
      </c>
      <c r="K17" s="30" t="inlineStr">
        <is>
          <t>cables - power</t>
        </is>
      </c>
      <c r="L17" s="30" t="inlineStr">
        <is>
          <t>largecap</t>
        </is>
      </c>
      <c r="M17" s="31" t="n">
        <v>25143.35</v>
      </c>
      <c r="N17" s="31" t="n">
        <v>2223.4</v>
      </c>
      <c r="O17" s="31" t="n">
        <v>0.02</v>
      </c>
      <c r="P17" s="31" t="n">
        <v>564015</v>
      </c>
      <c r="Q17" s="30" t="n">
        <v>71</v>
      </c>
      <c r="R17" s="30" t="inlineStr">
        <is>
          <t>Outperforming</t>
        </is>
      </c>
      <c r="S17" s="31">
        <f>IF(R17="Underperforming",-5,IF(Q17&gt;=95,15,IF(Q17&gt;=90,10,IF(Q17&gt;=80,5,0))))</f>
        <v/>
      </c>
      <c r="T17" s="31" t="n">
        <v>78.59</v>
      </c>
      <c r="U17" s="31" t="n">
        <v>32.21</v>
      </c>
      <c r="V17" s="31" t="n">
        <v>1758.31</v>
      </c>
      <c r="W17" s="30" t="inlineStr">
        <is>
          <t>Near 52W High Breakout</t>
        </is>
      </c>
      <c r="X17" s="30" t="inlineStr">
        <is>
          <t>Nifty Energy</t>
        </is>
      </c>
      <c r="Y17" s="31" t="n">
        <v>12.31</v>
      </c>
      <c r="Z17" s="31" t="n">
        <v>58.13</v>
      </c>
      <c r="AA17" s="31" t="n">
        <v>40.8</v>
      </c>
      <c r="AB17" s="31" t="n">
        <v>20.39</v>
      </c>
      <c r="AC17" s="30" t="inlineStr">
        <is>
          <t>Cyclical in an Upturn</t>
        </is>
      </c>
      <c r="AD17" s="30">
        <f>IF(AC17="Growing Industry",10,IF(AC17="Cyclical in an Upturn",5,0))</f>
        <v/>
      </c>
      <c r="AE17" s="30" t="inlineStr">
        <is>
          <t>Too Many Players with High ROCE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No</t>
        </is>
      </c>
      <c r="AH17" s="30">
        <f>IF(AG17="No",5,0)</f>
        <v/>
      </c>
      <c r="AI17" s="30" t="inlineStr">
        <is>
          <t>Tailwind</t>
        </is>
      </c>
      <c r="AJ17" s="30">
        <f>IF(AI17="Tailwind",10,0)</f>
        <v/>
      </c>
      <c r="AK17" s="30" t="inlineStr">
        <is>
          <t>Structural (10 Years Consistency)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Stable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Yes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20 to 40</t>
        </is>
      </c>
      <c r="BD17" s="30">
        <f>IF(BC17="Above 40",20,IF(BC17="20 to 40",10,IF(BC17="0 to 20",-5,0)))</f>
        <v/>
      </c>
      <c r="BE17" s="30" t="inlineStr">
        <is>
          <t>Above 75</t>
        </is>
      </c>
      <c r="BF17" s="30">
        <f>IF(BE17="Between 50 to 75",10,IF(BE17="Above 75",0,0))</f>
        <v/>
      </c>
      <c r="BG17" s="30" t="inlineStr">
        <is>
          <t>Stage 2</t>
        </is>
      </c>
      <c r="BH17" s="30">
        <f>IF(BG17="Stage 2",20,IF(BG17="Stage 1",0,IF(BG17="Stage 3",5,IF(BG17="Stage 4",-5,0))))</f>
        <v/>
      </c>
      <c r="BI17" s="30" t="inlineStr">
        <is>
          <t>Positive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Blue sky scenario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More than 20%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Yes</t>
        </is>
      </c>
      <c r="BX17" s="30">
        <f>IF(BW17="NO",5,0)</f>
        <v/>
      </c>
      <c r="BY17" s="30" t="inlineStr">
        <is>
          <t>Between 1.5 to 2</t>
        </is>
      </c>
      <c r="BZ17" s="30">
        <f>IF(BY17="Above 2",0,IF(BY17="Between 1.5 to 2",5,IF(BY17="Less than 1.5",10,0)))</f>
        <v/>
      </c>
      <c r="CA17" s="30" t="inlineStr">
        <is>
          <t>Less than 50%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Less than 0.7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IF(B18=0,"",RANK(B18,$B$2:$B$22,0))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137.9</v>
      </c>
      <c r="E18" s="31" t="inlineStr">
        <is>
          <t>5%</t>
        </is>
      </c>
      <c r="F18" s="31" t="n">
        <v>50000</v>
      </c>
      <c r="G18" s="31" t="n">
        <v>3</v>
      </c>
      <c r="H18" s="30" t="inlineStr">
        <is>
          <t>APARINDS</t>
        </is>
      </c>
      <c r="I18" s="30" t="inlineStr">
        <is>
          <t>Apar Industries Limited</t>
        </is>
      </c>
      <c r="J18" s="30" t="inlineStr">
        <is>
          <t>industrials</t>
        </is>
      </c>
      <c r="K18" s="30" t="inlineStr">
        <is>
          <t>electric equipment</t>
        </is>
      </c>
      <c r="L18" s="30" t="inlineStr">
        <is>
          <t>largecap</t>
        </is>
      </c>
      <c r="M18" s="31" t="n">
        <v>55066.74</v>
      </c>
      <c r="N18" s="31" t="n">
        <v>13878</v>
      </c>
      <c r="O18" s="31" t="n">
        <v>1.23</v>
      </c>
      <c r="P18" s="31" t="n">
        <v>100710</v>
      </c>
      <c r="Q18" s="30" t="n">
        <v>68</v>
      </c>
      <c r="R18" s="30" t="inlineStr">
        <is>
          <t>Outperforming</t>
        </is>
      </c>
      <c r="S18" s="31">
        <f>IF(R18="Underperforming",-5,IF(Q18&gt;=95,15,IF(Q18&gt;=90,10,IF(Q18&gt;=80,5,0))))</f>
        <v/>
      </c>
      <c r="T18" s="31" t="n">
        <v>72.16</v>
      </c>
      <c r="U18" s="31" t="n">
        <v>37.25</v>
      </c>
      <c r="V18" s="31" t="n">
        <v>10681.09</v>
      </c>
      <c r="W18" s="30" t="inlineStr">
        <is>
          <t>Near 52W High Breakout</t>
        </is>
      </c>
      <c r="X18" s="30" t="inlineStr">
        <is>
          <t>Nifty 50</t>
        </is>
      </c>
      <c r="Y18" s="31" t="n">
        <v>-6.54</v>
      </c>
      <c r="Z18" s="31" t="n">
        <v>72.26000000000001</v>
      </c>
      <c r="AA18" s="31" t="n">
        <v>84.33</v>
      </c>
      <c r="AB18" s="31" t="n">
        <v>18.96</v>
      </c>
      <c r="AC18" s="30" t="inlineStr">
        <is>
          <t>Cyclical in an Upturn</t>
        </is>
      </c>
      <c r="AD18" s="30">
        <f>IF(AC18="Growing Industry",10,IF(AC18="Cyclical in an Upturn",5,0))</f>
        <v/>
      </c>
      <c r="AE18" s="30" t="inlineStr">
        <is>
          <t>Too Many Players with High ROCE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No</t>
        </is>
      </c>
      <c r="AH18" s="30">
        <f>IF(AG18="No",5,0)</f>
        <v/>
      </c>
      <c r="AI18" s="30" t="inlineStr">
        <is>
          <t>Tailwind</t>
        </is>
      </c>
      <c r="AJ18" s="30">
        <f>IF(AI18="Tailwind",10,0)</f>
        <v/>
      </c>
      <c r="AK18" s="30" t="inlineStr">
        <is>
          <t>Structural (10 Years Consistency)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Stable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Yes</t>
        </is>
      </c>
      <c r="AV18" s="30">
        <f>IF(AU18="Yes",10,0)</f>
        <v/>
      </c>
      <c r="AW18" s="30" t="inlineStr">
        <is>
          <t>Higher One Time, Lower Annuity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20 to 40</t>
        </is>
      </c>
      <c r="BD18" s="30">
        <f>IF(BC18="Above 40",20,IF(BC18="20 to 40",10,IF(BC18="0 to 20",-5,0)))</f>
        <v/>
      </c>
      <c r="BE18" s="30" t="inlineStr">
        <is>
          <t>Between 50 to 75</t>
        </is>
      </c>
      <c r="BF18" s="30">
        <f>IF(BE18="Between 50 to 75",10,IF(BE18="Above 75",0,0))</f>
        <v/>
      </c>
      <c r="BG18" s="30" t="inlineStr">
        <is>
          <t>Stage 2</t>
        </is>
      </c>
      <c r="BH18" s="30">
        <f>IF(BG18="Stage 2",20,IF(BG18="Stage 1",0,IF(BG18="Stage 3",5,IF(BG18="Stage 4",-5,0))))</f>
        <v/>
      </c>
      <c r="BI18" s="30" t="inlineStr">
        <is>
          <t>Positive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Blue sky scenario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Less than 12%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Yes</t>
        </is>
      </c>
      <c r="BX18" s="30">
        <f>IF(BW18="NO",5,0)</f>
        <v/>
      </c>
      <c r="BY18" s="30" t="inlineStr">
        <is>
          <t>Above 2</t>
        </is>
      </c>
      <c r="BZ18" s="30">
        <f>IF(BY18="Above 2",0,IF(BY18="Between 1.5 to 2",5,IF(BY18="Less than 1.5",10,0)))</f>
        <v/>
      </c>
      <c r="CA18" s="30" t="inlineStr">
        <is>
          <t>Between 50% to 70%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Less than 0.7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  <row r="19">
      <c r="A19" s="30">
        <f>IF(B19=0,"",RANK(B19,$B$2:$B$22,0))</f>
        <v/>
      </c>
      <c r="B19" s="31">
        <f>SUM(S19,AD19,AF19,AH19,AJ19,AL19,AN19,AP19,AR19,AT19,AV19,AX19,AZ19,BB19,BD19,BF19,BH19,BJ19,BL19,BN19,BP19,BR19,BT19,BV19,BX19,BZ19,CB19,CD19,CF19,CH19,CJ19)</f>
        <v/>
      </c>
      <c r="C19" s="30" t="inlineStr">
        <is>
          <t>52W Breakout</t>
        </is>
      </c>
      <c r="D19" s="31" t="n">
        <v>137.9</v>
      </c>
      <c r="E19" s="31" t="inlineStr">
        <is>
          <t>5%</t>
        </is>
      </c>
      <c r="F19" s="31" t="n">
        <v>50000</v>
      </c>
      <c r="G19" s="31" t="n">
        <v>147</v>
      </c>
      <c r="H19" s="30" t="inlineStr">
        <is>
          <t>RUBYMILLS</t>
        </is>
      </c>
      <c r="I19" s="30" t="inlineStr">
        <is>
          <t>The Ruby Mills Limited</t>
        </is>
      </c>
      <c r="J19" s="30" t="inlineStr">
        <is>
          <t>textiles</t>
        </is>
      </c>
      <c r="K19" s="30" t="inlineStr">
        <is>
          <t>textiles - composite</t>
        </is>
      </c>
      <c r="L19" s="30" t="inlineStr">
        <is>
          <t>smallcap</t>
        </is>
      </c>
      <c r="M19" s="31" t="n">
        <v>1124.25</v>
      </c>
      <c r="N19" s="31" t="n">
        <v>337.85</v>
      </c>
      <c r="O19" s="31" t="n">
        <v>0.49</v>
      </c>
      <c r="P19" s="31" t="n">
        <v>127037</v>
      </c>
      <c r="Q19" s="30" t="n">
        <v>75</v>
      </c>
      <c r="R19" s="30" t="inlineStr">
        <is>
          <t>Outperforming</t>
        </is>
      </c>
      <c r="S19" s="31">
        <f>IF(R19="Underperforming",-5,IF(Q19&gt;=95,15,IF(Q19&gt;=90,10,IF(Q19&gt;=80,5,0))))</f>
        <v/>
      </c>
      <c r="T19" s="31" t="n">
        <v>76.73999999999999</v>
      </c>
      <c r="U19" s="31" t="n">
        <v>34.89</v>
      </c>
      <c r="V19" s="31" t="n">
        <v>254.42</v>
      </c>
      <c r="W19" s="30" t="inlineStr">
        <is>
          <t>Volume Spike &amp; Near 52W High Breakout</t>
        </is>
      </c>
      <c r="X19" s="30" t="inlineStr">
        <is>
          <t>Nifty 50</t>
        </is>
      </c>
      <c r="Y19" s="31" t="n">
        <v>-6.54</v>
      </c>
      <c r="Z19" s="31" t="n">
        <v>56.28</v>
      </c>
      <c r="AA19" s="31" t="n">
        <v>67.22</v>
      </c>
      <c r="AB19" s="31" t="n">
        <v>22.85</v>
      </c>
      <c r="AC19" s="30" t="inlineStr">
        <is>
          <t>Growing Industry</t>
        </is>
      </c>
      <c r="AD19" s="30">
        <f>IF(AC19="Growing Industry",10,IF(AC19="Cyclical in an Upturn",5,0))</f>
        <v/>
      </c>
      <c r="AE19" s="30" t="inlineStr">
        <is>
          <t>Too Many Players with High ROCE</t>
        </is>
      </c>
      <c r="AF19" s="30">
        <f>IF(AE19="Monopoly",10,IF(AE19="Oligopoly",5,IF(AE19="Duopoly that cooperate",10,IF(AE19="Duopoly that compete",5,IF(AE19="Too many players with High ROCE",5,0)))))</f>
        <v/>
      </c>
      <c r="AG19" s="30" t="inlineStr">
        <is>
          <t>No</t>
        </is>
      </c>
      <c r="AH19" s="30">
        <f>IF(AG19="No",5,0)</f>
        <v/>
      </c>
      <c r="AI19" s="30" t="inlineStr">
        <is>
          <t>Tailwind</t>
        </is>
      </c>
      <c r="AJ19" s="30">
        <f>IF(AI19="Tailwind",10,0)</f>
        <v/>
      </c>
      <c r="AK19" s="30" t="inlineStr">
        <is>
          <t>Structural (10 Years Consistency)</t>
        </is>
      </c>
      <c r="AL19" s="30">
        <f>IF(AK19="Structural (10 Years Consistency)",10,IF(AK19="Shallow Cyclical (2 to 3 years growth)",5,0))</f>
        <v/>
      </c>
      <c r="AM19" s="30" t="inlineStr">
        <is>
          <t>No</t>
        </is>
      </c>
      <c r="AN19" s="30">
        <f>IF(AM19="Yes due to Product Mix change or Operating Leverage",10,IF(AM19="Yes, these are peak margins",-5,IF(AM19="No",5,0)))</f>
        <v/>
      </c>
      <c r="AO19" s="30" t="inlineStr">
        <is>
          <t>Stable</t>
        </is>
      </c>
      <c r="AP19" s="30">
        <f>IF(AO19="Stable",10,0)</f>
        <v/>
      </c>
      <c r="AQ19" s="30" t="inlineStr">
        <is>
          <t>Yes</t>
        </is>
      </c>
      <c r="AR19" s="30">
        <f>IF(AQ19="Yes",10,0)</f>
        <v/>
      </c>
      <c r="AS19" s="30" t="inlineStr">
        <is>
          <t>B2B</t>
        </is>
      </c>
      <c r="AT19" s="30">
        <f>IF(AS19="B2C",10,IF(AS19="B2B",5,0))</f>
        <v/>
      </c>
      <c r="AU19" s="30" t="inlineStr">
        <is>
          <t>Yes</t>
        </is>
      </c>
      <c r="AV19" s="30">
        <f>IF(AU19="Yes",10,0)</f>
        <v/>
      </c>
      <c r="AW19" s="30" t="inlineStr">
        <is>
          <t>Higher One Time, Lower Annuity</t>
        </is>
      </c>
      <c r="AX19" s="30">
        <f>IF(AW19="Fully Annuity",10,IF(AW19="Higher Annuity, Lower One Time",5,IF(AW19="Higher One Time, Lower Annuity",3,0)))</f>
        <v/>
      </c>
      <c r="AY19" s="30" t="inlineStr">
        <is>
          <t>Good</t>
        </is>
      </c>
      <c r="AZ19" s="30">
        <f>IF(AY19="Good",10,0)</f>
        <v/>
      </c>
      <c r="BA19" s="30" t="inlineStr">
        <is>
          <t>Yes for more than 2 years</t>
        </is>
      </c>
      <c r="BB19" s="30">
        <f>IF(BA19="Yes for more than 2 years",10,IF(BA19="Yes only for next 1 to 2 years",5,0))</f>
        <v/>
      </c>
      <c r="BC19" s="30" t="inlineStr">
        <is>
          <t>20 to 40</t>
        </is>
      </c>
      <c r="BD19" s="30">
        <f>IF(BC19="Above 40",20,IF(BC19="20 to 40",10,IF(BC19="0 to 20",-5,0)))</f>
        <v/>
      </c>
      <c r="BE19" s="30" t="inlineStr">
        <is>
          <t>Above 75</t>
        </is>
      </c>
      <c r="BF19" s="30">
        <f>IF(BE19="Between 50 to 75",10,IF(BE19="Above 75",0,0))</f>
        <v/>
      </c>
      <c r="BG19" s="30" t="inlineStr">
        <is>
          <t>Stage 2</t>
        </is>
      </c>
      <c r="BH19" s="30">
        <f>IF(BG19="Stage 2",20,IF(BG19="Stage 1",0,IF(BG19="Stage 3",5,IF(BG19="Stage 4",-5,0))))</f>
        <v/>
      </c>
      <c r="BI19" s="30" t="inlineStr">
        <is>
          <t>Positive Trend</t>
        </is>
      </c>
      <c r="BJ19" s="30">
        <f>IF(BI19="Positive Trend",20,IF(BI19="Negative Trend",-10,0))</f>
        <v/>
      </c>
      <c r="BK19" s="30" t="inlineStr">
        <is>
          <t>Uptrend</t>
        </is>
      </c>
      <c r="BL19" s="30">
        <f>IF(BK19="Uptrend",10,IF(BK19="Sideways",5,0))</f>
        <v/>
      </c>
      <c r="BM19" s="30" t="inlineStr">
        <is>
          <t>Uptrend</t>
        </is>
      </c>
      <c r="BN19" s="30">
        <f>IF(BM19="Uptrend",10,IF(BM19="Sideways",5,0))</f>
        <v/>
      </c>
      <c r="BO19" s="30" t="inlineStr">
        <is>
          <t>Blue sky scenario</t>
        </is>
      </c>
      <c r="BP19" s="30">
        <f>IF(BO19="Overhead supply in last 2 years in last 2 years",-5,IF(BO19="Close to 52 week high or retracement",5,IF(BO19="Blue sky scenario",10,IF(BO19="Long term Downtrend",-10,0))))</f>
        <v/>
      </c>
      <c r="BQ19" s="30" t="inlineStr">
        <is>
          <t>Yes</t>
        </is>
      </c>
      <c r="BR19" s="30">
        <f>IF(BQ19="Yes",10,0)</f>
        <v/>
      </c>
      <c r="BS19" s="30" t="inlineStr">
        <is>
          <t>Less than 12%</t>
        </is>
      </c>
      <c r="BT19" s="30">
        <f>IF(BS19="More than 20%",10,IF(BS19="Between 12 to 20%",5,IF(BS19="Less than 12%",0,0)))</f>
        <v/>
      </c>
      <c r="BU19" s="30" t="inlineStr">
        <is>
          <t>No</t>
        </is>
      </c>
      <c r="BV19" s="30">
        <f>IF(BU19="No",10,0)</f>
        <v/>
      </c>
      <c r="BW19" s="30" t="inlineStr">
        <is>
          <t>No</t>
        </is>
      </c>
      <c r="BX19" s="30">
        <f>IF(BW19="NO",5,0)</f>
        <v/>
      </c>
      <c r="BY19" s="30" t="inlineStr">
        <is>
          <t>Above 2</t>
        </is>
      </c>
      <c r="BZ19" s="30">
        <f>IF(BY19="Above 2",0,IF(BY19="Between 1.5 to 2",5,IF(BY19="Less than 1.5",10,0)))</f>
        <v/>
      </c>
      <c r="CA19" s="30" t="inlineStr">
        <is>
          <t>Between 50% to 70%</t>
        </is>
      </c>
      <c r="CB19" s="30">
        <f>IF(CA19="Above 70%",10,IF(CA19="Between 50% to 70%",5,IF(CA19="Less than 50%",0,IF(CA19="Negative",-10,IF(CA19="Less than 50% and Borrowings are increasing",-5,0)))))</f>
        <v/>
      </c>
      <c r="CC19" s="30" t="inlineStr">
        <is>
          <t>Less than 0.7</t>
        </is>
      </c>
      <c r="CD19" s="30">
        <f>IF(CC19="More than 1.2",-10,IF(CC19="Between 0.7 to 1.2",0,IF(CC19="Less than 0.7",10,0)))</f>
        <v/>
      </c>
      <c r="CE19" s="30" t="inlineStr">
        <is>
          <t>No</t>
        </is>
      </c>
      <c r="CF19" s="30">
        <f>IF(CE19="Yes",-10,0)</f>
        <v/>
      </c>
      <c r="CG19" s="30" t="inlineStr">
        <is>
          <t>Less than 15%</t>
        </is>
      </c>
      <c r="CH19" s="30">
        <f>IF(CG19="More than 15%",-10,IF(CG19="Less than 15%",10,0))</f>
        <v/>
      </c>
      <c r="CI19" s="30" t="inlineStr">
        <is>
          <t>No</t>
        </is>
      </c>
      <c r="CJ19" s="30">
        <f>IF(CI19="Yes, more than 10%",-10,IF(CI19="No",10,0))</f>
        <v/>
      </c>
    </row>
    <row r="20">
      <c r="A20" s="30">
        <f>IF(B20=0,"",RANK(B20,$B$2:$B$22,0))</f>
        <v/>
      </c>
      <c r="B20" s="31">
        <f>SUM(S20,AD20,AF20,AH20,AJ20,AL20,AN20,AP20,AR20,AT20,AV20,AX20,AZ20,BB20,BD20,BF20,BH20,BJ20,BL20,BN20,BP20,BR20,BT20,BV20,BX20,BZ20,CB20,CD20,CF20,CH20,CJ20)</f>
        <v/>
      </c>
      <c r="C20" s="30" t="inlineStr">
        <is>
          <t>52W Breakout</t>
        </is>
      </c>
      <c r="D20" s="31" t="n">
        <v>139.2</v>
      </c>
      <c r="E20" s="31" t="inlineStr">
        <is>
          <t>5%</t>
        </is>
      </c>
      <c r="F20" s="31" t="n">
        <v>50000</v>
      </c>
      <c r="G20" s="31" t="n">
        <v>31</v>
      </c>
      <c r="H20" s="30" t="inlineStr">
        <is>
          <t>ADANIENSOL</t>
        </is>
      </c>
      <c r="I20" s="30" t="inlineStr">
        <is>
          <t>Adani Energy Solutions Ltd</t>
        </is>
      </c>
      <c r="J20" s="30" t="inlineStr">
        <is>
          <t>power &amp; utilities</t>
        </is>
      </c>
      <c r="K20" s="30" t="inlineStr">
        <is>
          <t>power generation and supply</t>
        </is>
      </c>
      <c r="L20" s="30" t="inlineStr">
        <is>
          <t>largecap</t>
        </is>
      </c>
      <c r="M20" s="31" t="n">
        <v>182594.96</v>
      </c>
      <c r="N20" s="31" t="n">
        <v>1579</v>
      </c>
      <c r="O20" s="31" t="n">
        <v>3.88</v>
      </c>
      <c r="P20" s="31" t="n">
        <v>5528998</v>
      </c>
      <c r="Q20" s="30" t="n">
        <v>82</v>
      </c>
      <c r="R20" s="30" t="inlineStr">
        <is>
          <t>Outperforming</t>
        </is>
      </c>
      <c r="S20" s="31">
        <f>IF(R20="Underperforming",-5,IF(Q20&gt;=95,15,IF(Q20&gt;=90,10,IF(Q20&gt;=80,5,0))))</f>
        <v/>
      </c>
      <c r="T20" s="31" t="n">
        <v>75.11</v>
      </c>
      <c r="U20" s="31" t="n">
        <v>30.8</v>
      </c>
      <c r="V20" s="31" t="n">
        <v>1228.19</v>
      </c>
      <c r="W20" s="30" t="inlineStr">
        <is>
          <t>Near 52W High Breakout</t>
        </is>
      </c>
      <c r="X20" s="30" t="inlineStr">
        <is>
          <t>Nifty IT</t>
        </is>
      </c>
      <c r="Y20" s="31" t="n">
        <v>-22.21</v>
      </c>
      <c r="Z20" s="31" t="n">
        <v>78.59999999999999</v>
      </c>
      <c r="AA20" s="31" t="n">
        <v>129.6</v>
      </c>
      <c r="AB20" s="31" t="n">
        <v>26.91</v>
      </c>
      <c r="AC20" s="30" t="inlineStr">
        <is>
          <t>Growing Industry</t>
        </is>
      </c>
      <c r="AD20" s="30">
        <f>IF(AC20="Growing Industry",10,IF(AC20="Cyclical in an Upturn",5,0))</f>
        <v/>
      </c>
      <c r="AE20" s="30" t="inlineStr">
        <is>
          <t>Too Many Players with High ROCE</t>
        </is>
      </c>
      <c r="AF20" s="30">
        <f>IF(AE20="Monopoly",10,IF(AE20="Oligopoly",5,IF(AE20="Duopoly that cooperate",10,IF(AE20="Duopoly that compete",5,IF(AE20="Too many players with High ROCE",5,0)))))</f>
        <v/>
      </c>
      <c r="AG20" s="30" t="inlineStr">
        <is>
          <t>No</t>
        </is>
      </c>
      <c r="AH20" s="30">
        <f>IF(AG20="No",5,0)</f>
        <v/>
      </c>
      <c r="AI20" s="30" t="inlineStr">
        <is>
          <t>Tailwind</t>
        </is>
      </c>
      <c r="AJ20" s="30">
        <f>IF(AI20="Tailwind",10,0)</f>
        <v/>
      </c>
      <c r="AK20" s="30" t="inlineStr">
        <is>
          <t>Structural (10 Years Consistency)</t>
        </is>
      </c>
      <c r="AL20" s="30">
        <f>IF(AK20="Structural (10 Years Consistency)",10,IF(AK20="Shallow Cyclical (2 to 3 years growth)",5,0))</f>
        <v/>
      </c>
      <c r="AM20" s="30" t="inlineStr">
        <is>
          <t>No</t>
        </is>
      </c>
      <c r="AN20" s="30">
        <f>IF(AM20="Yes due to Product Mix change or Operating Leverage",10,IF(AM20="Yes, these are peak margins",-5,IF(AM20="No",5,0)))</f>
        <v/>
      </c>
      <c r="AO20" s="30" t="inlineStr">
        <is>
          <t>Stable</t>
        </is>
      </c>
      <c r="AP20" s="30">
        <f>IF(AO20="Stable",10,0)</f>
        <v/>
      </c>
      <c r="AQ20" s="30" t="inlineStr">
        <is>
          <t>Yes</t>
        </is>
      </c>
      <c r="AR20" s="30">
        <f>IF(AQ20="Yes",10,0)</f>
        <v/>
      </c>
      <c r="AS20" s="30" t="inlineStr">
        <is>
          <t>B2B</t>
        </is>
      </c>
      <c r="AT20" s="30">
        <f>IF(AS20="B2C",10,IF(AS20="B2B",5,0))</f>
        <v/>
      </c>
      <c r="AU20" s="30" t="inlineStr">
        <is>
          <t>Yes</t>
        </is>
      </c>
      <c r="AV20" s="30">
        <f>IF(AU20="Yes",10,0)</f>
        <v/>
      </c>
      <c r="AW20" s="30" t="inlineStr">
        <is>
          <t>Higher One Time, Lower Annuity</t>
        </is>
      </c>
      <c r="AX20" s="30">
        <f>IF(AW20="Fully Annuity",10,IF(AW20="Higher Annuity, Lower One Time",5,IF(AW20="Higher One Time, Lower Annuity",3,0)))</f>
        <v/>
      </c>
      <c r="AY20" s="30" t="inlineStr">
        <is>
          <t>Good</t>
        </is>
      </c>
      <c r="AZ20" s="30">
        <f>IF(AY20="Good",10,0)</f>
        <v/>
      </c>
      <c r="BA20" s="30" t="inlineStr">
        <is>
          <t>Yes for more than 2 years</t>
        </is>
      </c>
      <c r="BB20" s="30">
        <f>IF(BA20="Yes for more than 2 years",10,IF(BA20="Yes only for next 1 to 2 years",5,0))</f>
        <v/>
      </c>
      <c r="BC20" s="30" t="inlineStr">
        <is>
          <t>20 to 40</t>
        </is>
      </c>
      <c r="BD20" s="30">
        <f>IF(BC20="Above 40",20,IF(BC20="20 to 40",10,IF(BC20="0 to 20",-5,0)))</f>
        <v/>
      </c>
      <c r="BE20" s="30" t="inlineStr">
        <is>
          <t>Above 75</t>
        </is>
      </c>
      <c r="BF20" s="30">
        <f>IF(BE20="Between 50 to 75",10,IF(BE20="Above 75",0,0))</f>
        <v/>
      </c>
      <c r="BG20" s="30" t="inlineStr">
        <is>
          <t>Stage 2</t>
        </is>
      </c>
      <c r="BH20" s="30">
        <f>IF(BG20="Stage 2",20,IF(BG20="Stage 1",0,IF(BG20="Stage 3",5,IF(BG20="Stage 4",-5,0))))</f>
        <v/>
      </c>
      <c r="BI20" s="30" t="inlineStr">
        <is>
          <t>Positive Trend</t>
        </is>
      </c>
      <c r="BJ20" s="30">
        <f>IF(BI20="Positive Trend",20,IF(BI20="Negative Trend",-10,0))</f>
        <v/>
      </c>
      <c r="BK20" s="30" t="inlineStr">
        <is>
          <t>Uptrend</t>
        </is>
      </c>
      <c r="BL20" s="30">
        <f>IF(BK20="Uptrend",10,IF(BK20="Sideways",5,0))</f>
        <v/>
      </c>
      <c r="BM20" s="30" t="inlineStr">
        <is>
          <t>Uptrend</t>
        </is>
      </c>
      <c r="BN20" s="30">
        <f>IF(BM20="Uptrend",10,IF(BM20="Sideways",5,0))</f>
        <v/>
      </c>
      <c r="BO20" s="30" t="inlineStr">
        <is>
          <t>Blue sky scenario</t>
        </is>
      </c>
      <c r="BP20" s="30">
        <f>IF(BO20="Overhead supply in last 2 years in last 2 years",-5,IF(BO20="Close to 52 week high or retracement",5,IF(BO20="Blue sky scenario",10,IF(BO20="Long term Downtrend",-10,0))))</f>
        <v/>
      </c>
      <c r="BQ20" s="30" t="inlineStr">
        <is>
          <t>Yes</t>
        </is>
      </c>
      <c r="BR20" s="30">
        <f>IF(BQ20="Yes",10,0)</f>
        <v/>
      </c>
      <c r="BS20" s="30" t="inlineStr">
        <is>
          <t>Less than 12%</t>
        </is>
      </c>
      <c r="BT20" s="30">
        <f>IF(BS20="More than 20%",10,IF(BS20="Between 12 to 20%",5,IF(BS20="Less than 12%",0,0)))</f>
        <v/>
      </c>
      <c r="BU20" s="30" t="inlineStr">
        <is>
          <t>No</t>
        </is>
      </c>
      <c r="BV20" s="30">
        <f>IF(BU20="No",10,0)</f>
        <v/>
      </c>
      <c r="BW20" s="30" t="inlineStr">
        <is>
          <t>Yes</t>
        </is>
      </c>
      <c r="BX20" s="30">
        <f>IF(BW20="NO",5,0)</f>
        <v/>
      </c>
      <c r="BY20" s="30" t="inlineStr">
        <is>
          <t>Above 2</t>
        </is>
      </c>
      <c r="BZ20" s="30">
        <f>IF(BY20="Above 2",0,IF(BY20="Between 1.5 to 2",5,IF(BY20="Less than 1.5",10,0)))</f>
        <v/>
      </c>
      <c r="CA20" s="30" t="inlineStr">
        <is>
          <t>Above 70%</t>
        </is>
      </c>
      <c r="CB20" s="30">
        <f>IF(CA20="Above 70%",10,IF(CA20="Between 50% to 70%",5,IF(CA20="Less than 50%",0,IF(CA20="Negative",-10,IF(CA20="Less than 50% and Borrowings are increasing",-5,0)))))</f>
        <v/>
      </c>
      <c r="CC20" s="30" t="inlineStr">
        <is>
          <t>More than 1.2</t>
        </is>
      </c>
      <c r="CD20" s="30">
        <f>IF(CC20="More than 1.2",-10,IF(CC20="Between 0.7 to 1.2",0,IF(CC20="Less than 0.7",10,0)))</f>
        <v/>
      </c>
      <c r="CE20" s="30" t="inlineStr">
        <is>
          <t>No</t>
        </is>
      </c>
      <c r="CF20" s="30">
        <f>IF(CE20="Yes",-10,0)</f>
        <v/>
      </c>
      <c r="CG20" s="30" t="inlineStr">
        <is>
          <t>Less than 15%</t>
        </is>
      </c>
      <c r="CH20" s="30">
        <f>IF(CG20="More than 15%",-10,IF(CG20="Less than 15%",10,0))</f>
        <v/>
      </c>
      <c r="CI20" s="30" t="inlineStr">
        <is>
          <t>No</t>
        </is>
      </c>
      <c r="CJ20" s="30">
        <f>IF(CI20="Yes, more than 10%",-10,IF(CI20="No",10,0))</f>
        <v/>
      </c>
    </row>
    <row r="21">
      <c r="A21" s="30">
        <f>IF(B21=0,"",RANK(B21,$B$2:$B$22,0))</f>
        <v/>
      </c>
      <c r="B21" s="31">
        <f>SUM(S21,AD21,AF21,AH21,AJ21,AL21,AN21,AP21,AR21,AT21,AV21,AX21,AZ21,BB21,BD21,BF21,BH21,BJ21,BL21,BN21,BP21,BR21,BT21,BV21,BX21,BZ21,CB21,CD21,CF21,CH21,CJ21)</f>
        <v/>
      </c>
      <c r="C21" s="30" t="inlineStr">
        <is>
          <t>52W Breakout</t>
        </is>
      </c>
      <c r="D21" s="31" t="n">
        <v>138.5</v>
      </c>
      <c r="E21" s="31" t="inlineStr">
        <is>
          <t>5%</t>
        </is>
      </c>
      <c r="F21" s="31" t="n">
        <v>50000</v>
      </c>
      <c r="G21" s="31" t="n">
        <v>74</v>
      </c>
      <c r="H21" s="30" t="inlineStr">
        <is>
          <t>DEEDEV</t>
        </is>
      </c>
      <c r="I21" s="30" t="inlineStr">
        <is>
          <t>DEE Development Engineers Ltd</t>
        </is>
      </c>
      <c r="J21" s="30" t="inlineStr">
        <is>
          <t>metals &amp; mining</t>
        </is>
      </c>
      <c r="K21" s="30" t="inlineStr">
        <is>
          <t>steel - medium / small</t>
        </is>
      </c>
      <c r="L21" s="30" t="inlineStr">
        <is>
          <t>smallcap</t>
        </is>
      </c>
      <c r="M21" s="31" t="n">
        <v>4427.31</v>
      </c>
      <c r="N21" s="31" t="n">
        <v>671.15</v>
      </c>
      <c r="O21" s="31" t="n">
        <v>5</v>
      </c>
      <c r="P21" s="31" t="n">
        <v>185836</v>
      </c>
      <c r="Q21" s="30" t="n">
        <v>96</v>
      </c>
      <c r="R21" s="30" t="inlineStr">
        <is>
          <t>Outperforming</t>
        </is>
      </c>
      <c r="S21" s="31">
        <f>IF(R21="Underperforming",-5,IF(Q21&gt;=95,15,IF(Q21&gt;=90,10,IF(Q21&gt;=80,5,0))))</f>
        <v/>
      </c>
      <c r="T21" s="31" t="n">
        <v>87.45</v>
      </c>
      <c r="U21" s="31" t="n">
        <v>58.41</v>
      </c>
      <c r="V21" s="31" t="n">
        <v>518.7</v>
      </c>
      <c r="W21" s="30" t="inlineStr">
        <is>
          <t>Near 52W High Breakout</t>
        </is>
      </c>
      <c r="X21" s="30" t="inlineStr">
        <is>
          <t>Nifty Metal</t>
        </is>
      </c>
      <c r="Y21" s="31" t="n">
        <v>40.56</v>
      </c>
      <c r="Z21" s="31" t="n">
        <v>142.69</v>
      </c>
      <c r="AA21" s="31" t="n">
        <v>72.66</v>
      </c>
      <c r="AB21" s="31" t="n">
        <v>57.67</v>
      </c>
      <c r="AC21" s="30" t="inlineStr">
        <is>
          <t>Cyclical in an Upturn</t>
        </is>
      </c>
      <c r="AD21" s="30">
        <f>IF(AC21="Growing Industry",10,IF(AC21="Cyclical in an Upturn",5,0))</f>
        <v/>
      </c>
      <c r="AE21" s="30" t="inlineStr">
        <is>
          <t>Too Many Players with High ROCE</t>
        </is>
      </c>
      <c r="AF21" s="30">
        <f>IF(AE21="Monopoly",10,IF(AE21="Oligopoly",5,IF(AE21="Duopoly that cooperate",10,IF(AE21="Duopoly that compete",5,IF(AE21="Too many players with High ROCE",5,0)))))</f>
        <v/>
      </c>
      <c r="AG21" s="30" t="inlineStr">
        <is>
          <t>No</t>
        </is>
      </c>
      <c r="AH21" s="30">
        <f>IF(AG21="No",5,0)</f>
        <v/>
      </c>
      <c r="AI21" s="30" t="inlineStr">
        <is>
          <t>Tailwind</t>
        </is>
      </c>
      <c r="AJ21" s="30">
        <f>IF(AI21="Tailwind",10,0)</f>
        <v/>
      </c>
      <c r="AK21" s="30" t="inlineStr">
        <is>
          <t>Cyclical</t>
        </is>
      </c>
      <c r="AL21" s="30">
        <f>IF(AK21="Structural (10 Years Consistency)",10,IF(AK21="Shallow Cyclical (2 to 3 years growth)",5,0))</f>
        <v/>
      </c>
      <c r="AM21" s="30" t="inlineStr">
        <is>
          <t>No</t>
        </is>
      </c>
      <c r="AN21" s="30">
        <f>IF(AM21="Yes due to Product Mix change or Operating Leverage",10,IF(AM21="Yes, these are peak margins",-5,IF(AM21="No",5,0)))</f>
        <v/>
      </c>
      <c r="AO21" s="30" t="inlineStr">
        <is>
          <t>Volatile</t>
        </is>
      </c>
      <c r="AP21" s="30">
        <f>IF(AO21="Stable",10,0)</f>
        <v/>
      </c>
      <c r="AQ21" s="30" t="inlineStr">
        <is>
          <t>Yes</t>
        </is>
      </c>
      <c r="AR21" s="30">
        <f>IF(AQ21="Yes",10,0)</f>
        <v/>
      </c>
      <c r="AS21" s="30" t="inlineStr">
        <is>
          <t>B2B</t>
        </is>
      </c>
      <c r="AT21" s="30">
        <f>IF(AS21="B2C",10,IF(AS21="B2B",5,0))</f>
        <v/>
      </c>
      <c r="AU21" s="30" t="inlineStr">
        <is>
          <t>Yes</t>
        </is>
      </c>
      <c r="AV21" s="30">
        <f>IF(AU21="Yes",10,0)</f>
        <v/>
      </c>
      <c r="AW21" s="30" t="inlineStr">
        <is>
          <t>Higher One Time, Lower Annuity</t>
        </is>
      </c>
      <c r="AX21" s="30">
        <f>IF(AW21="Fully Annuity",10,IF(AW21="Higher Annuity, Lower One Time",5,IF(AW21="Higher One Time, Lower Annuity",3,0)))</f>
        <v/>
      </c>
      <c r="AY21" s="30" t="inlineStr">
        <is>
          <t>Good</t>
        </is>
      </c>
      <c r="AZ21" s="30">
        <f>IF(AY21="Good",10,0)</f>
        <v/>
      </c>
      <c r="BA21" s="30" t="inlineStr">
        <is>
          <t>Yes for more than 2 years</t>
        </is>
      </c>
      <c r="BB21" s="30">
        <f>IF(BA21="Yes for more than 2 years",10,IF(BA21="Yes only for next 1 to 2 years",5,0))</f>
        <v/>
      </c>
      <c r="BC21" s="30" t="inlineStr">
        <is>
          <t>Above 40</t>
        </is>
      </c>
      <c r="BD21" s="30">
        <f>IF(BC21="Above 40",20,IF(BC21="20 to 40",10,IF(BC21="0 to 20",-5,0)))</f>
        <v/>
      </c>
      <c r="BE21" s="30" t="inlineStr">
        <is>
          <t>Above 75</t>
        </is>
      </c>
      <c r="BF21" s="30">
        <f>IF(BE21="Between 50 to 75",10,IF(BE21="Above 75",0,0))</f>
        <v/>
      </c>
      <c r="BG21" s="30" t="inlineStr">
        <is>
          <t>Stage 2</t>
        </is>
      </c>
      <c r="BH21" s="30">
        <f>IF(BG21="Stage 2",20,IF(BG21="Stage 1",0,IF(BG21="Stage 3",5,IF(BG21="Stage 4",-5,0))))</f>
        <v/>
      </c>
      <c r="BI21" s="30" t="inlineStr">
        <is>
          <t>Positive Trend</t>
        </is>
      </c>
      <c r="BJ21" s="30">
        <f>IF(BI21="Positive Trend",20,IF(BI21="Negative Trend",-10,0))</f>
        <v/>
      </c>
      <c r="BK21" s="30" t="inlineStr">
        <is>
          <t>Uptrend</t>
        </is>
      </c>
      <c r="BL21" s="30">
        <f>IF(BK21="Uptrend",10,IF(BK21="Sideways",5,0))</f>
        <v/>
      </c>
      <c r="BM21" s="30" t="inlineStr">
        <is>
          <t>Uptrend</t>
        </is>
      </c>
      <c r="BN21" s="30">
        <f>IF(BM21="Uptrend",10,IF(BM21="Sideways",5,0))</f>
        <v/>
      </c>
      <c r="BO21" s="30" t="inlineStr">
        <is>
          <t>Blue sky scenario</t>
        </is>
      </c>
      <c r="BP21" s="30">
        <f>IF(BO21="Overhead supply in last 2 years in last 2 years",-5,IF(BO21="Close to 52 week high or retracement",5,IF(BO21="Blue sky scenario",10,IF(BO21="Long term Downtrend",-10,0))))</f>
        <v/>
      </c>
      <c r="BQ21" s="30" t="inlineStr">
        <is>
          <t>Yes</t>
        </is>
      </c>
      <c r="BR21" s="30">
        <f>IF(BQ21="Yes",10,0)</f>
        <v/>
      </c>
      <c r="BS21" s="30" t="inlineStr">
        <is>
          <t>Less than 12%</t>
        </is>
      </c>
      <c r="BT21" s="30">
        <f>IF(BS21="More than 20%",10,IF(BS21="Between 12 to 20%",5,IF(BS21="Less than 12%",0,0)))</f>
        <v/>
      </c>
      <c r="BU21" s="30" t="inlineStr">
        <is>
          <t>No</t>
        </is>
      </c>
      <c r="BV21" s="30">
        <f>IF(BU21="No",10,0)</f>
        <v/>
      </c>
      <c r="BW21" s="30" t="inlineStr">
        <is>
          <t>Yes</t>
        </is>
      </c>
      <c r="BX21" s="30">
        <f>IF(BW21="NO",5,0)</f>
        <v/>
      </c>
      <c r="BY21" s="30" t="inlineStr">
        <is>
          <t>Above 2</t>
        </is>
      </c>
      <c r="BZ21" s="30">
        <f>IF(BY21="Above 2",0,IF(BY21="Between 1.5 to 2",5,IF(BY21="Less than 1.5",10,0)))</f>
        <v/>
      </c>
      <c r="CA21" s="30" t="inlineStr">
        <is>
          <t>Less than 50%</t>
        </is>
      </c>
      <c r="CB21" s="30">
        <f>IF(CA21="Above 70%",10,IF(CA21="Between 50% to 70%",5,IF(CA21="Less than 50%",0,IF(CA21="Negative",-10,IF(CA21="Less than 50% and Borrowings are increasing",-5,0)))))</f>
        <v/>
      </c>
      <c r="CC21" s="30" t="inlineStr">
        <is>
          <t>Between 0.7 to 1.2</t>
        </is>
      </c>
      <c r="CD21" s="30">
        <f>IF(CC21="More than 1.2",-10,IF(CC21="Between 0.7 to 1.2",0,IF(CC21="Less than 0.7",10,0)))</f>
        <v/>
      </c>
      <c r="CE21" s="30" t="inlineStr">
        <is>
          <t>No</t>
        </is>
      </c>
      <c r="CF21" s="30">
        <f>IF(CE21="Yes",-10,0)</f>
        <v/>
      </c>
      <c r="CG21" s="30" t="inlineStr">
        <is>
          <t>Less than 15%</t>
        </is>
      </c>
      <c r="CH21" s="30">
        <f>IF(CG21="More than 15%",-10,IF(CG21="Less than 15%",10,0))</f>
        <v/>
      </c>
      <c r="CI21" s="30" t="inlineStr">
        <is>
          <t>No</t>
        </is>
      </c>
      <c r="CJ21" s="30">
        <f>IF(CI21="Yes, more than 10%",-10,IF(CI21="No",10,0))</f>
        <v/>
      </c>
    </row>
    <row r="22">
      <c r="A22" s="30">
        <f>IF(B22=0,"",RANK(B22,$B$2:$B$22,0))</f>
        <v/>
      </c>
      <c r="B22" s="31">
        <f>SUM(S22,AD22,AF22,AH22,AJ22,AL22,AN22,AP22,AR22,AT22,AV22,AX22,AZ22,BB22,BD22,BF22,BH22,BJ22,BL22,BN22,BP22,BR22,BT22,BV22,BX22,BZ22,CB22,CD22,CF22,CH22,CJ22)</f>
        <v/>
      </c>
      <c r="C22" s="30" t="inlineStr">
        <is>
          <t>52W Breakout</t>
        </is>
      </c>
      <c r="D22" s="31" t="n">
        <v>139.1</v>
      </c>
      <c r="E22" s="31" t="inlineStr">
        <is>
          <t>5%</t>
        </is>
      </c>
      <c r="F22" s="31" t="n">
        <v>50000</v>
      </c>
      <c r="G22" s="31" t="n">
        <v>140</v>
      </c>
      <c r="H22" s="30" t="inlineStr">
        <is>
          <t>ACMESOLAR</t>
        </is>
      </c>
      <c r="I22" s="30" t="inlineStr">
        <is>
          <t>ACME Solar Holdings Ltd</t>
        </is>
      </c>
      <c r="J22" s="30" t="inlineStr">
        <is>
          <t>realty</t>
        </is>
      </c>
      <c r="K22" s="30" t="inlineStr">
        <is>
          <t>engineering - turnkey services</t>
        </is>
      </c>
      <c r="L22" s="30" t="inlineStr">
        <is>
          <t>largecap</t>
        </is>
      </c>
      <c r="M22" s="31" t="n">
        <v>20957.53</v>
      </c>
      <c r="N22" s="31" t="n">
        <v>356.65</v>
      </c>
      <c r="O22" s="31" t="n">
        <v>3.12</v>
      </c>
      <c r="P22" s="31" t="n">
        <v>6661042</v>
      </c>
      <c r="Q22" s="30" t="n">
        <v>74</v>
      </c>
      <c r="R22" s="30" t="inlineStr">
        <is>
          <t>Outperforming</t>
        </is>
      </c>
      <c r="S22" s="31">
        <f>IF(R22="Underperforming",-5,IF(Q22&gt;=95,15,IF(Q22&gt;=90,10,IF(Q22&gt;=80,5,0))))</f>
        <v/>
      </c>
      <c r="T22" s="31" t="n">
        <v>71.98</v>
      </c>
      <c r="U22" s="31" t="n">
        <v>18.73</v>
      </c>
      <c r="V22" s="31" t="n">
        <v>275.33</v>
      </c>
      <c r="W22" s="30" t="inlineStr">
        <is>
          <t>Volume Spike &amp; Near 52W High Breakout</t>
        </is>
      </c>
      <c r="X22" s="30" t="inlineStr">
        <is>
          <t>Nifty Realty</t>
        </is>
      </c>
      <c r="Y22" s="31" t="n">
        <v>-26.04</v>
      </c>
      <c r="Z22" s="31" t="n">
        <v>42.3</v>
      </c>
      <c r="AA22" s="31" t="n">
        <v>92.40000000000001</v>
      </c>
      <c r="AB22" s="31" t="n">
        <v>21.94</v>
      </c>
      <c r="AC22" s="30" t="inlineStr">
        <is>
          <t>Growing Industry</t>
        </is>
      </c>
      <c r="AD22" s="30">
        <f>IF(AC22="Growing Industry",10,IF(AC22="Cyclical in an Upturn",5,0))</f>
        <v/>
      </c>
      <c r="AE22" s="30" t="inlineStr">
        <is>
          <t>Too Many Players with High ROCE</t>
        </is>
      </c>
      <c r="AF22" s="30">
        <f>IF(AE22="Monopoly",10,IF(AE22="Oligopoly",5,IF(AE22="Duopoly that cooperate",10,IF(AE22="Duopoly that compete",5,IF(AE22="Too many players with High ROCE",5,0)))))</f>
        <v/>
      </c>
      <c r="AG22" s="30" t="inlineStr">
        <is>
          <t>No</t>
        </is>
      </c>
      <c r="AH22" s="30">
        <f>IF(AG22="No",5,0)</f>
        <v/>
      </c>
      <c r="AI22" s="30" t="inlineStr">
        <is>
          <t>Tailwind</t>
        </is>
      </c>
      <c r="AJ22" s="30">
        <f>IF(AI22="Tailwind",10,0)</f>
        <v/>
      </c>
      <c r="AK22" s="30" t="inlineStr">
        <is>
          <t>Structural (10 Years Consistency)</t>
        </is>
      </c>
      <c r="AL22" s="30">
        <f>IF(AK22="Structural (10 Years Consistency)",10,IF(AK22="Shallow Cyclical (2 to 3 years growth)",5,0))</f>
        <v/>
      </c>
      <c r="AM22" s="30" t="inlineStr">
        <is>
          <t>No</t>
        </is>
      </c>
      <c r="AN22" s="30">
        <f>IF(AM22="Yes due to Product Mix change or Operating Leverage",10,IF(AM22="Yes, these are peak margins",-5,IF(AM22="No",5,0)))</f>
        <v/>
      </c>
      <c r="AO22" s="30" t="inlineStr">
        <is>
          <t>Stable</t>
        </is>
      </c>
      <c r="AP22" s="30">
        <f>IF(AO22="Stable",10,0)</f>
        <v/>
      </c>
      <c r="AQ22" s="30" t="inlineStr">
        <is>
          <t>Yes</t>
        </is>
      </c>
      <c r="AR22" s="30">
        <f>IF(AQ22="Yes",10,0)</f>
        <v/>
      </c>
      <c r="AS22" s="30" t="inlineStr">
        <is>
          <t>B2B</t>
        </is>
      </c>
      <c r="AT22" s="30">
        <f>IF(AS22="B2C",10,IF(AS22="B2B",5,0))</f>
        <v/>
      </c>
      <c r="AU22" s="30" t="inlineStr">
        <is>
          <t>Yes</t>
        </is>
      </c>
      <c r="AV22" s="30">
        <f>IF(AU22="Yes",10,0)</f>
        <v/>
      </c>
      <c r="AW22" s="30" t="inlineStr">
        <is>
          <t>Higher One Time, Lower Annuity</t>
        </is>
      </c>
      <c r="AX22" s="30">
        <f>IF(AW22="Fully Annuity",10,IF(AW22="Higher Annuity, Lower One Time",5,IF(AW22="Higher One Time, Lower Annuity",3,0)))</f>
        <v/>
      </c>
      <c r="AY22" s="30" t="inlineStr">
        <is>
          <t>Good</t>
        </is>
      </c>
      <c r="AZ22" s="30">
        <f>IF(AY22="Good",10,0)</f>
        <v/>
      </c>
      <c r="BA22" s="30" t="inlineStr">
        <is>
          <t>Yes for more than 2 years</t>
        </is>
      </c>
      <c r="BB22" s="30">
        <f>IF(BA22="Yes for more than 2 years",10,IF(BA22="Yes only for next 1 to 2 years",5,0))</f>
        <v/>
      </c>
      <c r="BC22" s="30" t="inlineStr">
        <is>
          <t>0 to 20</t>
        </is>
      </c>
      <c r="BD22" s="30">
        <f>IF(BC22="Above 40",20,IF(BC22="20 to 40",10,IF(BC22="0 to 20",-5,0)))</f>
        <v/>
      </c>
      <c r="BE22" s="30" t="inlineStr">
        <is>
          <t>Between 50 to 75</t>
        </is>
      </c>
      <c r="BF22" s="30">
        <f>IF(BE22="Between 50 to 75",10,IF(BE22="Above 75",0,0))</f>
        <v/>
      </c>
      <c r="BG22" s="30" t="inlineStr">
        <is>
          <t>Stage 2</t>
        </is>
      </c>
      <c r="BH22" s="30">
        <f>IF(BG22="Stage 2",20,IF(BG22="Stage 1",0,IF(BG22="Stage 3",5,IF(BG22="Stage 4",-5,0))))</f>
        <v/>
      </c>
      <c r="BI22" s="30" t="inlineStr">
        <is>
          <t>Positive Trend</t>
        </is>
      </c>
      <c r="BJ22" s="30">
        <f>IF(BI22="Positive Trend",20,IF(BI22="Negative Trend",-10,0))</f>
        <v/>
      </c>
      <c r="BK22" s="30" t="inlineStr">
        <is>
          <t>Uptrend</t>
        </is>
      </c>
      <c r="BL22" s="30">
        <f>IF(BK22="Uptrend",10,IF(BK22="Sideways",5,0))</f>
        <v/>
      </c>
      <c r="BM22" s="30" t="inlineStr">
        <is>
          <t>Uptrend</t>
        </is>
      </c>
      <c r="BN22" s="30">
        <f>IF(BM22="Uptrend",10,IF(BM22="Sideways",5,0))</f>
        <v/>
      </c>
      <c r="BO22" s="30" t="inlineStr">
        <is>
          <t>Blue sky scenario</t>
        </is>
      </c>
      <c r="BP22" s="30">
        <f>IF(BO22="Overhead supply in last 2 years in last 2 years",-5,IF(BO22="Close to 52 week high or retracement",5,IF(BO22="Blue sky scenario",10,IF(BO22="Long term Downtrend",-10,0))))</f>
        <v/>
      </c>
      <c r="BQ22" s="30" t="inlineStr">
        <is>
          <t>Yes</t>
        </is>
      </c>
      <c r="BR22" s="30">
        <f>IF(BQ22="Yes",10,0)</f>
        <v/>
      </c>
      <c r="BS22" s="30" t="inlineStr">
        <is>
          <t>Less than 12%</t>
        </is>
      </c>
      <c r="BT22" s="30">
        <f>IF(BS22="More than 20%",10,IF(BS22="Between 12 to 20%",5,IF(BS22="Less than 12%",0,0)))</f>
        <v/>
      </c>
      <c r="BU22" s="30" t="inlineStr">
        <is>
          <t>No</t>
        </is>
      </c>
      <c r="BV22" s="30">
        <f>IF(BU22="No",10,0)</f>
        <v/>
      </c>
      <c r="BW22" s="30" t="inlineStr">
        <is>
          <t>Yes</t>
        </is>
      </c>
      <c r="BX22" s="30">
        <f>IF(BW22="NO",5,0)</f>
        <v/>
      </c>
      <c r="BY22" s="30" t="inlineStr">
        <is>
          <t>Above 2</t>
        </is>
      </c>
      <c r="BZ22" s="30">
        <f>IF(BY22="Above 2",0,IF(BY22="Between 1.5 to 2",5,IF(BY22="Less than 1.5",10,0)))</f>
        <v/>
      </c>
      <c r="CA22" s="30" t="inlineStr">
        <is>
          <t>Between 50% to 70%</t>
        </is>
      </c>
      <c r="CB22" s="30">
        <f>IF(CA22="Above 70%",10,IF(CA22="Between 50% to 70%",5,IF(CA22="Less than 50%",0,IF(CA22="Negative",-10,IF(CA22="Less than 50% and Borrowings are increasing",-5,0)))))</f>
        <v/>
      </c>
      <c r="CC22" s="30" t="inlineStr">
        <is>
          <t>More than 1.2</t>
        </is>
      </c>
      <c r="CD22" s="30">
        <f>IF(CC22="More than 1.2",-10,IF(CC22="Between 0.7 to 1.2",0,IF(CC22="Less than 0.7",10,0)))</f>
        <v/>
      </c>
      <c r="CE22" s="30" t="inlineStr">
        <is>
          <t>No</t>
        </is>
      </c>
      <c r="CF22" s="30">
        <f>IF(CE22="Yes",-10,0)</f>
        <v/>
      </c>
      <c r="CG22" s="30" t="inlineStr">
        <is>
          <t>Less than 15%</t>
        </is>
      </c>
      <c r="CH22" s="30">
        <f>IF(CG22="More than 15%",-10,IF(CG22="Less than 15%",10,0))</f>
        <v/>
      </c>
      <c r="CI22" s="30" t="inlineStr">
        <is>
          <t>No</t>
        </is>
      </c>
      <c r="CJ22" s="30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expression" priority="38" dxfId="0" stopIfTrue="1">
      <formula>=AND(V2&lt;&gt;"",V2&gt;0,N2&gt;=V2)</formula>
    </cfRule>
    <cfRule type="expression" priority="39" dxfId="3" stopIfTrue="1">
      <formula>=AND(V2&lt;&gt;"",V2&gt;0,N2&lt;V2)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IF(B2=0,"",RANK(B2,$B$2:$B$2,0))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139.6</v>
      </c>
      <c r="E2" s="31" t="inlineStr">
        <is>
          <t>5%</t>
        </is>
      </c>
      <c r="F2" s="31" t="n">
        <v>50000</v>
      </c>
      <c r="G2" s="31" t="n">
        <v>164</v>
      </c>
      <c r="H2" s="30" t="inlineStr">
        <is>
          <t>FEDERALBNK</t>
        </is>
      </c>
      <c r="I2" s="30" t="inlineStr">
        <is>
          <t>The Federal Bank  Limited</t>
        </is>
      </c>
      <c r="J2" s="30" t="inlineStr">
        <is>
          <t>bank</t>
        </is>
      </c>
      <c r="K2" s="30" t="inlineStr">
        <is>
          <t>banks - private sector</t>
        </is>
      </c>
      <c r="L2" s="30" t="inlineStr">
        <is>
          <t>largecap</t>
        </is>
      </c>
      <c r="M2" s="31" t="n">
        <v>73953.11</v>
      </c>
      <c r="N2" s="31" t="n">
        <v>304.15</v>
      </c>
      <c r="O2" s="31" t="n">
        <v>1.35</v>
      </c>
      <c r="P2" s="31" t="n">
        <v>9322801</v>
      </c>
      <c r="Q2" s="30" t="n">
        <v>38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64.2</v>
      </c>
      <c r="U2" s="31" t="n">
        <v>19.76</v>
      </c>
      <c r="V2" s="31" t="n">
        <v>257.24</v>
      </c>
      <c r="W2" s="30" t="inlineStr">
        <is>
          <t>Near 52W High Breakout</t>
        </is>
      </c>
      <c r="X2" s="30" t="inlineStr">
        <is>
          <t>Nifty Bank</t>
        </is>
      </c>
      <c r="Y2" s="31" t="n">
        <v>-3.68</v>
      </c>
      <c r="Z2" s="31" t="n">
        <v>47.27</v>
      </c>
      <c r="AA2" s="31" t="n">
        <v>52.89</v>
      </c>
      <c r="AB2" s="31" t="n">
        <v>10.23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Yes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less than 2.5x and Growth more than 20%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0 to 20</t>
        </is>
      </c>
      <c r="BR2" s="30">
        <f>IF(BQ2="Above 40",20,IF(BQ2="20 to 40",10,IF(BQ2="0 to 20",-5,0)))</f>
        <v/>
      </c>
      <c r="BS2" s="30" t="inlineStr">
        <is>
          <t>Between 50 to 75</t>
        </is>
      </c>
      <c r="BT2" s="30">
        <f>IF(BS2="Between 50 to 75",10,IF(BS2="Above 75",0,0))</f>
        <v/>
      </c>
      <c r="BU2" s="30" t="inlineStr">
        <is>
          <t>Stage 2</t>
        </is>
      </c>
      <c r="BV2" s="30">
        <f>IF(BU2="Stage 2",20,IF(BU2="Stage 1",0,IF(BU2="Stage 3",5,IF(BU2="Stage 4",-5,0))))</f>
        <v/>
      </c>
      <c r="BW2" s="30" t="inlineStr">
        <is>
          <t>Positive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Blue sky scenario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expression" priority="36" dxfId="0" stopIfTrue="1">
      <formula>=AND(V2&lt;&gt;"",V2&gt;0,N2&gt;=V2)</formula>
    </cfRule>
    <cfRule type="expression" priority="37" dxfId="3" stopIfTrue="1">
      <formula>=AND(V2&lt;&gt;"",V2&gt;0,N2&lt;V2)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G125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IF(B2=0,"",RANK(B2,$B$2:$B$96,0))</f>
        <v/>
      </c>
      <c r="B2" s="31">
        <f>SUM(N2,Y2,AA2,AC2,AE2,AG2,AI2,AK2,AM2,AO2,AQ2,AS2,AU2,AW2,AY2,BA2,BC2,BE2,BG2,BI2,BK2,BM2,BO2,BQ2,BS2,BU2,BW2,BY2,CA2,CC2,CE2,CG2)</f>
        <v/>
      </c>
      <c r="C2" s="30" t="inlineStr">
        <is>
          <t>BAJAJCON</t>
        </is>
      </c>
      <c r="D2" s="30" t="inlineStr">
        <is>
          <t>Bajaj Consumer Care Ltd</t>
        </is>
      </c>
      <c r="E2" s="30" t="inlineStr">
        <is>
          <t>fmcg</t>
        </is>
      </c>
      <c r="F2" s="30" t="inlineStr">
        <is>
          <t>FMCG - Personal Care</t>
        </is>
      </c>
      <c r="G2" s="30" t="inlineStr">
        <is>
          <t>midcap</t>
        </is>
      </c>
      <c r="H2" s="31" t="n">
        <v>7210.78</v>
      </c>
      <c r="I2" s="31" t="n">
        <v>552.05</v>
      </c>
      <c r="J2" s="31" t="n">
        <v>-1.21</v>
      </c>
      <c r="K2" s="31" t="n">
        <v>0</v>
      </c>
      <c r="L2" s="30" t="n">
        <v>91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74.25</v>
      </c>
      <c r="P2" s="31" t="n">
        <v>51.77</v>
      </c>
      <c r="Q2" s="31" t="n">
        <v>440.61</v>
      </c>
      <c r="R2" s="30" t="inlineStr">
        <is>
          <t>Near 52W High Breakout</t>
        </is>
      </c>
      <c r="S2" s="30" t="inlineStr">
        <is>
          <t>Nifty FMCG</t>
        </is>
      </c>
      <c r="T2" s="31" t="n">
        <v>-13.44</v>
      </c>
      <c r="U2" s="31" t="n">
        <v>217.18</v>
      </c>
      <c r="V2" s="31" t="n">
        <v>266.43</v>
      </c>
      <c r="W2" s="31" t="n">
        <v>36.8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B2C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Annuity, Lower One Time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Above 2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24</t>
        </is>
      </c>
      <c r="CG2" s="30">
        <f>IF(CF2&gt;20,10,IF(CF2&gt;=10,5,2))</f>
        <v/>
      </c>
    </row>
    <row r="3">
      <c r="A3" s="30">
        <f>IF(B3=0,"",RANK(B3,$B$2:$B$96,0))</f>
        <v/>
      </c>
      <c r="B3" s="31">
        <f>SUM(N3,Y3,AA3,AC3,AE3,AG3,AI3,AK3,AM3,AO3,AQ3,AS3,AU3,AW3,AY3,BA3,BC3,BE3,BG3,BI3,BK3,BM3,BO3,BQ3,BS3,BU3,BW3,BY3,CA3,CC3,CE3,CG3)</f>
        <v/>
      </c>
      <c r="C3" s="30" t="inlineStr">
        <is>
          <t>IBULLSLTD</t>
        </is>
      </c>
      <c r="D3" s="30" t="inlineStr">
        <is>
          <t>Indiabulls Limited</t>
        </is>
      </c>
      <c r="E3" s="30" t="inlineStr">
        <is>
          <t>miscellaneous</t>
        </is>
      </c>
      <c r="F3" s="30" t="inlineStr">
        <is>
          <t>Diversified</t>
        </is>
      </c>
      <c r="G3" s="30" t="inlineStr">
        <is>
          <t>midcap</t>
        </is>
      </c>
      <c r="H3" s="31" t="n">
        <v>5401.86</v>
      </c>
      <c r="I3" s="31" t="n">
        <v>23.24</v>
      </c>
      <c r="J3" s="31" t="n">
        <v>-1.44</v>
      </c>
      <c r="K3" s="31" t="n">
        <v>0</v>
      </c>
      <c r="L3" s="30" t="n">
        <v>95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71.62</v>
      </c>
      <c r="P3" s="31" t="n">
        <v>35.91</v>
      </c>
      <c r="Q3" s="31" t="n">
        <v>16.2</v>
      </c>
      <c r="R3" s="30" t="inlineStr">
        <is>
          <t>Near 52W High Breakout</t>
        </is>
      </c>
      <c r="S3" s="30" t="inlineStr">
        <is>
          <t>Nifty 50</t>
        </is>
      </c>
      <c r="T3" s="31" t="n">
        <v>-6.54</v>
      </c>
      <c r="U3" s="31" t="n">
        <v>47.74</v>
      </c>
      <c r="V3" s="31" t="n">
        <v>58.09</v>
      </c>
      <c r="W3" s="31" t="n">
        <v>51.77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20 to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Between 50% to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22</t>
        </is>
      </c>
      <c r="CG3" s="30">
        <f>IF(CF3&gt;20,10,IF(CF3&gt;=10,5,2))</f>
        <v/>
      </c>
    </row>
    <row r="4">
      <c r="A4" s="30">
        <f>IF(B4=0,"",RANK(B4,$B$2:$B$96,0))</f>
        <v/>
      </c>
      <c r="B4" s="31">
        <f>SUM(N4,Y4,AA4,AC4,AE4,AG4,AI4,AK4,AM4,AO4,AQ4,AS4,AU4,AW4,AY4,BA4,BC4,BE4,BG4,BI4,BK4,BM4,BO4,BQ4,BS4,BU4,BW4,BY4,CA4,CC4,CE4,CG4)</f>
        <v/>
      </c>
      <c r="C4" s="30" t="inlineStr">
        <is>
          <t>VMARCIND</t>
        </is>
      </c>
      <c r="D4" s="30" t="inlineStr">
        <is>
          <t>V-Marc India Ltd</t>
        </is>
      </c>
      <c r="E4" s="30" t="inlineStr">
        <is>
          <t>unknown</t>
        </is>
      </c>
      <c r="F4" s="30" t="inlineStr">
        <is>
          <t>Cables - Power</t>
        </is>
      </c>
      <c r="G4" s="30" t="inlineStr">
        <is>
          <t>smallcap</t>
        </is>
      </c>
      <c r="H4" s="31" t="n">
        <v>3697.17</v>
      </c>
      <c r="I4" s="31" t="n">
        <v>1513.95</v>
      </c>
      <c r="J4" s="31" t="n">
        <v>-0.63</v>
      </c>
      <c r="K4" s="31" t="n">
        <v>0</v>
      </c>
      <c r="L4" s="30" t="n">
        <v>98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87.97</v>
      </c>
      <c r="P4" s="31" t="n">
        <v>37.03</v>
      </c>
      <c r="Q4" s="31" t="n">
        <v>1140.91</v>
      </c>
      <c r="R4" s="30" t="inlineStr">
        <is>
          <t>Near 52W High Breakout</t>
        </is>
      </c>
      <c r="S4" s="30" t="inlineStr">
        <is>
          <t>Nifty 50</t>
        </is>
      </c>
      <c r="T4" s="31" t="n">
        <v>-6.54</v>
      </c>
      <c r="U4" s="31" t="n">
        <v>377.62</v>
      </c>
      <c r="V4" s="31" t="n">
        <v>411.06</v>
      </c>
      <c r="W4" s="31" t="n">
        <v>65.73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20 to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24</t>
        </is>
      </c>
      <c r="CG4" s="30">
        <f>IF(CF4&gt;20,10,IF(CF4&gt;=10,5,2))</f>
        <v/>
      </c>
    </row>
    <row r="5">
      <c r="A5" s="30">
        <f>IF(B5=0,"",RANK(B5,$B$2:$B$96,0))</f>
        <v/>
      </c>
      <c r="B5" s="31">
        <f>SUM(N5,Y5,AA5,AC5,AE5,AG5,AI5,AK5,AM5,AO5,AQ5,AS5,AU5,AW5,AY5,BA5,BC5,BE5,BG5,BI5,BK5,BM5,BO5,BQ5,BS5,BU5,BW5,BY5,CA5,CC5,CE5,CG5)</f>
        <v/>
      </c>
      <c r="C5" s="33" t="inlineStr">
        <is>
          <t>ACCENTMIC</t>
        </is>
      </c>
      <c r="D5" s="33" t="inlineStr">
        <is>
          <t>Accent Microcell Ltd</t>
        </is>
      </c>
      <c r="E5" s="30" t="inlineStr">
        <is>
          <t>unknown</t>
        </is>
      </c>
      <c r="F5" s="30" t="inlineStr">
        <is>
          <t>Pharma - Formulators</t>
        </is>
      </c>
      <c r="G5" s="30" t="inlineStr">
        <is>
          <t>smallcap</t>
        </is>
      </c>
      <c r="H5" s="31" t="n">
        <v>1145.24</v>
      </c>
      <c r="I5" s="31" t="n">
        <v>477.4</v>
      </c>
      <c r="J5" s="31" t="n">
        <v>1.11</v>
      </c>
      <c r="K5" s="31" t="n">
        <v>0</v>
      </c>
      <c r="L5" s="30" t="n">
        <v>77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72.27</v>
      </c>
      <c r="P5" s="31" t="n">
        <v>49.65</v>
      </c>
      <c r="Q5" s="31" t="n">
        <v>363.52</v>
      </c>
      <c r="R5" s="30" t="inlineStr">
        <is>
          <t>Near 52W High Breakout</t>
        </is>
      </c>
      <c r="S5" s="30" t="inlineStr">
        <is>
          <t>Nifty 50</t>
        </is>
      </c>
      <c r="T5" s="31" t="n">
        <v>-6.54</v>
      </c>
      <c r="U5" s="31" t="n">
        <v>106.26</v>
      </c>
      <c r="V5" s="31" t="n">
        <v>120.7</v>
      </c>
      <c r="W5" s="31" t="n">
        <v>23.9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21</t>
        </is>
      </c>
      <c r="CG5" s="30">
        <f>IF(CF5&gt;20,10,IF(CF5&gt;=10,5,2))</f>
        <v/>
      </c>
    </row>
    <row r="6">
      <c r="A6" s="30">
        <f>IF(B6=0,"",RANK(B6,$B$2:$B$96,0))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INDOBORAX</t>
        </is>
      </c>
      <c r="D6" s="30" t="inlineStr">
        <is>
          <t>Indo Borax &amp; Chemicals Ltd</t>
        </is>
      </c>
      <c r="E6" s="30" t="inlineStr">
        <is>
          <t>chemicals</t>
        </is>
      </c>
      <c r="F6" s="30" t="inlineStr">
        <is>
          <t>Chemicals - Inorganic</t>
        </is>
      </c>
      <c r="G6" s="30" t="inlineStr">
        <is>
          <t>smallcap</t>
        </is>
      </c>
      <c r="H6" s="31" t="n">
        <v>1178.99</v>
      </c>
      <c r="I6" s="31" t="n">
        <v>367.4</v>
      </c>
      <c r="J6" s="31" t="n">
        <v>2.43</v>
      </c>
      <c r="K6" s="31" t="n">
        <v>0</v>
      </c>
      <c r="L6" s="30" t="n">
        <v>80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81.72</v>
      </c>
      <c r="P6" s="31" t="n">
        <v>45.82</v>
      </c>
      <c r="Q6" s="31" t="n">
        <v>291.76</v>
      </c>
      <c r="R6" s="30" t="inlineStr">
        <is>
          <t>Near 52W High Breakout</t>
        </is>
      </c>
      <c r="S6" s="30" t="inlineStr">
        <is>
          <t>Nifty 50</t>
        </is>
      </c>
      <c r="T6" s="31" t="n">
        <v>-6.54</v>
      </c>
      <c r="U6" s="31" t="n">
        <v>88.01000000000001</v>
      </c>
      <c r="V6" s="31" t="n">
        <v>101.18</v>
      </c>
      <c r="W6" s="31" t="n">
        <v>24.83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Above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20</t>
        </is>
      </c>
      <c r="CG6" s="30">
        <f>IF(CF6&gt;20,10,IF(CF6&gt;=10,5,2))</f>
        <v/>
      </c>
    </row>
    <row r="7">
      <c r="A7" s="30">
        <f>IF(B7=0,"",RANK(B7,$B$2:$B$96,0))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VENUSREM</t>
        </is>
      </c>
      <c r="D7" s="30" t="inlineStr">
        <is>
          <t>Venus Remedies Ltd</t>
        </is>
      </c>
      <c r="E7" s="30" t="inlineStr">
        <is>
          <t>healthcare</t>
        </is>
      </c>
      <c r="F7" s="30" t="inlineStr">
        <is>
          <t>Pharmaceuticals - I V Fluids</t>
        </is>
      </c>
      <c r="G7" s="30" t="inlineStr">
        <is>
          <t>smallcap</t>
        </is>
      </c>
      <c r="H7" s="31" t="n">
        <v>2183.5</v>
      </c>
      <c r="I7" s="31" t="n">
        <v>1633.5</v>
      </c>
      <c r="J7" s="31" t="n">
        <v>4.99</v>
      </c>
      <c r="K7" s="31" t="n">
        <v>0</v>
      </c>
      <c r="L7" s="30" t="n">
        <v>98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80.33</v>
      </c>
      <c r="P7" s="31" t="n">
        <v>45.77</v>
      </c>
      <c r="Q7" s="31" t="n">
        <v>1234.27</v>
      </c>
      <c r="R7" s="30" t="inlineStr">
        <is>
          <t>Volume Spike &amp; Near 52W High Breakout</t>
        </is>
      </c>
      <c r="S7" s="30" t="inlineStr">
        <is>
          <t>Nifty Pharma</t>
        </is>
      </c>
      <c r="T7" s="31" t="n">
        <v>11.82</v>
      </c>
      <c r="U7" s="31" t="n">
        <v>279.88</v>
      </c>
      <c r="V7" s="31" t="n">
        <v>239.72</v>
      </c>
      <c r="W7" s="31" t="n">
        <v>65.43000000000001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Annuity, Lower One Time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Above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Above 2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27</t>
        </is>
      </c>
      <c r="CG7" s="30">
        <f>IF(CF7&gt;20,10,IF(CF7&gt;=10,5,2))</f>
        <v/>
      </c>
    </row>
    <row r="8">
      <c r="A8" s="30">
        <f>IF(B8=0,"",RANK(B8,$B$2:$B$96,0))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BLISSGVS</t>
        </is>
      </c>
      <c r="D8" s="30" t="inlineStr">
        <is>
          <t>Bliss GVS Pharma Ltd</t>
        </is>
      </c>
      <c r="E8" s="30" t="inlineStr">
        <is>
          <t>healthcare</t>
        </is>
      </c>
      <c r="F8" s="30" t="inlineStr">
        <is>
          <t>Pharma - Formulators</t>
        </is>
      </c>
      <c r="G8" s="30" t="inlineStr">
        <is>
          <t>smallcap</t>
        </is>
      </c>
      <c r="H8" s="31" t="n">
        <v>4637.26</v>
      </c>
      <c r="I8" s="31" t="n">
        <v>438.35</v>
      </c>
      <c r="J8" s="31" t="n">
        <v>-3.91</v>
      </c>
      <c r="K8" s="31" t="n">
        <v>0</v>
      </c>
      <c r="L8" s="30" t="n">
        <v>95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88.44</v>
      </c>
      <c r="P8" s="31" t="n">
        <v>57.32</v>
      </c>
      <c r="Q8" s="31" t="n">
        <v>334.23</v>
      </c>
      <c r="R8" s="30" t="inlineStr">
        <is>
          <t>Near 52W High Breakout</t>
        </is>
      </c>
      <c r="S8" s="30" t="inlineStr">
        <is>
          <t>Nifty Pharma</t>
        </is>
      </c>
      <c r="T8" s="31" t="n">
        <v>11.82</v>
      </c>
      <c r="U8" s="31" t="n">
        <v>222.91</v>
      </c>
      <c r="V8" s="31" t="n">
        <v>188.77</v>
      </c>
      <c r="W8" s="31" t="n">
        <v>51.9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Annuity, Lower One Time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Above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Above 2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25</t>
        </is>
      </c>
      <c r="CG8" s="30">
        <f>IF(CF8&gt;20,10,IF(CF8&gt;=10,5,2))</f>
        <v/>
      </c>
    </row>
    <row r="9">
      <c r="A9" s="30">
        <f>IF(B9=0,"",RANK(B9,$B$2:$B$96,0))</f>
        <v/>
      </c>
      <c r="B9" s="31">
        <f>SUM(N9,Y9,AA9,AC9,AE9,AG9,AI9,AK9,AM9,AO9,AQ9,AS9,AU9,AW9,AY9,BA9,BC9,BE9,BG9,BI9,BK9,BM9,BO9,BQ9,BS9,BU9,BW9,BY9,CA9,CC9,CE9,CG9)</f>
        <v/>
      </c>
      <c r="C9" s="30" t="inlineStr">
        <is>
          <t>NETWEB</t>
        </is>
      </c>
      <c r="D9" s="30" t="inlineStr">
        <is>
          <t>Netweb Technologies India Ltd</t>
        </is>
      </c>
      <c r="E9" s="30" t="inlineStr">
        <is>
          <t>i.t</t>
        </is>
      </c>
      <c r="F9" s="30" t="inlineStr">
        <is>
          <t>Data Centre</t>
        </is>
      </c>
      <c r="G9" s="30" t="inlineStr">
        <is>
          <t>largecap</t>
        </is>
      </c>
      <c r="H9" s="31" t="n">
        <v>26568.52</v>
      </c>
      <c r="I9" s="31" t="n">
        <v>4666</v>
      </c>
      <c r="J9" s="31" t="n">
        <v>-5.44</v>
      </c>
      <c r="K9" s="31" t="n">
        <v>0</v>
      </c>
      <c r="L9" s="30" t="n">
        <v>85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66.13</v>
      </c>
      <c r="P9" s="31" t="n">
        <v>43.6</v>
      </c>
      <c r="Q9" s="31" t="n">
        <v>3260.08</v>
      </c>
      <c r="R9" s="30" t="inlineStr">
        <is>
          <t>Volume Spike &amp; Near 52W High Breakout</t>
        </is>
      </c>
      <c r="S9" s="30" t="inlineStr">
        <is>
          <t>Nifty IT</t>
        </is>
      </c>
      <c r="T9" s="31" t="n">
        <v>-22.21</v>
      </c>
      <c r="U9" s="31" t="n">
        <v>136.35</v>
      </c>
      <c r="V9" s="31" t="n">
        <v>203.84</v>
      </c>
      <c r="W9" s="31" t="n">
        <v>30.05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Yes</t>
        </is>
      </c>
      <c r="BS9" s="30">
        <f>IF(BR9="NO",5,0)</f>
        <v/>
      </c>
      <c r="BT9" s="30" t="inlineStr">
        <is>
          <t>Between 1.5 to 2</t>
        </is>
      </c>
      <c r="BU9" s="30">
        <f>IF(BT9="Above 2",0,IF(BT9="Between 1.5 to 2",5,IF(BT9="Less than 1.5",10,0)))</f>
        <v/>
      </c>
      <c r="BV9" s="30" t="inlineStr">
        <is>
          <t>Between 50% to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21</t>
        </is>
      </c>
      <c r="CG9" s="30">
        <f>IF(CF9&gt;20,10,IF(CF9&gt;=10,5,2))</f>
        <v/>
      </c>
    </row>
    <row r="10">
      <c r="A10" s="30">
        <f>IF(B10=0,"",RANK(B10,$B$2:$B$96,0))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0" t="inlineStr">
        <is>
          <t>GVT&amp;D</t>
        </is>
      </c>
      <c r="D10" s="30" t="inlineStr">
        <is>
          <t>GE Vernova T&amp;D India Ltd</t>
        </is>
      </c>
      <c r="E10" s="30" t="inlineStr">
        <is>
          <t>industrials</t>
        </is>
      </c>
      <c r="F10" s="30" t="inlineStr">
        <is>
          <t>Electrical Equipments/HVDC</t>
        </is>
      </c>
      <c r="G10" s="30" t="inlineStr">
        <is>
          <t>largecap</t>
        </is>
      </c>
      <c r="H10" s="31" t="n">
        <v>129738.78</v>
      </c>
      <c r="I10" s="31" t="n">
        <v>5067</v>
      </c>
      <c r="J10" s="31" t="n">
        <v>-0.38</v>
      </c>
      <c r="K10" s="31" t="n">
        <v>0</v>
      </c>
      <c r="L10" s="30" t="n">
        <v>78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72.90000000000001</v>
      </c>
      <c r="P10" s="31" t="n">
        <v>49.15</v>
      </c>
      <c r="Q10" s="31" t="n">
        <v>3909.27</v>
      </c>
      <c r="R10" s="30" t="inlineStr">
        <is>
          <t>Near 52W High Breakout</t>
        </is>
      </c>
      <c r="S10" s="30" t="inlineStr">
        <is>
          <t>Nifty 500</t>
        </is>
      </c>
      <c r="T10" s="31" t="n">
        <v>-3.02</v>
      </c>
      <c r="U10" s="31" t="n">
        <v>119.21</v>
      </c>
      <c r="V10" s="31" t="n">
        <v>126.04</v>
      </c>
      <c r="W10" s="31" t="n">
        <v>24.26</v>
      </c>
      <c r="X10" s="30" t="inlineStr">
        <is>
          <t>Cyclical in an Upturn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Yes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21</t>
        </is>
      </c>
      <c r="CG10" s="30">
        <f>IF(CF10&gt;20,10,IF(CF10&gt;=10,5,2))</f>
        <v/>
      </c>
    </row>
    <row r="11">
      <c r="A11" s="30">
        <f>IF(B11=0,"",RANK(B11,$B$2:$B$96,0))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3" t="inlineStr">
        <is>
          <t>ATHERENERG</t>
        </is>
      </c>
      <c r="D11" s="33" t="inlineStr">
        <is>
          <t>Ather Energy Ltd</t>
        </is>
      </c>
      <c r="E11" s="30" t="inlineStr">
        <is>
          <t>auto</t>
        </is>
      </c>
      <c r="F11" s="30" t="inlineStr">
        <is>
          <t>Auto - 2 &amp; 3 Wheelers</t>
        </is>
      </c>
      <c r="G11" s="30" t="inlineStr">
        <is>
          <t>largecap</t>
        </is>
      </c>
      <c r="H11" s="31" t="n">
        <v>39599.38</v>
      </c>
      <c r="I11" s="31" t="n">
        <v>1033.6</v>
      </c>
      <c r="J11" s="31" t="n">
        <v>4.6</v>
      </c>
      <c r="K11" s="31" t="n">
        <v>0</v>
      </c>
      <c r="L11" s="30" t="n">
        <v>93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73.7</v>
      </c>
      <c r="P11" s="31" t="n">
        <v>45.08</v>
      </c>
      <c r="Q11" s="31" t="n">
        <v>780.66</v>
      </c>
      <c r="R11" s="30" t="inlineStr">
        <is>
          <t>Near 52W High Breakout</t>
        </is>
      </c>
      <c r="S11" s="30" t="inlineStr">
        <is>
          <t>Nifty Auto</t>
        </is>
      </c>
      <c r="T11" s="31" t="n">
        <v>10.59</v>
      </c>
      <c r="U11" s="31" t="n">
        <v>234.5</v>
      </c>
      <c r="V11" s="31" t="n">
        <v>202.48</v>
      </c>
      <c r="W11" s="31" t="n">
        <v>40.67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No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One Time, Lower Annuity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Between 50 to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Negative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20</t>
        </is>
      </c>
      <c r="CG11" s="30">
        <f>IF(CF11&gt;20,10,IF(CF11&gt;=10,5,2))</f>
        <v/>
      </c>
    </row>
    <row r="12">
      <c r="A12" s="30">
        <f>IF(B12=0,"",RANK(B12,$B$2:$B$96,0))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0" t="inlineStr">
        <is>
          <t>KPL</t>
        </is>
      </c>
      <c r="D12" s="30" t="inlineStr">
        <is>
          <t>Kwality Pharmaceuticals Ltd</t>
        </is>
      </c>
      <c r="E12" s="30" t="inlineStr">
        <is>
          <t>Healthcare</t>
        </is>
      </c>
      <c r="F12" s="30" t="inlineStr">
        <is>
          <t>Pharma - Formulators</t>
        </is>
      </c>
      <c r="G12" s="30" t="inlineStr">
        <is>
          <t>smallcap</t>
        </is>
      </c>
      <c r="H12" s="31" t="n">
        <v>2469.54</v>
      </c>
      <c r="I12" s="31" t="n">
        <v>2380</v>
      </c>
      <c r="J12" s="31" t="n">
        <v>-0.12</v>
      </c>
      <c r="K12" s="31" t="n">
        <v>0</v>
      </c>
      <c r="L12" s="30" t="n">
        <v>92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78.28</v>
      </c>
      <c r="P12" s="31" t="n">
        <v>52.25</v>
      </c>
      <c r="Q12" s="31" t="n">
        <v>1720.13</v>
      </c>
      <c r="R12" s="30" t="inlineStr">
        <is>
          <t>Near 52W High Breakout</t>
        </is>
      </c>
      <c r="S12" s="30" t="inlineStr">
        <is>
          <t>Nifty Pharma</t>
        </is>
      </c>
      <c r="T12" s="31" t="n">
        <v>11.82</v>
      </c>
      <c r="U12" s="31" t="n">
        <v>155.52</v>
      </c>
      <c r="V12" s="31" t="n">
        <v>128.5</v>
      </c>
      <c r="W12" s="31" t="n">
        <v>37.04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Annuity, Lower One Time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Above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Less than 50%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27</t>
        </is>
      </c>
      <c r="CG12" s="30">
        <f>IF(CF12&gt;20,10,IF(CF12&gt;=10,5,2))</f>
        <v/>
      </c>
    </row>
    <row r="13">
      <c r="A13" s="30">
        <f>IF(B13=0,"",RANK(B13,$B$2:$B$96,0))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0" t="inlineStr">
        <is>
          <t>NGLFINE</t>
        </is>
      </c>
      <c r="D13" s="30" t="inlineStr">
        <is>
          <t>NGL Fine Chem Ltd</t>
        </is>
      </c>
      <c r="E13" s="30" t="inlineStr">
        <is>
          <t>healthcare</t>
        </is>
      </c>
      <c r="F13" s="30" t="inlineStr">
        <is>
          <t>Pharma - Animal</t>
        </is>
      </c>
      <c r="G13" s="30" t="inlineStr">
        <is>
          <t>smallcap</t>
        </is>
      </c>
      <c r="H13" s="31" t="n">
        <v>1694.38</v>
      </c>
      <c r="I13" s="31" t="n">
        <v>2742.6</v>
      </c>
      <c r="J13" s="31" t="n">
        <v>6.23</v>
      </c>
      <c r="K13" s="31" t="n">
        <v>0</v>
      </c>
      <c r="L13" s="30" t="n">
        <v>84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74.54000000000001</v>
      </c>
      <c r="P13" s="31" t="n">
        <v>66.68000000000001</v>
      </c>
      <c r="Q13" s="31" t="n">
        <v>1819.57</v>
      </c>
      <c r="R13" s="30" t="inlineStr">
        <is>
          <t>Near 52W High Breakout</t>
        </is>
      </c>
      <c r="S13" s="30" t="inlineStr">
        <is>
          <t>Nifty Pharma</t>
        </is>
      </c>
      <c r="T13" s="31" t="n">
        <v>11.82</v>
      </c>
      <c r="U13" s="31" t="n">
        <v>159.16</v>
      </c>
      <c r="V13" s="31" t="n">
        <v>131.76</v>
      </c>
      <c r="W13" s="31" t="n">
        <v>28.33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Annuity, Lower One Time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Above 2</t>
        </is>
      </c>
      <c r="BU13" s="30">
        <f>IF(BT13="Above 2",0,IF(BT13="Between 1.5 to 2",5,IF(BT13="Less than 1.5",10,0)))</f>
        <v/>
      </c>
      <c r="BV13" s="30" t="inlineStr">
        <is>
          <t>Between 50% to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23</t>
        </is>
      </c>
      <c r="CG13" s="30">
        <f>IF(CF13&gt;20,10,IF(CF13&gt;=10,5,2))</f>
        <v/>
      </c>
    </row>
    <row r="14">
      <c r="A14" s="30">
        <f>IF(B14=0,"",RANK(B14,$B$2:$B$96,0))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0" t="inlineStr">
        <is>
          <t>CUPID</t>
        </is>
      </c>
      <c r="D14" s="30" t="inlineStr">
        <is>
          <t>Cupid Ltd</t>
        </is>
      </c>
      <c r="E14" s="30" t="inlineStr">
        <is>
          <t>fmcg</t>
        </is>
      </c>
      <c r="F14" s="30" t="inlineStr">
        <is>
          <t>Contraceptives/Protectives</t>
        </is>
      </c>
      <c r="G14" s="30" t="inlineStr">
        <is>
          <t>midcap</t>
        </is>
      </c>
      <c r="H14" s="31" t="n">
        <v>18435.3</v>
      </c>
      <c r="I14" s="31" t="n">
        <v>137.1</v>
      </c>
      <c r="J14" s="31" t="n">
        <v>3.01</v>
      </c>
      <c r="K14" s="31" t="n">
        <v>0</v>
      </c>
      <c r="L14" s="30" t="n">
        <v>98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76.19</v>
      </c>
      <c r="P14" s="31" t="n">
        <v>40.67</v>
      </c>
      <c r="Q14" s="31" t="n">
        <v>104.14</v>
      </c>
      <c r="R14" s="30" t="inlineStr">
        <is>
          <t>Near 52W High Breakout</t>
        </is>
      </c>
      <c r="S14" s="30" t="inlineStr">
        <is>
          <t>Nifty FMCG</t>
        </is>
      </c>
      <c r="T14" s="31" t="n">
        <v>-13.44</v>
      </c>
      <c r="U14" s="31" t="n">
        <v>534.72</v>
      </c>
      <c r="V14" s="31" t="n">
        <v>633.28</v>
      </c>
      <c r="W14" s="31" t="n">
        <v>64.33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B2C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Annuity, Lower One Time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Above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Yes</t>
        </is>
      </c>
      <c r="BS14" s="30">
        <f>IF(BR14="NO",5,0)</f>
        <v/>
      </c>
      <c r="BT14" s="30" t="inlineStr">
        <is>
          <t>Above 2</t>
        </is>
      </c>
      <c r="BU14" s="30">
        <f>IF(BT14="Above 2",0,IF(BT14="Between 1.5 to 2",5,IF(BT14="Less than 1.5",10,0)))</f>
        <v/>
      </c>
      <c r="BV14" s="30" t="inlineStr">
        <is>
          <t>Less than 50%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21</t>
        </is>
      </c>
      <c r="CG14" s="30">
        <f>IF(CF14&gt;20,10,IF(CF14&gt;=10,5,2))</f>
        <v/>
      </c>
    </row>
    <row r="15">
      <c r="A15" s="30">
        <f>IF(B15=0,"",RANK(B15,$B$2:$B$96,0))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0" t="inlineStr">
        <is>
          <t>PGHL</t>
        </is>
      </c>
      <c r="D15" s="30" t="inlineStr">
        <is>
          <t>Procter &amp; Gamble Health Ltd</t>
        </is>
      </c>
      <c r="E15" s="30" t="inlineStr">
        <is>
          <t>healthcare</t>
        </is>
      </c>
      <c r="F15" s="30" t="inlineStr">
        <is>
          <t>Pharma - MNC bulk Drugs</t>
        </is>
      </c>
      <c r="G15" s="30" t="inlineStr">
        <is>
          <t>midcap</t>
        </is>
      </c>
      <c r="H15" s="31" t="n">
        <v>10291.62</v>
      </c>
      <c r="I15" s="31" t="n">
        <v>6200</v>
      </c>
      <c r="J15" s="31" t="n">
        <v>-0.02</v>
      </c>
      <c r="K15" s="31" t="n">
        <v>0</v>
      </c>
      <c r="L15" s="30" t="n">
        <v>36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74.12</v>
      </c>
      <c r="P15" s="31" t="n">
        <v>29.9</v>
      </c>
      <c r="Q15" s="31" t="n">
        <v>5206.24</v>
      </c>
      <c r="R15" s="30" t="inlineStr">
        <is>
          <t>Near 52W High Breakout</t>
        </is>
      </c>
      <c r="S15" s="30" t="inlineStr">
        <is>
          <t>Nifty Pharma</t>
        </is>
      </c>
      <c r="T15" s="31" t="n">
        <v>11.82</v>
      </c>
      <c r="U15" s="31" t="n">
        <v>15.67</v>
      </c>
      <c r="V15" s="31" t="n">
        <v>3.44</v>
      </c>
      <c r="W15" s="31" t="n">
        <v>9.460000000000001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Annuity, Lower One Time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20 to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19</t>
        </is>
      </c>
      <c r="CG15" s="30">
        <f>IF(CF15&gt;20,10,IF(CF15&gt;=10,5,2))</f>
        <v/>
      </c>
    </row>
    <row r="16">
      <c r="A16" s="30">
        <f>IF(B16=0,"",RANK(B16,$B$2:$B$96,0))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0" t="inlineStr">
        <is>
          <t>TIMEX</t>
        </is>
      </c>
      <c r="D16" s="30" t="inlineStr">
        <is>
          <t>Timex Group India Ltd</t>
        </is>
      </c>
      <c r="E16" s="30" t="inlineStr">
        <is>
          <t>Consumer Cyclical</t>
        </is>
      </c>
      <c r="F16" s="30" t="inlineStr">
        <is>
          <t>Watches</t>
        </is>
      </c>
      <c r="G16" s="30" t="inlineStr">
        <is>
          <t>smallcap</t>
        </is>
      </c>
      <c r="H16" s="31" t="n">
        <v>4418.58</v>
      </c>
      <c r="I16" s="31" t="n">
        <v>437.7</v>
      </c>
      <c r="J16" s="31" t="n">
        <v>0.44</v>
      </c>
      <c r="K16" s="31" t="n">
        <v>0</v>
      </c>
      <c r="L16" s="30" t="n">
        <v>81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69.34999999999999</v>
      </c>
      <c r="P16" s="31" t="n">
        <v>25.86</v>
      </c>
      <c r="Q16" s="31" t="n">
        <v>334.28</v>
      </c>
      <c r="R16" s="30" t="inlineStr">
        <is>
          <t>Near 52W High Breakout</t>
        </is>
      </c>
      <c r="S16" s="30" t="inlineStr">
        <is>
          <t>Nifty 50</t>
        </is>
      </c>
      <c r="T16" s="31" t="n">
        <v>-6.54</v>
      </c>
      <c r="U16" s="31" t="n">
        <v>61.66</v>
      </c>
      <c r="V16" s="31" t="n">
        <v>72.98</v>
      </c>
      <c r="W16" s="31" t="n">
        <v>25.4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B2C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20 to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Yes</t>
        </is>
      </c>
      <c r="BS16" s="30">
        <f>IF(BR16="NO",5,0)</f>
        <v/>
      </c>
      <c r="BT16" s="30" t="inlineStr">
        <is>
          <t>Above 2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23</t>
        </is>
      </c>
      <c r="CG16" s="30">
        <f>IF(CF16&gt;20,10,IF(CF16&gt;=10,5,2))</f>
        <v/>
      </c>
    </row>
    <row r="17">
      <c r="A17" s="30">
        <f>IF(B17=0,"",RANK(B17,$B$2:$B$96,0))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0" t="inlineStr">
        <is>
          <t>SYRMA</t>
        </is>
      </c>
      <c r="D17" s="30" t="inlineStr">
        <is>
          <t>Syrma SGS Technology Ltd</t>
        </is>
      </c>
      <c r="E17" s="30" t="inlineStr">
        <is>
          <t>consumer discretionary</t>
        </is>
      </c>
      <c r="F17" s="30" t="inlineStr">
        <is>
          <t>Consumer Electronics - EMS</t>
        </is>
      </c>
      <c r="G17" s="30" t="inlineStr">
        <is>
          <t>largecap</t>
        </is>
      </c>
      <c r="H17" s="31" t="n">
        <v>23656.44</v>
      </c>
      <c r="I17" s="31" t="n">
        <v>1226.8</v>
      </c>
      <c r="J17" s="31" t="n">
        <v>0.43</v>
      </c>
      <c r="K17" s="31" t="n">
        <v>0</v>
      </c>
      <c r="L17" s="30" t="n">
        <v>90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73.01000000000001</v>
      </c>
      <c r="P17" s="31" t="n">
        <v>29.35</v>
      </c>
      <c r="Q17" s="31" t="n">
        <v>942.45</v>
      </c>
      <c r="R17" s="30" t="inlineStr">
        <is>
          <t>Near 52W High Breakout</t>
        </is>
      </c>
      <c r="S17" s="30" t="inlineStr">
        <is>
          <t>Nifty 50</t>
        </is>
      </c>
      <c r="T17" s="31" t="n">
        <v>-6.54</v>
      </c>
      <c r="U17" s="31" t="n">
        <v>129.78</v>
      </c>
      <c r="V17" s="31" t="n">
        <v>145.87</v>
      </c>
      <c r="W17" s="31" t="n">
        <v>33.93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20 to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Yes</t>
        </is>
      </c>
      <c r="BS17" s="30">
        <f>IF(BR17="NO",5,0)</f>
        <v/>
      </c>
      <c r="BT17" s="30" t="inlineStr">
        <is>
          <t>Between 1.5 to 2</t>
        </is>
      </c>
      <c r="BU17" s="30">
        <f>IF(BT17="Above 2",0,IF(BT17="Between 1.5 to 2",5,IF(BT17="Less than 1.5",10,0)))</f>
        <v/>
      </c>
      <c r="BV17" s="30" t="inlineStr">
        <is>
          <t>Between 50% to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22</t>
        </is>
      </c>
      <c r="CG17" s="30">
        <f>IF(CF17&gt;20,10,IF(CF17&gt;=10,5,2))</f>
        <v/>
      </c>
    </row>
    <row r="18">
      <c r="A18" s="30">
        <f>IF(B18=0,"",RANK(B18,$B$2:$B$96,0))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0" t="inlineStr">
        <is>
          <t>POWERINDIA</t>
        </is>
      </c>
      <c r="D18" s="30" t="inlineStr">
        <is>
          <t>Hitachi Energy India Ltd</t>
        </is>
      </c>
      <c r="E18" s="30" t="inlineStr">
        <is>
          <t>industrials</t>
        </is>
      </c>
      <c r="F18" s="30" t="inlineStr">
        <is>
          <t>Electrical Equipments/HVDC</t>
        </is>
      </c>
      <c r="G18" s="30" t="inlineStr">
        <is>
          <t>largecap</t>
        </is>
      </c>
      <c r="H18" s="31" t="n">
        <v>164338.3</v>
      </c>
      <c r="I18" s="31" t="n">
        <v>36870</v>
      </c>
      <c r="J18" s="31" t="n">
        <v>0.9399999999999999</v>
      </c>
      <c r="K18" s="31" t="n">
        <v>0</v>
      </c>
      <c r="L18" s="30" t="n">
        <v>80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74.52</v>
      </c>
      <c r="P18" s="31" t="n">
        <v>59.34</v>
      </c>
      <c r="Q18" s="31" t="n">
        <v>30708.13</v>
      </c>
      <c r="R18" s="30" t="inlineStr">
        <is>
          <t>Near 52W High Breakout</t>
        </is>
      </c>
      <c r="S18" s="30" t="inlineStr">
        <is>
          <t>Nifty 50</t>
        </is>
      </c>
      <c r="T18" s="31" t="n">
        <v>-6.54</v>
      </c>
      <c r="U18" s="31" t="n">
        <v>102.61</v>
      </c>
      <c r="V18" s="31" t="n">
        <v>116.8</v>
      </c>
      <c r="W18" s="31" t="n">
        <v>25.02</v>
      </c>
      <c r="X18" s="30" t="inlineStr">
        <is>
          <t>Cyclical in an Upturn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Yes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Above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19</t>
        </is>
      </c>
      <c r="CG18" s="30">
        <f>IF(CF18&gt;20,10,IF(CF18&gt;=10,5,2))</f>
        <v/>
      </c>
    </row>
    <row r="19">
      <c r="A19" s="30">
        <f>IF(B19=0,"",RANK(B19,$B$2:$B$96,0))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SEAMECLTD</t>
        </is>
      </c>
      <c r="D19" s="30" t="inlineStr">
        <is>
          <t>SEAMEC Ltd</t>
        </is>
      </c>
      <c r="E19" s="30" t="inlineStr">
        <is>
          <t>Industrials</t>
        </is>
      </c>
      <c r="F19" s="30" t="inlineStr">
        <is>
          <t>Shipping</t>
        </is>
      </c>
      <c r="G19" s="30" t="inlineStr">
        <is>
          <t>smallcap</t>
        </is>
      </c>
      <c r="H19" s="31" t="n">
        <v>4032.66</v>
      </c>
      <c r="I19" s="31" t="n">
        <v>1586.1</v>
      </c>
      <c r="J19" s="31" t="n">
        <v>-2.94</v>
      </c>
      <c r="K19" s="31" t="n">
        <v>0</v>
      </c>
      <c r="L19" s="30" t="n">
        <v>62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69.69</v>
      </c>
      <c r="P19" s="31" t="n">
        <v>55.53</v>
      </c>
      <c r="Q19" s="31" t="n">
        <v>1242.21</v>
      </c>
      <c r="R19" s="30" t="inlineStr">
        <is>
          <t>Near 52W High Breakout</t>
        </is>
      </c>
      <c r="S19" s="30" t="inlineStr">
        <is>
          <t>Nifty 50</t>
        </is>
      </c>
      <c r="T19" s="31" t="n">
        <v>-6.54</v>
      </c>
      <c r="U19" s="31" t="n">
        <v>80.54000000000001</v>
      </c>
      <c r="V19" s="31" t="n">
        <v>93.18000000000001</v>
      </c>
      <c r="W19" s="31" t="n">
        <v>16.68</v>
      </c>
      <c r="X19" s="30" t="inlineStr">
        <is>
          <t>Cyclical in an Upturn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One Time, Lower Annuity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Above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19</t>
        </is>
      </c>
      <c r="CG19" s="30">
        <f>IF(CF19&gt;20,10,IF(CF19&gt;=10,5,2))</f>
        <v/>
      </c>
    </row>
    <row r="20">
      <c r="A20" s="30">
        <f>IF(B20=0,"",RANK(B20,$B$2:$B$96,0))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GVPIL</t>
        </is>
      </c>
      <c r="D20" s="30" t="inlineStr">
        <is>
          <t>GE Power India Ltd</t>
        </is>
      </c>
      <c r="E20" s="30" t="inlineStr">
        <is>
          <t>realty</t>
        </is>
      </c>
      <c r="F20" s="30" t="inlineStr">
        <is>
          <t>Infra - General</t>
        </is>
      </c>
      <c r="G20" s="30" t="inlineStr">
        <is>
          <t>midcap</t>
        </is>
      </c>
      <c r="H20" s="31" t="n">
        <v>5943.58</v>
      </c>
      <c r="I20" s="31" t="n">
        <v>884.1</v>
      </c>
      <c r="J20" s="31" t="n">
        <v>-2.58</v>
      </c>
      <c r="K20" s="31" t="n">
        <v>0</v>
      </c>
      <c r="L20" s="30" t="n">
        <v>95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87.09999999999999</v>
      </c>
      <c r="P20" s="31" t="n">
        <v>53.92</v>
      </c>
      <c r="Q20" s="31" t="n">
        <v>668.48</v>
      </c>
      <c r="R20" s="30" t="inlineStr">
        <is>
          <t>Volume Spike &amp; Near 52W High Breakout</t>
        </is>
      </c>
      <c r="S20" s="30" t="inlineStr">
        <is>
          <t>Nifty Realty</t>
        </is>
      </c>
      <c r="T20" s="31" t="n">
        <v>-26.04</v>
      </c>
      <c r="U20" s="31" t="n">
        <v>224.26</v>
      </c>
      <c r="V20" s="31" t="n">
        <v>338.42</v>
      </c>
      <c r="W20" s="31" t="n">
        <v>50.6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Duopoly That Cooperate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Shallow Cyclical (2 to 3 Years Growth)</t>
        </is>
      </c>
      <c r="AG20" s="30">
        <f>IF(AF20="Structural (10 Years Consistency)",10,IF(AF20="Shallow Cyclical (2 to 3 years growth)",5,0))</f>
        <v/>
      </c>
      <c r="AH20" s="30" t="inlineStr">
        <is>
          <t>Yes due to Product Mix change or Operating Leverage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B2C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Fully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only for next 1 to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Above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Close to 52 week high or retracement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Yes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Between 50% to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Between 0.7 to 1.2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22</t>
        </is>
      </c>
      <c r="CG20" s="30">
        <f>IF(CF20&gt;20,10,IF(CF20&gt;=10,5,2))</f>
        <v/>
      </c>
    </row>
    <row r="21">
      <c r="A21" s="30">
        <f>IF(B21=0,"",RANK(B21,$B$2:$B$96,0))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0" t="inlineStr">
        <is>
          <t>GLAND</t>
        </is>
      </c>
      <c r="D21" s="30" t="inlineStr">
        <is>
          <t>Gland Pharma Ltd</t>
        </is>
      </c>
      <c r="E21" s="30" t="inlineStr">
        <is>
          <t>healthcare</t>
        </is>
      </c>
      <c r="F21" s="30" t="inlineStr">
        <is>
          <t>Pharma - API &amp; CRAMS</t>
        </is>
      </c>
      <c r="G21" s="30" t="inlineStr">
        <is>
          <t>largecap</t>
        </is>
      </c>
      <c r="H21" s="31" t="n">
        <v>37495.34</v>
      </c>
      <c r="I21" s="31" t="n">
        <v>2273</v>
      </c>
      <c r="J21" s="31" t="n">
        <v>2.41</v>
      </c>
      <c r="K21" s="31" t="n">
        <v>0</v>
      </c>
      <c r="L21" s="30" t="n">
        <v>58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69.06</v>
      </c>
      <c r="P21" s="31" t="n">
        <v>25.77</v>
      </c>
      <c r="Q21" s="31" t="n">
        <v>1879.64</v>
      </c>
      <c r="R21" s="30" t="inlineStr">
        <is>
          <t>Near 52W High Breakout</t>
        </is>
      </c>
      <c r="S21" s="30" t="inlineStr">
        <is>
          <t>Nifty Pharma</t>
        </is>
      </c>
      <c r="T21" s="31" t="n">
        <v>11.82</v>
      </c>
      <c r="U21" s="31" t="n">
        <v>39.72</v>
      </c>
      <c r="V21" s="31" t="n">
        <v>24.95</v>
      </c>
      <c r="W21" s="31" t="n">
        <v>15.31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Annuity, Lower One Time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20 to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Between 50% to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22</t>
        </is>
      </c>
      <c r="CG21" s="30">
        <f>IF(CF21&gt;20,10,IF(CF21&gt;=10,5,2))</f>
        <v/>
      </c>
    </row>
    <row r="22">
      <c r="A22" s="30">
        <f>IF(B22=0,"",RANK(B22,$B$2:$B$96,0))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0" t="inlineStr">
        <is>
          <t>IOLCP</t>
        </is>
      </c>
      <c r="D22" s="30" t="inlineStr">
        <is>
          <t>IOL Chemicals &amp; Pharmaceuticals Ltd</t>
        </is>
      </c>
      <c r="E22" s="30" t="inlineStr">
        <is>
          <t>healthcare</t>
        </is>
      </c>
      <c r="F22" s="30" t="inlineStr">
        <is>
          <t>Pharma - API &amp; CRAMS</t>
        </is>
      </c>
      <c r="G22" s="30" t="inlineStr">
        <is>
          <t>smallcap</t>
        </is>
      </c>
      <c r="H22" s="31" t="n">
        <v>3865.17</v>
      </c>
      <c r="I22" s="31" t="n">
        <v>131.68</v>
      </c>
      <c r="J22" s="31" t="n">
        <v>-3.29</v>
      </c>
      <c r="K22" s="31" t="n">
        <v>0</v>
      </c>
      <c r="L22" s="30" t="n">
        <v>84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80.23999999999999</v>
      </c>
      <c r="P22" s="31" t="n">
        <v>35.4</v>
      </c>
      <c r="Q22" s="31" t="n">
        <v>98.84</v>
      </c>
      <c r="R22" s="30" t="inlineStr">
        <is>
          <t>Near 52W High Breakout</t>
        </is>
      </c>
      <c r="S22" s="30" t="inlineStr">
        <is>
          <t>Nifty Pharma</t>
        </is>
      </c>
      <c r="T22" s="31" t="n">
        <v>11.82</v>
      </c>
      <c r="U22" s="31" t="n">
        <v>50.4</v>
      </c>
      <c r="V22" s="31" t="n">
        <v>34.5</v>
      </c>
      <c r="W22" s="31" t="n">
        <v>28.23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Annuity, Lower One Time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20 to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19</t>
        </is>
      </c>
      <c r="CG22" s="30">
        <f>IF(CF22&gt;20,10,IF(CF22&gt;=10,5,2))</f>
        <v/>
      </c>
    </row>
    <row r="23">
      <c r="A23" s="30">
        <f>IF(B23=0,"",RANK(B23,$B$2:$B$96,0))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0" t="inlineStr">
        <is>
          <t>MODISONLTD</t>
        </is>
      </c>
      <c r="D23" s="30" t="inlineStr">
        <is>
          <t>Modison Ltd</t>
        </is>
      </c>
      <c r="E23" s="30" t="inlineStr">
        <is>
          <t>industrials</t>
        </is>
      </c>
      <c r="F23" s="30" t="inlineStr">
        <is>
          <t>Capital Goods - Electric General</t>
        </is>
      </c>
      <c r="G23" s="30" t="inlineStr">
        <is>
          <t>smallcap</t>
        </is>
      </c>
      <c r="H23" s="31" t="n">
        <v>1176.96</v>
      </c>
      <c r="I23" s="31" t="n">
        <v>362.7</v>
      </c>
      <c r="J23" s="31" t="n">
        <v>4.99</v>
      </c>
      <c r="K23" s="31" t="n">
        <v>0</v>
      </c>
      <c r="L23" s="30" t="n">
        <v>98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87.36</v>
      </c>
      <c r="P23" s="31" t="n">
        <v>29.03</v>
      </c>
      <c r="Q23" s="31" t="n">
        <v>279.43</v>
      </c>
      <c r="R23" s="30" t="inlineStr">
        <is>
          <t>Near 52W High Breakout</t>
        </is>
      </c>
      <c r="S23" s="30" t="inlineStr">
        <is>
          <t>Nifty 50</t>
        </is>
      </c>
      <c r="T23" s="31" t="n">
        <v>-6.54</v>
      </c>
      <c r="U23" s="31" t="n">
        <v>129.78</v>
      </c>
      <c r="V23" s="31" t="n">
        <v>145.87</v>
      </c>
      <c r="W23" s="31" t="n">
        <v>67.47</v>
      </c>
      <c r="X23" s="30" t="inlineStr">
        <is>
          <t>Cyclical in an Upturn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20 to 40</t>
        </is>
      </c>
      <c r="AY23" s="30">
        <f>IF(AX23="Above 40",20,IF(AX23="20 to 40",10,IF(AX23="0 to 20",-5,0)))</f>
        <v/>
      </c>
      <c r="AZ23" s="30" t="inlineStr">
        <is>
          <t>Above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Above 2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31</t>
        </is>
      </c>
      <c r="CG23" s="30">
        <f>IF(CF23&gt;20,10,IF(CF23&gt;=10,5,2))</f>
        <v/>
      </c>
    </row>
    <row r="24">
      <c r="A24" s="30">
        <f>IF(B24=0,"",RANK(B24,$B$2:$B$96,0))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0" t="inlineStr">
        <is>
          <t>CEMPRO</t>
        </is>
      </c>
      <c r="D24" s="30" t="inlineStr">
        <is>
          <t>Cemindia Projects Ltd</t>
        </is>
      </c>
      <c r="E24" s="30" t="inlineStr">
        <is>
          <t>realty</t>
        </is>
      </c>
      <c r="F24" s="30" t="inlineStr">
        <is>
          <t>Infra - Construction &amp; Contracting</t>
        </is>
      </c>
      <c r="G24" s="30" t="inlineStr">
        <is>
          <t>midcap</t>
        </is>
      </c>
      <c r="H24" s="31" t="n">
        <v>19116.52</v>
      </c>
      <c r="I24" s="31" t="n">
        <v>1112.8</v>
      </c>
      <c r="J24" s="31" t="n">
        <v>-1.29</v>
      </c>
      <c r="K24" s="31" t="n">
        <v>0</v>
      </c>
      <c r="L24" s="30" t="n">
        <v>90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74.84</v>
      </c>
      <c r="P24" s="31" t="n">
        <v>35.37</v>
      </c>
      <c r="Q24" s="31" t="n">
        <v>841.63</v>
      </c>
      <c r="R24" s="30" t="inlineStr">
        <is>
          <t>Near 52W High Breakout</t>
        </is>
      </c>
      <c r="S24" s="30" t="inlineStr">
        <is>
          <t>Nifty Realty</t>
        </is>
      </c>
      <c r="T24" s="31" t="n">
        <v>-26.04</v>
      </c>
      <c r="U24" s="31" t="n">
        <v>49.18</v>
      </c>
      <c r="V24" s="31" t="n">
        <v>101.7</v>
      </c>
      <c r="W24" s="31" t="n">
        <v>34.56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20 to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Above 2</t>
        </is>
      </c>
      <c r="BU24" s="30">
        <f>IF(BT24="Above 2",0,IF(BT24="Between 1.5 to 2",5,IF(BT24="Less than 1.5",10,0)))</f>
        <v/>
      </c>
      <c r="BV24" s="30" t="inlineStr">
        <is>
          <t>Less than 50%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23</t>
        </is>
      </c>
      <c r="CG24" s="30">
        <f>IF(CF24&gt;20,10,IF(CF24&gt;=10,5,2))</f>
        <v/>
      </c>
    </row>
    <row r="25">
      <c r="A25" s="30">
        <f>IF(B25=0,"",RANK(B25,$B$2:$B$96,0))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0" t="inlineStr">
        <is>
          <t>AVALON</t>
        </is>
      </c>
      <c r="D25" s="30" t="inlineStr">
        <is>
          <t>Avalon Technologies Ltd</t>
        </is>
      </c>
      <c r="E25" s="30" t="inlineStr">
        <is>
          <t>consumer discretionary</t>
        </is>
      </c>
      <c r="F25" s="30" t="inlineStr">
        <is>
          <t>Consumer Electronics - EMS</t>
        </is>
      </c>
      <c r="G25" s="30" t="inlineStr">
        <is>
          <t>midcap</t>
        </is>
      </c>
      <c r="H25" s="31" t="n">
        <v>10738.79</v>
      </c>
      <c r="I25" s="31" t="n">
        <v>1607.9</v>
      </c>
      <c r="J25" s="31" t="n">
        <v>-1.82</v>
      </c>
      <c r="K25" s="31" t="n">
        <v>0</v>
      </c>
      <c r="L25" s="30" t="n">
        <v>86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74.42</v>
      </c>
      <c r="P25" s="31" t="n">
        <v>28.34</v>
      </c>
      <c r="Q25" s="31" t="n">
        <v>1155.27</v>
      </c>
      <c r="R25" s="30" t="inlineStr">
        <is>
          <t>Near 52W High Breakout</t>
        </is>
      </c>
      <c r="S25" s="30" t="inlineStr">
        <is>
          <t>Nifty 50</t>
        </is>
      </c>
      <c r="T25" s="31" t="n">
        <v>-6.54</v>
      </c>
      <c r="U25" s="31" t="n">
        <v>85.59</v>
      </c>
      <c r="V25" s="31" t="n">
        <v>98.59</v>
      </c>
      <c r="W25" s="31" t="n">
        <v>30.7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20 to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Yes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Less than 50%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22</t>
        </is>
      </c>
      <c r="CG25" s="30">
        <f>IF(CF25&gt;20,10,IF(CF25&gt;=10,5,2))</f>
        <v/>
      </c>
    </row>
    <row r="26">
      <c r="A26" s="30">
        <f>IF(B26=0,"",RANK(B26,$B$2:$B$96,0))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0" t="inlineStr">
        <is>
          <t>RPTECH</t>
        </is>
      </c>
      <c r="D26" s="30" t="inlineStr">
        <is>
          <t>Rashi Peripherals Ltd</t>
        </is>
      </c>
      <c r="E26" s="30" t="inlineStr">
        <is>
          <t>services</t>
        </is>
      </c>
      <c r="F26" s="30" t="inlineStr">
        <is>
          <t>Trading</t>
        </is>
      </c>
      <c r="G26" s="30" t="inlineStr">
        <is>
          <t>smallcap</t>
        </is>
      </c>
      <c r="H26" s="31" t="n">
        <v>3599.77</v>
      </c>
      <c r="I26" s="31" t="n">
        <v>546.25</v>
      </c>
      <c r="J26" s="31" t="n">
        <v>1.3</v>
      </c>
      <c r="K26" s="31" t="n">
        <v>0</v>
      </c>
      <c r="L26" s="30" t="n">
        <v>79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77.29000000000001</v>
      </c>
      <c r="P26" s="31" t="n">
        <v>45.85</v>
      </c>
      <c r="Q26" s="31" t="n">
        <v>420.2</v>
      </c>
      <c r="R26" s="30" t="inlineStr">
        <is>
          <t>Near 52W High Breakout</t>
        </is>
      </c>
      <c r="S26" s="30" t="inlineStr">
        <is>
          <t>Nifty 50</t>
        </is>
      </c>
      <c r="T26" s="31" t="n">
        <v>-6.54</v>
      </c>
      <c r="U26" s="31" t="n">
        <v>74.02</v>
      </c>
      <c r="V26" s="31" t="n">
        <v>86.20999999999999</v>
      </c>
      <c r="W26" s="31" t="n">
        <v>24.61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Above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Less than 50%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22</t>
        </is>
      </c>
      <c r="CG26" s="30">
        <f>IF(CF26&gt;20,10,IF(CF26&gt;=10,5,2))</f>
        <v/>
      </c>
    </row>
    <row r="27">
      <c r="A27" s="30">
        <f>IF(B27=0,"",RANK(B27,$B$2:$B$96,0))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3" t="inlineStr">
        <is>
          <t>TIPSMUSIC</t>
        </is>
      </c>
      <c r="D27" s="33" t="inlineStr">
        <is>
          <t>Tips Music Ltd</t>
        </is>
      </c>
      <c r="E27" s="30" t="inlineStr">
        <is>
          <t>media</t>
        </is>
      </c>
      <c r="F27" s="30" t="inlineStr">
        <is>
          <t>Music Licensing</t>
        </is>
      </c>
      <c r="G27" s="30" t="inlineStr">
        <is>
          <t>midcap</t>
        </is>
      </c>
      <c r="H27" s="31" t="n">
        <v>8832.52</v>
      </c>
      <c r="I27" s="31" t="n">
        <v>690.95</v>
      </c>
      <c r="J27" s="31" t="n">
        <v>2.8</v>
      </c>
      <c r="K27" s="31" t="n">
        <v>0</v>
      </c>
      <c r="L27" s="30" t="n">
        <v>35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67.37</v>
      </c>
      <c r="P27" s="31" t="n">
        <v>23.62</v>
      </c>
      <c r="Q27" s="31" t="n">
        <v>533.15</v>
      </c>
      <c r="R27" s="30" t="inlineStr">
        <is>
          <t>Near 52W High Breakout</t>
        </is>
      </c>
      <c r="S27" s="30" t="inlineStr">
        <is>
          <t>Nifty IT</t>
        </is>
      </c>
      <c r="T27" s="31" t="n">
        <v>-22.21</v>
      </c>
      <c r="U27" s="31" t="n">
        <v>3.32</v>
      </c>
      <c r="V27" s="31" t="n">
        <v>32.83</v>
      </c>
      <c r="W27" s="31" t="n">
        <v>9.07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One Time, Lower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20 to 40</t>
        </is>
      </c>
      <c r="AY27" s="30">
        <f>IF(AX27="Above 40",20,IF(AX27="20 to 40",10,IF(AX27="0 to 20",-5,0)))</f>
        <v/>
      </c>
      <c r="AZ27" s="30" t="inlineStr">
        <is>
          <t>Between 50 to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Close to 52 week high or retracement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Yes</t>
        </is>
      </c>
      <c r="BS27" s="30">
        <f>IF(BR27="NO",5,0)</f>
        <v/>
      </c>
      <c r="BT27" s="30" t="inlineStr">
        <is>
          <t>Less than 1.5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21</t>
        </is>
      </c>
      <c r="CG27" s="30">
        <f>IF(CF27&gt;20,10,IF(CF27&gt;=10,5,2))</f>
        <v/>
      </c>
    </row>
    <row r="28">
      <c r="A28" s="30">
        <f>IF(B28=0,"",RANK(B28,$B$2:$B$96,0))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0" t="inlineStr">
        <is>
          <t>ACUTAAS</t>
        </is>
      </c>
      <c r="D28" s="30" t="inlineStr">
        <is>
          <t>Acutaas Chemicals Ltd</t>
        </is>
      </c>
      <c r="E28" s="30" t="inlineStr">
        <is>
          <t>healthcare</t>
        </is>
      </c>
      <c r="F28" s="30" t="inlineStr">
        <is>
          <t>Pharma - API &amp; CRAMS</t>
        </is>
      </c>
      <c r="G28" s="30" t="inlineStr">
        <is>
          <t>largecap</t>
        </is>
      </c>
      <c r="H28" s="31" t="n">
        <v>27249.17</v>
      </c>
      <c r="I28" s="31" t="n">
        <v>3328.3</v>
      </c>
      <c r="J28" s="31" t="n">
        <v>5.17</v>
      </c>
      <c r="K28" s="31" t="n">
        <v>0</v>
      </c>
      <c r="L28" s="30" t="n">
        <v>90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79.45</v>
      </c>
      <c r="P28" s="31" t="n">
        <v>64.38</v>
      </c>
      <c r="Q28" s="31" t="n">
        <v>2603.5</v>
      </c>
      <c r="R28" s="30" t="inlineStr">
        <is>
          <t>Near 52W High Breakout</t>
        </is>
      </c>
      <c r="S28" s="30" t="inlineStr">
        <is>
          <t>Nifty Pharma</t>
        </is>
      </c>
      <c r="T28" s="31" t="n">
        <v>11.82</v>
      </c>
      <c r="U28" s="31" t="n">
        <v>192.13</v>
      </c>
      <c r="V28" s="31" t="n">
        <v>161.24</v>
      </c>
      <c r="W28" s="31" t="n">
        <v>34.55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Annuity, Lower One Time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Above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Yes</t>
        </is>
      </c>
      <c r="BS28" s="30">
        <f>IF(BR28="NO",5,0)</f>
        <v/>
      </c>
      <c r="BT28" s="30" t="inlineStr">
        <is>
          <t>Above 2</t>
        </is>
      </c>
      <c r="BU28" s="30">
        <f>IF(BT28="Above 2",0,IF(BT28="Between 1.5 to 2",5,IF(BT28="Less than 1.5",10,0)))</f>
        <v/>
      </c>
      <c r="BV28" s="30" t="inlineStr">
        <is>
          <t>Between 50% to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28</t>
        </is>
      </c>
      <c r="CG28" s="30">
        <f>IF(CF28&gt;20,10,IF(CF28&gt;=10,5,2))</f>
        <v/>
      </c>
    </row>
    <row r="29">
      <c r="A29" s="30">
        <f>IF(B29=0,"",RANK(B29,$B$2:$B$96,0))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0" t="inlineStr">
        <is>
          <t>KMCSHIL</t>
        </is>
      </c>
      <c r="D29" s="30" t="inlineStr">
        <is>
          <t>KMC Speciality Hospitals (India) Ltd</t>
        </is>
      </c>
      <c r="E29" s="30" t="inlineStr">
        <is>
          <t>Healthcare</t>
        </is>
      </c>
      <c r="F29" s="30" t="inlineStr">
        <is>
          <t>Hospitals</t>
        </is>
      </c>
      <c r="G29" s="30" t="inlineStr">
        <is>
          <t>smallcap</t>
        </is>
      </c>
      <c r="H29" s="31" t="n">
        <v>1867.32</v>
      </c>
      <c r="I29" s="31" t="n">
        <v>114.5</v>
      </c>
      <c r="J29" s="31" t="n">
        <v>-2.76</v>
      </c>
      <c r="K29" s="31" t="n">
        <v>0</v>
      </c>
      <c r="L29" s="30" t="n">
        <v>70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82.19</v>
      </c>
      <c r="P29" s="31" t="n">
        <v>49.48</v>
      </c>
      <c r="Q29" s="31" t="n">
        <v>90.54000000000001</v>
      </c>
      <c r="R29" s="30" t="inlineStr">
        <is>
          <t>Volume Spike &amp; Near 52W High Breakout</t>
        </is>
      </c>
      <c r="S29" s="30" t="inlineStr">
        <is>
          <t>Nifty Pharma</t>
        </is>
      </c>
      <c r="T29" s="31" t="n">
        <v>11.82</v>
      </c>
      <c r="U29" s="31" t="n">
        <v>71.05</v>
      </c>
      <c r="V29" s="31" t="n">
        <v>52.96</v>
      </c>
      <c r="W29" s="31" t="n">
        <v>19.69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Annuity, Lower One Time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Above 40</t>
        </is>
      </c>
      <c r="AY29" s="30">
        <f>IF(AX29="Above 40",20,IF(AX29="20 to 40",10,IF(AX29="0 to 20",-5,0)))</f>
        <v/>
      </c>
      <c r="AZ29" s="30" t="inlineStr">
        <is>
          <t>Above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Blue sky scenario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Above 2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28</t>
        </is>
      </c>
      <c r="CG29" s="30">
        <f>IF(CF29&gt;20,10,IF(CF29&gt;=10,5,2))</f>
        <v/>
      </c>
    </row>
    <row r="30">
      <c r="A30" s="30">
        <f>IF(B30=0,"",RANK(B30,$B$2:$B$96,0))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0" t="inlineStr">
        <is>
          <t>THANGAMAYL</t>
        </is>
      </c>
      <c r="D30" s="30" t="inlineStr">
        <is>
          <t>Thangamayil Jewellery Ltd</t>
        </is>
      </c>
      <c r="E30" s="30" t="inlineStr">
        <is>
          <t>consumer discretionary</t>
        </is>
      </c>
      <c r="F30" s="30" t="inlineStr">
        <is>
          <t>Diamond, Gems &amp; Jewellery</t>
        </is>
      </c>
      <c r="G30" s="30" t="inlineStr">
        <is>
          <t>midcap</t>
        </is>
      </c>
      <c r="H30" s="31" t="n">
        <v>16634.79</v>
      </c>
      <c r="I30" s="31" t="n">
        <v>5351.9</v>
      </c>
      <c r="J30" s="31" t="n">
        <v>-3.06</v>
      </c>
      <c r="K30" s="31" t="n">
        <v>0</v>
      </c>
      <c r="L30" s="30" t="n">
        <v>89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70.3</v>
      </c>
      <c r="P30" s="31" t="n">
        <v>39.59</v>
      </c>
      <c r="Q30" s="31" t="n">
        <v>3840.56</v>
      </c>
      <c r="R30" s="30" t="inlineStr">
        <is>
          <t>Volume Spike &amp; Near 52W High Breakout</t>
        </is>
      </c>
      <c r="S30" s="30" t="inlineStr">
        <is>
          <t>Nifty 50</t>
        </is>
      </c>
      <c r="T30" s="31" t="n">
        <v>-6.54</v>
      </c>
      <c r="U30" s="31" t="n">
        <v>181.48</v>
      </c>
      <c r="V30" s="31" t="n">
        <v>201.19</v>
      </c>
      <c r="W30" s="31" t="n">
        <v>33.32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Yes</t>
        </is>
      </c>
      <c r="BS30" s="30">
        <f>IF(BR30="NO",5,0)</f>
        <v/>
      </c>
      <c r="BT30" s="30" t="inlineStr">
        <is>
          <t>Above 2</t>
        </is>
      </c>
      <c r="BU30" s="30">
        <f>IF(BT30="Above 2",0,IF(BT30="Between 1.5 to 2",5,IF(BT30="Less than 1.5",10,0)))</f>
        <v/>
      </c>
      <c r="BV30" s="30" t="inlineStr">
        <is>
          <t>Between 50% to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31</t>
        </is>
      </c>
      <c r="CG30" s="30">
        <f>IF(CF30&gt;20,10,IF(CF30&gt;=10,5,2))</f>
        <v/>
      </c>
    </row>
    <row r="31">
      <c r="A31" s="30">
        <f>IF(B31=0,"",RANK(B31,$B$2:$B$96,0))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0" t="inlineStr">
        <is>
          <t>UNIPARTS</t>
        </is>
      </c>
      <c r="D31" s="30" t="inlineStr">
        <is>
          <t>Uniparts India Ltd</t>
        </is>
      </c>
      <c r="E31" s="30" t="inlineStr">
        <is>
          <t>industrials</t>
        </is>
      </c>
      <c r="F31" s="30" t="inlineStr">
        <is>
          <t>Castings, Forgings &amp; Fastners</t>
        </is>
      </c>
      <c r="G31" s="30" t="inlineStr">
        <is>
          <t>smallcap</t>
        </is>
      </c>
      <c r="H31" s="31" t="n">
        <v>2861.85</v>
      </c>
      <c r="I31" s="31" t="n">
        <v>633.95</v>
      </c>
      <c r="J31" s="31" t="n">
        <v>1.4</v>
      </c>
      <c r="K31" s="31" t="n">
        <v>0</v>
      </c>
      <c r="L31" s="30" t="n">
        <v>73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71.69</v>
      </c>
      <c r="P31" s="31" t="n">
        <v>30.78</v>
      </c>
      <c r="Q31" s="31" t="n">
        <v>486.31</v>
      </c>
      <c r="R31" s="30" t="inlineStr">
        <is>
          <t>Near 52W High Breakout</t>
        </is>
      </c>
      <c r="S31" s="30" t="inlineStr">
        <is>
          <t>Nifty 50</t>
        </is>
      </c>
      <c r="T31" s="31" t="n">
        <v>-6.54</v>
      </c>
      <c r="U31" s="31" t="n">
        <v>82.54000000000001</v>
      </c>
      <c r="V31" s="31" t="n">
        <v>95.31999999999999</v>
      </c>
      <c r="W31" s="31" t="n">
        <v>21.4</v>
      </c>
      <c r="X31" s="30" t="inlineStr">
        <is>
          <t>Cyclical in an Upturn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20 to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29</t>
        </is>
      </c>
      <c r="CG31" s="30">
        <f>IF(CF31&gt;20,10,IF(CF31&gt;=10,5,2))</f>
        <v/>
      </c>
    </row>
    <row r="32">
      <c r="A32" s="30">
        <f>IF(B32=0,"",RANK(B32,$B$2:$B$96,0))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SEKURITIND</t>
        </is>
      </c>
      <c r="D32" s="30" t="inlineStr">
        <is>
          <t>Saint-Gobain Sekurit India Ltd</t>
        </is>
      </c>
      <c r="E32" s="30" t="inlineStr">
        <is>
          <t>Consumer Cyclical</t>
        </is>
      </c>
      <c r="F32" s="30" t="inlineStr">
        <is>
          <t>Glass &amp; Glass Products</t>
        </is>
      </c>
      <c r="G32" s="30" t="inlineStr">
        <is>
          <t>smallcap</t>
        </is>
      </c>
      <c r="H32" s="31" t="n">
        <v>1211.25</v>
      </c>
      <c r="I32" s="31" t="n">
        <v>132.95</v>
      </c>
      <c r="J32" s="31" t="n">
        <v>5.14</v>
      </c>
      <c r="K32" s="31" t="n">
        <v>0</v>
      </c>
      <c r="L32" s="30" t="n">
        <v>51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75.93000000000001</v>
      </c>
      <c r="P32" s="31" t="n">
        <v>29.41</v>
      </c>
      <c r="Q32" s="31" t="n">
        <v>107.61</v>
      </c>
      <c r="R32" s="30" t="inlineStr">
        <is>
          <t>Volume Spike &amp; Near 52W High Breakout</t>
        </is>
      </c>
      <c r="S32" s="30" t="inlineStr">
        <is>
          <t>Nifty Auto</t>
        </is>
      </c>
      <c r="T32" s="31" t="n">
        <v>10.59</v>
      </c>
      <c r="U32" s="31" t="n">
        <v>23.41</v>
      </c>
      <c r="V32" s="31" t="n">
        <v>11.6</v>
      </c>
      <c r="W32" s="31" t="n">
        <v>13.19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B2C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20 to 40</t>
        </is>
      </c>
      <c r="AY32" s="30">
        <f>IF(AX32="Above 40",20,IF(AX32="20 to 40",10,IF(AX32="0 to 20",-5,0)))</f>
        <v/>
      </c>
      <c r="AZ32" s="30" t="inlineStr">
        <is>
          <t>Above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Close to 52 week high or retracement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Less than 1.5</t>
        </is>
      </c>
      <c r="BU32" s="30">
        <f>IF(BT32="Above 2",0,IF(BT32="Between 1.5 to 2",5,IF(BT32="Less than 1.5",10,0)))</f>
        <v/>
      </c>
      <c r="BV32" s="30" t="inlineStr">
        <is>
          <t>Between 50% to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26</t>
        </is>
      </c>
      <c r="CG32" s="30">
        <f>IF(CF32&gt;20,10,IF(CF32&gt;=10,5,2))</f>
        <v/>
      </c>
    </row>
    <row r="33">
      <c r="A33" s="30">
        <f>IF(B33=0,"",RANK(B33,$B$2:$B$96,0))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0" t="inlineStr">
        <is>
          <t>KERNEX</t>
        </is>
      </c>
      <c r="D33" s="30" t="inlineStr">
        <is>
          <t>Kernex Microsystems (India) Ltd</t>
        </is>
      </c>
      <c r="E33" s="30" t="inlineStr">
        <is>
          <t>consumer discretionary</t>
        </is>
      </c>
      <c r="F33" s="30" t="inlineStr">
        <is>
          <t>Railways - Kavach/Springs</t>
        </is>
      </c>
      <c r="G33" s="30" t="inlineStr">
        <is>
          <t>smallcap</t>
        </is>
      </c>
      <c r="H33" s="31" t="n">
        <v>3085.09</v>
      </c>
      <c r="I33" s="31" t="n">
        <v>1836.1</v>
      </c>
      <c r="J33" s="31" t="n">
        <v>-2.86</v>
      </c>
      <c r="K33" s="31" t="n">
        <v>0</v>
      </c>
      <c r="L33" s="30" t="n">
        <v>83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70.26000000000001</v>
      </c>
      <c r="P33" s="31" t="n">
        <v>27.28</v>
      </c>
      <c r="Q33" s="31" t="n">
        <v>1318.68</v>
      </c>
      <c r="R33" s="30" t="inlineStr">
        <is>
          <t>Volume Spike &amp; Near 52W High Breakout</t>
        </is>
      </c>
      <c r="S33" s="30" t="inlineStr">
        <is>
          <t>Nifty 50</t>
        </is>
      </c>
      <c r="T33" s="31" t="n">
        <v>-6.54</v>
      </c>
      <c r="U33" s="31" t="n">
        <v>49.11</v>
      </c>
      <c r="V33" s="31" t="n">
        <v>59.55</v>
      </c>
      <c r="W33" s="31" t="n">
        <v>27.6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20 to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Blue sky scenario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Less than 12%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Above 2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26</t>
        </is>
      </c>
      <c r="CG33" s="30">
        <f>IF(CF33&gt;20,10,IF(CF33&gt;=10,5,2))</f>
        <v/>
      </c>
    </row>
    <row r="34">
      <c r="A34" s="30">
        <f>IF(B34=0,"",RANK(B34,$B$2:$B$96,0))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0" t="inlineStr">
        <is>
          <t>RATEGAIN</t>
        </is>
      </c>
      <c r="D34" s="30" t="inlineStr">
        <is>
          <t>Rategain Travel Technologies Ltd</t>
        </is>
      </c>
      <c r="E34" s="30" t="inlineStr">
        <is>
          <t>i.t</t>
        </is>
      </c>
      <c r="F34" s="30" t="inlineStr">
        <is>
          <t>IT Product Companies</t>
        </is>
      </c>
      <c r="G34" s="30" t="inlineStr">
        <is>
          <t>midcap</t>
        </is>
      </c>
      <c r="H34" s="31" t="n">
        <v>8965.209999999999</v>
      </c>
      <c r="I34" s="31" t="n">
        <v>758.7</v>
      </c>
      <c r="J34" s="31" t="n">
        <v>-1.6</v>
      </c>
      <c r="K34" s="31" t="n">
        <v>0</v>
      </c>
      <c r="L34" s="30" t="n">
        <v>82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70.48999999999999</v>
      </c>
      <c r="P34" s="31" t="n">
        <v>25.5</v>
      </c>
      <c r="Q34" s="31" t="n">
        <v>575.59</v>
      </c>
      <c r="R34" s="30" t="inlineStr">
        <is>
          <t>Near 52W High Breakout</t>
        </is>
      </c>
      <c r="S34" s="30" t="inlineStr">
        <is>
          <t>Nifty IT</t>
        </is>
      </c>
      <c r="T34" s="31" t="n">
        <v>-22.21</v>
      </c>
      <c r="U34" s="31" t="n">
        <v>70.48999999999999</v>
      </c>
      <c r="V34" s="31" t="n">
        <v>119.18</v>
      </c>
      <c r="W34" s="31" t="n">
        <v>26.96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20 to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Close to 52 week high or retracement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Between 1.5 to 2</t>
        </is>
      </c>
      <c r="BU34" s="30">
        <f>IF(BT34="Above 2",0,IF(BT34="Between 1.5 to 2",5,IF(BT34="Less than 1.5",10,0)))</f>
        <v/>
      </c>
      <c r="BV34" s="30" t="inlineStr">
        <is>
          <t>Between 50% to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25</t>
        </is>
      </c>
      <c r="CG34" s="30">
        <f>IF(CF34&gt;20,10,IF(CF34&gt;=10,5,2))</f>
        <v/>
      </c>
    </row>
    <row r="35">
      <c r="A35" s="30">
        <f>IF(B35=0,"",RANK(B35,$B$2:$B$96,0))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0" t="inlineStr">
        <is>
          <t>MTARTECH</t>
        </is>
      </c>
      <c r="D35" s="30" t="inlineStr">
        <is>
          <t>MTAR Technologies Ltd</t>
        </is>
      </c>
      <c r="E35" s="30" t="inlineStr">
        <is>
          <t>aerospace &amp; defence</t>
        </is>
      </c>
      <c r="F35" s="30" t="inlineStr">
        <is>
          <t>Aerospace &amp; Defence - Equipments</t>
        </is>
      </c>
      <c r="G35" s="30" t="inlineStr">
        <is>
          <t>largecap</t>
        </is>
      </c>
      <c r="H35" s="31" t="n">
        <v>23178.89</v>
      </c>
      <c r="I35" s="31" t="n">
        <v>7535.5</v>
      </c>
      <c r="J35" s="31" t="n">
        <v>-2.84</v>
      </c>
      <c r="K35" s="31" t="n">
        <v>0</v>
      </c>
      <c r="L35" s="30" t="n">
        <v>97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81.87</v>
      </c>
      <c r="P35" s="31" t="n">
        <v>64.09999999999999</v>
      </c>
      <c r="Q35" s="31" t="n">
        <v>5930.69</v>
      </c>
      <c r="R35" s="30" t="inlineStr">
        <is>
          <t>Earnings / Momentum Support</t>
        </is>
      </c>
      <c r="S35" s="30" t="inlineStr">
        <is>
          <t>Nifty 50</t>
        </is>
      </c>
      <c r="T35" s="31" t="n">
        <v>-6.54</v>
      </c>
      <c r="U35" s="31" t="n">
        <v>325.57</v>
      </c>
      <c r="V35" s="31" t="n">
        <v>355.37</v>
      </c>
      <c r="W35" s="31" t="n">
        <v>61.19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No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Above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Close to 52 week high or retracement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Yes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22</t>
        </is>
      </c>
      <c r="CG35" s="30">
        <f>IF(CF35&gt;20,10,IF(CF35&gt;=10,5,2))</f>
        <v/>
      </c>
    </row>
    <row r="36">
      <c r="A36" s="30">
        <f>IF(B36=0,"",RANK(B36,$B$2:$B$96,0))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0" t="inlineStr">
        <is>
          <t>GOCLCORP</t>
        </is>
      </c>
      <c r="D36" s="30" t="inlineStr">
        <is>
          <t>GOCL Corporation Ltd</t>
        </is>
      </c>
      <c r="E36" s="30" t="inlineStr">
        <is>
          <t>miscellaneous</t>
        </is>
      </c>
      <c r="F36" s="30" t="inlineStr">
        <is>
          <t>Lubricants</t>
        </is>
      </c>
      <c r="G36" s="30" t="inlineStr">
        <is>
          <t>smallcap</t>
        </is>
      </c>
      <c r="H36" s="31" t="n">
        <v>2036.69</v>
      </c>
      <c r="I36" s="31" t="n">
        <v>410.85</v>
      </c>
      <c r="J36" s="31" t="n">
        <v>-2.28</v>
      </c>
      <c r="K36" s="31" t="n">
        <v>0</v>
      </c>
      <c r="L36" s="30" t="n">
        <v>75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71.59999999999999</v>
      </c>
      <c r="P36" s="31" t="n">
        <v>25.3</v>
      </c>
      <c r="Q36" s="31" t="n">
        <v>300.25</v>
      </c>
      <c r="R36" s="30" t="inlineStr">
        <is>
          <t>Volume Spike &amp; Near 52W High Breakout</t>
        </is>
      </c>
      <c r="S36" s="30" t="inlineStr">
        <is>
          <t>Nifty 50</t>
        </is>
      </c>
      <c r="T36" s="31" t="n">
        <v>-6.54</v>
      </c>
      <c r="U36" s="31" t="n">
        <v>33.33</v>
      </c>
      <c r="V36" s="31" t="n">
        <v>42.67</v>
      </c>
      <c r="W36" s="31" t="n">
        <v>22.71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20 to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Close to 52 week high or retracement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Above 2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20</t>
        </is>
      </c>
      <c r="CG36" s="30">
        <f>IF(CF36&gt;20,10,IF(CF36&gt;=10,5,2))</f>
        <v/>
      </c>
    </row>
    <row r="37">
      <c r="A37" s="30">
        <f>IF(B37=0,"",RANK(B37,$B$2:$B$96,0))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3" t="inlineStr">
        <is>
          <t>RPEL</t>
        </is>
      </c>
      <c r="D37" s="33" t="inlineStr">
        <is>
          <t>Raghav Productivity Enhancers Ltd</t>
        </is>
      </c>
      <c r="E37" s="30" t="inlineStr">
        <is>
          <t>building materials</t>
        </is>
      </c>
      <c r="F37" s="30" t="inlineStr">
        <is>
          <t>Steel Products</t>
        </is>
      </c>
      <c r="G37" s="30" t="inlineStr">
        <is>
          <t>midcap</t>
        </is>
      </c>
      <c r="H37" s="31" t="n">
        <v>5134.07</v>
      </c>
      <c r="I37" s="31" t="n">
        <v>1118</v>
      </c>
      <c r="J37" s="31" t="n">
        <v>10.86</v>
      </c>
      <c r="K37" s="31" t="n">
        <v>0</v>
      </c>
      <c r="L37" s="30" t="n">
        <v>83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74.29000000000001</v>
      </c>
      <c r="P37" s="31" t="n">
        <v>28.7</v>
      </c>
      <c r="Q37" s="31" t="n">
        <v>838.27</v>
      </c>
      <c r="R37" s="30" t="inlineStr">
        <is>
          <t>Near 52W High Breakout</t>
        </is>
      </c>
      <c r="S37" s="30" t="inlineStr">
        <is>
          <t>Nifty Infra</t>
        </is>
      </c>
      <c r="T37" s="31" t="n">
        <v>1.11</v>
      </c>
      <c r="U37" s="31" t="n">
        <v>56.18</v>
      </c>
      <c r="V37" s="31" t="n">
        <v>54.46</v>
      </c>
      <c r="W37" s="31" t="n">
        <v>27.34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Yes</t>
        </is>
      </c>
      <c r="BS37" s="30">
        <f>IF(BR37="NO",5,0)</f>
        <v/>
      </c>
      <c r="BT37" s="30" t="inlineStr">
        <is>
          <t>Between 1.5 to 2</t>
        </is>
      </c>
      <c r="BU37" s="30">
        <f>IF(BT37="Above 2",0,IF(BT37="Between 1.5 to 2",5,IF(BT37="Less than 1.5",10,0)))</f>
        <v/>
      </c>
      <c r="BV37" s="30" t="inlineStr">
        <is>
          <t>Less than 50%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20</t>
        </is>
      </c>
      <c r="CG37" s="30">
        <f>IF(CF37&gt;20,10,IF(CF37&gt;=10,5,2))</f>
        <v/>
      </c>
    </row>
    <row r="38">
      <c r="A38" s="30">
        <f>IF(B38=0,"",RANK(B38,$B$2:$B$96,0))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0" t="inlineStr">
        <is>
          <t>SPARC</t>
        </is>
      </c>
      <c r="D38" s="30" t="inlineStr">
        <is>
          <t>Sun Pharma Advanced Research Company Ltd</t>
        </is>
      </c>
      <c r="E38" s="30" t="inlineStr">
        <is>
          <t>healthcare</t>
        </is>
      </c>
      <c r="F38" s="30" t="inlineStr">
        <is>
          <t>Pharma - Others</t>
        </is>
      </c>
      <c r="G38" s="30" t="inlineStr">
        <is>
          <t>midcap</t>
        </is>
      </c>
      <c r="H38" s="31" t="n">
        <v>6906.47</v>
      </c>
      <c r="I38" s="31" t="n">
        <v>212.82</v>
      </c>
      <c r="J38" s="31" t="n">
        <v>-0.07000000000000001</v>
      </c>
      <c r="K38" s="31" t="n">
        <v>0</v>
      </c>
      <c r="L38" s="30" t="n">
        <v>76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74.19</v>
      </c>
      <c r="P38" s="31" t="n">
        <v>43.38</v>
      </c>
      <c r="Q38" s="31" t="n">
        <v>145.34</v>
      </c>
      <c r="R38" s="30" t="inlineStr">
        <is>
          <t>Near 52W High Breakout</t>
        </is>
      </c>
      <c r="S38" s="30" t="inlineStr">
        <is>
          <t>Nifty Pharma</t>
        </is>
      </c>
      <c r="T38" s="31" t="n">
        <v>11.82</v>
      </c>
      <c r="U38" s="31" t="n">
        <v>28.55</v>
      </c>
      <c r="V38" s="31" t="n">
        <v>14.96</v>
      </c>
      <c r="W38" s="31" t="n">
        <v>23.5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Annuity, Lower One Time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Close to 52 week high or retracement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No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Negative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24</t>
        </is>
      </c>
      <c r="CG38" s="30">
        <f>IF(CF38&gt;20,10,IF(CF38&gt;=10,5,2))</f>
        <v/>
      </c>
    </row>
    <row r="39">
      <c r="A39" s="30">
        <f>IF(B39=0,"",RANK(B39,$B$2:$B$96,0))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0" t="inlineStr">
        <is>
          <t>SUPRIYA</t>
        </is>
      </c>
      <c r="D39" s="30" t="inlineStr">
        <is>
          <t>Supriya Lifescience Ltd</t>
        </is>
      </c>
      <c r="E39" s="30" t="inlineStr">
        <is>
          <t>healthcare</t>
        </is>
      </c>
      <c r="F39" s="30" t="inlineStr">
        <is>
          <t>Pharma - API &amp; CRAMS</t>
        </is>
      </c>
      <c r="G39" s="30" t="inlineStr">
        <is>
          <t>midcap</t>
        </is>
      </c>
      <c r="H39" s="31" t="n">
        <v>7629.37</v>
      </c>
      <c r="I39" s="31" t="n">
        <v>947.95</v>
      </c>
      <c r="J39" s="31" t="n">
        <v>-0.44</v>
      </c>
      <c r="K39" s="31" t="n">
        <v>0</v>
      </c>
      <c r="L39" s="30" t="n">
        <v>69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75.63</v>
      </c>
      <c r="P39" s="31" t="n">
        <v>31.75</v>
      </c>
      <c r="Q39" s="31" t="n">
        <v>735.54</v>
      </c>
      <c r="R39" s="30" t="inlineStr">
        <is>
          <t>Volume Spike &amp; Near 52W High Breakout</t>
        </is>
      </c>
      <c r="S39" s="30" t="inlineStr">
        <is>
          <t>Nifty Pharma</t>
        </is>
      </c>
      <c r="T39" s="31" t="n">
        <v>11.82</v>
      </c>
      <c r="U39" s="31" t="n">
        <v>37.48</v>
      </c>
      <c r="V39" s="31" t="n">
        <v>22.95</v>
      </c>
      <c r="W39" s="31" t="n">
        <v>19.02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Above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No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Between 50% to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23</t>
        </is>
      </c>
      <c r="CG39" s="30">
        <f>IF(CF39&gt;20,10,IF(CF39&gt;=10,5,2))</f>
        <v/>
      </c>
    </row>
    <row r="40">
      <c r="A40" s="30">
        <f>IF(B40=0,"",RANK(B40,$B$2:$B$96,0))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0" t="inlineStr">
        <is>
          <t>SKIPPER</t>
        </is>
      </c>
      <c r="D40" s="30" t="inlineStr">
        <is>
          <t>Skipper Ltd</t>
        </is>
      </c>
      <c r="E40" s="30" t="inlineStr">
        <is>
          <t>industrials</t>
        </is>
      </c>
      <c r="F40" s="30" t="inlineStr">
        <is>
          <t>Electrical Equipments/HVDC</t>
        </is>
      </c>
      <c r="G40" s="30" t="inlineStr">
        <is>
          <t>midcap</t>
        </is>
      </c>
      <c r="H40" s="31" t="n">
        <v>6286.09</v>
      </c>
      <c r="I40" s="31" t="n">
        <v>556.6</v>
      </c>
      <c r="J40" s="31" t="n">
        <v>-3.14</v>
      </c>
      <c r="K40" s="31" t="n">
        <v>0</v>
      </c>
      <c r="L40" s="30" t="n">
        <v>68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70.95</v>
      </c>
      <c r="P40" s="31" t="n">
        <v>32.76</v>
      </c>
      <c r="Q40" s="31" t="n">
        <v>414.08</v>
      </c>
      <c r="R40" s="30" t="inlineStr">
        <is>
          <t>Volume Spike &amp; Near 52W High Breakout</t>
        </is>
      </c>
      <c r="S40" s="30" t="inlineStr">
        <is>
          <t>Nifty 50</t>
        </is>
      </c>
      <c r="T40" s="31" t="n">
        <v>-6.54</v>
      </c>
      <c r="U40" s="31" t="n">
        <v>14.37</v>
      </c>
      <c r="V40" s="31" t="n">
        <v>22.38</v>
      </c>
      <c r="W40" s="31" t="n">
        <v>18.9</v>
      </c>
      <c r="X40" s="30" t="inlineStr">
        <is>
          <t>Cyclical in an Upturn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One Time, Lower Annuity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20 to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Close to 52 week high or retracement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No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Less than 50%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29</t>
        </is>
      </c>
      <c r="CG40" s="30">
        <f>IF(CF40&gt;20,10,IF(CF40&gt;=10,5,2))</f>
        <v/>
      </c>
    </row>
    <row r="41">
      <c r="A41" s="30">
        <f>IF(B41=0,"",RANK(B41,$B$2:$B$96,0))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0" t="inlineStr">
        <is>
          <t>WHEELS</t>
        </is>
      </c>
      <c r="D41" s="30" t="inlineStr">
        <is>
          <t>Wheels India Ltd</t>
        </is>
      </c>
      <c r="E41" s="30" t="inlineStr">
        <is>
          <t>auto</t>
        </is>
      </c>
      <c r="F41" s="30" t="inlineStr">
        <is>
          <t>Auto Ancillaries - Wheels</t>
        </is>
      </c>
      <c r="G41" s="30" t="inlineStr">
        <is>
          <t>smallcap</t>
        </is>
      </c>
      <c r="H41" s="31" t="n">
        <v>3634.9</v>
      </c>
      <c r="I41" s="31" t="n">
        <v>1487.7</v>
      </c>
      <c r="J41" s="31" t="n">
        <v>-2.68</v>
      </c>
      <c r="K41" s="31" t="n">
        <v>0</v>
      </c>
      <c r="L41" s="30" t="n">
        <v>87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69.42</v>
      </c>
      <c r="P41" s="31" t="n">
        <v>46.61</v>
      </c>
      <c r="Q41" s="31" t="n">
        <v>1300.75</v>
      </c>
      <c r="R41" s="30" t="inlineStr">
        <is>
          <t>Earnings / Momentum Support</t>
        </is>
      </c>
      <c r="S41" s="30" t="inlineStr">
        <is>
          <t>Nifty Auto</t>
        </is>
      </c>
      <c r="T41" s="31" t="n">
        <v>10.59</v>
      </c>
      <c r="U41" s="31" t="n">
        <v>102.69</v>
      </c>
      <c r="V41" s="31" t="n">
        <v>83.28</v>
      </c>
      <c r="W41" s="31" t="n">
        <v>31.44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No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Above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Close to 52 week high or retracement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Less than 12%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Above 2</t>
        </is>
      </c>
      <c r="BU41" s="30">
        <f>IF(BT41="Above 2",0,IF(BT41="Between 1.5 to 2",5,IF(BT41="Less than 1.5",10,0)))</f>
        <v/>
      </c>
      <c r="BV41" s="30" t="inlineStr">
        <is>
          <t>Above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22</t>
        </is>
      </c>
      <c r="CG41" s="30">
        <f>IF(CF41&gt;20,10,IF(CF41&gt;=10,5,2))</f>
        <v/>
      </c>
    </row>
    <row r="42">
      <c r="A42" s="30">
        <f>IF(B42=0,"",RANK(B42,$B$2:$B$96,0))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3" t="inlineStr">
        <is>
          <t>COCKERILL</t>
        </is>
      </c>
      <c r="D42" s="33" t="inlineStr">
        <is>
          <t>John Cockerill India Ltd</t>
        </is>
      </c>
      <c r="E42" s="30" t="inlineStr">
        <is>
          <t>Industrials</t>
        </is>
      </c>
      <c r="F42" s="30" t="inlineStr">
        <is>
          <t>Capital Goods - Engineering Heavy</t>
        </is>
      </c>
      <c r="G42" s="30" t="inlineStr">
        <is>
          <t>smallcap</t>
        </is>
      </c>
      <c r="H42" s="31" t="n">
        <v>4524.32</v>
      </c>
      <c r="I42" s="31" t="n">
        <v>9162.6</v>
      </c>
      <c r="J42" s="31" t="n">
        <v>-1.58</v>
      </c>
      <c r="K42" s="31" t="n">
        <v>0</v>
      </c>
      <c r="L42" s="30" t="n">
        <v>93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81.36</v>
      </c>
      <c r="P42" s="31" t="n">
        <v>27.94</v>
      </c>
      <c r="Q42" s="31" t="n">
        <v>7007.39</v>
      </c>
      <c r="R42" s="30" t="inlineStr">
        <is>
          <t>Volume Spike &amp; Near 52W High Breakout</t>
        </is>
      </c>
      <c r="S42" s="30" t="inlineStr">
        <is>
          <t>Nifty Metal</t>
        </is>
      </c>
      <c r="T42" s="31" t="n">
        <v>40.56</v>
      </c>
      <c r="U42" s="31" t="n">
        <v>144.97</v>
      </c>
      <c r="V42" s="31" t="n">
        <v>74.29000000000001</v>
      </c>
      <c r="W42" s="31" t="n">
        <v>41.34</v>
      </c>
      <c r="X42" s="30" t="inlineStr">
        <is>
          <t>Cyclical in an Upturn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20 to 40</t>
        </is>
      </c>
      <c r="AY42" s="30">
        <f>IF(AX42="Above 40",20,IF(AX42="20 to 40",10,IF(AX42="0 to 20",-5,0)))</f>
        <v/>
      </c>
      <c r="AZ42" s="30" t="inlineStr">
        <is>
          <t>Above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22</t>
        </is>
      </c>
      <c r="CG42" s="30">
        <f>IF(CF42&gt;20,10,IF(CF42&gt;=10,5,2))</f>
        <v/>
      </c>
    </row>
    <row r="43">
      <c r="A43" s="30">
        <f>IF(B43=0,"",RANK(B43,$B$2:$B$96,0))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3" t="inlineStr">
        <is>
          <t>PARAS</t>
        </is>
      </c>
      <c r="D43" s="33" t="inlineStr">
        <is>
          <t>Paras Defence and Space Technologies Ltd</t>
        </is>
      </c>
      <c r="E43" s="30" t="inlineStr">
        <is>
          <t>aerospace &amp; defence</t>
        </is>
      </c>
      <c r="F43" s="30" t="inlineStr">
        <is>
          <t>Aerospace &amp; Defence - Equipments</t>
        </is>
      </c>
      <c r="G43" s="30" t="inlineStr">
        <is>
          <t>midcap</t>
        </is>
      </c>
      <c r="H43" s="31" t="n">
        <v>7737.59</v>
      </c>
      <c r="I43" s="31" t="n">
        <v>960.15</v>
      </c>
      <c r="J43" s="31" t="n">
        <v>7.42</v>
      </c>
      <c r="K43" s="31" t="n">
        <v>0</v>
      </c>
      <c r="L43" s="30" t="n">
        <v>37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67.20999999999999</v>
      </c>
      <c r="P43" s="31" t="n">
        <v>35.77</v>
      </c>
      <c r="Q43" s="31" t="n">
        <v>694.17</v>
      </c>
      <c r="R43" s="30" t="inlineStr">
        <is>
          <t>Volume Spike &amp; Near 52W High Breakout</t>
        </is>
      </c>
      <c r="S43" s="30" t="inlineStr">
        <is>
          <t>Nifty 50</t>
        </is>
      </c>
      <c r="T43" s="31" t="n">
        <v>-6.54</v>
      </c>
      <c r="U43" s="31" t="n">
        <v>16.68</v>
      </c>
      <c r="V43" s="31" t="n">
        <v>24.85</v>
      </c>
      <c r="W43" s="31" t="n">
        <v>9.92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20 to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Yes</t>
        </is>
      </c>
      <c r="BS43" s="30">
        <f>IF(BR43="NO",5,0)</f>
        <v/>
      </c>
      <c r="BT43" s="30" t="inlineStr">
        <is>
          <t>Less than 1.5</t>
        </is>
      </c>
      <c r="BU43" s="30">
        <f>IF(BT43="Above 2",0,IF(BT43="Between 1.5 to 2",5,IF(BT43="Less than 1.5",10,0)))</f>
        <v/>
      </c>
      <c r="BV43" s="30" t="inlineStr">
        <is>
          <t>Less than 50%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20</t>
        </is>
      </c>
      <c r="CG43" s="30">
        <f>IF(CF43&gt;20,10,IF(CF43&gt;=10,5,2))</f>
        <v/>
      </c>
    </row>
    <row r="44">
      <c r="A44" s="30">
        <f>IF(B44=0,"",RANK(B44,$B$2:$B$96,0))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0" t="inlineStr">
        <is>
          <t>ASTRAMICRO</t>
        </is>
      </c>
      <c r="D44" s="30" t="inlineStr">
        <is>
          <t>Astra Microwave Products Ltd</t>
        </is>
      </c>
      <c r="E44" s="30" t="inlineStr">
        <is>
          <t>aerospace &amp; defence</t>
        </is>
      </c>
      <c r="F44" s="30" t="inlineStr">
        <is>
          <t>Aerospace &amp; Defence - Equipments</t>
        </is>
      </c>
      <c r="G44" s="30" t="inlineStr">
        <is>
          <t>midcap</t>
        </is>
      </c>
      <c r="H44" s="31" t="n">
        <v>13477.44</v>
      </c>
      <c r="I44" s="31" t="n">
        <v>1419.5</v>
      </c>
      <c r="J44" s="31" t="n">
        <v>3.03</v>
      </c>
      <c r="K44" s="31" t="n">
        <v>0</v>
      </c>
      <c r="L44" s="30" t="n">
        <v>51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75.45</v>
      </c>
      <c r="P44" s="31" t="n">
        <v>26.86</v>
      </c>
      <c r="Q44" s="31" t="n">
        <v>1103.55</v>
      </c>
      <c r="R44" s="30" t="inlineStr">
        <is>
          <t>Near 52W High Breakout</t>
        </is>
      </c>
      <c r="S44" s="30" t="inlineStr">
        <is>
          <t>Nifty 50</t>
        </is>
      </c>
      <c r="T44" s="31" t="n">
        <v>-6.54</v>
      </c>
      <c r="U44" s="31" t="n">
        <v>25.66</v>
      </c>
      <c r="V44" s="31" t="n">
        <v>34.46</v>
      </c>
      <c r="W44" s="31" t="n">
        <v>13.42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Above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Yes</t>
        </is>
      </c>
      <c r="BS44" s="30">
        <f>IF(BR44="NO",5,0)</f>
        <v/>
      </c>
      <c r="BT44" s="30" t="inlineStr">
        <is>
          <t>Between 1.5 to 2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20</t>
        </is>
      </c>
      <c r="CG44" s="30">
        <f>IF(CF44&gt;20,10,IF(CF44&gt;=10,5,2))</f>
        <v/>
      </c>
    </row>
    <row r="45">
      <c r="A45" s="30">
        <f>IF(B45=0,"",RANK(B45,$B$2:$B$96,0))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0" t="inlineStr">
        <is>
          <t>SANSERA</t>
        </is>
      </c>
      <c r="D45" s="30" t="inlineStr">
        <is>
          <t>Sansera Engineering Ltd</t>
        </is>
      </c>
      <c r="E45" s="30" t="inlineStr">
        <is>
          <t>auto</t>
        </is>
      </c>
      <c r="F45" s="30" t="inlineStr">
        <is>
          <t>Auto Ancillaries - Diversified</t>
        </is>
      </c>
      <c r="G45" s="30" t="inlineStr">
        <is>
          <t>midcap</t>
        </is>
      </c>
      <c r="H45" s="31" t="n">
        <v>18357.41</v>
      </c>
      <c r="I45" s="31" t="n">
        <v>2945.1</v>
      </c>
      <c r="J45" s="31" t="n">
        <v>0.66</v>
      </c>
      <c r="K45" s="31" t="n">
        <v>0</v>
      </c>
      <c r="L45" s="30" t="n">
        <v>79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74.73999999999999</v>
      </c>
      <c r="P45" s="31" t="n">
        <v>39.79</v>
      </c>
      <c r="Q45" s="31" t="n">
        <v>2273.52</v>
      </c>
      <c r="R45" s="30" t="inlineStr">
        <is>
          <t>Near 52W High Breakout</t>
        </is>
      </c>
      <c r="S45" s="30" t="inlineStr">
        <is>
          <t>Nifty Auto</t>
        </is>
      </c>
      <c r="T45" s="31" t="n">
        <v>10.59</v>
      </c>
      <c r="U45" s="31" t="n">
        <v>118.38</v>
      </c>
      <c r="V45" s="31" t="n">
        <v>97.47</v>
      </c>
      <c r="W45" s="31" t="n">
        <v>24.66</v>
      </c>
      <c r="X45" s="30" t="inlineStr">
        <is>
          <t>Growing Industry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Between 50 to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Between 50% to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19</t>
        </is>
      </c>
      <c r="CG45" s="30">
        <f>IF(CF45&gt;20,10,IF(CF45&gt;=10,5,2))</f>
        <v/>
      </c>
    </row>
    <row r="46">
      <c r="A46" s="30">
        <f>IF(B46=0,"",RANK(B46,$B$2:$B$96,0))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3" t="inlineStr">
        <is>
          <t>HSCL</t>
        </is>
      </c>
      <c r="D46" s="33" t="inlineStr">
        <is>
          <t>Himadri Speciality Chemical Ltd</t>
        </is>
      </c>
      <c r="E46" s="30" t="inlineStr">
        <is>
          <t>chemicals</t>
        </is>
      </c>
      <c r="F46" s="30" t="inlineStr">
        <is>
          <t>Carbon Black</t>
        </is>
      </c>
      <c r="G46" s="30" t="inlineStr">
        <is>
          <t>largecap</t>
        </is>
      </c>
      <c r="H46" s="31" t="n">
        <v>34563.62</v>
      </c>
      <c r="I46" s="31" t="n">
        <v>685.05</v>
      </c>
      <c r="J46" s="31" t="n">
        <v>6.71</v>
      </c>
      <c r="K46" s="31" t="n">
        <v>0</v>
      </c>
      <c r="L46" s="30" t="n">
        <v>69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73.98999999999999</v>
      </c>
      <c r="P46" s="31" t="n">
        <v>27.87</v>
      </c>
      <c r="Q46" s="31" t="n">
        <v>526.01</v>
      </c>
      <c r="R46" s="30" t="inlineStr">
        <is>
          <t>Volume Spike &amp; Near 52W High Breakout</t>
        </is>
      </c>
      <c r="S46" s="30" t="inlineStr">
        <is>
          <t>Nifty 50</t>
        </is>
      </c>
      <c r="T46" s="31" t="n">
        <v>-6.54</v>
      </c>
      <c r="U46" s="31" t="n">
        <v>38.19</v>
      </c>
      <c r="V46" s="31" t="n">
        <v>47.87</v>
      </c>
      <c r="W46" s="31" t="n">
        <v>19.02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Yes</t>
        </is>
      </c>
      <c r="BS46" s="30">
        <f>IF(BR46="NO",5,0)</f>
        <v/>
      </c>
      <c r="BT46" s="30" t="inlineStr">
        <is>
          <t>Between 1.5 to 2</t>
        </is>
      </c>
      <c r="BU46" s="30">
        <f>IF(BT46="Above 2",0,IF(BT46="Between 1.5 to 2",5,IF(BT46="Less than 1.5",10,0)))</f>
        <v/>
      </c>
      <c r="BV46" s="30" t="inlineStr">
        <is>
          <t>Less than 50%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19</t>
        </is>
      </c>
      <c r="CG46" s="30">
        <f>IF(CF46&gt;20,10,IF(CF46&gt;=10,5,2))</f>
        <v/>
      </c>
    </row>
    <row r="47">
      <c r="A47" s="30">
        <f>IF(B47=0,"",RANK(B47,$B$2:$B$96,0))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0" t="inlineStr">
        <is>
          <t>SKMEGGPROD</t>
        </is>
      </c>
      <c r="D47" s="30" t="inlineStr">
        <is>
          <t>SKM Egg Products Export (India) Ltd</t>
        </is>
      </c>
      <c r="E47" s="30" t="inlineStr">
        <is>
          <t>fmcg</t>
        </is>
      </c>
      <c r="F47" s="30" t="inlineStr">
        <is>
          <t>FMCG - Animal/Polutry</t>
        </is>
      </c>
      <c r="G47" s="30" t="inlineStr">
        <is>
          <t>smallcap</t>
        </is>
      </c>
      <c r="H47" s="31" t="n">
        <v>1294.59</v>
      </c>
      <c r="I47" s="31" t="n">
        <v>245.84</v>
      </c>
      <c r="J47" s="31" t="n">
        <v>2.73</v>
      </c>
      <c r="K47" s="31" t="n">
        <v>0</v>
      </c>
      <c r="L47" s="30" t="n">
        <v>89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71.45</v>
      </c>
      <c r="P47" s="31" t="n">
        <v>15.93</v>
      </c>
      <c r="Q47" s="31" t="n">
        <v>170.89</v>
      </c>
      <c r="R47" s="30" t="inlineStr">
        <is>
          <t>Volume Spike &amp; Near 52W High Breakout</t>
        </is>
      </c>
      <c r="S47" s="30" t="inlineStr">
        <is>
          <t>Nifty FMCG</t>
        </is>
      </c>
      <c r="T47" s="31" t="n">
        <v>-13.44</v>
      </c>
      <c r="U47" s="31" t="n">
        <v>118.96</v>
      </c>
      <c r="V47" s="31" t="n">
        <v>152.96</v>
      </c>
      <c r="W47" s="31" t="n">
        <v>33.38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B2C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Annuity, Lower One Time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0 to 20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Above 2</t>
        </is>
      </c>
      <c r="BU47" s="30">
        <f>IF(BT47="Above 2",0,IF(BT47="Between 1.5 to 2",5,IF(BT47="Less than 1.5",10,0)))</f>
        <v/>
      </c>
      <c r="BV47" s="30" t="inlineStr">
        <is>
          <t>Less than 50%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30</t>
        </is>
      </c>
      <c r="CG47" s="30">
        <f>IF(CF47&gt;20,10,IF(CF47&gt;=10,5,2))</f>
        <v/>
      </c>
    </row>
    <row r="48">
      <c r="A48" s="30">
        <f>IF(B48=0,"",RANK(B48,$B$2:$B$96,0))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3" t="inlineStr">
        <is>
          <t>PANACEABIO</t>
        </is>
      </c>
      <c r="D48" s="33" t="inlineStr">
        <is>
          <t>Panacea Biotec Ltd</t>
        </is>
      </c>
      <c r="E48" s="30" t="inlineStr">
        <is>
          <t>healthcare</t>
        </is>
      </c>
      <c r="F48" s="30" t="inlineStr">
        <is>
          <t>Pharma - Others</t>
        </is>
      </c>
      <c r="G48" s="30" t="inlineStr">
        <is>
          <t>smallcap</t>
        </is>
      </c>
      <c r="H48" s="31" t="n">
        <v>3308.77</v>
      </c>
      <c r="I48" s="31" t="n">
        <v>540.2</v>
      </c>
      <c r="J48" s="31" t="n">
        <v>3.82</v>
      </c>
      <c r="K48" s="31" t="n">
        <v>0</v>
      </c>
      <c r="L48" s="30" t="n">
        <v>72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76.41</v>
      </c>
      <c r="P48" s="31" t="n">
        <v>20.61</v>
      </c>
      <c r="Q48" s="31" t="n">
        <v>387.03</v>
      </c>
      <c r="R48" s="30" t="inlineStr">
        <is>
          <t>Volume Spike &amp; Near 52W High Breakout</t>
        </is>
      </c>
      <c r="S48" s="30" t="inlineStr">
        <is>
          <t>Nifty Pharma</t>
        </is>
      </c>
      <c r="T48" s="31" t="n">
        <v>11.82</v>
      </c>
      <c r="U48" s="31" t="n">
        <v>20.72</v>
      </c>
      <c r="V48" s="31" t="n">
        <v>7.95</v>
      </c>
      <c r="W48" s="31" t="n">
        <v>21.15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Yes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Annuity, Lower One Time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Above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Less than 12%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Above 70%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22</t>
        </is>
      </c>
      <c r="CG48" s="30">
        <f>IF(CF48&gt;20,10,IF(CF48&gt;=10,5,2))</f>
        <v/>
      </c>
    </row>
    <row r="49">
      <c r="A49" s="30">
        <f>IF(B49=0,"",RANK(B49,$B$2:$B$96,0))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2" t="inlineStr">
        <is>
          <t>MARKSANS</t>
        </is>
      </c>
      <c r="D49" s="32" t="inlineStr">
        <is>
          <t>Marksans Pharma Ltd</t>
        </is>
      </c>
      <c r="E49" s="30" t="inlineStr">
        <is>
          <t>healthcare</t>
        </is>
      </c>
      <c r="F49" s="30" t="inlineStr">
        <is>
          <t>Pharma - Formulators</t>
        </is>
      </c>
      <c r="G49" s="30" t="inlineStr">
        <is>
          <t>midcap</t>
        </is>
      </c>
      <c r="H49" s="31" t="n">
        <v>10567.33</v>
      </c>
      <c r="I49" s="31" t="n">
        <v>233.19</v>
      </c>
      <c r="J49" s="31" t="n">
        <v>-2.49</v>
      </c>
      <c r="K49" s="31" t="n">
        <v>0</v>
      </c>
      <c r="L49" s="30" t="n">
        <v>33</v>
      </c>
      <c r="M49" s="30" t="inlineStr">
        <is>
          <t>Underperforming</t>
        </is>
      </c>
      <c r="N49" s="31">
        <f>IF(M49="Underperforming",-5,IF(L49&gt;=95,15,IF(L49&gt;=90,10,IF(L49&gt;=80,5,0))))</f>
        <v/>
      </c>
      <c r="O49" s="31" t="n">
        <v>67.25</v>
      </c>
      <c r="P49" s="31" t="n">
        <v>25.72</v>
      </c>
      <c r="Q49" s="31" t="n">
        <v>190.21</v>
      </c>
      <c r="R49" s="30" t="inlineStr">
        <is>
          <t>Earnings / Momentum Support</t>
        </is>
      </c>
      <c r="S49" s="30" t="inlineStr">
        <is>
          <t>Nifty Pharma</t>
        </is>
      </c>
      <c r="T49" s="31" t="n">
        <v>11.82</v>
      </c>
      <c r="U49" s="31" t="n">
        <v>-7.12</v>
      </c>
      <c r="V49" s="31" t="n">
        <v>-16.94</v>
      </c>
      <c r="W49" s="31" t="n">
        <v>8.369999999999999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Yes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No</t>
        </is>
      </c>
      <c r="AQ49" s="30">
        <f>IF(AP49="Yes",10,0)</f>
        <v/>
      </c>
      <c r="AR49" s="30" t="inlineStr">
        <is>
          <t>Higher Annuity, Lower One Time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Close to 52 week high or retracement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20</t>
        </is>
      </c>
      <c r="CG49" s="30">
        <f>IF(CF49&gt;20,10,IF(CF49&gt;=10,5,2))</f>
        <v/>
      </c>
    </row>
    <row r="50">
      <c r="A50" s="30">
        <f>IF(B50=0,"",RANK(B50,$B$2:$B$96,0))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0" t="inlineStr">
        <is>
          <t>SIGMAADV</t>
        </is>
      </c>
      <c r="D50" s="30" t="inlineStr">
        <is>
          <t>Sigma Advanced System Ltd</t>
        </is>
      </c>
      <c r="E50" s="30" t="inlineStr">
        <is>
          <t>aerospace &amp; defence</t>
        </is>
      </c>
      <c r="F50" s="30" t="inlineStr">
        <is>
          <t>Aerospace &amp; Defence - Equipments</t>
        </is>
      </c>
      <c r="G50" s="30" t="inlineStr">
        <is>
          <t>midcap</t>
        </is>
      </c>
      <c r="H50" s="31" t="n">
        <v>7680.53</v>
      </c>
      <c r="I50" s="31" t="n">
        <v>435.8</v>
      </c>
      <c r="J50" s="31" t="n">
        <v>-4.99</v>
      </c>
      <c r="K50" s="31" t="n">
        <v>0</v>
      </c>
      <c r="L50" s="30" t="n">
        <v>99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83.98</v>
      </c>
      <c r="P50" s="31" t="n">
        <v>34.09</v>
      </c>
      <c r="Q50" s="31" t="n">
        <v>328.07</v>
      </c>
      <c r="R50" s="30" t="inlineStr">
        <is>
          <t>Volume Spike &amp; Near 52W High Breakout</t>
        </is>
      </c>
      <c r="S50" s="30" t="inlineStr">
        <is>
          <t>Nifty 50</t>
        </is>
      </c>
      <c r="T50" s="31" t="n">
        <v>-6.54</v>
      </c>
      <c r="U50" s="31" t="n">
        <v>371.95</v>
      </c>
      <c r="V50" s="31" t="n">
        <v>405</v>
      </c>
      <c r="W50" s="31" t="n">
        <v>83.69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20 to 40</t>
        </is>
      </c>
      <c r="AY50" s="30">
        <f>IF(AX50="Above 40",20,IF(AX50="20 to 40",10,IF(AX50="0 to 20",-5,0)))</f>
        <v/>
      </c>
      <c r="AZ50" s="30" t="inlineStr">
        <is>
          <t>Above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Less than 1.5</t>
        </is>
      </c>
      <c r="BU50" s="30">
        <f>IF(BT50="Above 2",0,IF(BT50="Between 1.5 to 2",5,IF(BT50="Less than 1.5",10,0)))</f>
        <v/>
      </c>
      <c r="BV50" s="30" t="inlineStr">
        <is>
          <t>Negative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Between 0.7 to 1.2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30</t>
        </is>
      </c>
      <c r="CG50" s="30">
        <f>IF(CF50&gt;20,10,IF(CF50&gt;=10,5,2))</f>
        <v/>
      </c>
    </row>
    <row r="51">
      <c r="A51" s="30">
        <f>IF(B51=0,"",RANK(B51,$B$2:$B$96,0))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0" t="inlineStr">
        <is>
          <t>NITTAGELA</t>
        </is>
      </c>
      <c r="D51" s="30" t="inlineStr">
        <is>
          <t>Nitta Gelatin India Ltd</t>
        </is>
      </c>
      <c r="E51" s="30" t="inlineStr">
        <is>
          <t>Basic Materials</t>
        </is>
      </c>
      <c r="F51" s="30" t="inlineStr">
        <is>
          <t>Chemicals - Organic</t>
        </is>
      </c>
      <c r="G51" s="30" t="inlineStr">
        <is>
          <t>smallcap</t>
        </is>
      </c>
      <c r="H51" s="31" t="n">
        <v>1582.95</v>
      </c>
      <c r="I51" s="31" t="n">
        <v>1743.5</v>
      </c>
      <c r="J51" s="31" t="n">
        <v>-4.47</v>
      </c>
      <c r="K51" s="31" t="n">
        <v>0</v>
      </c>
      <c r="L51" s="30" t="n">
        <v>94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91.19</v>
      </c>
      <c r="P51" s="31" t="n">
        <v>39.12</v>
      </c>
      <c r="Q51" s="31" t="n">
        <v>1422.42</v>
      </c>
      <c r="R51" s="30" t="inlineStr">
        <is>
          <t>Near 52W High Breakout</t>
        </is>
      </c>
      <c r="S51" s="30" t="inlineStr">
        <is>
          <t>Nifty IT</t>
        </is>
      </c>
      <c r="T51" s="31" t="n">
        <v>-22.21</v>
      </c>
      <c r="U51" s="31" t="n">
        <v>108.22</v>
      </c>
      <c r="V51" s="31" t="n">
        <v>167.69</v>
      </c>
      <c r="W51" s="31" t="n">
        <v>45.05</v>
      </c>
      <c r="X51" s="30" t="inlineStr">
        <is>
          <t>Cyclical in an Upturn</t>
        </is>
      </c>
      <c r="Y51" s="30">
        <f>IF(X51="Growing Industry",10,IF(X51="Cyclical in an Upturn",5,0))</f>
        <v/>
      </c>
      <c r="Z51" s="30" t="inlineStr">
        <is>
          <t>Too Many Players with High ROCE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No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Cyclical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Volatile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Above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24</t>
        </is>
      </c>
      <c r="CG51" s="30">
        <f>IF(CF51&gt;20,10,IF(CF51&gt;=10,5,2))</f>
        <v/>
      </c>
    </row>
    <row r="52">
      <c r="A52" s="30">
        <f>IF(B52=0,"",RANK(B52,$B$2:$B$96,0))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0" t="inlineStr">
        <is>
          <t>HFCL</t>
        </is>
      </c>
      <c r="D52" s="30" t="inlineStr">
        <is>
          <t>HFCL Ltd</t>
        </is>
      </c>
      <c r="E52" s="30" t="inlineStr">
        <is>
          <t>telecom</t>
        </is>
      </c>
      <c r="F52" s="30" t="inlineStr">
        <is>
          <t>Telecom Services</t>
        </is>
      </c>
      <c r="G52" s="30" t="inlineStr">
        <is>
          <t>largecap</t>
        </is>
      </c>
      <c r="H52" s="31" t="n">
        <v>28657.47</v>
      </c>
      <c r="I52" s="31" t="n">
        <v>187.23</v>
      </c>
      <c r="J52" s="31" t="n">
        <v>-5</v>
      </c>
      <c r="K52" s="31" t="n">
        <v>0</v>
      </c>
      <c r="L52" s="30" t="n">
        <v>97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91.68000000000001</v>
      </c>
      <c r="P52" s="31" t="n">
        <v>44.02</v>
      </c>
      <c r="Q52" s="31" t="n">
        <v>143.43</v>
      </c>
      <c r="R52" s="30" t="inlineStr">
        <is>
          <t>Near 52W High Breakout</t>
        </is>
      </c>
      <c r="S52" s="30" t="inlineStr">
        <is>
          <t>Nifty Infra</t>
        </is>
      </c>
      <c r="T52" s="31" t="n">
        <v>1.11</v>
      </c>
      <c r="U52" s="31" t="n">
        <v>105.1</v>
      </c>
      <c r="V52" s="31" t="n">
        <v>102.84</v>
      </c>
      <c r="W52" s="31" t="n">
        <v>62.79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Oligopoly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Yes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Above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Yes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Negative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22</t>
        </is>
      </c>
      <c r="CG52" s="30">
        <f>IF(CF52&gt;20,10,IF(CF52&gt;=10,5,2))</f>
        <v/>
      </c>
    </row>
    <row r="53">
      <c r="A53" s="30">
        <f>IF(B53=0,"",RANK(B53,$B$2:$B$96,0))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3" t="inlineStr">
        <is>
          <t>SPECTRUM</t>
        </is>
      </c>
      <c r="D53" s="33" t="inlineStr">
        <is>
          <t>Spectrum Electrical Industries Ltd</t>
        </is>
      </c>
      <c r="E53" s="30" t="inlineStr">
        <is>
          <t>industrials</t>
        </is>
      </c>
      <c r="F53" s="30" t="inlineStr">
        <is>
          <t>Capital Goods - Electric General</t>
        </is>
      </c>
      <c r="G53" s="30" t="inlineStr">
        <is>
          <t>smallcap</t>
        </is>
      </c>
      <c r="H53" s="31" t="n">
        <v>2779.94</v>
      </c>
      <c r="I53" s="31" t="n">
        <v>1769.1</v>
      </c>
      <c r="J53" s="31" t="n">
        <v>6.27</v>
      </c>
      <c r="K53" s="31" t="n">
        <v>0</v>
      </c>
      <c r="L53" s="30" t="n">
        <v>31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66.55</v>
      </c>
      <c r="P53" s="31" t="n">
        <v>23.69</v>
      </c>
      <c r="Q53" s="31" t="n">
        <v>1223.18</v>
      </c>
      <c r="R53" s="30" t="inlineStr">
        <is>
          <t>Volume Spike &amp; Near 52W High Breakout</t>
        </is>
      </c>
      <c r="S53" s="30" t="inlineStr">
        <is>
          <t>Nifty Infra</t>
        </is>
      </c>
      <c r="T53" s="31" t="n">
        <v>1.11</v>
      </c>
      <c r="U53" s="31" t="n">
        <v>7.74</v>
      </c>
      <c r="V53" s="31" t="n">
        <v>6.55</v>
      </c>
      <c r="W53" s="31" t="n">
        <v>8.1</v>
      </c>
      <c r="X53" s="30" t="inlineStr">
        <is>
          <t>Cyclical in an Upturn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Close to 52 week high or retracement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Yes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Between 0.7 to 1.2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20</t>
        </is>
      </c>
      <c r="CG53" s="30">
        <f>IF(CF53&gt;20,10,IF(CF53&gt;=10,5,2))</f>
        <v/>
      </c>
    </row>
    <row r="54">
      <c r="A54" s="30">
        <f>IF(B54=0,"",RANK(B54,$B$2:$B$96,0))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3" t="inlineStr">
        <is>
          <t>FIEMIND</t>
        </is>
      </c>
      <c r="D54" s="33" t="inlineStr">
        <is>
          <t>Fiem Industries Ltd</t>
        </is>
      </c>
      <c r="E54" s="30" t="inlineStr">
        <is>
          <t>auto</t>
        </is>
      </c>
      <c r="F54" s="30" t="inlineStr">
        <is>
          <t>Auto Ancillaries - 2&amp;3 Wheelers</t>
        </is>
      </c>
      <c r="G54" s="30" t="inlineStr">
        <is>
          <t>midcap</t>
        </is>
      </c>
      <c r="H54" s="31" t="n">
        <v>6083</v>
      </c>
      <c r="I54" s="31" t="n">
        <v>2311.2</v>
      </c>
      <c r="J54" s="31" t="n">
        <v>-0.97</v>
      </c>
      <c r="K54" s="31" t="n">
        <v>0</v>
      </c>
      <c r="L54" s="30" t="n">
        <v>26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58.87</v>
      </c>
      <c r="P54" s="31" t="n">
        <v>14.14</v>
      </c>
      <c r="Q54" s="31" t="n">
        <v>1834.14</v>
      </c>
      <c r="R54" s="30" t="inlineStr">
        <is>
          <t>Volume Spike &amp; Near 52W High Breakout</t>
        </is>
      </c>
      <c r="S54" s="30" t="inlineStr">
        <is>
          <t>Nifty Auto</t>
        </is>
      </c>
      <c r="T54" s="31" t="n">
        <v>10.59</v>
      </c>
      <c r="U54" s="31" t="n">
        <v>24.72</v>
      </c>
      <c r="V54" s="31" t="n">
        <v>12.78</v>
      </c>
      <c r="W54" s="31" t="n">
        <v>6.83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0 to 20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Less than 50%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19</t>
        </is>
      </c>
      <c r="CG54" s="30">
        <f>IF(CF54&gt;20,10,IF(CF54&gt;=10,5,2))</f>
        <v/>
      </c>
    </row>
    <row r="55">
      <c r="A55" s="30">
        <f>IF(B55=0,"",RANK(B55,$B$2:$B$96,0))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3" t="inlineStr">
        <is>
          <t>UNIVCABLES</t>
        </is>
      </c>
      <c r="D55" s="33" t="inlineStr">
        <is>
          <t>Universal Cables Ltd</t>
        </is>
      </c>
      <c r="E55" s="30" t="inlineStr">
        <is>
          <t>industrials</t>
        </is>
      </c>
      <c r="F55" s="30" t="inlineStr">
        <is>
          <t>Cables - Power</t>
        </is>
      </c>
      <c r="G55" s="30" t="inlineStr">
        <is>
          <t>smallcap</t>
        </is>
      </c>
      <c r="H55" s="31" t="n">
        <v>4258.86</v>
      </c>
      <c r="I55" s="31" t="n">
        <v>1227.5</v>
      </c>
      <c r="J55" s="31" t="n">
        <v>-1.22</v>
      </c>
      <c r="K55" s="31" t="n">
        <v>0</v>
      </c>
      <c r="L55" s="30" t="n">
        <v>91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69.86</v>
      </c>
      <c r="P55" s="31" t="n">
        <v>31.27</v>
      </c>
      <c r="Q55" s="31" t="n">
        <v>842.59</v>
      </c>
      <c r="R55" s="30" t="inlineStr">
        <is>
          <t>Volume Spike &amp; Near 52W High Breakout</t>
        </is>
      </c>
      <c r="S55" s="30" t="inlineStr">
        <is>
          <t>Nifty Energy</t>
        </is>
      </c>
      <c r="T55" s="31" t="n">
        <v>12.31</v>
      </c>
      <c r="U55" s="31" t="n">
        <v>101.64</v>
      </c>
      <c r="V55" s="31" t="n">
        <v>79.54000000000001</v>
      </c>
      <c r="W55" s="31" t="n">
        <v>36.24</v>
      </c>
      <c r="X55" s="30" t="inlineStr">
        <is>
          <t>Cyclical in an Upturn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Blue sky scenario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Less than 12%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Above 2</t>
        </is>
      </c>
      <c r="BU55" s="30">
        <f>IF(BT55="Above 2",0,IF(BT55="Between 1.5 to 2",5,IF(BT55="Less than 1.5",10,0)))</f>
        <v/>
      </c>
      <c r="BV55" s="30" t="inlineStr">
        <is>
          <t>Less than 50%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19</t>
        </is>
      </c>
      <c r="CG55" s="30">
        <f>IF(CF55&gt;20,10,IF(CF55&gt;=10,5,2))</f>
        <v/>
      </c>
    </row>
    <row r="56">
      <c r="A56" s="30">
        <f>IF(B56=0,"",RANK(B56,$B$2:$B$96,0))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0" t="inlineStr">
        <is>
          <t>APOLLO</t>
        </is>
      </c>
      <c r="D56" s="30" t="inlineStr">
        <is>
          <t>Apollo Micro Systems Ltd</t>
        </is>
      </c>
      <c r="E56" s="30" t="inlineStr">
        <is>
          <t>aerospace &amp; defence</t>
        </is>
      </c>
      <c r="F56" s="30" t="inlineStr">
        <is>
          <t>Aerospace &amp; Defence - Equipments</t>
        </is>
      </c>
      <c r="G56" s="30" t="inlineStr">
        <is>
          <t>midcap</t>
        </is>
      </c>
      <c r="H56" s="31" t="n">
        <v>15054.52</v>
      </c>
      <c r="I56" s="31" t="n">
        <v>421.35</v>
      </c>
      <c r="J56" s="31" t="n">
        <v>0.51</v>
      </c>
      <c r="K56" s="31" t="n">
        <v>0</v>
      </c>
      <c r="L56" s="30" t="n">
        <v>93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74.81</v>
      </c>
      <c r="P56" s="31" t="n">
        <v>30.38</v>
      </c>
      <c r="Q56" s="31" t="n">
        <v>301.5</v>
      </c>
      <c r="R56" s="30" t="inlineStr">
        <is>
          <t>Volume Spike &amp; Near 52W High Breakout</t>
        </is>
      </c>
      <c r="S56" s="30" t="inlineStr">
        <is>
          <t>Nifty 50</t>
        </is>
      </c>
      <c r="T56" s="31" t="n">
        <v>-6.54</v>
      </c>
      <c r="U56" s="31" t="n">
        <v>105.74</v>
      </c>
      <c r="V56" s="31" t="n">
        <v>120.14</v>
      </c>
      <c r="W56" s="31" t="n">
        <v>40.27</v>
      </c>
      <c r="X56" s="30" t="inlineStr">
        <is>
          <t>Cyclical in an Upturn</t>
        </is>
      </c>
      <c r="Y56" s="30">
        <f>IF(X56="Growing Industry",10,IF(X56="Cyclical in an Upturn",5,0))</f>
        <v/>
      </c>
      <c r="Z56" s="30" t="inlineStr">
        <is>
          <t>Oligopoly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Cyclical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B2C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Fully One Time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Above 40</t>
        </is>
      </c>
      <c r="AY56" s="30">
        <f>IF(AX56="Above 40",20,IF(AX56="20 to 40",10,IF(AX56="0 to 20",-5,0)))</f>
        <v/>
      </c>
      <c r="AZ56" s="30" t="inlineStr">
        <is>
          <t>Above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Close to 52 week high or retracement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Yes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Between 1.5 to 2</t>
        </is>
      </c>
      <c r="BU56" s="30">
        <f>IF(BT56="Above 2",0,IF(BT56="Between 1.5 to 2",5,IF(BT56="Less than 1.5",10,0)))</f>
        <v/>
      </c>
      <c r="BV56" s="30" t="inlineStr">
        <is>
          <t>Above 70%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24</t>
        </is>
      </c>
      <c r="CG56" s="30">
        <f>IF(CF56&gt;20,10,IF(CF56&gt;=10,5,2))</f>
        <v/>
      </c>
    </row>
    <row r="57">
      <c r="A57" s="30">
        <f>IF(B57=0,"",RANK(B57,$B$2:$B$96,0))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0" t="inlineStr">
        <is>
          <t>SHILPAMED</t>
        </is>
      </c>
      <c r="D57" s="30" t="inlineStr">
        <is>
          <t>Shilpa Medicare Ltd</t>
        </is>
      </c>
      <c r="E57" s="30" t="inlineStr">
        <is>
          <t>healthcare</t>
        </is>
      </c>
      <c r="F57" s="30" t="inlineStr">
        <is>
          <t>Pharma - API &amp; CRAMS</t>
        </is>
      </c>
      <c r="G57" s="30" t="inlineStr">
        <is>
          <t>midcap</t>
        </is>
      </c>
      <c r="H57" s="31" t="n">
        <v>10523.28</v>
      </c>
      <c r="I57" s="31" t="n">
        <v>538.05</v>
      </c>
      <c r="J57" s="31" t="n">
        <v>2.33</v>
      </c>
      <c r="K57" s="31" t="n">
        <v>0</v>
      </c>
      <c r="L57" s="30" t="n">
        <v>68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78.78</v>
      </c>
      <c r="P57" s="31" t="n">
        <v>39.68</v>
      </c>
      <c r="Q57" s="31" t="n">
        <v>418.43</v>
      </c>
      <c r="R57" s="30" t="inlineStr">
        <is>
          <t>Volume Spike &amp; Near 52W High Breakout</t>
        </is>
      </c>
      <c r="S57" s="30" t="inlineStr">
        <is>
          <t>Nifty Pharma</t>
        </is>
      </c>
      <c r="T57" s="31" t="n">
        <v>11.82</v>
      </c>
      <c r="U57" s="31" t="n">
        <v>17.82</v>
      </c>
      <c r="V57" s="31" t="n">
        <v>5.36</v>
      </c>
      <c r="W57" s="31" t="n">
        <v>18.9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Yes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Annuity, Lower One Time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Above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Above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22</t>
        </is>
      </c>
      <c r="CG57" s="30">
        <f>IF(CF57&gt;20,10,IF(CF57&gt;=10,5,2))</f>
        <v/>
      </c>
    </row>
    <row r="58">
      <c r="A58" s="30">
        <f>IF(B58=0,"",RANK(B58,$B$2:$B$96,0))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0" t="inlineStr">
        <is>
          <t>SASKEN</t>
        </is>
      </c>
      <c r="D58" s="30" t="inlineStr">
        <is>
          <t>Sasken Technologies Ltd</t>
        </is>
      </c>
      <c r="E58" s="30" t="inlineStr">
        <is>
          <t>i.t</t>
        </is>
      </c>
      <c r="F58" s="30" t="inlineStr">
        <is>
          <t>IT - Software</t>
        </is>
      </c>
      <c r="G58" s="30" t="inlineStr">
        <is>
          <t>smallcap</t>
        </is>
      </c>
      <c r="H58" s="31" t="n">
        <v>3312.47</v>
      </c>
      <c r="I58" s="31" t="n">
        <v>2181.2</v>
      </c>
      <c r="J58" s="31" t="n">
        <v>0.93</v>
      </c>
      <c r="K58" s="31" t="n">
        <v>0</v>
      </c>
      <c r="L58" s="30" t="n">
        <v>89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74.63</v>
      </c>
      <c r="P58" s="31" t="n">
        <v>27.93</v>
      </c>
      <c r="Q58" s="31" t="n">
        <v>1692.28</v>
      </c>
      <c r="R58" s="30" t="inlineStr">
        <is>
          <t>Near 52W High Breakout</t>
        </is>
      </c>
      <c r="S58" s="30" t="inlineStr">
        <is>
          <t>Nifty IT</t>
        </is>
      </c>
      <c r="T58" s="31" t="n">
        <v>-22.21</v>
      </c>
      <c r="U58" s="31" t="n">
        <v>51.84</v>
      </c>
      <c r="V58" s="31" t="n">
        <v>95.2</v>
      </c>
      <c r="W58" s="31" t="n">
        <v>33.25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Annuity, Lower One Time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20 to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Negative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22</t>
        </is>
      </c>
      <c r="CG58" s="30">
        <f>IF(CF58&gt;20,10,IF(CF58&gt;=10,5,2))</f>
        <v/>
      </c>
    </row>
    <row r="59">
      <c r="A59" s="30">
        <f>IF(B59=0,"",RANK(B59,$B$2:$B$96,0))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0" t="inlineStr">
        <is>
          <t>VIYASH</t>
        </is>
      </c>
      <c r="D59" s="30" t="inlineStr">
        <is>
          <t>Viyash Scientific Ltd</t>
        </is>
      </c>
      <c r="E59" s="30" t="inlineStr">
        <is>
          <t>healthcare</t>
        </is>
      </c>
      <c r="F59" s="30" t="inlineStr">
        <is>
          <t>Pharma - Animal</t>
        </is>
      </c>
      <c r="G59" s="30" t="inlineStr">
        <is>
          <t>midcap</t>
        </is>
      </c>
      <c r="H59" s="31" t="n">
        <v>11151.25</v>
      </c>
      <c r="I59" s="31" t="n">
        <v>255.25</v>
      </c>
      <c r="J59" s="31" t="n">
        <v>2.45</v>
      </c>
      <c r="K59" s="31" t="n">
        <v>0</v>
      </c>
      <c r="L59" s="30" t="n">
        <v>45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68.31</v>
      </c>
      <c r="P59" s="31" t="n">
        <v>28.69</v>
      </c>
      <c r="Q59" s="31" t="n">
        <v>196.17</v>
      </c>
      <c r="R59" s="30" t="inlineStr">
        <is>
          <t>Volume Spike &amp; Near 52W High Breakout</t>
        </is>
      </c>
      <c r="S59" s="30" t="inlineStr">
        <is>
          <t>Nifty Pharma</t>
        </is>
      </c>
      <c r="T59" s="31" t="n">
        <v>11.82</v>
      </c>
      <c r="U59" s="31" t="n">
        <v>35.88</v>
      </c>
      <c r="V59" s="31" t="n">
        <v>21.51</v>
      </c>
      <c r="W59" s="31" t="n">
        <v>11.94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Yes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Annuity, Lower One Time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20 to 40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Less than 50%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20</t>
        </is>
      </c>
      <c r="CG59" s="30">
        <f>IF(CF59&gt;20,10,IF(CF59&gt;=10,5,2))</f>
        <v/>
      </c>
    </row>
    <row r="60">
      <c r="A60" s="30">
        <f>IF(B60=0,"",RANK(B60,$B$2:$B$96,0))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0" t="inlineStr">
        <is>
          <t>MINDACORP</t>
        </is>
      </c>
      <c r="D60" s="30" t="inlineStr">
        <is>
          <t>Minda Corporation Ltd</t>
        </is>
      </c>
      <c r="E60" s="30" t="inlineStr">
        <is>
          <t>auto</t>
        </is>
      </c>
      <c r="F60" s="30" t="inlineStr">
        <is>
          <t>Auto Ancillaries - Diversified</t>
        </is>
      </c>
      <c r="G60" s="30" t="inlineStr">
        <is>
          <t>midcap</t>
        </is>
      </c>
      <c r="H60" s="31" t="n">
        <v>15382.37</v>
      </c>
      <c r="I60" s="31" t="n">
        <v>643.4</v>
      </c>
      <c r="J60" s="31" t="n">
        <v>-0.29</v>
      </c>
      <c r="K60" s="31" t="n">
        <v>0</v>
      </c>
      <c r="L60" s="30" t="n">
        <v>33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65.58</v>
      </c>
      <c r="P60" s="31" t="n">
        <v>19.59</v>
      </c>
      <c r="Q60" s="31" t="n">
        <v>510.61</v>
      </c>
      <c r="R60" s="30" t="inlineStr">
        <is>
          <t>Volume Spike &amp; Near 52W High Breakout</t>
        </is>
      </c>
      <c r="S60" s="30" t="inlineStr">
        <is>
          <t>Nifty Auto</t>
        </is>
      </c>
      <c r="T60" s="31" t="n">
        <v>10.59</v>
      </c>
      <c r="U60" s="31" t="n">
        <v>15.21</v>
      </c>
      <c r="V60" s="31" t="n">
        <v>4.18</v>
      </c>
      <c r="W60" s="31" t="n">
        <v>8.49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0 to 20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Above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27</t>
        </is>
      </c>
      <c r="CG60" s="30">
        <f>IF(CF60&gt;20,10,IF(CF60&gt;=10,5,2))</f>
        <v/>
      </c>
    </row>
    <row r="61">
      <c r="A61" s="30">
        <f>IF(B61=0,"",RANK(B61,$B$2:$B$96,0))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0" t="inlineStr">
        <is>
          <t>JNKINDIA</t>
        </is>
      </c>
      <c r="D61" s="30" t="inlineStr">
        <is>
          <t>JNK India Ltd</t>
        </is>
      </c>
      <c r="E61" s="30" t="inlineStr">
        <is>
          <t>realty</t>
        </is>
      </c>
      <c r="F61" s="30" t="inlineStr">
        <is>
          <t>Capital Goods - Engineering Heavy</t>
        </is>
      </c>
      <c r="G61" s="30" t="inlineStr">
        <is>
          <t>smallcap</t>
        </is>
      </c>
      <c r="H61" s="31" t="n">
        <v>2357.34</v>
      </c>
      <c r="I61" s="31" t="n">
        <v>421.3</v>
      </c>
      <c r="J61" s="31" t="n">
        <v>-0.07000000000000001</v>
      </c>
      <c r="K61" s="31" t="n">
        <v>0</v>
      </c>
      <c r="L61" s="30" t="n">
        <v>81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70.78</v>
      </c>
      <c r="P61" s="31" t="n">
        <v>25.29</v>
      </c>
      <c r="Q61" s="31" t="n">
        <v>287.51</v>
      </c>
      <c r="R61" s="30" t="inlineStr">
        <is>
          <t>Near 52W High Breakout</t>
        </is>
      </c>
      <c r="S61" s="30" t="inlineStr">
        <is>
          <t>Nifty Realty</t>
        </is>
      </c>
      <c r="T61" s="31" t="n">
        <v>-26.04</v>
      </c>
      <c r="U61" s="31" t="n">
        <v>21.97</v>
      </c>
      <c r="V61" s="31" t="n">
        <v>64.91</v>
      </c>
      <c r="W61" s="31" t="n">
        <v>26.03</v>
      </c>
      <c r="X61" s="30" t="inlineStr">
        <is>
          <t>Growing Industry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20 to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Close to 52 week high or retracement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No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Negative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27</t>
        </is>
      </c>
      <c r="CG61" s="30">
        <f>IF(CF61&gt;20,10,IF(CF61&gt;=10,5,2))</f>
        <v/>
      </c>
    </row>
    <row r="62">
      <c r="A62" s="30">
        <f>IF(B62=0,"",RANK(B62,$B$2:$B$96,0))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0" t="inlineStr">
        <is>
          <t>HONASA</t>
        </is>
      </c>
      <c r="D62" s="30" t="inlineStr">
        <is>
          <t>Honasa Consumer Ltd</t>
        </is>
      </c>
      <c r="E62" s="30" t="inlineStr">
        <is>
          <t>services</t>
        </is>
      </c>
      <c r="F62" s="30" t="inlineStr">
        <is>
          <t>New age - Platform - E-Retail</t>
        </is>
      </c>
      <c r="G62" s="30" t="inlineStr">
        <is>
          <t>midcap</t>
        </is>
      </c>
      <c r="H62" s="31" t="n">
        <v>13538.64</v>
      </c>
      <c r="I62" s="31" t="n">
        <v>416.1</v>
      </c>
      <c r="J62" s="31" t="n">
        <v>-0.23</v>
      </c>
      <c r="K62" s="31" t="n">
        <v>0</v>
      </c>
      <c r="L62" s="30" t="n">
        <v>58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76.38</v>
      </c>
      <c r="P62" s="31" t="n">
        <v>27.04</v>
      </c>
      <c r="Q62" s="31" t="n">
        <v>334.48</v>
      </c>
      <c r="R62" s="30" t="inlineStr">
        <is>
          <t>Near 52W High Breakout</t>
        </is>
      </c>
      <c r="S62" s="30" t="inlineStr">
        <is>
          <t>Nifty 50</t>
        </is>
      </c>
      <c r="T62" s="31" t="n">
        <v>-6.54</v>
      </c>
      <c r="U62" s="31" t="n">
        <v>30.03</v>
      </c>
      <c r="V62" s="31" t="n">
        <v>39.14</v>
      </c>
      <c r="W62" s="31" t="n">
        <v>15.47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B2C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20 to 40</t>
        </is>
      </c>
      <c r="AY62" s="30">
        <f>IF(AX62="Above 40",20,IF(AX62="20 to 40",10,IF(AX62="0 to 20",-5,0)))</f>
        <v/>
      </c>
      <c r="AZ62" s="30" t="inlineStr">
        <is>
          <t>Above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Between 50% to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22</t>
        </is>
      </c>
      <c r="CG62" s="30">
        <f>IF(CF62&gt;20,10,IF(CF62&gt;=10,5,2))</f>
        <v/>
      </c>
    </row>
    <row r="63">
      <c r="A63" s="30">
        <f>IF(B63=0,"",RANK(B63,$B$2:$B$96,0))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0" t="inlineStr">
        <is>
          <t>MOBAVENUE</t>
        </is>
      </c>
      <c r="D63" s="30" t="inlineStr">
        <is>
          <t>Mobavenue AI Tech Ltd</t>
        </is>
      </c>
      <c r="E63" s="30" t="inlineStr">
        <is>
          <t>Consumer Defensive</t>
        </is>
      </c>
      <c r="F63" s="30" t="inlineStr">
        <is>
          <t>Computer Education</t>
        </is>
      </c>
      <c r="G63" s="30" t="inlineStr">
        <is>
          <t>smallcap</t>
        </is>
      </c>
      <c r="H63" s="31" t="n">
        <v>2269.46</v>
      </c>
      <c r="I63" s="31" t="n">
        <v>1468</v>
      </c>
      <c r="J63" s="31" t="n">
        <v>5.08</v>
      </c>
      <c r="K63" s="31" t="n">
        <v>0</v>
      </c>
      <c r="L63" s="30" t="n">
        <v>78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64.51000000000001</v>
      </c>
      <c r="P63" s="31" t="n">
        <v>13.99</v>
      </c>
      <c r="Q63" s="31" t="n">
        <v>1046.07</v>
      </c>
      <c r="R63" s="30" t="inlineStr">
        <is>
          <t>Volume Spike &amp; Near 52W High Breakout</t>
        </is>
      </c>
      <c r="S63" s="30" t="inlineStr">
        <is>
          <t>Nifty 50</t>
        </is>
      </c>
      <c r="T63" s="31" t="n">
        <v>-6.54</v>
      </c>
      <c r="U63" s="31" t="n">
        <v>110.47</v>
      </c>
      <c r="V63" s="31" t="n">
        <v>125.21</v>
      </c>
      <c r="W63" s="31" t="n">
        <v>24.07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0 to 20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22</t>
        </is>
      </c>
      <c r="CG63" s="30">
        <f>IF(CF63&gt;20,10,IF(CF63&gt;=10,5,2))</f>
        <v/>
      </c>
    </row>
    <row r="64">
      <c r="A64" s="30">
        <f>IF(B64=0,"",RANK(B64,$B$2:$B$96,0))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0" t="inlineStr">
        <is>
          <t>SIS</t>
        </is>
      </c>
      <c r="D64" s="30" t="inlineStr">
        <is>
          <t>SIS Ltd</t>
        </is>
      </c>
      <c r="E64" s="30" t="inlineStr">
        <is>
          <t>miscellaneous</t>
        </is>
      </c>
      <c r="F64" s="30" t="inlineStr">
        <is>
          <t>Facility Management</t>
        </is>
      </c>
      <c r="G64" s="30" t="inlineStr">
        <is>
          <t>midcap</t>
        </is>
      </c>
      <c r="H64" s="31" t="n">
        <v>5892.71</v>
      </c>
      <c r="I64" s="31" t="n">
        <v>417.05</v>
      </c>
      <c r="J64" s="31" t="n">
        <v>-1.64</v>
      </c>
      <c r="K64" s="31" t="n">
        <v>0</v>
      </c>
      <c r="L64" s="30" t="n">
        <v>47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75.38</v>
      </c>
      <c r="P64" s="31" t="n">
        <v>35.25</v>
      </c>
      <c r="Q64" s="31" t="n">
        <v>333.52</v>
      </c>
      <c r="R64" s="30" t="inlineStr">
        <is>
          <t>Volume Spike &amp; Near 52W High Breakout</t>
        </is>
      </c>
      <c r="S64" s="30" t="inlineStr">
        <is>
          <t>Nifty 50</t>
        </is>
      </c>
      <c r="T64" s="31" t="n">
        <v>-6.54</v>
      </c>
      <c r="U64" s="31" t="n">
        <v>15.03</v>
      </c>
      <c r="V64" s="31" t="n">
        <v>23.08</v>
      </c>
      <c r="W64" s="31" t="n">
        <v>12.21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Above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Yes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Between 0.7 to 1.2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21</t>
        </is>
      </c>
      <c r="CG64" s="30">
        <f>IF(CF64&gt;20,10,IF(CF64&gt;=10,5,2))</f>
        <v/>
      </c>
    </row>
    <row r="65">
      <c r="A65" s="30">
        <f>IF(B65=0,"",RANK(B65,$B$2:$B$96,0))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3" t="inlineStr">
        <is>
          <t>PSPPROJECT</t>
        </is>
      </c>
      <c r="D65" s="33" t="inlineStr">
        <is>
          <t>PSP Projects Ltd</t>
        </is>
      </c>
      <c r="E65" s="30" t="inlineStr">
        <is>
          <t>realty</t>
        </is>
      </c>
      <c r="F65" s="30" t="inlineStr">
        <is>
          <t>Construction &amp; Contracting</t>
        </is>
      </c>
      <c r="G65" s="30" t="inlineStr">
        <is>
          <t>smallcap</t>
        </is>
      </c>
      <c r="H65" s="31" t="n">
        <v>3462.51</v>
      </c>
      <c r="I65" s="31" t="n">
        <v>873.45</v>
      </c>
      <c r="J65" s="31" t="n">
        <v>-2.8</v>
      </c>
      <c r="K65" s="31" t="n">
        <v>0</v>
      </c>
      <c r="L65" s="30" t="n">
        <v>51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60.38</v>
      </c>
      <c r="P65" s="31" t="n">
        <v>23.15</v>
      </c>
      <c r="Q65" s="31" t="n">
        <v>632.27</v>
      </c>
      <c r="R65" s="30" t="inlineStr">
        <is>
          <t>Volume Spike / Accumulation</t>
        </is>
      </c>
      <c r="S65" s="30" t="inlineStr">
        <is>
          <t>Nifty Realty</t>
        </is>
      </c>
      <c r="T65" s="31" t="n">
        <v>-26.04</v>
      </c>
      <c r="U65" s="31" t="n">
        <v>35.27</v>
      </c>
      <c r="V65" s="31" t="n">
        <v>82.90000000000001</v>
      </c>
      <c r="W65" s="31" t="n">
        <v>13.19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Headwind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20 to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Yes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21</t>
        </is>
      </c>
      <c r="CG65" s="30">
        <f>IF(CF65&gt;20,10,IF(CF65&gt;=10,5,2))</f>
        <v/>
      </c>
    </row>
    <row r="66">
      <c r="A66" s="30">
        <f>IF(B66=0,"",RANK(B66,$B$2:$B$96,0))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0" t="inlineStr">
        <is>
          <t>CRAFTSMAN</t>
        </is>
      </c>
      <c r="D66" s="30" t="inlineStr">
        <is>
          <t>Craftsman Automation Ltd</t>
        </is>
      </c>
      <c r="E66" s="30" t="inlineStr">
        <is>
          <t>auto</t>
        </is>
      </c>
      <c r="F66" s="30" t="inlineStr">
        <is>
          <t>Auto &amp; Auto Ancl - CV</t>
        </is>
      </c>
      <c r="G66" s="30" t="inlineStr">
        <is>
          <t>largecap</t>
        </is>
      </c>
      <c r="H66" s="31" t="n">
        <v>21625.09</v>
      </c>
      <c r="I66" s="31" t="n">
        <v>9065</v>
      </c>
      <c r="J66" s="31" t="n">
        <v>-1.19</v>
      </c>
      <c r="K66" s="31" t="n">
        <v>0</v>
      </c>
      <c r="L66" s="30" t="n">
        <v>56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66.52</v>
      </c>
      <c r="P66" s="31" t="n">
        <v>29.55</v>
      </c>
      <c r="Q66" s="31" t="n">
        <v>7021.13</v>
      </c>
      <c r="R66" s="30" t="inlineStr">
        <is>
          <t>Near 52W High Breakout</t>
        </is>
      </c>
      <c r="S66" s="30" t="inlineStr">
        <is>
          <t>Nifty Auto</t>
        </is>
      </c>
      <c r="T66" s="31" t="n">
        <v>10.59</v>
      </c>
      <c r="U66" s="31" t="n">
        <v>61.88</v>
      </c>
      <c r="V66" s="31" t="n">
        <v>46.39</v>
      </c>
      <c r="W66" s="31" t="n">
        <v>14.85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Less than 1.5</t>
        </is>
      </c>
      <c r="BU66" s="30">
        <f>IF(BT66="Above 2",0,IF(BT66="Between 1.5 to 2",5,IF(BT66="Less than 1.5",10,0)))</f>
        <v/>
      </c>
      <c r="BV66" s="30" t="inlineStr">
        <is>
          <t>Less than 50% and Borrowings are increasing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Between 0.7 to 1.2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20</t>
        </is>
      </c>
      <c r="CG66" s="30">
        <f>IF(CF66&gt;20,10,IF(CF66&gt;=10,5,2))</f>
        <v/>
      </c>
    </row>
    <row r="67">
      <c r="A67" s="30">
        <f>IF(B67=0,"",RANK(B67,$B$2:$B$96,0))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0" t="inlineStr">
        <is>
          <t>IDEAFORGE</t>
        </is>
      </c>
      <c r="D67" s="30" t="inlineStr">
        <is>
          <t>Ideaforge Technology Ltd</t>
        </is>
      </c>
      <c r="E67" s="30" t="inlineStr">
        <is>
          <t>aerospace &amp; defence</t>
        </is>
      </c>
      <c r="F67" s="30" t="inlineStr">
        <is>
          <t>Aerospace &amp; Defence - Equipments</t>
        </is>
      </c>
      <c r="G67" s="30" t="inlineStr">
        <is>
          <t>smallcap</t>
        </is>
      </c>
      <c r="H67" s="31" t="n">
        <v>4100.25</v>
      </c>
      <c r="I67" s="31" t="n">
        <v>945</v>
      </c>
      <c r="J67" s="31" t="n">
        <v>5</v>
      </c>
      <c r="K67" s="31" t="n">
        <v>0</v>
      </c>
      <c r="L67" s="30" t="n">
        <v>92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80.69</v>
      </c>
      <c r="P67" s="31" t="n">
        <v>37.87</v>
      </c>
      <c r="Q67" s="31" t="n">
        <v>682.3</v>
      </c>
      <c r="R67" s="30" t="inlineStr">
        <is>
          <t>Near 52W High Breakout</t>
        </is>
      </c>
      <c r="S67" s="30" t="inlineStr">
        <is>
          <t>Nifty Infra</t>
        </is>
      </c>
      <c r="T67" s="31" t="n">
        <v>1.11</v>
      </c>
      <c r="U67" s="31" t="n">
        <v>59.8</v>
      </c>
      <c r="V67" s="31" t="n">
        <v>58.04</v>
      </c>
      <c r="W67" s="31" t="n">
        <v>40.21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No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One Time, Lower Annuity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20 to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No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Negative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19</t>
        </is>
      </c>
      <c r="CG67" s="30">
        <f>IF(CF67&gt;20,10,IF(CF67&gt;=10,5,2))</f>
        <v/>
      </c>
    </row>
    <row r="68">
      <c r="A68" s="30">
        <f>IF(B68=0,"",RANK(B68,$B$2:$B$96,0))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0" t="inlineStr">
        <is>
          <t>PRECWIRE</t>
        </is>
      </c>
      <c r="D68" s="30" t="inlineStr">
        <is>
          <t>Precision Wires India Ltd</t>
        </is>
      </c>
      <c r="E68" s="30" t="inlineStr">
        <is>
          <t>Industrials</t>
        </is>
      </c>
      <c r="F68" s="30" t="inlineStr">
        <is>
          <t>Copper Wires</t>
        </is>
      </c>
      <c r="G68" s="30" t="inlineStr">
        <is>
          <t>midcap</t>
        </is>
      </c>
      <c r="H68" s="31" t="n">
        <v>7624.01</v>
      </c>
      <c r="I68" s="31" t="n">
        <v>417.05</v>
      </c>
      <c r="J68" s="31" t="n">
        <v>-3.33</v>
      </c>
      <c r="K68" s="31" t="n">
        <v>0</v>
      </c>
      <c r="L68" s="30" t="n">
        <v>78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69.33</v>
      </c>
      <c r="P68" s="31" t="n">
        <v>69.76000000000001</v>
      </c>
      <c r="Q68" s="31" t="n">
        <v>300.75</v>
      </c>
      <c r="R68" s="30" t="inlineStr">
        <is>
          <t>Near 52W High Breakout</t>
        </is>
      </c>
      <c r="S68" s="30" t="inlineStr">
        <is>
          <t>Nifty 50</t>
        </is>
      </c>
      <c r="T68" s="31" t="n">
        <v>-6.54</v>
      </c>
      <c r="U68" s="31" t="n">
        <v>124.34</v>
      </c>
      <c r="V68" s="31" t="n">
        <v>140.05</v>
      </c>
      <c r="W68" s="31" t="n">
        <v>24.09</v>
      </c>
      <c r="X68" s="30" t="inlineStr">
        <is>
          <t>Cyclical in an Upturn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Above 40</t>
        </is>
      </c>
      <c r="AY68" s="30">
        <f>IF(AX68="Above 40",20,IF(AX68="20 to 40",10,IF(AX68="0 to 20",-5,0)))</f>
        <v/>
      </c>
      <c r="AZ68" s="30" t="inlineStr">
        <is>
          <t>Between 50 to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Negative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Yes</t>
        </is>
      </c>
      <c r="BS68" s="30">
        <f>IF(BR68="NO",5,0)</f>
        <v/>
      </c>
      <c r="BT68" s="30" t="inlineStr">
        <is>
          <t>Less than 1.5</t>
        </is>
      </c>
      <c r="BU68" s="30">
        <f>IF(BT68="Above 2",0,IF(BT68="Between 1.5 to 2",5,IF(BT68="Less than 1.5",10,0)))</f>
        <v/>
      </c>
      <c r="BV68" s="30" t="inlineStr">
        <is>
          <t>Above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19</t>
        </is>
      </c>
      <c r="CG68" s="30">
        <f>IF(CF68&gt;20,10,IF(CF68&gt;=10,5,2))</f>
        <v/>
      </c>
    </row>
    <row r="69">
      <c r="A69" s="30">
        <f>IF(B69=0,"",RANK(B69,$B$2:$B$96,0))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0" t="inlineStr">
        <is>
          <t>FCL</t>
        </is>
      </c>
      <c r="D69" s="30" t="inlineStr">
        <is>
          <t>Fineotex Chemical Ltd</t>
        </is>
      </c>
      <c r="E69" s="30" t="inlineStr">
        <is>
          <t>chemicals</t>
        </is>
      </c>
      <c r="F69" s="30" t="inlineStr">
        <is>
          <t>Speciality Chemicals</t>
        </is>
      </c>
      <c r="G69" s="30" t="inlineStr">
        <is>
          <t>smallcap</t>
        </is>
      </c>
      <c r="H69" s="31" t="n">
        <v>4743.01</v>
      </c>
      <c r="I69" s="31" t="n">
        <v>40.73</v>
      </c>
      <c r="J69" s="31" t="n">
        <v>-0.73</v>
      </c>
      <c r="K69" s="31" t="n">
        <v>0</v>
      </c>
      <c r="L69" s="30" t="n">
        <v>87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76.69</v>
      </c>
      <c r="P69" s="31" t="n">
        <v>27.71</v>
      </c>
      <c r="Q69" s="31" t="n">
        <v>30.26</v>
      </c>
      <c r="R69" s="30" t="inlineStr">
        <is>
          <t>Near 52W High Breakout</t>
        </is>
      </c>
      <c r="S69" s="30" t="inlineStr">
        <is>
          <t>Nifty IT</t>
        </is>
      </c>
      <c r="T69" s="31" t="n">
        <v>-22.21</v>
      </c>
      <c r="U69" s="31" t="n">
        <v>61.05</v>
      </c>
      <c r="V69" s="31" t="n">
        <v>107.04</v>
      </c>
      <c r="W69" s="31" t="n">
        <v>31.8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Above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Negative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26</t>
        </is>
      </c>
      <c r="CG69" s="30">
        <f>IF(CF69&gt;20,10,IF(CF69&gt;=10,5,2))</f>
        <v/>
      </c>
    </row>
    <row r="70">
      <c r="A70" s="30">
        <f>IF(B70=0,"",RANK(B70,$B$2:$B$96,0))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0" t="inlineStr">
        <is>
          <t>SANDHAR</t>
        </is>
      </c>
      <c r="D70" s="30" t="inlineStr">
        <is>
          <t>Sandhar Technologies Limited</t>
        </is>
      </c>
      <c r="E70" s="30" t="inlineStr">
        <is>
          <t>auto</t>
        </is>
      </c>
      <c r="F70" s="30" t="inlineStr">
        <is>
          <t>Auto Ancillaries - 2&amp;3 Wheelers</t>
        </is>
      </c>
      <c r="G70" s="30" t="inlineStr">
        <is>
          <t>smallcap</t>
        </is>
      </c>
      <c r="H70" s="31" t="n">
        <v>4232.01</v>
      </c>
      <c r="I70" s="31" t="n">
        <v>703.1</v>
      </c>
      <c r="J70" s="31" t="n">
        <v>-1.22</v>
      </c>
      <c r="K70" s="31" t="n">
        <v>0</v>
      </c>
      <c r="L70" s="30" t="n">
        <v>61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71.37</v>
      </c>
      <c r="P70" s="31" t="n">
        <v>15.64</v>
      </c>
      <c r="Q70" s="31" t="n">
        <v>523.08</v>
      </c>
      <c r="R70" s="30" t="inlineStr">
        <is>
          <t>Near 52W High Breakout</t>
        </is>
      </c>
      <c r="S70" s="30" t="inlineStr">
        <is>
          <t>Nifty Auto</t>
        </is>
      </c>
      <c r="T70" s="31" t="n">
        <v>10.59</v>
      </c>
      <c r="U70" s="31" t="n">
        <v>38.03</v>
      </c>
      <c r="V70" s="31" t="n">
        <v>24.82</v>
      </c>
      <c r="W70" s="31" t="n">
        <v>16.59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0 to 20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Less than 1.5</t>
        </is>
      </c>
      <c r="BU70" s="30">
        <f>IF(BT70="Above 2",0,IF(BT70="Between 1.5 to 2",5,IF(BT70="Less than 1.5",10,0)))</f>
        <v/>
      </c>
      <c r="BV70" s="30" t="inlineStr">
        <is>
          <t>Less than 50%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Between 0.7 to 1.2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23</t>
        </is>
      </c>
      <c r="CG70" s="30">
        <f>IF(CF70&gt;20,10,IF(CF70&gt;=10,5,2))</f>
        <v/>
      </c>
    </row>
    <row r="71">
      <c r="A71" s="30">
        <f>IF(B71=0,"",RANK(B71,$B$2:$B$96,0))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0" t="inlineStr">
        <is>
          <t>RAIN</t>
        </is>
      </c>
      <c r="D71" s="30" t="inlineStr">
        <is>
          <t>Rain Industries Ltd</t>
        </is>
      </c>
      <c r="E71" s="30" t="inlineStr">
        <is>
          <t>miscellaneous</t>
        </is>
      </c>
      <c r="F71" s="30" t="inlineStr">
        <is>
          <t>Cement</t>
        </is>
      </c>
      <c r="G71" s="30" t="inlineStr">
        <is>
          <t>midcap</t>
        </is>
      </c>
      <c r="H71" s="31" t="n">
        <v>6629.04</v>
      </c>
      <c r="I71" s="31" t="n">
        <v>197.09</v>
      </c>
      <c r="J71" s="31" t="n">
        <v>0.8100000000000001</v>
      </c>
      <c r="K71" s="31" t="n">
        <v>0</v>
      </c>
      <c r="L71" s="30" t="n">
        <v>67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72.51000000000001</v>
      </c>
      <c r="P71" s="31" t="n">
        <v>18.85</v>
      </c>
      <c r="Q71" s="31" t="n">
        <v>147.01</v>
      </c>
      <c r="R71" s="30" t="inlineStr">
        <is>
          <t>Near 52W High Breakout</t>
        </is>
      </c>
      <c r="S71" s="30" t="inlineStr">
        <is>
          <t>Nifty 50</t>
        </is>
      </c>
      <c r="T71" s="31" t="n">
        <v>-6.54</v>
      </c>
      <c r="U71" s="31" t="n">
        <v>35.54</v>
      </c>
      <c r="V71" s="31" t="n">
        <v>45.03</v>
      </c>
      <c r="W71" s="31" t="n">
        <v>18.87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0 to 20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No</t>
        </is>
      </c>
      <c r="BS71" s="30">
        <f>IF(BR71="NO",5,0)</f>
        <v/>
      </c>
      <c r="BT71" s="30" t="inlineStr">
        <is>
          <t>Less than 1.5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More than 1.2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22</t>
        </is>
      </c>
      <c r="CG71" s="30">
        <f>IF(CF71&gt;20,10,IF(CF71&gt;=10,5,2))</f>
        <v/>
      </c>
    </row>
    <row r="72">
      <c r="A72" s="30">
        <f>IF(B72=0,"",RANK(B72,$B$2:$B$96,0))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0" t="inlineStr">
        <is>
          <t>RRKABEL</t>
        </is>
      </c>
      <c r="D72" s="30" t="inlineStr">
        <is>
          <t>R R Kabel Ltd</t>
        </is>
      </c>
      <c r="E72" s="30" t="inlineStr">
        <is>
          <t>industrials</t>
        </is>
      </c>
      <c r="F72" s="30" t="inlineStr">
        <is>
          <t>Cables - Power</t>
        </is>
      </c>
      <c r="G72" s="30" t="inlineStr">
        <is>
          <t>largecap</t>
        </is>
      </c>
      <c r="H72" s="31" t="n">
        <v>25147.88</v>
      </c>
      <c r="I72" s="31" t="n">
        <v>2223.4</v>
      </c>
      <c r="J72" s="31" t="n">
        <v>0.02</v>
      </c>
      <c r="K72" s="31" t="n">
        <v>0</v>
      </c>
      <c r="L72" s="30" t="n">
        <v>71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78.59</v>
      </c>
      <c r="P72" s="31" t="n">
        <v>32.21</v>
      </c>
      <c r="Q72" s="31" t="n">
        <v>1758.31</v>
      </c>
      <c r="R72" s="30" t="inlineStr">
        <is>
          <t>Near 52W High Breakout</t>
        </is>
      </c>
      <c r="S72" s="30" t="inlineStr">
        <is>
          <t>Nifty Energy</t>
        </is>
      </c>
      <c r="T72" s="31" t="n">
        <v>12.31</v>
      </c>
      <c r="U72" s="31" t="n">
        <v>58.13</v>
      </c>
      <c r="V72" s="31" t="n">
        <v>40.8</v>
      </c>
      <c r="W72" s="31" t="n">
        <v>20.39</v>
      </c>
      <c r="X72" s="30" t="inlineStr">
        <is>
          <t>Cyclical in an Upturn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Above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Yes</t>
        </is>
      </c>
      <c r="BS72" s="30">
        <f>IF(BR72="NO",5,0)</f>
        <v/>
      </c>
      <c r="BT72" s="30" t="inlineStr">
        <is>
          <t>Between 1.5 to 2</t>
        </is>
      </c>
      <c r="BU72" s="30">
        <f>IF(BT72="Above 2",0,IF(BT72="Between 1.5 to 2",5,IF(BT72="Less than 1.5",10,0)))</f>
        <v/>
      </c>
      <c r="BV72" s="30" t="inlineStr">
        <is>
          <t>Less than 50%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21</t>
        </is>
      </c>
      <c r="CG72" s="30">
        <f>IF(CF72&gt;20,10,IF(CF72&gt;=10,5,2))</f>
        <v/>
      </c>
    </row>
    <row r="73">
      <c r="A73" s="30">
        <f>IF(B73=0,"",RANK(B73,$B$2:$B$96,0))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0" t="inlineStr">
        <is>
          <t>PREMIERENE</t>
        </is>
      </c>
      <c r="D73" s="30" t="inlineStr">
        <is>
          <t>Premier Energies Ltd</t>
        </is>
      </c>
      <c r="E73" s="30" t="inlineStr">
        <is>
          <t>services</t>
        </is>
      </c>
      <c r="F73" s="30" t="inlineStr">
        <is>
          <t>Capital Goods - Solar</t>
        </is>
      </c>
      <c r="G73" s="30" t="inlineStr">
        <is>
          <t>largecap</t>
        </is>
      </c>
      <c r="H73" s="31" t="n">
        <v>49031.3</v>
      </c>
      <c r="I73" s="31" t="n">
        <v>1080.1</v>
      </c>
      <c r="J73" s="31" t="n">
        <v>0.21</v>
      </c>
      <c r="K73" s="31" t="n">
        <v>0</v>
      </c>
      <c r="L73" s="30" t="n">
        <v>49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65.43000000000001</v>
      </c>
      <c r="P73" s="31" t="n">
        <v>18.7</v>
      </c>
      <c r="Q73" s="31" t="n">
        <v>849.1799999999999</v>
      </c>
      <c r="R73" s="30" t="inlineStr">
        <is>
          <t>Near 52W High Breakout</t>
        </is>
      </c>
      <c r="S73" s="30" t="inlineStr">
        <is>
          <t>Nifty 500</t>
        </is>
      </c>
      <c r="T73" s="31" t="n">
        <v>-3.02</v>
      </c>
      <c r="U73" s="31" t="n">
        <v>2.66</v>
      </c>
      <c r="V73" s="31" t="n">
        <v>5.85</v>
      </c>
      <c r="W73" s="31" t="n">
        <v>12.82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0 to 20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Less than 1.5</t>
        </is>
      </c>
      <c r="BU73" s="30">
        <f>IF(BT73="Above 2",0,IF(BT73="Between 1.5 to 2",5,IF(BT73="Less than 1.5",10,0)))</f>
        <v/>
      </c>
      <c r="BV73" s="30" t="inlineStr">
        <is>
          <t>Between 50% to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Between 0.7 to 1.2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21</t>
        </is>
      </c>
      <c r="CG73" s="30">
        <f>IF(CF73&gt;20,10,IF(CF73&gt;=10,5,2))</f>
        <v/>
      </c>
    </row>
    <row r="74">
      <c r="A74" s="30">
        <f>IF(B74=0,"",RANK(B74,$B$2:$B$96,0))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3" t="inlineStr">
        <is>
          <t>MMTC</t>
        </is>
      </c>
      <c r="D74" s="33" t="inlineStr">
        <is>
          <t>MMTC Ltd</t>
        </is>
      </c>
      <c r="E74" s="30" t="inlineStr">
        <is>
          <t>Industrials</t>
        </is>
      </c>
      <c r="F74" s="30" t="inlineStr">
        <is>
          <t>Trading</t>
        </is>
      </c>
      <c r="G74" s="30" t="inlineStr">
        <is>
          <t>midcap</t>
        </is>
      </c>
      <c r="H74" s="31" t="n">
        <v>10204.5</v>
      </c>
      <c r="I74" s="31" t="n">
        <v>68.03</v>
      </c>
      <c r="J74" s="31" t="n">
        <v>-0.41</v>
      </c>
      <c r="K74" s="31" t="n">
        <v>0</v>
      </c>
      <c r="L74" s="30" t="n">
        <v>8</v>
      </c>
      <c r="M74" s="30" t="inlineStr">
        <is>
          <t>Underperforming</t>
        </is>
      </c>
      <c r="N74" s="31">
        <f>IF(M74="Underperforming",-5,IF(L74&gt;=95,15,IF(L74&gt;=90,10,IF(L74&gt;=80,5,0))))</f>
        <v/>
      </c>
      <c r="O74" s="31" t="n">
        <v>56.09</v>
      </c>
      <c r="P74" s="31" t="n">
        <v>14.19</v>
      </c>
      <c r="Q74" s="31" t="n">
        <v>49.24</v>
      </c>
      <c r="R74" s="30" t="inlineStr">
        <is>
          <t>Volume Spike &amp; Near 52W High Breakout</t>
        </is>
      </c>
      <c r="S74" s="30" t="inlineStr">
        <is>
          <t>Nifty 50</t>
        </is>
      </c>
      <c r="T74" s="31" t="n">
        <v>-6.54</v>
      </c>
      <c r="U74" s="31" t="n">
        <v>-7.53</v>
      </c>
      <c r="V74" s="31" t="n">
        <v>-1.05</v>
      </c>
      <c r="W74" s="31" t="n">
        <v>2.95</v>
      </c>
      <c r="X74" s="30" t="inlineStr">
        <is>
          <t>Cyclical in an Upturn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0 to 20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Between 1.5 to 2</t>
        </is>
      </c>
      <c r="BU74" s="30">
        <f>IF(BT74="Above 2",0,IF(BT74="Between 1.5 to 2",5,IF(BT74="Less than 1.5",10,0)))</f>
        <v/>
      </c>
      <c r="BV74" s="30" t="inlineStr">
        <is>
          <t>Above 70%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19</t>
        </is>
      </c>
      <c r="CG74" s="30">
        <f>IF(CF74&gt;20,10,IF(CF74&gt;=10,5,2))</f>
        <v/>
      </c>
    </row>
    <row r="75">
      <c r="A75" s="30">
        <f>IF(B75=0,"",RANK(B75,$B$2:$B$96,0))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3" t="inlineStr">
        <is>
          <t>CNCRD</t>
        </is>
      </c>
      <c r="D75" s="33" t="inlineStr">
        <is>
          <t>Concord Control Systems Ltd</t>
        </is>
      </c>
      <c r="E75" s="30" t="inlineStr">
        <is>
          <t>Industrials</t>
        </is>
      </c>
      <c r="F75" s="30" t="inlineStr">
        <is>
          <t>Capital Goods - Engineering Heavy</t>
        </is>
      </c>
      <c r="G75" s="30" t="inlineStr">
        <is>
          <t>smallcap</t>
        </is>
      </c>
      <c r="H75" s="31" t="n">
        <v>3109.88</v>
      </c>
      <c r="I75" s="31" t="n">
        <v>2995.05</v>
      </c>
      <c r="J75" s="31" t="n">
        <v>-0.76</v>
      </c>
      <c r="K75" s="31" t="n">
        <v>0</v>
      </c>
      <c r="L75" s="30" t="n">
        <v>87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64.47</v>
      </c>
      <c r="P75" s="31" t="n">
        <v>25.48</v>
      </c>
      <c r="Q75" s="31" t="n">
        <v>2051.72</v>
      </c>
      <c r="R75" s="30" t="inlineStr">
        <is>
          <t>Volume Spike &amp; Near 52W High Breakout</t>
        </is>
      </c>
      <c r="S75" s="30" t="inlineStr">
        <is>
          <t>Nifty 50</t>
        </is>
      </c>
      <c r="T75" s="31" t="n">
        <v>-6.54</v>
      </c>
      <c r="U75" s="31" t="n">
        <v>186.19</v>
      </c>
      <c r="V75" s="31" t="n">
        <v>206.23</v>
      </c>
      <c r="W75" s="31" t="n">
        <v>31.56</v>
      </c>
      <c r="X75" s="30" t="inlineStr">
        <is>
          <t>Cyclical in an Upturn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Negative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19</t>
        </is>
      </c>
      <c r="CG75" s="30">
        <f>IF(CF75&gt;20,10,IF(CF75&gt;=10,5,2))</f>
        <v/>
      </c>
    </row>
    <row r="76">
      <c r="A76" s="30">
        <f>IF(B76=0,"",RANK(B76,$B$2:$B$96,0))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0" t="inlineStr">
        <is>
          <t>SENORES</t>
        </is>
      </c>
      <c r="D76" s="30" t="inlineStr">
        <is>
          <t>Senores Pharmaceuticals Ltd</t>
        </is>
      </c>
      <c r="E76" s="30" t="inlineStr">
        <is>
          <t>Healthcare</t>
        </is>
      </c>
      <c r="F76" s="30" t="inlineStr">
        <is>
          <t>Pharma - API</t>
        </is>
      </c>
      <c r="G76" s="30" t="inlineStr">
        <is>
          <t>smallcap</t>
        </is>
      </c>
      <c r="H76" s="31" t="n">
        <v>4765.16</v>
      </c>
      <c r="I76" s="31" t="n">
        <v>1034.7</v>
      </c>
      <c r="J76" s="31" t="n">
        <v>-0.93</v>
      </c>
      <c r="K76" s="31" t="n">
        <v>0</v>
      </c>
      <c r="L76" s="30" t="n">
        <v>76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65.78</v>
      </c>
      <c r="P76" s="31" t="n">
        <v>36.77</v>
      </c>
      <c r="Q76" s="31" t="n">
        <v>868.1799999999999</v>
      </c>
      <c r="R76" s="30" t="inlineStr">
        <is>
          <t>Earnings / Momentum Support</t>
        </is>
      </c>
      <c r="S76" s="30" t="inlineStr">
        <is>
          <t>Nifty Pharma</t>
        </is>
      </c>
      <c r="T76" s="31" t="n">
        <v>11.82</v>
      </c>
      <c r="U76" s="31" t="n">
        <v>94.16</v>
      </c>
      <c r="V76" s="31" t="n">
        <v>73.64</v>
      </c>
      <c r="W76" s="31" t="n">
        <v>23.03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Yes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No</t>
        </is>
      </c>
      <c r="AQ76" s="30">
        <f>IF(AP76="Yes",10,0)</f>
        <v/>
      </c>
      <c r="AR76" s="30" t="inlineStr">
        <is>
          <t>Higher Annuity, Lower One Time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Above 2</t>
        </is>
      </c>
      <c r="BU76" s="30">
        <f>IF(BT76="Above 2",0,IF(BT76="Between 1.5 to 2",5,IF(BT76="Less than 1.5",10,0)))</f>
        <v/>
      </c>
      <c r="BV76" s="30" t="inlineStr">
        <is>
          <t>Less than 50%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20</t>
        </is>
      </c>
      <c r="CG76" s="30">
        <f>IF(CF76&gt;20,10,IF(CF76&gt;=10,5,2))</f>
        <v/>
      </c>
    </row>
    <row r="77">
      <c r="A77" s="30">
        <f>IF(B77=0,"",RANK(B77,$B$2:$B$96,0))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3" t="inlineStr">
        <is>
          <t>SOTL</t>
        </is>
      </c>
      <c r="D77" s="33" t="inlineStr">
        <is>
          <t>Savita Oil Technologies Ltd</t>
        </is>
      </c>
      <c r="E77" s="30" t="inlineStr">
        <is>
          <t>energy</t>
        </is>
      </c>
      <c r="F77" s="30" t="inlineStr">
        <is>
          <t>Petrochem - Others</t>
        </is>
      </c>
      <c r="G77" s="30" t="inlineStr">
        <is>
          <t>smallcap</t>
        </is>
      </c>
      <c r="H77" s="31" t="n">
        <v>3842.81</v>
      </c>
      <c r="I77" s="31" t="n">
        <v>560.5</v>
      </c>
      <c r="J77" s="31" t="n">
        <v>-0.67</v>
      </c>
      <c r="K77" s="31" t="n">
        <v>0</v>
      </c>
      <c r="L77" s="30" t="n">
        <v>71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74.61</v>
      </c>
      <c r="P77" s="31" t="n">
        <v>23.58</v>
      </c>
      <c r="Q77" s="31" t="n">
        <v>422.23</v>
      </c>
      <c r="R77" s="30" t="inlineStr">
        <is>
          <t>Volume Spike &amp; Near 52W High Breakout</t>
        </is>
      </c>
      <c r="S77" s="30" t="inlineStr">
        <is>
          <t>Nifty Energy</t>
        </is>
      </c>
      <c r="T77" s="31" t="n">
        <v>12.31</v>
      </c>
      <c r="U77" s="31" t="n">
        <v>33.41</v>
      </c>
      <c r="V77" s="31" t="n">
        <v>18.79</v>
      </c>
      <c r="W77" s="31" t="n">
        <v>19.99</v>
      </c>
      <c r="X77" s="30" t="inlineStr">
        <is>
          <t>Cyclical in an Upturn</t>
        </is>
      </c>
      <c r="Y77" s="30">
        <f>IF(X77="Growing Industry",10,IF(X77="Cyclical in an Upturn",5,0))</f>
        <v/>
      </c>
      <c r="Z77" s="30" t="inlineStr">
        <is>
          <t>Oligopoly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Yes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Cyclical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Volatile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Close to 52 week high or retracement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Less than 1.5</t>
        </is>
      </c>
      <c r="BU77" s="30">
        <f>IF(BT77="Above 2",0,IF(BT77="Between 1.5 to 2",5,IF(BT77="Less than 1.5",10,0)))</f>
        <v/>
      </c>
      <c r="BV77" s="30" t="inlineStr">
        <is>
          <t>Between 50% to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27</t>
        </is>
      </c>
      <c r="CG77" s="30">
        <f>IF(CF77&gt;20,10,IF(CF77&gt;=10,5,2))</f>
        <v/>
      </c>
    </row>
    <row r="78">
      <c r="A78" s="30">
        <f>IF(B78=0,"",RANK(B78,$B$2:$B$96,0))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0" t="inlineStr">
        <is>
          <t>JAYBARMARU</t>
        </is>
      </c>
      <c r="D78" s="30" t="inlineStr">
        <is>
          <t>Jay Bharat Maruti Ltd</t>
        </is>
      </c>
      <c r="E78" s="30" t="inlineStr">
        <is>
          <t>auto</t>
        </is>
      </c>
      <c r="F78" s="30" t="inlineStr">
        <is>
          <t>Auto Ancillaries - Diversified</t>
        </is>
      </c>
      <c r="G78" s="30" t="inlineStr">
        <is>
          <t>smallcap</t>
        </is>
      </c>
      <c r="H78" s="31" t="n">
        <v>1385.28</v>
      </c>
      <c r="I78" s="31" t="n">
        <v>127.97</v>
      </c>
      <c r="J78" s="31" t="n">
        <v>1.08</v>
      </c>
      <c r="K78" s="31" t="n">
        <v>0</v>
      </c>
      <c r="L78" s="30" t="n">
        <v>67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65.44</v>
      </c>
      <c r="P78" s="31" t="n">
        <v>15.35</v>
      </c>
      <c r="Q78" s="31" t="n">
        <v>90.14</v>
      </c>
      <c r="R78" s="30" t="inlineStr">
        <is>
          <t>Volume Spike &amp; Near 52W High Breakout</t>
        </is>
      </c>
      <c r="S78" s="30" t="inlineStr">
        <is>
          <t>Nifty Auto</t>
        </is>
      </c>
      <c r="T78" s="31" t="n">
        <v>10.59</v>
      </c>
      <c r="U78" s="31" t="n">
        <v>64.98999999999999</v>
      </c>
      <c r="V78" s="31" t="n">
        <v>49.2</v>
      </c>
      <c r="W78" s="31" t="n">
        <v>18.86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0 to 20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Between 50% to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Between 0.7 to 1.2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24</t>
        </is>
      </c>
      <c r="CG78" s="30">
        <f>IF(CF78&gt;20,10,IF(CF78&gt;=10,5,2))</f>
        <v/>
      </c>
    </row>
    <row r="79">
      <c r="A79" s="30">
        <f>IF(B79=0,"",RANK(B79,$B$2:$B$96,0))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3" t="inlineStr">
        <is>
          <t>BMW</t>
        </is>
      </c>
      <c r="D79" s="33" t="inlineStr">
        <is>
          <t>BMW Industries Ltd</t>
        </is>
      </c>
      <c r="E79" s="30" t="inlineStr">
        <is>
          <t>Basic Materials</t>
        </is>
      </c>
      <c r="F79" s="30" t="inlineStr">
        <is>
          <t>Steel Products</t>
        </is>
      </c>
      <c r="G79" s="30" t="inlineStr">
        <is>
          <t>smallcap</t>
        </is>
      </c>
      <c r="H79" s="31" t="n">
        <v>1354.57</v>
      </c>
      <c r="I79" s="31" t="n">
        <v>60.18</v>
      </c>
      <c r="J79" s="31" t="n">
        <v>-0.35</v>
      </c>
      <c r="K79" s="31" t="n">
        <v>0</v>
      </c>
      <c r="L79" s="30" t="n">
        <v>77</v>
      </c>
      <c r="M79" s="30" t="inlineStr">
        <is>
          <t>Underperforming</t>
        </is>
      </c>
      <c r="N79" s="31">
        <f>IF(M79="Underperforming",-5,IF(L79&gt;=95,15,IF(L79&gt;=90,10,IF(L79&gt;=80,5,0))))</f>
        <v/>
      </c>
      <c r="O79" s="31" t="n">
        <v>72.56999999999999</v>
      </c>
      <c r="P79" s="31" t="n">
        <v>34.16</v>
      </c>
      <c r="Q79" s="31" t="n">
        <v>43.58</v>
      </c>
      <c r="R79" s="30" t="inlineStr">
        <is>
          <t>Volume Spike &amp; Near 52W High Breakout</t>
        </is>
      </c>
      <c r="S79" s="30" t="inlineStr">
        <is>
          <t>Nifty Metal</t>
        </is>
      </c>
      <c r="T79" s="31" t="n">
        <v>40.56</v>
      </c>
      <c r="U79" s="31" t="n">
        <v>16.25</v>
      </c>
      <c r="V79" s="31" t="n">
        <v>-17.3</v>
      </c>
      <c r="W79" s="31" t="n">
        <v>24.02</v>
      </c>
      <c r="X79" s="30" t="inlineStr">
        <is>
          <t>Cyclical in an Upturn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Cyclical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Volatile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Close to 52 week high or retracement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Less than 1.5</t>
        </is>
      </c>
      <c r="BU79" s="30">
        <f>IF(BT79="Above 2",0,IF(BT79="Between 1.5 to 2",5,IF(BT79="Less than 1.5",10,0)))</f>
        <v/>
      </c>
      <c r="BV79" s="30" t="inlineStr">
        <is>
          <t>Between 50% to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23</t>
        </is>
      </c>
      <c r="CG79" s="30">
        <f>IF(CF79&gt;20,10,IF(CF79&gt;=10,5,2))</f>
        <v/>
      </c>
    </row>
    <row r="80">
      <c r="A80" s="30">
        <f>IF(B80=0,"",RANK(B80,$B$2:$B$96,0))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0" t="inlineStr">
        <is>
          <t>INDNIPPON</t>
        </is>
      </c>
      <c r="D80" s="30" t="inlineStr">
        <is>
          <t>India Nippon Electricals Ltd</t>
        </is>
      </c>
      <c r="E80" s="30" t="inlineStr">
        <is>
          <t>auto</t>
        </is>
      </c>
      <c r="F80" s="30" t="inlineStr">
        <is>
          <t>Auto Ancillaries - Engine Parts</t>
        </is>
      </c>
      <c r="G80" s="30" t="inlineStr">
        <is>
          <t>smallcap</t>
        </is>
      </c>
      <c r="H80" s="31" t="n">
        <v>2049.27</v>
      </c>
      <c r="I80" s="31" t="n">
        <v>905.9</v>
      </c>
      <c r="J80" s="31" t="n">
        <v>-1.1</v>
      </c>
      <c r="K80" s="31" t="n">
        <v>0</v>
      </c>
      <c r="L80" s="30" t="n">
        <v>37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61.07</v>
      </c>
      <c r="P80" s="31" t="n">
        <v>10.62</v>
      </c>
      <c r="Q80" s="31" t="n">
        <v>713.83</v>
      </c>
      <c r="R80" s="30" t="inlineStr">
        <is>
          <t>Earnings / Momentum Support</t>
        </is>
      </c>
      <c r="S80" s="30" t="inlineStr">
        <is>
          <t>Nifty Auto</t>
        </is>
      </c>
      <c r="T80" s="31" t="n">
        <v>10.59</v>
      </c>
      <c r="U80" s="31" t="n">
        <v>33.91</v>
      </c>
      <c r="V80" s="31" t="n">
        <v>21.1</v>
      </c>
      <c r="W80" s="31" t="n">
        <v>9.66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No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0 to 20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Close to 52 week high or retracement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No</t>
        </is>
      </c>
      <c r="BS80" s="30">
        <f>IF(BR80="NO",5,0)</f>
        <v/>
      </c>
      <c r="BT80" s="30" t="inlineStr">
        <is>
          <t>Less than 1.5</t>
        </is>
      </c>
      <c r="BU80" s="30">
        <f>IF(BT80="Above 2",0,IF(BT80="Between 1.5 to 2",5,IF(BT80="Less than 1.5",10,0)))</f>
        <v/>
      </c>
      <c r="BV80" s="30" t="inlineStr">
        <is>
          <t>Less than 50%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21</t>
        </is>
      </c>
      <c r="CG80" s="30">
        <f>IF(CF80&gt;20,10,IF(CF80&gt;=10,5,2))</f>
        <v/>
      </c>
    </row>
    <row r="81">
      <c r="A81" s="30">
        <f>IF(B81=0,"",RANK(B81,$B$2:$B$96,0))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0" t="inlineStr">
        <is>
          <t>ROBU</t>
        </is>
      </c>
      <c r="D81" s="30" t="inlineStr">
        <is>
          <t>Macfos Ltd</t>
        </is>
      </c>
      <c r="E81" s="30" t="inlineStr">
        <is>
          <t>Technology</t>
        </is>
      </c>
      <c r="F81" s="30" t="inlineStr">
        <is>
          <t>E-Commerce - Platform - Utility</t>
        </is>
      </c>
      <c r="G81" s="30" t="inlineStr">
        <is>
          <t>smallcap</t>
        </is>
      </c>
      <c r="H81" s="31" t="n">
        <v>1305.12</v>
      </c>
      <c r="I81" s="31" t="n">
        <v>1259.95</v>
      </c>
      <c r="J81" s="31" t="n">
        <v>-3.1</v>
      </c>
      <c r="K81" s="31" t="n">
        <v>0</v>
      </c>
      <c r="L81" s="30" t="n">
        <v>73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80.16</v>
      </c>
      <c r="P81" s="31" t="n">
        <v>67.84999999999999</v>
      </c>
      <c r="Q81" s="31" t="n">
        <v>915.4</v>
      </c>
      <c r="R81" s="30" t="inlineStr">
        <is>
          <t>Near 52W High Breakout</t>
        </is>
      </c>
      <c r="S81" s="30" t="inlineStr">
        <is>
          <t>Nifty 50</t>
        </is>
      </c>
      <c r="T81" s="31" t="n">
        <v>-6.54</v>
      </c>
      <c r="U81" s="31" t="n">
        <v>73.92</v>
      </c>
      <c r="V81" s="31" t="n">
        <v>86.09999999999999</v>
      </c>
      <c r="W81" s="31" t="n">
        <v>21.77</v>
      </c>
      <c r="X81" s="30" t="inlineStr">
        <is>
          <t>Growing Industry</t>
        </is>
      </c>
      <c r="Y81" s="30">
        <f>IF(X81="Growing Industry",10,IF(X81="Cyclical in an Upturn",5,0))</f>
        <v/>
      </c>
      <c r="Z81" s="30" t="inlineStr">
        <is>
          <t>Oligopoly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Yes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Annuity, Lower One Time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Above 40</t>
        </is>
      </c>
      <c r="AY81" s="30">
        <f>IF(AX81="Above 40",20,IF(AX81="20 to 40",10,IF(AX81="0 to 20",-5,0)))</f>
        <v/>
      </c>
      <c r="AZ81" s="30" t="inlineStr">
        <is>
          <t>Above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Yes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Negative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20</t>
        </is>
      </c>
      <c r="CG81" s="30">
        <f>IF(CF81&gt;20,10,IF(CF81&gt;=10,5,2))</f>
        <v/>
      </c>
    </row>
    <row r="82">
      <c r="A82" s="30">
        <f>IF(B82=0,"",RANK(B82,$B$2:$B$96,0))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0" t="inlineStr">
        <is>
          <t>V2RETAIL</t>
        </is>
      </c>
      <c r="D82" s="30" t="inlineStr">
        <is>
          <t>V2 Retail Ltd</t>
        </is>
      </c>
      <c r="E82" s="30" t="inlineStr">
        <is>
          <t>consumer discretionary</t>
        </is>
      </c>
      <c r="F82" s="30" t="inlineStr">
        <is>
          <t>Textiles - Readymade Apparel</t>
        </is>
      </c>
      <c r="G82" s="30" t="inlineStr">
        <is>
          <t>midcap</t>
        </is>
      </c>
      <c r="H82" s="31" t="n">
        <v>9042.65</v>
      </c>
      <c r="I82" s="31" t="n">
        <v>247.99</v>
      </c>
      <c r="J82" s="31" t="n">
        <v>-3.28</v>
      </c>
      <c r="K82" s="31" t="n">
        <v>0</v>
      </c>
      <c r="L82" s="30" t="n">
        <v>52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66.48</v>
      </c>
      <c r="P82" s="31" t="n">
        <v>26.15</v>
      </c>
      <c r="Q82" s="31" t="n">
        <v>182.91</v>
      </c>
      <c r="R82" s="30" t="inlineStr">
        <is>
          <t>Volume Spike &amp; Near 52W High Breakout</t>
        </is>
      </c>
      <c r="S82" s="30" t="inlineStr">
        <is>
          <t>Nifty 50</t>
        </is>
      </c>
      <c r="T82" s="31" t="n">
        <v>-6.54</v>
      </c>
      <c r="U82" s="31" t="n">
        <v>36.2</v>
      </c>
      <c r="V82" s="31" t="n">
        <v>45.74</v>
      </c>
      <c r="W82" s="31" t="n">
        <v>13.87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20 to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Blue sky scenario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Yes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Negative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Between 0.7 to 1.2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26</t>
        </is>
      </c>
      <c r="CG82" s="30">
        <f>IF(CF82&gt;20,10,IF(CF82&gt;=10,5,2))</f>
        <v/>
      </c>
    </row>
    <row r="83">
      <c r="A83" s="30">
        <f>IF(B83=0,"",RANK(B83,$B$2:$B$96,0))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0" t="inlineStr">
        <is>
          <t>DIACABS</t>
        </is>
      </c>
      <c r="D83" s="30" t="inlineStr">
        <is>
          <t>Diamond Power Infrastructure Ltd</t>
        </is>
      </c>
      <c r="E83" s="30" t="inlineStr">
        <is>
          <t>industrials</t>
        </is>
      </c>
      <c r="F83" s="30" t="inlineStr">
        <is>
          <t>Cables - Power</t>
        </is>
      </c>
      <c r="G83" s="30" t="inlineStr">
        <is>
          <t>midcap</t>
        </is>
      </c>
      <c r="H83" s="31" t="n">
        <v>10729.13</v>
      </c>
      <c r="I83" s="31" t="n">
        <v>203.6</v>
      </c>
      <c r="J83" s="31" t="n">
        <v>5.66</v>
      </c>
      <c r="K83" s="31" t="n">
        <v>0</v>
      </c>
      <c r="L83" s="30" t="n">
        <v>83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76.54000000000001</v>
      </c>
      <c r="P83" s="31" t="n">
        <v>29.5</v>
      </c>
      <c r="Q83" s="31" t="n">
        <v>151.68</v>
      </c>
      <c r="R83" s="30" t="inlineStr">
        <is>
          <t>Near 52W High Breakout</t>
        </is>
      </c>
      <c r="S83" s="30" t="inlineStr">
        <is>
          <t>Nifty Energy</t>
        </is>
      </c>
      <c r="T83" s="31" t="n">
        <v>12.31</v>
      </c>
      <c r="U83" s="31" t="n">
        <v>101.03</v>
      </c>
      <c r="V83" s="31" t="n">
        <v>78.98999999999999</v>
      </c>
      <c r="W83" s="31" t="n">
        <v>27.43</v>
      </c>
      <c r="X83" s="30" t="inlineStr">
        <is>
          <t>Cyclical in an Upturn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Above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Blue sky scenario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Yes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Negative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24</t>
        </is>
      </c>
      <c r="CG83" s="30">
        <f>IF(CF83&gt;20,10,IF(CF83&gt;=10,5,2))</f>
        <v/>
      </c>
    </row>
    <row r="84">
      <c r="A84" s="30">
        <f>IF(B84=0,"",RANK(B84,$B$2:$B$96,0))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3" t="inlineStr">
        <is>
          <t>SHYAMMETL</t>
        </is>
      </c>
      <c r="D84" s="33" t="inlineStr">
        <is>
          <t>Shyam Metalics &amp; Energy Ltd</t>
        </is>
      </c>
      <c r="E84" s="30" t="inlineStr">
        <is>
          <t>metals &amp; mining</t>
        </is>
      </c>
      <c r="F84" s="30" t="inlineStr">
        <is>
          <t>Steel Products</t>
        </is>
      </c>
      <c r="G84" s="30" t="inlineStr">
        <is>
          <t>largecap</t>
        </is>
      </c>
      <c r="H84" s="31" t="n">
        <v>27949.47</v>
      </c>
      <c r="I84" s="31" t="n">
        <v>1001.3</v>
      </c>
      <c r="J84" s="31" t="n">
        <v>-0.07000000000000001</v>
      </c>
      <c r="K84" s="31" t="n">
        <v>0</v>
      </c>
      <c r="L84" s="30" t="n">
        <v>34</v>
      </c>
      <c r="M84" s="30" t="inlineStr">
        <is>
          <t>Underperforming</t>
        </is>
      </c>
      <c r="N84" s="31">
        <f>IF(M84="Underperforming",-5,IF(L84&gt;=95,15,IF(L84&gt;=90,10,IF(L84&gt;=80,5,0))))</f>
        <v/>
      </c>
      <c r="O84" s="31" t="n">
        <v>65.81</v>
      </c>
      <c r="P84" s="31" t="n">
        <v>14.17</v>
      </c>
      <c r="Q84" s="31" t="n">
        <v>806.87</v>
      </c>
      <c r="R84" s="30" t="inlineStr">
        <is>
          <t>Near 52W High Breakout</t>
        </is>
      </c>
      <c r="S84" s="30" t="inlineStr">
        <is>
          <t>Nifty Metal</t>
        </is>
      </c>
      <c r="T84" s="31" t="n">
        <v>40.56</v>
      </c>
      <c r="U84" s="31" t="n">
        <v>15.57</v>
      </c>
      <c r="V84" s="31" t="n">
        <v>-17.78</v>
      </c>
      <c r="W84" s="31" t="n">
        <v>8.92</v>
      </c>
      <c r="X84" s="30" t="inlineStr">
        <is>
          <t>Cyclical in an Upturn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Cyclical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Volatile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0 to 20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Blue sky scenario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Less than 1.5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23</t>
        </is>
      </c>
      <c r="CG84" s="30">
        <f>IF(CF84&gt;20,10,IF(CF84&gt;=10,5,2))</f>
        <v/>
      </c>
    </row>
    <row r="85">
      <c r="A85" s="30">
        <f>IF(B85=0,"",RANK(B85,$B$2:$B$96,0))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0" t="inlineStr">
        <is>
          <t>ANTELOPUS</t>
        </is>
      </c>
      <c r="D85" s="30" t="inlineStr">
        <is>
          <t>Antelopus Selan Energy Ltd</t>
        </is>
      </c>
      <c r="E85" s="30" t="inlineStr">
        <is>
          <t>energy</t>
        </is>
      </c>
      <c r="F85" s="30" t="inlineStr">
        <is>
          <t>Oil Drilling &amp; Exploration</t>
        </is>
      </c>
      <c r="G85" s="30" t="inlineStr">
        <is>
          <t>smallcap</t>
        </is>
      </c>
      <c r="H85" s="31" t="n">
        <v>3162.33</v>
      </c>
      <c r="I85" s="31" t="n">
        <v>899.35</v>
      </c>
      <c r="J85" s="31" t="n">
        <v>-1.75</v>
      </c>
      <c r="K85" s="31" t="n">
        <v>0</v>
      </c>
      <c r="L85" s="30" t="n">
        <v>77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71.73999999999999</v>
      </c>
      <c r="P85" s="31" t="n">
        <v>39.6</v>
      </c>
      <c r="Q85" s="31" t="n">
        <v>628.8099999999999</v>
      </c>
      <c r="R85" s="30" t="inlineStr">
        <is>
          <t>Near 52W High Breakout</t>
        </is>
      </c>
      <c r="S85" s="30" t="inlineStr">
        <is>
          <t>Nifty Energy</t>
        </is>
      </c>
      <c r="T85" s="31" t="n">
        <v>12.31</v>
      </c>
      <c r="U85" s="31" t="n">
        <v>49.28</v>
      </c>
      <c r="V85" s="31" t="n">
        <v>32.92</v>
      </c>
      <c r="W85" s="31" t="n">
        <v>24.04</v>
      </c>
      <c r="X85" s="30" t="inlineStr">
        <is>
          <t>Cyclical in an Upturn</t>
        </is>
      </c>
      <c r="Y85" s="30">
        <f>IF(X85="Growing Industry",10,IF(X85="Cyclical in an Upturn",5,0))</f>
        <v/>
      </c>
      <c r="Z85" s="30" t="inlineStr">
        <is>
          <t>Oligopoly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Yes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Cyclical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Volatile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Close to 52 week high or retracement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Above 2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  <c r="CF85" s="30" t="inlineStr">
        <is>
          <t>22</t>
        </is>
      </c>
      <c r="CG85" s="30">
        <f>IF(CF85&gt;20,10,IF(CF85&gt;=10,5,2))</f>
        <v/>
      </c>
    </row>
    <row r="86">
      <c r="A86" s="30">
        <f>IF(B86=0,"",RANK(B86,$B$2:$B$96,0))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0" t="inlineStr">
        <is>
          <t>KINGFA</t>
        </is>
      </c>
      <c r="D86" s="30" t="inlineStr">
        <is>
          <t>Kingfa Science &amp; Technology (India) Ltd</t>
        </is>
      </c>
      <c r="E86" s="30" t="inlineStr">
        <is>
          <t>plastic products</t>
        </is>
      </c>
      <c r="F86" s="30" t="inlineStr">
        <is>
          <t>Plastics - Plastic &amp; Plastic Products</t>
        </is>
      </c>
      <c r="G86" s="30" t="inlineStr">
        <is>
          <t>midcap</t>
        </is>
      </c>
      <c r="H86" s="31" t="n">
        <v>7273.03</v>
      </c>
      <c r="I86" s="31" t="n">
        <v>5367</v>
      </c>
      <c r="J86" s="31" t="n">
        <v>-0.06</v>
      </c>
      <c r="K86" s="31" t="n">
        <v>0</v>
      </c>
      <c r="L86" s="30" t="n">
        <v>65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64.42</v>
      </c>
      <c r="P86" s="31" t="n">
        <v>22.02</v>
      </c>
      <c r="Q86" s="31" t="n">
        <v>4205.08</v>
      </c>
      <c r="R86" s="30" t="inlineStr">
        <is>
          <t>Near 52W High Breakout</t>
        </is>
      </c>
      <c r="S86" s="30" t="inlineStr">
        <is>
          <t>Nifty 50</t>
        </is>
      </c>
      <c r="T86" s="31" t="n">
        <v>-6.54</v>
      </c>
      <c r="U86" s="31" t="n">
        <v>66.93000000000001</v>
      </c>
      <c r="V86" s="31" t="n">
        <v>78.62</v>
      </c>
      <c r="W86" s="31" t="n">
        <v>17.59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Negative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Between 12 to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No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  <c r="CF86" s="30" t="inlineStr">
        <is>
          <t>20</t>
        </is>
      </c>
      <c r="CG86" s="30">
        <f>IF(CF86&gt;20,10,IF(CF86&gt;=10,5,2))</f>
        <v/>
      </c>
    </row>
    <row r="87">
      <c r="A87" s="30">
        <f>IF(B87=0,"",RANK(B87,$B$2:$B$96,0))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3" t="inlineStr">
        <is>
          <t>CEIGALL</t>
        </is>
      </c>
      <c r="D87" s="33" t="inlineStr">
        <is>
          <t>Ceigall India Ltd</t>
        </is>
      </c>
      <c r="E87" s="30" t="inlineStr">
        <is>
          <t>realty</t>
        </is>
      </c>
      <c r="F87" s="30" t="inlineStr">
        <is>
          <t>Construction - Civil/Turnkey</t>
        </is>
      </c>
      <c r="G87" s="30" t="inlineStr">
        <is>
          <t>midcap</t>
        </is>
      </c>
      <c r="H87" s="31" t="n">
        <v>6245.24</v>
      </c>
      <c r="I87" s="31" t="n">
        <v>358.5</v>
      </c>
      <c r="J87" s="31" t="n">
        <v>0</v>
      </c>
      <c r="K87" s="31" t="n">
        <v>0</v>
      </c>
      <c r="L87" s="30" t="n">
        <v>56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68.81</v>
      </c>
      <c r="P87" s="31" t="n">
        <v>41.58</v>
      </c>
      <c r="Q87" s="31" t="n">
        <v>298.02</v>
      </c>
      <c r="R87" s="30" t="inlineStr">
        <is>
          <t>Near 52W High Breakout</t>
        </is>
      </c>
      <c r="S87" s="30" t="inlineStr">
        <is>
          <t>Nifty Realty</t>
        </is>
      </c>
      <c r="T87" s="31" t="n">
        <v>-26.04</v>
      </c>
      <c r="U87" s="31" t="n">
        <v>46.43</v>
      </c>
      <c r="V87" s="31" t="n">
        <v>97.98</v>
      </c>
      <c r="W87" s="31" t="n">
        <v>14.86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Above 40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Negative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Close to 52 week high or retracement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Less than 1.5</t>
        </is>
      </c>
      <c r="BU87" s="30">
        <f>IF(BT87="Above 2",0,IF(BT87="Between 1.5 to 2",5,IF(BT87="Less than 1.5",10,0)))</f>
        <v/>
      </c>
      <c r="BV87" s="30" t="inlineStr">
        <is>
          <t>Negative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20</t>
        </is>
      </c>
      <c r="CG87" s="30">
        <f>IF(CF87&gt;20,10,IF(CF87&gt;=10,5,2))</f>
        <v/>
      </c>
    </row>
    <row r="88">
      <c r="A88" s="30">
        <f>IF(B88=0,"",RANK(B88,$B$2:$B$96,0))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0" t="inlineStr">
        <is>
          <t>VADILALIND</t>
        </is>
      </c>
      <c r="D88" s="30" t="inlineStr">
        <is>
          <t>Vadilal Industries Ltd</t>
        </is>
      </c>
      <c r="E88" s="30" t="inlineStr">
        <is>
          <t>fmcg</t>
        </is>
      </c>
      <c r="F88" s="30" t="inlineStr">
        <is>
          <t>FMCG - Dairy Products</t>
        </is>
      </c>
      <c r="G88" s="30" t="inlineStr">
        <is>
          <t>smallcap</t>
        </is>
      </c>
      <c r="H88" s="31" t="n">
        <v>4155.07</v>
      </c>
      <c r="I88" s="31" t="n">
        <v>5780.7</v>
      </c>
      <c r="J88" s="31" t="n">
        <v>5.24</v>
      </c>
      <c r="K88" s="31" t="n">
        <v>0</v>
      </c>
      <c r="L88" s="30" t="n">
        <v>14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64.17</v>
      </c>
      <c r="P88" s="31" t="n">
        <v>11.06</v>
      </c>
      <c r="Q88" s="31" t="n">
        <v>4390.09</v>
      </c>
      <c r="R88" s="30" t="inlineStr">
        <is>
          <t>Volume Spike &amp; Near 52W High Breakout</t>
        </is>
      </c>
      <c r="S88" s="30" t="inlineStr">
        <is>
          <t>Nifty FMCG</t>
        </is>
      </c>
      <c r="T88" s="31" t="n">
        <v>-13.44</v>
      </c>
      <c r="U88" s="31" t="n">
        <v>6.54</v>
      </c>
      <c r="V88" s="31" t="n">
        <v>23.08</v>
      </c>
      <c r="W88" s="31" t="n">
        <v>4.13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B2C</t>
        </is>
      </c>
      <c r="AO88" s="30">
        <f>IF(AN88="B2C",10,IF(AN88="B2B",5,0))</f>
        <v/>
      </c>
      <c r="AP88" s="30" t="inlineStr">
        <is>
          <t>Yes</t>
        </is>
      </c>
      <c r="AQ88" s="30">
        <f>IF(AP88="Yes",10,0)</f>
        <v/>
      </c>
      <c r="AR88" s="30" t="inlineStr">
        <is>
          <t>Higher Annuity, Lower One Time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0 to 20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1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Above 2</t>
        </is>
      </c>
      <c r="BU88" s="30">
        <f>IF(BT88="Above 2",0,IF(BT88="Between 1.5 to 2",5,IF(BT88="Less than 1.5",10,0)))</f>
        <v/>
      </c>
      <c r="BV88" s="30" t="inlineStr">
        <is>
          <t>Between 50% to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  <c r="CF88" s="30" t="inlineStr">
        <is>
          <t>23</t>
        </is>
      </c>
      <c r="CG88" s="30">
        <f>IF(CF88&gt;20,10,IF(CF88&gt;=10,5,2))</f>
        <v/>
      </c>
    </row>
    <row r="89">
      <c r="A89" s="30">
        <f>IF(B89=0,"",RANK(B89,$B$2:$B$96,0))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2" t="inlineStr">
        <is>
          <t>NSLNISP</t>
        </is>
      </c>
      <c r="D89" s="32" t="inlineStr">
        <is>
          <t>NMDC Steel Ltd</t>
        </is>
      </c>
      <c r="E89" s="30" t="inlineStr">
        <is>
          <t>metals &amp; mining</t>
        </is>
      </c>
      <c r="F89" s="30" t="inlineStr">
        <is>
          <t>Steel</t>
        </is>
      </c>
      <c r="G89" s="30" t="inlineStr">
        <is>
          <t>midcap</t>
        </is>
      </c>
      <c r="H89" s="31" t="n">
        <v>14641.31</v>
      </c>
      <c r="I89" s="31" t="n">
        <v>49.96</v>
      </c>
      <c r="J89" s="31" t="n">
        <v>-1.5</v>
      </c>
      <c r="K89" s="31" t="n">
        <v>0</v>
      </c>
      <c r="L89" s="30" t="n">
        <v>43</v>
      </c>
      <c r="M89" s="30" t="inlineStr">
        <is>
          <t>Underperforming</t>
        </is>
      </c>
      <c r="N89" s="31">
        <f>IF(M89="Underperforming",-5,IF(L89&gt;=95,15,IF(L89&gt;=90,10,IF(L89&gt;=80,5,0))))</f>
        <v/>
      </c>
      <c r="O89" s="31" t="n">
        <v>67.93000000000001</v>
      </c>
      <c r="P89" s="31" t="n">
        <v>24.11</v>
      </c>
      <c r="Q89" s="31" t="n">
        <v>39.02</v>
      </c>
      <c r="R89" s="30" t="inlineStr">
        <is>
          <t>Volume Spike &amp; Near 52W High Breakout</t>
        </is>
      </c>
      <c r="S89" s="30" t="inlineStr">
        <is>
          <t>Nifty Metal</t>
        </is>
      </c>
      <c r="T89" s="31" t="n">
        <v>40.56</v>
      </c>
      <c r="U89" s="31" t="n">
        <v>26.71</v>
      </c>
      <c r="V89" s="31" t="n">
        <v>-9.859999999999999</v>
      </c>
      <c r="W89" s="31" t="n">
        <v>11.5</v>
      </c>
      <c r="X89" s="30" t="inlineStr">
        <is>
          <t>Cyclical in an Upturn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Cyclical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Volatile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One Time, Lower Annuity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Yes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  <c r="CF89" s="30" t="inlineStr">
        <is>
          <t>23</t>
        </is>
      </c>
      <c r="CG89" s="30">
        <f>IF(CF89&gt;20,10,IF(CF89&gt;=10,5,2))</f>
        <v/>
      </c>
    </row>
    <row r="90">
      <c r="A90" s="30">
        <f>IF(B90=0,"",RANK(B90,$B$2:$B$96,0))</f>
        <v/>
      </c>
      <c r="B90" s="31">
        <f>SUM(N90,Y90,AA90,AC90,AE90,AG90,AI90,AK90,AM90,AO90,AQ90,AS90,AU90,AW90,AY90,BA90,BC90,BE90,BG90,BI90,BK90,BM90,BO90,BQ90,BS90,BU90,BW90,BY90,CA90,CC90,CE90,CG90)</f>
        <v/>
      </c>
      <c r="C90" s="30" t="inlineStr">
        <is>
          <t>AEROFLEX</t>
        </is>
      </c>
      <c r="D90" s="30" t="inlineStr">
        <is>
          <t>Aeroflex Industries Ltd</t>
        </is>
      </c>
      <c r="E90" s="30" t="inlineStr">
        <is>
          <t>metals &amp; mining</t>
        </is>
      </c>
      <c r="F90" s="30" t="inlineStr">
        <is>
          <t>Stainless Steel</t>
        </is>
      </c>
      <c r="G90" s="30" t="inlineStr">
        <is>
          <t>midcap</t>
        </is>
      </c>
      <c r="H90" s="31" t="n">
        <v>5554.58</v>
      </c>
      <c r="I90" s="31" t="n">
        <v>419.75</v>
      </c>
      <c r="J90" s="31" t="n">
        <v>-4.47</v>
      </c>
      <c r="K90" s="31" t="n">
        <v>0</v>
      </c>
      <c r="L90" s="30" t="n">
        <v>94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71</v>
      </c>
      <c r="P90" s="31" t="n">
        <v>53.8</v>
      </c>
      <c r="Q90" s="31" t="n">
        <v>304.78</v>
      </c>
      <c r="R90" s="30" t="inlineStr">
        <is>
          <t>Near 52W High Breakout</t>
        </is>
      </c>
      <c r="S90" s="30" t="inlineStr">
        <is>
          <t>Nifty Metal</t>
        </is>
      </c>
      <c r="T90" s="31" t="n">
        <v>40.56</v>
      </c>
      <c r="U90" s="31" t="n">
        <v>157.88</v>
      </c>
      <c r="V90" s="31" t="n">
        <v>83.45999999999999</v>
      </c>
      <c r="W90" s="31" t="n">
        <v>42.89</v>
      </c>
      <c r="X90" s="30" t="inlineStr">
        <is>
          <t>Cyclical in an Upturn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Cyclical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Volatile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Above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Negative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Blue sky scenario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Yes</t>
        </is>
      </c>
      <c r="BS90" s="30">
        <f>IF(BR90="NO",5,0)</f>
        <v/>
      </c>
      <c r="BT90" s="30" t="inlineStr">
        <is>
          <t>Between 1.5 to 2</t>
        </is>
      </c>
      <c r="BU90" s="30">
        <f>IF(BT90="Above 2",0,IF(BT90="Between 1.5 to 2",5,IF(BT90="Less than 1.5",10,0)))</f>
        <v/>
      </c>
      <c r="BV90" s="30" t="inlineStr">
        <is>
          <t>Between 50% to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  <c r="CF90" s="30" t="inlineStr">
        <is>
          <t>20</t>
        </is>
      </c>
      <c r="CG90" s="30">
        <f>IF(CF90&gt;20,10,IF(CF90&gt;=10,5,2))</f>
        <v/>
      </c>
    </row>
    <row r="91">
      <c r="A91" s="30">
        <f>IF(B91=0,"",RANK(B91,$B$2:$B$96,0))</f>
        <v/>
      </c>
      <c r="B91" s="31">
        <f>SUM(N91,Y91,AA91,AC91,AE91,AG91,AI91,AK91,AM91,AO91,AQ91,AS91,AU91,AW91,AY91,BA91,BC91,BE91,BG91,BI91,BK91,BM91,BO91,BQ91,BS91,BU91,BW91,BY91,CA91,CC91,CE91,CG91)</f>
        <v/>
      </c>
      <c r="C91" s="30" t="inlineStr">
        <is>
          <t>PTCIL</t>
        </is>
      </c>
      <c r="D91" s="30" t="inlineStr">
        <is>
          <t>PTC Industries Ltd</t>
        </is>
      </c>
      <c r="E91" s="30" t="inlineStr">
        <is>
          <t>industrials</t>
        </is>
      </c>
      <c r="F91" s="30" t="inlineStr">
        <is>
          <t>Castings - Steel/Alloy</t>
        </is>
      </c>
      <c r="G91" s="30" t="inlineStr">
        <is>
          <t>largecap</t>
        </is>
      </c>
      <c r="H91" s="31" t="n">
        <v>27770.7</v>
      </c>
      <c r="I91" s="31" t="n">
        <v>18523</v>
      </c>
      <c r="J91" s="31" t="n">
        <v>-0.88</v>
      </c>
      <c r="K91" s="31" t="n">
        <v>0</v>
      </c>
      <c r="L91" s="30" t="n">
        <v>27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60.49</v>
      </c>
      <c r="P91" s="31" t="n">
        <v>12.32</v>
      </c>
      <c r="Q91" s="31" t="n">
        <v>14397.78</v>
      </c>
      <c r="R91" s="30" t="inlineStr">
        <is>
          <t>Volume Spike &amp; Near 52W High Breakout</t>
        </is>
      </c>
      <c r="S91" s="30" t="inlineStr">
        <is>
          <t>Nifty 50</t>
        </is>
      </c>
      <c r="T91" s="31" t="n">
        <v>-6.54</v>
      </c>
      <c r="U91" s="31" t="n">
        <v>26.84</v>
      </c>
      <c r="V91" s="31" t="n">
        <v>35.72</v>
      </c>
      <c r="W91" s="31" t="n">
        <v>6.92</v>
      </c>
      <c r="X91" s="30" t="inlineStr">
        <is>
          <t>Cyclical in an Upturn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0 to 20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1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Blue sky scenario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Yes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Above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  <c r="CF91" s="30" t="inlineStr">
        <is>
          <t>24</t>
        </is>
      </c>
      <c r="CG91" s="30">
        <f>IF(CF91&gt;20,10,IF(CF91&gt;=10,5,2))</f>
        <v/>
      </c>
    </row>
    <row r="92">
      <c r="A92" s="30">
        <f>IF(B92=0,"",RANK(B92,$B$2:$B$96,0))</f>
        <v/>
      </c>
      <c r="B92" s="31">
        <f>SUM(N92,Y92,AA92,AC92,AE92,AG92,AI92,AK92,AM92,AO92,AQ92,AS92,AU92,AW92,AY92,BA92,BC92,BE92,BG92,BI92,BK92,BM92,BO92,BQ92,BS92,BU92,BW92,BY92,CA92,CC92,CE92,CG92)</f>
        <v/>
      </c>
      <c r="C92" s="30" t="inlineStr">
        <is>
          <t>SKYGOLD</t>
        </is>
      </c>
      <c r="D92" s="30" t="inlineStr">
        <is>
          <t>Sky Gold &amp; Diamonds Ltd</t>
        </is>
      </c>
      <c r="E92" s="30" t="inlineStr">
        <is>
          <t>consumer discretionary</t>
        </is>
      </c>
      <c r="F92" s="30" t="inlineStr">
        <is>
          <t>Diamond, Gems &amp; Jewellery</t>
        </is>
      </c>
      <c r="G92" s="30" t="inlineStr">
        <is>
          <t>midcap</t>
        </is>
      </c>
      <c r="H92" s="31" t="n">
        <v>8184.31</v>
      </c>
      <c r="I92" s="31" t="n">
        <v>528.45</v>
      </c>
      <c r="J92" s="31" t="n">
        <v>-7.52</v>
      </c>
      <c r="K92" s="31" t="n">
        <v>0</v>
      </c>
      <c r="L92" s="30" t="n">
        <v>73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67.04000000000001</v>
      </c>
      <c r="P92" s="31" t="n">
        <v>31.29</v>
      </c>
      <c r="Q92" s="31" t="n">
        <v>384.35</v>
      </c>
      <c r="R92" s="30" t="inlineStr">
        <is>
          <t>Volume Spike &amp; Near 52W High Breakout</t>
        </is>
      </c>
      <c r="S92" s="30" t="inlineStr">
        <is>
          <t>Nifty 50</t>
        </is>
      </c>
      <c r="T92" s="31" t="n">
        <v>-6.54</v>
      </c>
      <c r="U92" s="31" t="n">
        <v>40.02</v>
      </c>
      <c r="V92" s="31" t="n">
        <v>49.83</v>
      </c>
      <c r="W92" s="31" t="n">
        <v>21.43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Structural (10 Years Consistency)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20 to 40</t>
        </is>
      </c>
      <c r="AY92" s="30">
        <f>IF(AX92="Above 40",20,IF(AX92="20 to 40",10,IF(AX92="0 to 20",-5,0)))</f>
        <v/>
      </c>
      <c r="AZ92" s="30" t="inlineStr">
        <is>
          <t>Between 50 to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Negative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Blue sky scenario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Above 2</t>
        </is>
      </c>
      <c r="BU92" s="30">
        <f>IF(BT92="Above 2",0,IF(BT92="Between 1.5 to 2",5,IF(BT92="Less than 1.5",10,0)))</f>
        <v/>
      </c>
      <c r="BV92" s="30" t="inlineStr">
        <is>
          <t>Negative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Between 0.7 to 1.2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  <c r="CF92" s="30" t="inlineStr">
        <is>
          <t>22</t>
        </is>
      </c>
      <c r="CG92" s="30">
        <f>IF(CF92&gt;20,10,IF(CF92&gt;=10,5,2))</f>
        <v/>
      </c>
    </row>
    <row r="93">
      <c r="A93" s="30">
        <f>IF(B93=0,"",RANK(B93,$B$2:$B$96,0))</f>
        <v/>
      </c>
      <c r="B93" s="31">
        <f>SUM(N93,Y93,AA93,AC93,AE93,AG93,AI93,AK93,AM93,AO93,AQ93,AS93,AU93,AW93,AY93,BA93,BC93,BE93,BG93,BI93,BK93,BM93,BO93,BQ93,BS93,BU93,BW93,BY93,CA93,CC93,CE93,CG93)</f>
        <v/>
      </c>
      <c r="C93" s="32" t="inlineStr">
        <is>
          <t>LLOYDSME</t>
        </is>
      </c>
      <c r="D93" s="32" t="inlineStr">
        <is>
          <t>Lloyds Metals &amp; Energy Ltd</t>
        </is>
      </c>
      <c r="E93" s="30" t="inlineStr">
        <is>
          <t>metals &amp; mining</t>
        </is>
      </c>
      <c r="F93" s="30" t="inlineStr">
        <is>
          <t>Mining/Minerals - Iron Ore</t>
        </is>
      </c>
      <c r="G93" s="30" t="inlineStr">
        <is>
          <t>largecap</t>
        </is>
      </c>
      <c r="H93" s="31" t="n">
        <v>100096.96</v>
      </c>
      <c r="I93" s="31" t="n">
        <v>1778.6</v>
      </c>
      <c r="J93" s="31" t="n">
        <v>0.17</v>
      </c>
      <c r="K93" s="31" t="n">
        <v>0</v>
      </c>
      <c r="L93" s="30" t="n">
        <v>61</v>
      </c>
      <c r="M93" s="30" t="inlineStr">
        <is>
          <t>Underperforming</t>
        </is>
      </c>
      <c r="N93" s="31">
        <f>IF(M93="Underperforming",-5,IF(L93&gt;=95,15,IF(L93&gt;=90,10,IF(L93&gt;=80,5,0))))</f>
        <v/>
      </c>
      <c r="O93" s="31" t="n">
        <v>70.45</v>
      </c>
      <c r="P93" s="31" t="n">
        <v>35.52</v>
      </c>
      <c r="Q93" s="31" t="n">
        <v>1448.97</v>
      </c>
      <c r="R93" s="30" t="inlineStr">
        <is>
          <t>Near 52W High Breakout</t>
        </is>
      </c>
      <c r="S93" s="30" t="inlineStr">
        <is>
          <t>Nifty Metal</t>
        </is>
      </c>
      <c r="T93" s="31" t="n">
        <v>40.56</v>
      </c>
      <c r="U93" s="31" t="n">
        <v>21.91</v>
      </c>
      <c r="V93" s="31" t="n">
        <v>-13.27</v>
      </c>
      <c r="W93" s="31" t="n">
        <v>16.09</v>
      </c>
      <c r="X93" s="30" t="inlineStr">
        <is>
          <t>Cyclical in an Upturn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Cyclical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Volatile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Yes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20 to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Blue sky scenario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Less than 50% and Borrowings are increasing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More than 1.2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  <c r="CF93" s="30" t="inlineStr">
        <is>
          <t>21</t>
        </is>
      </c>
      <c r="CG93" s="30">
        <f>IF(CF93&gt;20,10,IF(CF93&gt;=10,5,2))</f>
        <v/>
      </c>
    </row>
    <row r="94">
      <c r="A94" s="30">
        <f>IF(B94=0,"",RANK(B94,$B$2:$B$96,0))</f>
        <v/>
      </c>
      <c r="B94" s="31">
        <f>SUM(N94,Y94,AA94,AC94,AE94,AG94,AI94,AK94,AM94,AO94,AQ94,AS94,AU94,AW94,AY94,BA94,BC94,BE94,BG94,BI94,BK94,BM94,BO94,BQ94,BS94,BU94,BW94,BY94,CA94,CC94,CE94,CG94)</f>
        <v/>
      </c>
      <c r="C94" s="33" t="inlineStr">
        <is>
          <t>PANAMAPET</t>
        </is>
      </c>
      <c r="D94" s="33" t="inlineStr">
        <is>
          <t>Panama Petrochem Ltd</t>
        </is>
      </c>
      <c r="E94" s="30" t="inlineStr">
        <is>
          <t>energy</t>
        </is>
      </c>
      <c r="F94" s="30" t="inlineStr">
        <is>
          <t>Speciality Chemicals</t>
        </is>
      </c>
      <c r="G94" s="30" t="inlineStr">
        <is>
          <t>smallcap</t>
        </is>
      </c>
      <c r="H94" s="31" t="n">
        <v>2085.52</v>
      </c>
      <c r="I94" s="31" t="n">
        <v>344.75</v>
      </c>
      <c r="J94" s="31" t="n">
        <v>-1.39</v>
      </c>
      <c r="K94" s="31" t="n">
        <v>0</v>
      </c>
      <c r="L94" s="30" t="n">
        <v>17</v>
      </c>
      <c r="M94" s="30" t="inlineStr">
        <is>
          <t>Underperforming</t>
        </is>
      </c>
      <c r="N94" s="31">
        <f>IF(M94="Underperforming",-5,IF(L94&gt;=95,15,IF(L94&gt;=90,10,IF(L94&gt;=80,5,0))))</f>
        <v/>
      </c>
      <c r="O94" s="31" t="n">
        <v>64.67</v>
      </c>
      <c r="P94" s="31" t="n">
        <v>18.32</v>
      </c>
      <c r="Q94" s="31" t="n">
        <v>256.79</v>
      </c>
      <c r="R94" s="30" t="inlineStr">
        <is>
          <t>Volume Spike &amp; Near 52W High Breakout</t>
        </is>
      </c>
      <c r="S94" s="30" t="inlineStr">
        <is>
          <t>Nifty Energy</t>
        </is>
      </c>
      <c r="T94" s="31" t="n">
        <v>12.31</v>
      </c>
      <c r="U94" s="31" t="n">
        <v>-4.75</v>
      </c>
      <c r="V94" s="31" t="n">
        <v>-15.19</v>
      </c>
      <c r="W94" s="31" t="n">
        <v>4.98</v>
      </c>
      <c r="X94" s="30" t="inlineStr">
        <is>
          <t>Cyclical in an Upturn</t>
        </is>
      </c>
      <c r="Y94" s="30">
        <f>IF(X94="Growing Industry",10,IF(X94="Cyclical in an Upturn",5,0))</f>
        <v/>
      </c>
      <c r="Z94" s="30" t="inlineStr">
        <is>
          <t>Oligopoly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Yes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Cyclical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Volatile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One Time, Lower Annuity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0 to 20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Close to 52 week high or retracement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No</t>
        </is>
      </c>
      <c r="BS94" s="30">
        <f>IF(BR94="NO",5,0)</f>
        <v/>
      </c>
      <c r="BT94" s="30" t="inlineStr">
        <is>
          <t>Less than 1.5</t>
        </is>
      </c>
      <c r="BU94" s="30">
        <f>IF(BT94="Above 2",0,IF(BT94="Between 1.5 to 2",5,IF(BT94="Less than 1.5",10,0)))</f>
        <v/>
      </c>
      <c r="BV94" s="30" t="inlineStr">
        <is>
          <t>Negative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Less than 0.7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  <c r="CF94" s="30" t="inlineStr">
        <is>
          <t>19</t>
        </is>
      </c>
      <c r="CG94" s="30">
        <f>IF(CF94&gt;20,10,IF(CF94&gt;=10,5,2))</f>
        <v/>
      </c>
    </row>
    <row r="95">
      <c r="A95" s="30">
        <f>IF(B95=0,"",RANK(B95,$B$2:$B$96,0))</f>
        <v/>
      </c>
      <c r="B95" s="31">
        <f>SUM(N95,Y95,AA95,AC95,AE95,AG95,AI95,AK95,AM95,AO95,AQ95,AS95,AU95,AW95,AY95,BA95,BC95,BE95,BG95,BI95,BK95,BM95,BO95,BQ95,BS95,BU95,BW95,BY95,CA95,CC95,CE95,CG95)</f>
        <v/>
      </c>
      <c r="C95" s="30" t="inlineStr">
        <is>
          <t>KRISHANA</t>
        </is>
      </c>
      <c r="D95" s="30" t="inlineStr">
        <is>
          <t>Krishana Phoschem Ltd</t>
        </is>
      </c>
      <c r="E95" s="30" t="inlineStr">
        <is>
          <t>Basic Materials</t>
        </is>
      </c>
      <c r="F95" s="30" t="inlineStr">
        <is>
          <t>Fertilisers</t>
        </is>
      </c>
      <c r="G95" s="30" t="inlineStr">
        <is>
          <t>smallcap</t>
        </is>
      </c>
      <c r="H95" s="31" t="n">
        <v>4037.04</v>
      </c>
      <c r="I95" s="31" t="n">
        <v>666.7</v>
      </c>
      <c r="J95" s="31" t="n">
        <v>-2.61</v>
      </c>
      <c r="K95" s="31" t="n">
        <v>0</v>
      </c>
      <c r="L95" s="30" t="n">
        <v>64</v>
      </c>
      <c r="M95" s="30" t="inlineStr">
        <is>
          <t>Outperforming</t>
        </is>
      </c>
      <c r="N95" s="31">
        <f>IF(M95="Underperforming",-5,IF(L95&gt;=95,15,IF(L95&gt;=90,10,IF(L95&gt;=80,5,0))))</f>
        <v/>
      </c>
      <c r="O95" s="31" t="n">
        <v>65.97</v>
      </c>
      <c r="P95" s="31" t="n">
        <v>34.03</v>
      </c>
      <c r="Q95" s="31" t="n">
        <v>536.63</v>
      </c>
      <c r="R95" s="30" t="inlineStr">
        <is>
          <t>Earnings / Momentum Support</t>
        </is>
      </c>
      <c r="S95" s="30" t="inlineStr">
        <is>
          <t>Nifty FMCG</t>
        </is>
      </c>
      <c r="T95" s="31" t="n">
        <v>-13.44</v>
      </c>
      <c r="U95" s="31" t="n">
        <v>49.83</v>
      </c>
      <c r="V95" s="31" t="n">
        <v>73.09</v>
      </c>
      <c r="W95" s="31" t="n">
        <v>17.38</v>
      </c>
      <c r="X95" s="30" t="inlineStr">
        <is>
          <t>Cyclical in an Upturn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No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Cyclical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Volatile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No</t>
        </is>
      </c>
      <c r="AQ95" s="30">
        <f>IF(AP95="Yes",10,0)</f>
        <v/>
      </c>
      <c r="AR95" s="30" t="inlineStr">
        <is>
          <t>Higher One Time, Lower Annuity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20 to 40</t>
        </is>
      </c>
      <c r="AY95" s="30">
        <f>IF(AX95="Above 40",20,IF(AX95="20 to 40",10,IF(AX95="0 to 20",-5,0)))</f>
        <v/>
      </c>
      <c r="AZ95" s="30" t="inlineStr">
        <is>
          <t>Between 50 to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Negative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Close to 52 week high or retracement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More than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No</t>
        </is>
      </c>
      <c r="BS95" s="30">
        <f>IF(BR95="NO",5,0)</f>
        <v/>
      </c>
      <c r="BT95" s="30" t="inlineStr">
        <is>
          <t>Above 2</t>
        </is>
      </c>
      <c r="BU95" s="30">
        <f>IF(BT95="Above 2",0,IF(BT95="Between 1.5 to 2",5,IF(BT95="Less than 1.5",10,0)))</f>
        <v/>
      </c>
      <c r="BV95" s="30" t="inlineStr">
        <is>
          <t>Negative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More than 1.2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  <c r="CF95" s="30" t="inlineStr">
        <is>
          <t>20</t>
        </is>
      </c>
      <c r="CG95" s="30">
        <f>IF(CF95&gt;20,10,IF(CF95&gt;=10,5,2))</f>
        <v/>
      </c>
    </row>
    <row r="96">
      <c r="A96" s="30">
        <f>IF(B96=0,"",RANK(B96,$B$2:$B$96,0))</f>
        <v/>
      </c>
      <c r="B96" s="31">
        <f>SUM(N96,Y96,AA96,AC96,AE96,AG96,AI96,AK96,AM96,AO96,AQ96,AS96,AU96,AW96,AY96,BA96,BC96,BE96,BG96,BI96,BK96,BM96,BO96,BQ96,BS96,BU96,BW96,BY96,CA96,CC96,CE96,CG96)</f>
        <v/>
      </c>
      <c r="C96" s="30" t="inlineStr">
        <is>
          <t>OBSCP</t>
        </is>
      </c>
      <c r="D96" s="30" t="inlineStr">
        <is>
          <t>OBSC Perfection Ltd</t>
        </is>
      </c>
      <c r="E96" s="30" t="inlineStr">
        <is>
          <t>unknown</t>
        </is>
      </c>
      <c r="F96" s="30" t="inlineStr">
        <is>
          <t>Auto Ancillaries - Diversified</t>
        </is>
      </c>
      <c r="G96" s="30" t="inlineStr">
        <is>
          <t>smallcap</t>
        </is>
      </c>
      <c r="H96" s="31" t="n">
        <v>1257.39</v>
      </c>
      <c r="I96" s="31" t="n">
        <v>486.5</v>
      </c>
      <c r="J96" s="31" t="n">
        <v>-0.53</v>
      </c>
      <c r="K96" s="31" t="n">
        <v>0</v>
      </c>
      <c r="L96" s="30" t="inlineStr"/>
      <c r="M96" s="30" t="inlineStr"/>
      <c r="N96" s="31">
        <f>IF(M96="Underperforming",-5,IF(L96&gt;=95,15,IF(L96&gt;=90,10,IF(L96&gt;=80,5,0))))</f>
        <v/>
      </c>
      <c r="O96" s="31" t="inlineStr"/>
      <c r="P96" s="31" t="inlineStr"/>
      <c r="Q96" s="31" t="inlineStr"/>
      <c r="R96" s="30" t="inlineStr"/>
      <c r="S96" s="30" t="inlineStr"/>
      <c r="T96" s="31" t="inlineStr"/>
      <c r="U96" s="31" t="inlineStr"/>
      <c r="V96" s="31" t="inlineStr"/>
      <c r="W96" s="31" t="inlineStr"/>
      <c r="X96" s="30" t="n"/>
      <c r="Y96" s="30">
        <f>IF(X96="Growing Industry",10,IF(X96="Cyclical in an Upturn",5,0))</f>
        <v/>
      </c>
      <c r="Z96" s="30" t="n"/>
      <c r="AA96" s="30">
        <f>IF(Z96="Monopoly",10,IF(Z96="Oligopoly",5,IF(Z96="Duopoly that cooperate",10,IF(Z96="Duopoly that compete",5,IF(Z96="Too many players with High ROCE",5,0)))))</f>
        <v/>
      </c>
      <c r="AB96" s="30" t="n"/>
      <c r="AC96" s="30">
        <f>IF(AB96="No",5,0)</f>
        <v/>
      </c>
      <c r="AD96" s="30" t="n"/>
      <c r="AE96" s="30">
        <f>IF(AD96="Tailwind",10,0)</f>
        <v/>
      </c>
      <c r="AF96" s="30" t="n"/>
      <c r="AG96" s="30">
        <f>IF(AF96="Structural (10 Years Consistency)",10,IF(AF96="Shallow Cyclical (2 to 3 years growth)",5,0))</f>
        <v/>
      </c>
      <c r="AH96" s="30" t="n"/>
      <c r="AI96" s="30">
        <f>IF(AH96="Yes due to Product Mix change or Operating Leverage",10,IF(AH96="Yes, these are peak margins",-5,IF(AH96="No",5,0)))</f>
        <v/>
      </c>
      <c r="AJ96" s="30" t="n"/>
      <c r="AK96" s="30">
        <f>IF(AJ96="Stable",10,0)</f>
        <v/>
      </c>
      <c r="AL96" s="30" t="n"/>
      <c r="AM96" s="30">
        <f>IF(AL96="Yes",10,0)</f>
        <v/>
      </c>
      <c r="AN96" s="30" t="n"/>
      <c r="AO96" s="30">
        <f>IF(AN96="B2C",10,IF(AN96="B2B",5,0))</f>
        <v/>
      </c>
      <c r="AP96" s="30" t="n"/>
      <c r="AQ96" s="30">
        <f>IF(AP96="Yes",10,0)</f>
        <v/>
      </c>
      <c r="AR96" s="30" t="n"/>
      <c r="AS96" s="30">
        <f>IF(AR96="Fully Annuity",10,IF(AR96="Higher Annuity, Lower One Time",5,IF(AR96="Higher One Time, Lower Annuity",3,0)))</f>
        <v/>
      </c>
      <c r="AT96" s="30" t="n"/>
      <c r="AU96" s="30">
        <f>IF(AT96="Good",10,0)</f>
        <v/>
      </c>
      <c r="AV96" s="30" t="n"/>
      <c r="AW96" s="30">
        <f>IF(AV96="Yes for more than 2 years",10,IF(AV96="Yes only for next 1 to 2 years",5,0))</f>
        <v/>
      </c>
      <c r="AX96" s="30" t="n"/>
      <c r="AY96" s="30">
        <f>IF(AX96="Above 40",20,IF(AX96="20 to 40",10,IF(AX96="0 to 20",-5,0)))</f>
        <v/>
      </c>
      <c r="AZ96" s="30" t="n"/>
      <c r="BA96" s="30">
        <f>IF(AZ96="Between 50 to 75",10,IF(AZ96="Above 75",0,0))</f>
        <v/>
      </c>
      <c r="BB96" s="30" t="n"/>
      <c r="BC96" s="30">
        <f>IF(BB96="Stage 2",20,IF(BB96="Stage 1",0,IF(BB96="Stage 3",5,IF(BB96="Stage 4",-5,0))))</f>
        <v/>
      </c>
      <c r="BD96" s="30" t="n"/>
      <c r="BE96" s="30">
        <f>IF(BD96="Positive Trend",20,IF(BD96="Negative Trend",-10,0))</f>
        <v/>
      </c>
      <c r="BF96" s="30" t="n"/>
      <c r="BG96" s="30">
        <f>IF(BF96="Uptrend",10,IF(BF96="Sideways",5,0))</f>
        <v/>
      </c>
      <c r="BH96" s="30" t="n"/>
      <c r="BI96" s="30">
        <f>IF(BH96="Uptrend",10,IF(BH96="Sideways",5,0))</f>
        <v/>
      </c>
      <c r="BJ96" s="30" t="n"/>
      <c r="BK96" s="30">
        <f>IF(BJ96="Overhead supply in last 2 years in last 2 years",-5,IF(BJ96="Close to 52 week high or retracement",5,IF(BJ96="Blue sky scenario",10,IF(BJ96="Long term Downtrend",-10,0))))</f>
        <v/>
      </c>
      <c r="BL96" s="30" t="n"/>
      <c r="BM96" s="30">
        <f>IF(BL96="Yes",10,0)</f>
        <v/>
      </c>
      <c r="BN96" s="30" t="n"/>
      <c r="BO96" s="30">
        <f>IF(BN96="More than 20%",10,IF(BN96="Between 12 to 20%",5,IF(BN96="Less than 12%",0,0)))</f>
        <v/>
      </c>
      <c r="BP96" s="30" t="n"/>
      <c r="BQ96" s="30">
        <f>IF(BP96="No",10,0)</f>
        <v/>
      </c>
      <c r="BR96" s="30" t="n"/>
      <c r="BS96" s="30">
        <f>IF(BR96="NO",5,0)</f>
        <v/>
      </c>
      <c r="BT96" s="30" t="n"/>
      <c r="BU96" s="30">
        <f>IF(BT96="Above 2",0,IF(BT96="Between 1.5 to 2",5,IF(BT96="Less than 1.5",10,0)))</f>
        <v/>
      </c>
      <c r="BV96" s="30" t="n"/>
      <c r="BW96" s="30">
        <f>IF(BV96="Above 70%",10,IF(BV96="Between 50% to 70%",5,IF(BV96="Less than 50%",0,IF(BV96="Negative",-10,IF(BV96="Less than 50% and Borrowings are increasing",-5,0)))))</f>
        <v/>
      </c>
      <c r="BX96" s="30" t="n"/>
      <c r="BY96" s="30">
        <f>IF(BX96="More than 1.2",-10,IF(BX96="Between 0.7 to 1.2",0,IF(BX96="Less than 0.7",10,0)))</f>
        <v/>
      </c>
      <c r="BZ96" s="30" t="n"/>
      <c r="CA96" s="30">
        <f>IF(BZ96="Yes",-10,0)</f>
        <v/>
      </c>
      <c r="CB96" s="30" t="n"/>
      <c r="CC96" s="30">
        <f>IF(CB96="More than 15%",-10,IF(CB96="Less than 15%",10,0))</f>
        <v/>
      </c>
      <c r="CD96" s="30" t="n"/>
      <c r="CE96" s="30">
        <f>IF(CD96="Yes, more than 10%",-10,IF(CD96="No",10,0))</f>
        <v/>
      </c>
      <c r="CF96" s="30" t="n"/>
      <c r="CG96" s="30">
        <f>IF(CF96&gt;20,10,IF(CF96&gt;=10,5,2))</f>
        <v/>
      </c>
    </row>
    <row r="100">
      <c r="A100" s="24" t="inlineStr">
        <is>
          <t>❌ REMOVED SCAN MATCH STOCKS (THIS WEEK)</t>
        </is>
      </c>
    </row>
    <row r="101">
      <c r="A101" s="34" t="inlineStr">
        <is>
          <t>Symbol</t>
        </is>
      </c>
      <c r="B101" s="34" t="inlineStr">
        <is>
          <t>Company Name</t>
        </is>
      </c>
      <c r="C101" s="34" t="inlineStr">
        <is>
          <t>Sector</t>
        </is>
      </c>
      <c r="D101" s="34" t="inlineStr">
        <is>
          <t>Date of Removal</t>
        </is>
      </c>
    </row>
    <row r="102">
      <c r="A102" s="35" t="inlineStr">
        <is>
          <t>ASHAPURMIN</t>
        </is>
      </c>
      <c r="B102" s="36" t="inlineStr">
        <is>
          <t>ASHAPURMIN</t>
        </is>
      </c>
      <c r="C102" s="36" t="inlineStr">
        <is>
          <t>unknown</t>
        </is>
      </c>
      <c r="D102" s="37" t="inlineStr">
        <is>
          <t>2026-06-05</t>
        </is>
      </c>
    </row>
    <row r="103">
      <c r="A103" s="35" t="inlineStr">
        <is>
          <t>BALAMINES</t>
        </is>
      </c>
      <c r="B103" s="36" t="inlineStr">
        <is>
          <t>Balaji Amines Limited</t>
        </is>
      </c>
      <c r="C103" s="36" t="inlineStr">
        <is>
          <t>Basic Materials</t>
        </is>
      </c>
      <c r="D103" s="37" t="inlineStr">
        <is>
          <t>2026-06-05</t>
        </is>
      </c>
    </row>
    <row r="104">
      <c r="A104" s="35" t="inlineStr">
        <is>
          <t>BHAGYANGR</t>
        </is>
      </c>
      <c r="B104" s="36" t="inlineStr">
        <is>
          <t>Bhagyanagar India Limited</t>
        </is>
      </c>
      <c r="C104" s="36" t="inlineStr">
        <is>
          <t>Basic Materials</t>
        </is>
      </c>
      <c r="D104" s="37" t="inlineStr">
        <is>
          <t>2026-06-05</t>
        </is>
      </c>
    </row>
    <row r="105">
      <c r="A105" s="35" t="inlineStr">
        <is>
          <t>CPPLUS</t>
        </is>
      </c>
      <c r="B105" s="36" t="inlineStr">
        <is>
          <t>CPPLUS</t>
        </is>
      </c>
      <c r="C105" s="36" t="inlineStr">
        <is>
          <t>unknown</t>
        </is>
      </c>
      <c r="D105" s="37" t="inlineStr">
        <is>
          <t>2026-06-05</t>
        </is>
      </c>
    </row>
    <row r="106">
      <c r="A106" s="35" t="inlineStr">
        <is>
          <t>DIVGIITTS</t>
        </is>
      </c>
      <c r="B106" s="36" t="inlineStr">
        <is>
          <t>Divgi TorqTransfer Systems Limited</t>
        </is>
      </c>
      <c r="C106" s="36" t="inlineStr">
        <is>
          <t>Consumer Cyclical</t>
        </is>
      </c>
      <c r="D106" s="37" t="inlineStr">
        <is>
          <t>2026-06-04</t>
        </is>
      </c>
    </row>
    <row r="107">
      <c r="A107" s="35" t="inlineStr">
        <is>
          <t>FREDUN</t>
        </is>
      </c>
      <c r="B107" s="36" t="inlineStr">
        <is>
          <t>FREDUN</t>
        </is>
      </c>
      <c r="C107" s="36" t="inlineStr">
        <is>
          <t>unknown</t>
        </is>
      </c>
      <c r="D107" s="37" t="inlineStr">
        <is>
          <t>2026-06-03</t>
        </is>
      </c>
    </row>
    <row r="108">
      <c r="A108" s="35" t="inlineStr">
        <is>
          <t>HESTERBIO</t>
        </is>
      </c>
      <c r="B108" s="36" t="inlineStr">
        <is>
          <t>Hester Biosciences Limited</t>
        </is>
      </c>
      <c r="C108" s="36" t="inlineStr">
        <is>
          <t>Healthcare</t>
        </is>
      </c>
      <c r="D108" s="37" t="inlineStr">
        <is>
          <t>2026-06-03</t>
        </is>
      </c>
    </row>
    <row r="109">
      <c r="A109" s="35" t="inlineStr">
        <is>
          <t>IDEAFORGE</t>
        </is>
      </c>
      <c r="B109" s="36" t="inlineStr">
        <is>
          <t>ideaForge Technology Limited</t>
        </is>
      </c>
      <c r="C109" s="36" t="inlineStr">
        <is>
          <t>Technology</t>
        </is>
      </c>
      <c r="D109" s="37" t="inlineStr">
        <is>
          <t>2026-06-04</t>
        </is>
      </c>
    </row>
    <row r="110">
      <c r="A110" s="35" t="inlineStr">
        <is>
          <t>KSHINTL</t>
        </is>
      </c>
      <c r="B110" s="36" t="inlineStr">
        <is>
          <t>KSHINTL</t>
        </is>
      </c>
      <c r="C110" s="36" t="inlineStr">
        <is>
          <t>unknown</t>
        </is>
      </c>
      <c r="D110" s="37" t="inlineStr">
        <is>
          <t>2026-06-04</t>
        </is>
      </c>
    </row>
    <row r="111">
      <c r="A111" s="35" t="inlineStr">
        <is>
          <t>MAYURUNIQ</t>
        </is>
      </c>
      <c r="B111" s="36" t="inlineStr">
        <is>
          <t>Mayur Uniquoters Limited</t>
        </is>
      </c>
      <c r="C111" s="36" t="inlineStr">
        <is>
          <t>Consumer Cyclical</t>
        </is>
      </c>
      <c r="D111" s="37" t="inlineStr">
        <is>
          <t>2026-06-04</t>
        </is>
      </c>
    </row>
    <row r="112">
      <c r="A112" s="35" t="inlineStr">
        <is>
          <t>MODINSU</t>
        </is>
      </c>
      <c r="B112" s="36" t="inlineStr">
        <is>
          <t>MODINSU</t>
        </is>
      </c>
      <c r="C112" s="36" t="inlineStr">
        <is>
          <t>unknown</t>
        </is>
      </c>
      <c r="D112" s="37" t="inlineStr">
        <is>
          <t>2026-06-05</t>
        </is>
      </c>
    </row>
    <row r="113">
      <c r="A113" s="35" t="inlineStr">
        <is>
          <t>MOTHERSON</t>
        </is>
      </c>
      <c r="B113" s="36" t="inlineStr">
        <is>
          <t>Samvardhana Motherson International Limited</t>
        </is>
      </c>
      <c r="C113" s="36" t="inlineStr">
        <is>
          <t>Consumer Cyclical</t>
        </is>
      </c>
      <c r="D113" s="37" t="inlineStr">
        <is>
          <t>2026-06-05</t>
        </is>
      </c>
    </row>
    <row r="114">
      <c r="A114" s="35" t="inlineStr">
        <is>
          <t>ONIXSOLAR</t>
        </is>
      </c>
      <c r="B114" s="36" t="inlineStr">
        <is>
          <t>ONIXSOLAR</t>
        </is>
      </c>
      <c r="C114" s="36" t="inlineStr">
        <is>
          <t>unknown</t>
        </is>
      </c>
      <c r="D114" s="37" t="inlineStr">
        <is>
          <t>2026-06-03</t>
        </is>
      </c>
    </row>
    <row r="115">
      <c r="A115" s="35" t="inlineStr">
        <is>
          <t>SAKAR</t>
        </is>
      </c>
      <c r="B115" s="36" t="inlineStr">
        <is>
          <t>Sakar Healthcare Limited</t>
        </is>
      </c>
      <c r="C115" s="36" t="inlineStr">
        <is>
          <t>Healthcare</t>
        </is>
      </c>
      <c r="D115" s="37" t="inlineStr">
        <is>
          <t>2026-06-04</t>
        </is>
      </c>
    </row>
    <row r="116">
      <c r="A116" s="35" t="inlineStr">
        <is>
          <t>SANGHVIMOV</t>
        </is>
      </c>
      <c r="B116" s="36" t="inlineStr">
        <is>
          <t>Sanghvi Movers Limited</t>
        </is>
      </c>
      <c r="C116" s="36" t="inlineStr">
        <is>
          <t>Industrials</t>
        </is>
      </c>
      <c r="D116" s="37" t="inlineStr">
        <is>
          <t>2026-06-05</t>
        </is>
      </c>
    </row>
    <row r="117">
      <c r="A117" s="35" t="inlineStr">
        <is>
          <t>SGFIN</t>
        </is>
      </c>
      <c r="B117" s="36" t="inlineStr">
        <is>
          <t>SGFIN</t>
        </is>
      </c>
      <c r="C117" s="36" t="inlineStr">
        <is>
          <t>unknown</t>
        </is>
      </c>
      <c r="D117" s="37" t="inlineStr">
        <is>
          <t>2026-06-04</t>
        </is>
      </c>
    </row>
    <row r="118">
      <c r="A118" s="35" t="inlineStr">
        <is>
          <t>STLTECH</t>
        </is>
      </c>
      <c r="B118" s="36" t="inlineStr">
        <is>
          <t>Sterlite Technologies Limited</t>
        </is>
      </c>
      <c r="C118" s="36" t="inlineStr">
        <is>
          <t>Technology</t>
        </is>
      </c>
      <c r="D118" s="37" t="inlineStr">
        <is>
          <t>2026-06-05</t>
        </is>
      </c>
    </row>
    <row r="119">
      <c r="A119" s="35" t="inlineStr">
        <is>
          <t>SUNRAKSHAK</t>
        </is>
      </c>
      <c r="B119" s="36" t="inlineStr">
        <is>
          <t>SUNRAKSHAK</t>
        </is>
      </c>
      <c r="C119" s="36" t="inlineStr">
        <is>
          <t>unknown</t>
        </is>
      </c>
      <c r="D119" s="37" t="inlineStr">
        <is>
          <t>2026-06-03</t>
        </is>
      </c>
    </row>
    <row r="120">
      <c r="A120" s="35" t="inlineStr">
        <is>
          <t>TAALTECH</t>
        </is>
      </c>
      <c r="B120" s="36" t="inlineStr">
        <is>
          <t>TAALTECH</t>
        </is>
      </c>
      <c r="C120" s="36" t="inlineStr">
        <is>
          <t>unknown</t>
        </is>
      </c>
      <c r="D120" s="37" t="inlineStr">
        <is>
          <t>2026-06-03</t>
        </is>
      </c>
    </row>
    <row r="121">
      <c r="A121" s="35" t="inlineStr">
        <is>
          <t>VALIANT</t>
        </is>
      </c>
      <c r="B121" s="36" t="inlineStr">
        <is>
          <t>VALIANT</t>
        </is>
      </c>
      <c r="C121" s="36" t="inlineStr">
        <is>
          <t>unknown</t>
        </is>
      </c>
      <c r="D121" s="37" t="inlineStr">
        <is>
          <t>2026-06-05</t>
        </is>
      </c>
    </row>
    <row r="122">
      <c r="A122" s="35" t="inlineStr">
        <is>
          <t>VEDL</t>
        </is>
      </c>
      <c r="B122" s="36" t="inlineStr">
        <is>
          <t>VEDL</t>
        </is>
      </c>
      <c r="C122" s="36" t="inlineStr">
        <is>
          <t>unknown</t>
        </is>
      </c>
      <c r="D122" s="37" t="inlineStr">
        <is>
          <t>2026-06-05</t>
        </is>
      </c>
    </row>
    <row r="123">
      <c r="A123" s="35" t="inlineStr">
        <is>
          <t>VERANDA</t>
        </is>
      </c>
      <c r="B123" s="36" t="inlineStr">
        <is>
          <t>Veranda Learning Solutions Limited</t>
        </is>
      </c>
      <c r="C123" s="36" t="inlineStr">
        <is>
          <t>Consumer Defensive</t>
        </is>
      </c>
      <c r="D123" s="37" t="inlineStr">
        <is>
          <t>2026-06-05</t>
        </is>
      </c>
    </row>
    <row r="124">
      <c r="A124" s="35" t="inlineStr">
        <is>
          <t>WOCKPHARMA</t>
        </is>
      </c>
      <c r="B124" s="36" t="inlineStr">
        <is>
          <t>WOCKPHARMA</t>
        </is>
      </c>
      <c r="C124" s="36" t="inlineStr">
        <is>
          <t>unknown</t>
        </is>
      </c>
      <c r="D124" s="37" t="inlineStr">
        <is>
          <t>2026-06-05</t>
        </is>
      </c>
    </row>
    <row r="125">
      <c r="A125" s="35" t="inlineStr">
        <is>
          <t>YASHO</t>
        </is>
      </c>
      <c r="B125" s="36" t="inlineStr">
        <is>
          <t>Yasho Industries Limited</t>
        </is>
      </c>
      <c r="C125" s="36" t="inlineStr">
        <is>
          <t>Basic Materials</t>
        </is>
      </c>
      <c r="D125" s="37" t="inlineStr">
        <is>
          <t>2026-06-04</t>
        </is>
      </c>
    </row>
  </sheetData>
  <autoFilter ref="A1:CG96"/>
  <conditionalFormatting sqref="B2:B9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6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6">
    <cfRule type="cellIs" priority="37" operator="equal" dxfId="3" stopIfTrue="1">
      <formula>"Underperforming"</formula>
    </cfRule>
  </conditionalFormatting>
  <conditionalFormatting sqref="N2:N96">
    <cfRule type="cellIs" priority="38" operator="equal" dxfId="3" stopIfTrue="1">
      <formula>-5</formula>
    </cfRule>
  </conditionalFormatting>
  <conditionalFormatting sqref="Q2:Q96">
    <cfRule type="expression" priority="39" dxfId="0" stopIfTrue="1">
      <formula>=AND(Q2&lt;&gt;"",Q2&gt;0,I2&gt;=Q2)</formula>
    </cfRule>
    <cfRule type="expression" priority="40" dxfId="3" stopIfTrue="1">
      <formula>=AND(Q2&lt;&gt;"",Q2&gt;0,I2&lt;Q2)</formula>
    </cfRule>
  </conditionalFormatting>
  <dataValidations count="30">
    <dataValidation sqref="X2:X96" showDropDown="0" showInputMessage="0" showErrorMessage="0" allowBlank="1" type="list">
      <formula1>"Growing Industry,Stagnant Industry,Cyclical in an Upturn"</formula1>
    </dataValidation>
    <dataValidation sqref="Z2:Z9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6" showDropDown="0" showInputMessage="0" showErrorMessage="0" allowBlank="1" type="list">
      <formula1>"Yes,No"</formula1>
    </dataValidation>
    <dataValidation sqref="AD2:AD96" showDropDown="0" showInputMessage="0" showErrorMessage="0" allowBlank="1" type="list">
      <formula1>"Tailwind,Headwind"</formula1>
    </dataValidation>
    <dataValidation sqref="AF2:AF96" showDropDown="0" showInputMessage="0" showErrorMessage="0" allowBlank="1" type="list">
      <formula1>"Structural (10 Years Consistency),Shallow Cyclical (2 to 3 Years Growth),Cyclical"</formula1>
    </dataValidation>
    <dataValidation sqref="AH2:AH96" showDropDown="0" showInputMessage="0" showErrorMessage="0" allowBlank="1" type="list">
      <formula1>"Yes due to Product Mix change or Operating Leverage,Yes, these are peak margins,No"</formula1>
    </dataValidation>
    <dataValidation sqref="AJ2:AJ96" showDropDown="0" showInputMessage="0" showErrorMessage="0" allowBlank="1" type="list">
      <formula1>"Stable,Volatile"</formula1>
    </dataValidation>
    <dataValidation sqref="AL2:AL96" showDropDown="0" showInputMessage="0" showErrorMessage="0" allowBlank="1" type="list">
      <formula1>"Yes,No"</formula1>
    </dataValidation>
    <dataValidation sqref="AN2:AN96" showDropDown="0" showInputMessage="0" showErrorMessage="0" allowBlank="1" type="list">
      <formula1>"B2C,B2B,B2G"</formula1>
    </dataValidation>
    <dataValidation sqref="AP2:AP96" showDropDown="0" showInputMessage="0" showErrorMessage="0" allowBlank="1" type="list">
      <formula1>"Yes,No"</formula1>
    </dataValidation>
    <dataValidation sqref="AR2:AR96" showDropDown="0" showInputMessage="0" showErrorMessage="0" allowBlank="1" type="list">
      <formula1>"Fully Annuity,Higher Annuity, Lower One time,Higher One Time, Lower Annuity,Fully One Time"</formula1>
    </dataValidation>
    <dataValidation sqref="AT2:AT96" showDropDown="0" showInputMessage="0" showErrorMessage="0" allowBlank="1" type="list">
      <formula1>"Good,Allocated capital in Non-core Areas"</formula1>
    </dataValidation>
    <dataValidation sqref="AV2:AV96" showDropDown="0" showInputMessage="0" showErrorMessage="0" allowBlank="1" type="list">
      <formula1>"Yes for more than 2 years,Yes only for next 1 to 2 years,No"</formula1>
    </dataValidation>
    <dataValidation sqref="AX2:AX96" showDropDown="0" showInputMessage="0" showErrorMessage="0" allowBlank="1" type="list">
      <formula1>"Above 40,20 to 40,0 to 20"</formula1>
    </dataValidation>
    <dataValidation sqref="AZ2:AZ96" showDropDown="0" showInputMessage="0" showErrorMessage="0" allowBlank="1" type="list">
      <formula1>"Between 50 to 75,Above 75,Below 45"</formula1>
    </dataValidation>
    <dataValidation sqref="BB2:BB96" showDropDown="0" showInputMessage="0" showErrorMessage="0" allowBlank="1" type="list">
      <formula1>"Stage 1,Stage 2,Stage 3,Stage 4"</formula1>
    </dataValidation>
    <dataValidation sqref="BD2:BD96" showDropDown="0" showInputMessage="0" showErrorMessage="0" allowBlank="1" type="list">
      <formula1>"Positive Trend,Negative Trend"</formula1>
    </dataValidation>
    <dataValidation sqref="BF2:BF96" showDropDown="0" showInputMessage="0" showErrorMessage="0" allowBlank="1" type="list">
      <formula1>"Uptrend,Sideways,Downtrend"</formula1>
    </dataValidation>
    <dataValidation sqref="BH2:BH96" showDropDown="0" showInputMessage="0" showErrorMessage="0" allowBlank="1" type="list">
      <formula1>"Uptrend,Sideways,Downtrend"</formula1>
    </dataValidation>
    <dataValidation sqref="BJ2:BJ9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6" showDropDown="0" showInputMessage="0" showErrorMessage="0" allowBlank="1" type="list">
      <formula1>"Yes,No"</formula1>
    </dataValidation>
    <dataValidation sqref="BN2:BN96" showDropDown="0" showInputMessage="0" showErrorMessage="0" allowBlank="1" type="list">
      <formula1>"More than 20%,Between 12 to 20%,Less than 12%"</formula1>
    </dataValidation>
    <dataValidation sqref="BP2:BP96" showDropDown="0" showInputMessage="0" showErrorMessage="0" allowBlank="1" type="list">
      <formula1>"Yes,No"</formula1>
    </dataValidation>
    <dataValidation sqref="BR2:BR96" showDropDown="0" showInputMessage="0" showErrorMessage="0" allowBlank="1" type="list">
      <formula1>"Yes,No"</formula1>
    </dataValidation>
    <dataValidation sqref="BT2:BT96" showDropDown="0" showInputMessage="0" showErrorMessage="0" allowBlank="1" type="list">
      <formula1>"Above 2,Between 1.5 to 2,Less than 1.5"</formula1>
    </dataValidation>
    <dataValidation sqref="BV2:BV96" showDropDown="0" showInputMessage="0" showErrorMessage="0" allowBlank="1" type="list">
      <formula1>"Above 70%,Between 50% to 70%,Less than 50%,Less than 50% and Borrowings are increasing,Negative"</formula1>
    </dataValidation>
    <dataValidation sqref="BX2:BX96" showDropDown="0" showInputMessage="0" showErrorMessage="0" allowBlank="1" type="list">
      <formula1>"More than 1.2,Between 0.7 to 1.2,Less than 0.7"</formula1>
    </dataValidation>
    <dataValidation sqref="BZ2:BZ96" showDropDown="0" showInputMessage="0" showErrorMessage="0" allowBlank="1" type="list">
      <formula1>"Yes,No"</formula1>
    </dataValidation>
    <dataValidation sqref="CB2:CB96" showDropDown="0" showInputMessage="0" showErrorMessage="0" allowBlank="1" type="list">
      <formula1>"More than 15%,Less than 15%"</formula1>
    </dataValidation>
    <dataValidation sqref="CD2:CD9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1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IF(B2=0,"",RANK(B2,$B$2:$B$6,0))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DHANBANK</t>
        </is>
      </c>
      <c r="D2" s="30" t="inlineStr">
        <is>
          <t>Dhanlaxmi Bank Ltd</t>
        </is>
      </c>
      <c r="E2" s="30" t="inlineStr">
        <is>
          <t>Financial Services</t>
        </is>
      </c>
      <c r="F2" s="30" t="inlineStr">
        <is>
          <t>Banks - Private</t>
        </is>
      </c>
      <c r="G2" s="30" t="inlineStr">
        <is>
          <t>smallcap</t>
        </is>
      </c>
      <c r="H2" s="31" t="n">
        <v>1297.77</v>
      </c>
      <c r="I2" s="31" t="n">
        <v>32.88</v>
      </c>
      <c r="J2" s="31" t="n">
        <v>-2.92</v>
      </c>
      <c r="K2" s="31" t="n">
        <v>0</v>
      </c>
      <c r="L2" s="30" t="n">
        <v>40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69.08</v>
      </c>
      <c r="P2" s="31" t="n">
        <v>28.77</v>
      </c>
      <c r="Q2" s="31" t="n">
        <v>25.69</v>
      </c>
      <c r="R2" s="30" t="inlineStr">
        <is>
          <t>Near 52W High Breakout</t>
        </is>
      </c>
      <c r="S2" s="30" t="inlineStr">
        <is>
          <t>Nifty Bank</t>
        </is>
      </c>
      <c r="T2" s="31" t="n">
        <v>-3.68</v>
      </c>
      <c r="U2" s="31" t="n">
        <v>3.69</v>
      </c>
      <c r="V2" s="31" t="n">
        <v>7.65</v>
      </c>
      <c r="W2" s="31" t="n">
        <v>10.8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20 to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Close to 52 week high or retracement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19</t>
        </is>
      </c>
      <c r="CC2" s="30">
        <f>IF(CB2&gt;20,10,IF(CB2&gt;=10,5,2))</f>
        <v/>
      </c>
    </row>
    <row r="3">
      <c r="A3" s="30">
        <f>IF(B3=0,"",RANK(B3,$B$2:$B$6,0))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SATIN</t>
        </is>
      </c>
      <c r="D3" s="30" t="inlineStr">
        <is>
          <t>Satin Creditcare Network Ltd</t>
        </is>
      </c>
      <c r="E3" s="30" t="inlineStr">
        <is>
          <t>financials</t>
        </is>
      </c>
      <c r="F3" s="30" t="inlineStr">
        <is>
          <t>Finance &amp; Investments - Microfinance</t>
        </is>
      </c>
      <c r="G3" s="30" t="inlineStr">
        <is>
          <t>smallcap</t>
        </is>
      </c>
      <c r="H3" s="31" t="n">
        <v>2666.66</v>
      </c>
      <c r="I3" s="31" t="n">
        <v>241.39</v>
      </c>
      <c r="J3" s="31" t="n">
        <v>-0.22</v>
      </c>
      <c r="K3" s="31" t="n">
        <v>0</v>
      </c>
      <c r="L3" s="30" t="n">
        <v>76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77.16</v>
      </c>
      <c r="P3" s="31" t="n">
        <v>37.11</v>
      </c>
      <c r="Q3" s="31" t="n">
        <v>189.41</v>
      </c>
      <c r="R3" s="30" t="inlineStr">
        <is>
          <t>Near 52W High Breakout</t>
        </is>
      </c>
      <c r="S3" s="30" t="inlineStr">
        <is>
          <t>Nifty Bank</t>
        </is>
      </c>
      <c r="T3" s="31" t="n">
        <v>-3.68</v>
      </c>
      <c r="U3" s="31" t="n">
        <v>52.87</v>
      </c>
      <c r="V3" s="31" t="n">
        <v>58.71</v>
      </c>
      <c r="W3" s="31" t="n">
        <v>23.12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20 to 40</t>
        </is>
      </c>
      <c r="BM3" s="30">
        <f>IF(BL3="Above 40",20,IF(BL3="20 to 40",10,IF(BL3="0 to 20",-5,0)))</f>
        <v/>
      </c>
      <c r="BN3" s="30" t="inlineStr">
        <is>
          <t>Above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25</t>
        </is>
      </c>
      <c r="CC3" s="30">
        <f>IF(CB3&gt;20,10,IF(CB3&gt;=10,5,2))</f>
        <v/>
      </c>
    </row>
    <row r="4">
      <c r="A4" s="30">
        <f>IF(B4=0,"",RANK(B4,$B$2:$B$6,0))</f>
        <v/>
      </c>
      <c r="B4" s="31">
        <f>SUM(N4,Y4,AA4,AC4,AE4,AG4,AI4,AK4,AM4,AO4,AQ4,AS4,AU4,AW4,AY4,BA4,BC4,BE4,BG4,BI4,BK4,BM4,BO4,BQ4,BS4,BU4,BW4,BY4,CA4,CC4)</f>
        <v/>
      </c>
      <c r="C4" s="33" t="inlineStr">
        <is>
          <t>NAM-INDIA</t>
        </is>
      </c>
      <c r="D4" s="33" t="inlineStr">
        <is>
          <t>Nippon Life India Asset Management Ltd</t>
        </is>
      </c>
      <c r="E4" s="30" t="inlineStr">
        <is>
          <t>financials</t>
        </is>
      </c>
      <c r="F4" s="30" t="inlineStr">
        <is>
          <t>Finance - AMC</t>
        </is>
      </c>
      <c r="G4" s="30" t="inlineStr">
        <is>
          <t>largecap</t>
        </is>
      </c>
      <c r="H4" s="31" t="n">
        <v>71069.53999999999</v>
      </c>
      <c r="I4" s="31" t="n">
        <v>1113.1</v>
      </c>
      <c r="J4" s="31" t="n">
        <v>-1.42</v>
      </c>
      <c r="K4" s="31" t="n">
        <v>0</v>
      </c>
      <c r="L4" s="30" t="n">
        <v>53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68.22</v>
      </c>
      <c r="P4" s="31" t="n">
        <v>25.17</v>
      </c>
      <c r="Q4" s="31" t="n">
        <v>870.6</v>
      </c>
      <c r="R4" s="30" t="inlineStr">
        <is>
          <t>Near 52W High Breakout</t>
        </is>
      </c>
      <c r="S4" s="30" t="inlineStr">
        <is>
          <t>Nifty Bank</t>
        </is>
      </c>
      <c r="T4" s="31" t="n">
        <v>-3.68</v>
      </c>
      <c r="U4" s="31" t="n">
        <v>44.05</v>
      </c>
      <c r="V4" s="31" t="n">
        <v>49.56</v>
      </c>
      <c r="W4" s="31" t="n">
        <v>13.95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above 5x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19</t>
        </is>
      </c>
      <c r="CC4" s="30">
        <f>IF(CB4&gt;20,10,IF(CB4&gt;=10,5,2))</f>
        <v/>
      </c>
    </row>
    <row r="5">
      <c r="A5" s="30">
        <f>IF(B5=0,"",RANK(B5,$B$2:$B$6,0))</f>
        <v/>
      </c>
      <c r="B5" s="31">
        <f>SUM(N5,Y5,AA5,AC5,AE5,AG5,AI5,AK5,AM5,AO5,AQ5,AS5,AU5,AW5,AY5,BA5,BC5,BE5,BG5,BI5,BK5,BM5,BO5,BQ5,BS5,BU5,BW5,BY5,CA5,CC5)</f>
        <v/>
      </c>
      <c r="C5" s="30" t="inlineStr">
        <is>
          <t>CGCL</t>
        </is>
      </c>
      <c r="D5" s="30" t="inlineStr">
        <is>
          <t>Capri Global Capital Ltd</t>
        </is>
      </c>
      <c r="E5" s="30" t="inlineStr">
        <is>
          <t>financials</t>
        </is>
      </c>
      <c r="F5" s="30" t="inlineStr">
        <is>
          <t>Finance &amp; Investments - Gold Loan</t>
        </is>
      </c>
      <c r="G5" s="30" t="inlineStr">
        <is>
          <t>midcap</t>
        </is>
      </c>
      <c r="H5" s="31" t="n">
        <v>19509.6</v>
      </c>
      <c r="I5" s="31" t="n">
        <v>202.77</v>
      </c>
      <c r="J5" s="31" t="n">
        <v>0.12</v>
      </c>
      <c r="K5" s="31" t="n">
        <v>0</v>
      </c>
      <c r="L5" s="30" t="n">
        <v>46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63.03</v>
      </c>
      <c r="P5" s="31" t="n">
        <v>17.37</v>
      </c>
      <c r="Q5" s="31" t="n">
        <v>162.25</v>
      </c>
      <c r="R5" s="30" t="inlineStr">
        <is>
          <t>Near 52W High Breakout</t>
        </is>
      </c>
      <c r="S5" s="30" t="inlineStr">
        <is>
          <t>Nifty Bank</t>
        </is>
      </c>
      <c r="T5" s="31" t="n">
        <v>-3.68</v>
      </c>
      <c r="U5" s="31" t="n">
        <v>33.51</v>
      </c>
      <c r="V5" s="31" t="n">
        <v>38.61</v>
      </c>
      <c r="W5" s="31" t="n">
        <v>12.14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between 2.5x to 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0 to 20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Close to 52 week high or retracement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19</t>
        </is>
      </c>
      <c r="CC5" s="30">
        <f>IF(CB5&gt;20,10,IF(CB5&gt;=10,5,2))</f>
        <v/>
      </c>
    </row>
    <row r="6">
      <c r="A6" s="30">
        <f>IF(B6=0,"",RANK(B6,$B$2:$B$6,0))</f>
        <v/>
      </c>
      <c r="B6" s="31">
        <f>SUM(N6,Y6,AA6,AC6,AE6,AG6,AI6,AK6,AM6,AO6,AQ6,AS6,AU6,AW6,AY6,BA6,BC6,BE6,BG6,BI6,BK6,BM6,BO6,BQ6,BS6,BU6,BW6,BY6,CA6,CC6)</f>
        <v/>
      </c>
      <c r="C6" s="30" t="inlineStr">
        <is>
          <t>PAISALO</t>
        </is>
      </c>
      <c r="D6" s="30" t="inlineStr">
        <is>
          <t>Paisalo Digital Ltd</t>
        </is>
      </c>
      <c r="E6" s="30" t="inlineStr">
        <is>
          <t>financials</t>
        </is>
      </c>
      <c r="F6" s="30" t="inlineStr">
        <is>
          <t>Finance - Capital Markets - Brokers</t>
        </is>
      </c>
      <c r="G6" s="30" t="inlineStr">
        <is>
          <t>midcap</t>
        </is>
      </c>
      <c r="H6" s="31" t="n">
        <v>5263.4</v>
      </c>
      <c r="I6" s="31" t="n">
        <v>57.87</v>
      </c>
      <c r="J6" s="31" t="n">
        <v>4.52</v>
      </c>
      <c r="K6" s="31" t="n">
        <v>0</v>
      </c>
      <c r="L6" s="30" t="n">
        <v>86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76.33</v>
      </c>
      <c r="P6" s="31" t="n">
        <v>29.13</v>
      </c>
      <c r="Q6" s="31" t="n">
        <v>45.1</v>
      </c>
      <c r="R6" s="30" t="inlineStr">
        <is>
          <t>Near 52W High Breakout</t>
        </is>
      </c>
      <c r="S6" s="30" t="inlineStr">
        <is>
          <t>Nifty Bank</t>
        </is>
      </c>
      <c r="T6" s="31" t="n">
        <v>-3.68</v>
      </c>
      <c r="U6" s="31" t="n">
        <v>82.79000000000001</v>
      </c>
      <c r="V6" s="31" t="n">
        <v>89.78</v>
      </c>
      <c r="W6" s="31" t="n">
        <v>30.55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between 2.5x to 5x and Growth less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20 to 40</t>
        </is>
      </c>
      <c r="BM6" s="30">
        <f>IF(BL6="Above 40",20,IF(BL6="20 to 40",10,IF(BL6="0 to 20",-5,0)))</f>
        <v/>
      </c>
      <c r="BN6" s="30" t="inlineStr">
        <is>
          <t>Above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  <c r="CB6" s="30" t="inlineStr">
        <is>
          <t>24</t>
        </is>
      </c>
      <c r="CC6" s="30">
        <f>IF(CB6&gt;20,10,IF(CB6&gt;=10,5,2))</f>
        <v/>
      </c>
    </row>
    <row r="10">
      <c r="A10" s="24" t="inlineStr">
        <is>
          <t>❌ REMOVED SCAN MATCH STOCKS (THIS WEEK)</t>
        </is>
      </c>
    </row>
    <row r="11">
      <c r="A11" s="34" t="inlineStr">
        <is>
          <t>Symbol</t>
        </is>
      </c>
      <c r="B11" s="34" t="inlineStr">
        <is>
          <t>Company Name</t>
        </is>
      </c>
      <c r="C11" s="34" t="inlineStr">
        <is>
          <t>Sector</t>
        </is>
      </c>
      <c r="D11" s="34" t="inlineStr">
        <is>
          <t>Date of Removal</t>
        </is>
      </c>
    </row>
    <row r="12">
      <c r="A12" s="35" t="inlineStr">
        <is>
          <t>ANGELONE</t>
        </is>
      </c>
      <c r="B12" s="36" t="inlineStr">
        <is>
          <t>Angel One Limited</t>
        </is>
      </c>
      <c r="C12" s="36" t="inlineStr">
        <is>
          <t>Financial Services</t>
        </is>
      </c>
      <c r="D12" s="37" t="inlineStr">
        <is>
          <t>2026-06-05</t>
        </is>
      </c>
    </row>
  </sheetData>
  <autoFilter ref="A1:CC6"/>
  <conditionalFormatting sqref="B2:B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6">
    <cfRule type="cellIs" priority="35" operator="equal" dxfId="3" stopIfTrue="1">
      <formula>"Underperforming"</formula>
    </cfRule>
  </conditionalFormatting>
  <conditionalFormatting sqref="N2:N6">
    <cfRule type="cellIs" priority="36" operator="equal" dxfId="3" stopIfTrue="1">
      <formula>-5</formula>
    </cfRule>
  </conditionalFormatting>
  <conditionalFormatting sqref="Q2:Q6">
    <cfRule type="expression" priority="37" dxfId="0" stopIfTrue="1">
      <formula>=AND(Q2&lt;&gt;"",Q2&gt;0,I2&gt;=Q2)</formula>
    </cfRule>
    <cfRule type="expression" priority="38" dxfId="3" stopIfTrue="1">
      <formula>=AND(Q2&lt;&gt;"",Q2&gt;0,I2&lt;Q2)</formula>
    </cfRule>
  </conditionalFormatting>
  <dataValidations count="28">
    <dataValidation sqref="X2:X6" showDropDown="0" showInputMessage="0" showErrorMessage="0" allowBlank="1" type="list">
      <formula1>"Growing Industry,Stagnant Industry,Cyclical in an Upturn"</formula1>
    </dataValidation>
    <dataValidation sqref="Z2:Z6" showDropDown="0" showInputMessage="0" showErrorMessage="0" allowBlank="1" type="list">
      <formula1>"Fragmented with Low ROE,Fragmented with High ROE,Highly Cyclical"</formula1>
    </dataValidation>
    <dataValidation sqref="AB2:AB6" showDropDown="0" showInputMessage="0" showErrorMessage="0" allowBlank="1" type="list">
      <formula1>"Yes,No"</formula1>
    </dataValidation>
    <dataValidation sqref="AD2:AD6" showDropDown="0" showInputMessage="0" showErrorMessage="0" allowBlank="1" type="list">
      <formula1>"Tailwind,Headwind"</formula1>
    </dataValidation>
    <dataValidation sqref="AF2:AF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6" showDropDown="0" showInputMessage="0" showErrorMessage="0" allowBlank="1" type="list">
      <formula1>"Yes,No"</formula1>
    </dataValidation>
    <dataValidation sqref="AJ2:AJ6" showDropDown="0" showInputMessage="0" showErrorMessage="0" allowBlank="1" type="list">
      <formula1>"Yes,No,Not Applicable"</formula1>
    </dataValidation>
    <dataValidation sqref="AL2:AL6" showDropDown="0" showInputMessage="0" showErrorMessage="0" allowBlank="1" type="list">
      <formula1>"Yes,No"</formula1>
    </dataValidation>
    <dataValidation sqref="AN2:AN6" showDropDown="0" showInputMessage="0" showErrorMessage="0" allowBlank="1" type="list">
      <formula1>"Yes,No"</formula1>
    </dataValidation>
    <dataValidation sqref="AP2:AP6" showDropDown="0" showInputMessage="0" showErrorMessage="0" allowBlank="1" type="list">
      <formula1>"Yes,No"</formula1>
    </dataValidation>
    <dataValidation sqref="AR2:AR6" showDropDown="0" showInputMessage="0" showErrorMessage="0" allowBlank="1" type="list">
      <formula1>"Yes,No"</formula1>
    </dataValidation>
    <dataValidation sqref="AT2:AT6" showDropDown="0" showInputMessage="0" showErrorMessage="0" allowBlank="1" type="list">
      <formula1>"No,Yes"</formula1>
    </dataValidation>
    <dataValidation sqref="AV2:AV6" showDropDown="0" showInputMessage="0" showErrorMessage="0" allowBlank="1" type="list">
      <formula1>"No,Yes"</formula1>
    </dataValidation>
    <dataValidation sqref="AX2:AX6" showDropDown="0" showInputMessage="0" showErrorMessage="0" allowBlank="1" type="list">
      <formula1>"No,Yes CEO Resignation,Yes CEO Retirement"</formula1>
    </dataValidation>
    <dataValidation sqref="AZ2:AZ6" showDropDown="0" showInputMessage="0" showErrorMessage="0" allowBlank="1" type="list">
      <formula1>"No,Yes"</formula1>
    </dataValidation>
    <dataValidation sqref="BB2:BB6" showDropDown="0" showInputMessage="0" showErrorMessage="0" allowBlank="1" type="list">
      <formula1>"No,Yes"</formula1>
    </dataValidation>
    <dataValidation sqref="BD2:BD6" showDropDown="0" showInputMessage="0" showErrorMessage="0" allowBlank="1" type="list">
      <formula1>"Yes,No"</formula1>
    </dataValidation>
    <dataValidation sqref="BF2:BF6" showDropDown="0" showInputMessage="0" showErrorMessage="0" allowBlank="1" type="list">
      <formula1>"Yes,No"</formula1>
    </dataValidation>
    <dataValidation sqref="BH2:BH6" showDropDown="0" showInputMessage="0" showErrorMessage="0" allowBlank="1" type="list">
      <formula1>"Yes,No"</formula1>
    </dataValidation>
    <dataValidation sqref="BJ2:BJ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6" showDropDown="0" showInputMessage="0" showErrorMessage="0" allowBlank="1" type="list">
      <formula1>"Above 40,20 to 40,0 to 20"</formula1>
    </dataValidation>
    <dataValidation sqref="BN2:BN6" showDropDown="0" showInputMessage="0" showErrorMessage="0" allowBlank="1" type="list">
      <formula1>"Between 50 to 75,Above 75,Below 45"</formula1>
    </dataValidation>
    <dataValidation sqref="BP2:BP6" showDropDown="0" showInputMessage="0" showErrorMessage="0" allowBlank="1" type="list">
      <formula1>"Stage 1,Stage 2,Stage 3,Stage 4"</formula1>
    </dataValidation>
    <dataValidation sqref="BR2:BR6" showDropDown="0" showInputMessage="0" showErrorMessage="0" allowBlank="1" type="list">
      <formula1>"Positive Trend,Negative Trend"</formula1>
    </dataValidation>
    <dataValidation sqref="BT2:BT6" showDropDown="0" showInputMessage="0" showErrorMessage="0" allowBlank="1" type="list">
      <formula1>"Uptrend,Sideways,Downtrend"</formula1>
    </dataValidation>
    <dataValidation sqref="BV2:BV6" showDropDown="0" showInputMessage="0" showErrorMessage="0" allowBlank="1" type="list">
      <formula1>"Uptrend,Sideways,Downtrend"</formula1>
    </dataValidation>
    <dataValidation sqref="BX2:BX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6" customWidth="1" min="4" max="4"/>
    <col width="12" customWidth="1" min="5" max="5"/>
    <col width="16" customWidth="1" min="6" max="6"/>
    <col width="18" customWidth="1" min="7" max="7"/>
    <col width="21" customWidth="1" min="8" max="8"/>
    <col width="22" customWidth="1" min="9" max="9"/>
    <col width="29" customWidth="1" min="10" max="10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 Name</t>
        </is>
      </c>
      <c r="E1" s="29" t="inlineStr">
        <is>
          <t>Industry</t>
        </is>
      </c>
      <c r="F1" s="29" t="inlineStr">
        <is>
          <t>Common Count</t>
        </is>
      </c>
      <c r="G1" s="29" t="inlineStr">
        <is>
          <t>Scanner Signal</t>
        </is>
      </c>
      <c r="H1" s="29" t="inlineStr">
        <is>
          <t>Chartink Universe</t>
        </is>
      </c>
      <c r="I1" s="29" t="inlineStr">
        <is>
          <t>Scan Matches Count</t>
        </is>
      </c>
      <c r="J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MATCH(C2, 'Monit Non Financial'!$C$2:$C$400, 0)), IFERROR(INDEX('Monit Banks NBFC'!$B$2:$B$100, MATCH(C2, 'Monit Banks NBFC'!$C$2:$C$100, 0)), 0))</f>
        <v/>
      </c>
      <c r="C2" s="30" t="inlineStr">
        <is>
          <t>INDOBORAX</t>
        </is>
      </c>
      <c r="D2" s="30" t="inlineStr">
        <is>
          <t>Indo Borax &amp; Chemicals Ltd</t>
        </is>
      </c>
      <c r="E2" s="30" t="inlineStr">
        <is>
          <t>Chemicals - Inorganic</t>
        </is>
      </c>
      <c r="F2" s="30" t="n">
        <v>3</v>
      </c>
      <c r="G2" s="30" t="inlineStr">
        <is>
          <t>52W Breakout</t>
        </is>
      </c>
      <c r="H2" s="30" t="inlineStr">
        <is>
          <t>Yes</t>
        </is>
      </c>
      <c r="I2" s="30" t="n">
        <v>20</v>
      </c>
      <c r="J2" s="30" t="n">
        <v>29</v>
      </c>
    </row>
    <row r="3">
      <c r="A3" s="30">
        <f>IF(B3=0,"",ROW()-1)</f>
        <v/>
      </c>
      <c r="B3" s="31">
        <f>IFERROR(INDEX('Monit Non Financial'!$B$2:$B$400, MATCH(C3, 'Monit Non Financial'!$C$2:$C$400, 0)), IFERROR(INDEX('Monit Banks NBFC'!$B$2:$B$100, MATCH(C3, 'Monit Banks NBFC'!$C$2:$C$100, 0)), 0))</f>
        <v/>
      </c>
      <c r="C3" s="30" t="inlineStr">
        <is>
          <t>VENUSREM</t>
        </is>
      </c>
      <c r="D3" s="30" t="inlineStr">
        <is>
          <t>Venus Remedies Limited</t>
        </is>
      </c>
      <c r="E3" s="30" t="inlineStr">
        <is>
          <t>Pharmaceuticals - I V Fluids</t>
        </is>
      </c>
      <c r="F3" s="30" t="n">
        <v>3</v>
      </c>
      <c r="G3" s="30" t="inlineStr">
        <is>
          <t>52W Breakout</t>
        </is>
      </c>
      <c r="H3" s="30" t="inlineStr">
        <is>
          <t>Yes</t>
        </is>
      </c>
      <c r="I3" s="30" t="n">
        <v>27</v>
      </c>
      <c r="J3" s="30" t="n">
        <v>18</v>
      </c>
    </row>
    <row r="4">
      <c r="A4" s="30">
        <f>IF(B4=0,"",ROW()-1)</f>
        <v/>
      </c>
      <c r="B4" s="31">
        <f>IFERROR(INDEX('Monit Non Financial'!$B$2:$B$400, MATCH(C4, 'Monit Non Financial'!$C$2:$C$400, 0)), IFERROR(INDEX('Monit Banks NBFC'!$B$2:$B$100, MATCH(C4, 'Monit Banks NBFC'!$C$2:$C$100, 0)), 0))</f>
        <v/>
      </c>
      <c r="C4" s="30" t="inlineStr">
        <is>
          <t>ATHERENERG</t>
        </is>
      </c>
      <c r="D4" s="30" t="inlineStr">
        <is>
          <t>Ather Energy Ltd</t>
        </is>
      </c>
      <c r="E4" s="30" t="inlineStr">
        <is>
          <t>Auto - 2 &amp; 3 Wheelers</t>
        </is>
      </c>
      <c r="F4" s="30" t="n">
        <v>3</v>
      </c>
      <c r="G4" s="30" t="inlineStr">
        <is>
          <t>52W Breakout</t>
        </is>
      </c>
      <c r="H4" s="30" t="inlineStr">
        <is>
          <t>Yes</t>
        </is>
      </c>
      <c r="I4" s="30" t="n">
        <v>20</v>
      </c>
      <c r="J4" s="30" t="n">
        <v>17</v>
      </c>
    </row>
    <row r="5">
      <c r="A5" s="30">
        <f>IF(B5=0,"",ROW()-1)</f>
        <v/>
      </c>
      <c r="B5" s="31">
        <f>IFERROR(INDEX('Monit Non Financial'!$B$2:$B$400, MATCH(C5, 'Monit Non Financial'!$C$2:$C$400, 0)), IFERROR(INDEX('Monit Banks NBFC'!$B$2:$B$100, MATCH(C5, 'Monit Banks NBFC'!$C$2:$C$100, 0)), 0))</f>
        <v/>
      </c>
      <c r="C5" s="30" t="inlineStr">
        <is>
          <t>CUPID</t>
        </is>
      </c>
      <c r="D5" s="30" t="inlineStr">
        <is>
          <t>Cupid Limited</t>
        </is>
      </c>
      <c r="E5" s="30" t="inlineStr">
        <is>
          <t>Contraceptives/Protectives</t>
        </is>
      </c>
      <c r="F5" s="30" t="n">
        <v>3</v>
      </c>
      <c r="G5" s="30" t="inlineStr">
        <is>
          <t>52W Breakout</t>
        </is>
      </c>
      <c r="H5" s="30" t="inlineStr">
        <is>
          <t>Yes</t>
        </is>
      </c>
      <c r="I5" s="30" t="n">
        <v>21</v>
      </c>
      <c r="J5" s="30" t="n">
        <v>29</v>
      </c>
    </row>
    <row r="6">
      <c r="A6" s="30">
        <f>IF(B6=0,"",ROW()-1)</f>
        <v/>
      </c>
      <c r="B6" s="31">
        <f>IFERROR(INDEX('Monit Non Financial'!$B$2:$B$400, MATCH(C6, 'Monit Non Financial'!$C$2:$C$400, 0)), IFERROR(INDEX('Monit Banks NBFC'!$B$2:$B$100, MATCH(C6, 'Monit Banks NBFC'!$C$2:$C$100, 0)), 0))</f>
        <v/>
      </c>
      <c r="C6" s="30" t="inlineStr">
        <is>
          <t>SYRMA</t>
        </is>
      </c>
      <c r="D6" s="30" t="inlineStr">
        <is>
          <t>Syrma SGS Technology Ltd</t>
        </is>
      </c>
      <c r="E6" s="30" t="inlineStr">
        <is>
          <t>Consumer Electronics - EMS</t>
        </is>
      </c>
      <c r="F6" s="30" t="n">
        <v>3</v>
      </c>
      <c r="G6" s="30" t="inlineStr">
        <is>
          <t>52W Breakout</t>
        </is>
      </c>
      <c r="H6" s="30" t="inlineStr">
        <is>
          <t>Yes</t>
        </is>
      </c>
      <c r="I6" s="30" t="n">
        <v>22</v>
      </c>
      <c r="J6" s="30" t="n">
        <v>27</v>
      </c>
    </row>
    <row r="7">
      <c r="A7" s="30">
        <f>IF(B7=0,"",ROW()-1)</f>
        <v/>
      </c>
      <c r="B7" s="31">
        <f>IFERROR(INDEX('Monit Non Financial'!$B$2:$B$400, MATCH(C7, 'Monit Non Financial'!$C$2:$C$400, 0)), IFERROR(INDEX('Monit Banks NBFC'!$B$2:$B$100, MATCH(C7, 'Monit Banks NBFC'!$C$2:$C$100, 0)), 0))</f>
        <v/>
      </c>
      <c r="C7" s="30" t="inlineStr">
        <is>
          <t>MODISONLTD</t>
        </is>
      </c>
      <c r="D7" s="30" t="inlineStr">
        <is>
          <t>Modison Ltd</t>
        </is>
      </c>
      <c r="E7" s="30" t="inlineStr">
        <is>
          <t>Capital Goods - Electric General</t>
        </is>
      </c>
      <c r="F7" s="30" t="n">
        <v>3</v>
      </c>
      <c r="G7" s="30" t="inlineStr">
        <is>
          <t>52W Breakout</t>
        </is>
      </c>
      <c r="H7" s="30" t="inlineStr">
        <is>
          <t>Yes</t>
        </is>
      </c>
      <c r="I7" s="30" t="n">
        <v>31</v>
      </c>
      <c r="J7" s="30" t="n">
        <v>29</v>
      </c>
    </row>
    <row r="8">
      <c r="A8" s="30">
        <f>IF(B8=0,"",ROW()-1)</f>
        <v/>
      </c>
      <c r="B8" s="31">
        <f>IFERROR(INDEX('Monit Non Financial'!$B$2:$B$400, MATCH(C8, 'Monit Non Financial'!$C$2:$C$400, 0)), IFERROR(INDEX('Monit Banks NBFC'!$B$2:$B$100, MATCH(C8, 'Monit Banks NBFC'!$C$2:$C$100, 0)), 0))</f>
        <v/>
      </c>
      <c r="C8" s="30" t="inlineStr">
        <is>
          <t>ACUTAAS</t>
        </is>
      </c>
      <c r="D8" s="30" t="inlineStr">
        <is>
          <t>Acutaas Chemicals Ltd</t>
        </is>
      </c>
      <c r="E8" s="30" t="inlineStr">
        <is>
          <t>Pharma - API &amp; CRAMS</t>
        </is>
      </c>
      <c r="F8" s="30" t="n">
        <v>3</v>
      </c>
      <c r="G8" s="30" t="inlineStr">
        <is>
          <t>52W Breakout</t>
        </is>
      </c>
      <c r="H8" s="30" t="inlineStr">
        <is>
          <t>Yes</t>
        </is>
      </c>
      <c r="I8" s="30" t="n">
        <v>28</v>
      </c>
      <c r="J8" s="30" t="n">
        <v>30</v>
      </c>
    </row>
    <row r="9">
      <c r="A9" s="30">
        <f>IF(B9=0,"",ROW()-1)</f>
        <v/>
      </c>
      <c r="B9" s="31">
        <f>IFERROR(INDEX('Monit Non Financial'!$B$2:$B$400, MATCH(C9, 'Monit Non Financial'!$C$2:$C$400, 0)), IFERROR(INDEX('Monit Banks NBFC'!$B$2:$B$100, MATCH(C9, 'Monit Banks NBFC'!$C$2:$C$100, 0)), 0))</f>
        <v/>
      </c>
      <c r="C9" s="30" t="inlineStr">
        <is>
          <t>RPEL</t>
        </is>
      </c>
      <c r="D9" s="30" t="inlineStr">
        <is>
          <t>Raghav Productivity Enhancers Ltd</t>
        </is>
      </c>
      <c r="E9" s="30" t="inlineStr">
        <is>
          <t>Steel Products</t>
        </is>
      </c>
      <c r="F9" s="30" t="n">
        <v>3</v>
      </c>
      <c r="G9" s="30" t="inlineStr">
        <is>
          <t>52W Breakout</t>
        </is>
      </c>
      <c r="H9" s="30" t="inlineStr">
        <is>
          <t>Yes</t>
        </is>
      </c>
      <c r="I9" s="30" t="n">
        <v>20</v>
      </c>
      <c r="J9" s="30" t="n">
        <v>17</v>
      </c>
    </row>
    <row r="10">
      <c r="A10" s="30">
        <f>IF(B10=0,"",ROW()-1)</f>
        <v/>
      </c>
      <c r="B10" s="31">
        <f>IFERROR(INDEX('Monit Non Financial'!$B$2:$B$400, MATCH(C10, 'Monit Non Financial'!$C$2:$C$400, 0)), IFERROR(INDEX('Monit Banks NBFC'!$B$2:$B$100, MATCH(C10, 'Monit Banks NBFC'!$C$2:$C$100, 0)), 0))</f>
        <v/>
      </c>
      <c r="C10" s="30" t="inlineStr">
        <is>
          <t>HSCL</t>
        </is>
      </c>
      <c r="D10" s="30" t="inlineStr">
        <is>
          <t>Himadri Speciality Chemical Limited</t>
        </is>
      </c>
      <c r="E10" s="30" t="inlineStr">
        <is>
          <t>Carbon Black</t>
        </is>
      </c>
      <c r="F10" s="30" t="n">
        <v>3</v>
      </c>
      <c r="G10" s="30" t="inlineStr">
        <is>
          <t>52W Breakout</t>
        </is>
      </c>
      <c r="H10" s="30" t="inlineStr">
        <is>
          <t>Yes</t>
        </is>
      </c>
      <c r="I10" s="30" t="n">
        <v>19</v>
      </c>
      <c r="J10" s="30" t="n">
        <v>27</v>
      </c>
    </row>
    <row r="11">
      <c r="A11" s="30">
        <f>IF(B11=0,"",ROW()-1)</f>
        <v/>
      </c>
      <c r="B11" s="31">
        <f>IFERROR(INDEX('Monit Non Financial'!$B$2:$B$400, MATCH(C11, 'Monit Non Financial'!$C$2:$C$400, 0)), IFERROR(INDEX('Monit Banks NBFC'!$B$2:$B$100, MATCH(C11, 'Monit Banks NBFC'!$C$2:$C$100, 0)), 0))</f>
        <v/>
      </c>
      <c r="C11" s="30" t="inlineStr">
        <is>
          <t>SHILPAMED</t>
        </is>
      </c>
      <c r="D11" s="30" t="inlineStr">
        <is>
          <t>Shilpa Medicare Limited</t>
        </is>
      </c>
      <c r="E11" s="30" t="inlineStr">
        <is>
          <t>Pharma - API &amp; CRAMS</t>
        </is>
      </c>
      <c r="F11" s="30" t="n">
        <v>3</v>
      </c>
      <c r="G11" s="30" t="inlineStr">
        <is>
          <t>52W Breakout</t>
        </is>
      </c>
      <c r="H11" s="30" t="inlineStr">
        <is>
          <t>Yes</t>
        </is>
      </c>
      <c r="I11" s="30" t="n">
        <v>22</v>
      </c>
      <c r="J11" s="30" t="n">
        <v>30</v>
      </c>
    </row>
    <row r="12">
      <c r="A12" s="30">
        <f>IF(B12=0,"",ROW()-1)</f>
        <v/>
      </c>
      <c r="B12" s="31">
        <f>IFERROR(INDEX('Monit Non Financial'!$B$2:$B$400, MATCH(C12, 'Monit Non Financial'!$C$2:$C$400, 0)), IFERROR(INDEX('Monit Banks NBFC'!$B$2:$B$100, MATCH(C12, 'Monit Banks NBFC'!$C$2:$C$100, 0)), 0))</f>
        <v/>
      </c>
      <c r="C12" s="30" t="inlineStr">
        <is>
          <t>RRKABEL</t>
        </is>
      </c>
      <c r="D12" s="30" t="inlineStr">
        <is>
          <t>R R Kabel Ltd</t>
        </is>
      </c>
      <c r="E12" s="30" t="inlineStr">
        <is>
          <t>Cables - Power</t>
        </is>
      </c>
      <c r="F12" s="30" t="n">
        <v>3</v>
      </c>
      <c r="G12" s="30" t="inlineStr">
        <is>
          <t>52W Breakout</t>
        </is>
      </c>
      <c r="H12" s="30" t="inlineStr">
        <is>
          <t>Yes</t>
        </is>
      </c>
      <c r="I12" s="30" t="n">
        <v>21</v>
      </c>
      <c r="J12" s="30" t="n">
        <v>30</v>
      </c>
    </row>
    <row r="13">
      <c r="A13" s="30">
        <f>IF(B13=0,"",ROW()-1)</f>
        <v/>
      </c>
      <c r="B13" s="31">
        <f>IFERROR(INDEX('Monit Non Financial'!$B$2:$B$400, MATCH(C13, 'Monit Non Financial'!$C$2:$C$400, 0)), IFERROR(INDEX('Monit Banks NBFC'!$B$2:$B$100, MATCH(C13, 'Monit Banks NBFC'!$C$2:$C$100, 0)), 0))</f>
        <v/>
      </c>
      <c r="C13" s="30" t="inlineStr">
        <is>
          <t>BAJAJCON</t>
        </is>
      </c>
      <c r="D13" s="30" t="inlineStr">
        <is>
          <t>Bajaj Consumer Care Ltd</t>
        </is>
      </c>
      <c r="E13" s="30" t="inlineStr">
        <is>
          <t>FMCG - Personal Care</t>
        </is>
      </c>
      <c r="F13" s="30" t="n">
        <v>2</v>
      </c>
      <c r="G13" s="30" t="inlineStr">
        <is>
          <t>No</t>
        </is>
      </c>
      <c r="H13" s="30" t="inlineStr">
        <is>
          <t>Yes</t>
        </is>
      </c>
      <c r="I13" s="30" t="n">
        <v>24</v>
      </c>
      <c r="J13" s="30" t="n">
        <v>30</v>
      </c>
    </row>
    <row r="14">
      <c r="A14" s="30">
        <f>IF(B14=0,"",ROW()-1)</f>
        <v/>
      </c>
      <c r="B14" s="31">
        <f>IFERROR(INDEX('Monit Non Financial'!$B$2:$B$400, MATCH(C14, 'Monit Non Financial'!$C$2:$C$400, 0)), IFERROR(INDEX('Monit Banks NBFC'!$B$2:$B$100, MATCH(C14, 'Monit Banks NBFC'!$C$2:$C$100, 0)), 0))</f>
        <v/>
      </c>
      <c r="C14" s="30" t="inlineStr">
        <is>
          <t>IBULLSLTD</t>
        </is>
      </c>
      <c r="D14" s="30" t="inlineStr">
        <is>
          <t>Indiabulls Limited</t>
        </is>
      </c>
      <c r="E14" s="30" t="inlineStr">
        <is>
          <t>Diversified</t>
        </is>
      </c>
      <c r="F14" s="30" t="n">
        <v>2</v>
      </c>
      <c r="G14" s="30" t="inlineStr">
        <is>
          <t>No</t>
        </is>
      </c>
      <c r="H14" s="30" t="inlineStr">
        <is>
          <t>Yes</t>
        </is>
      </c>
      <c r="I14" s="30" t="n">
        <v>22</v>
      </c>
      <c r="J14" s="30" t="n">
        <v>25</v>
      </c>
    </row>
    <row r="15">
      <c r="A15" s="30">
        <f>IF(B15=0,"",ROW()-1)</f>
        <v/>
      </c>
      <c r="B15" s="31">
        <f>IFERROR(INDEX('Monit Non Financial'!$B$2:$B$400, MATCH(C15, 'Monit Non Financial'!$C$2:$C$400, 0)), IFERROR(INDEX('Monit Banks NBFC'!$B$2:$B$100, MATCH(C15, 'Monit Banks NBFC'!$C$2:$C$100, 0)), 0))</f>
        <v/>
      </c>
      <c r="C15" s="30" t="inlineStr">
        <is>
          <t>BLISSGVS</t>
        </is>
      </c>
      <c r="D15" s="30" t="inlineStr">
        <is>
          <t>Bliss Gvs Pharma Limited</t>
        </is>
      </c>
      <c r="E15" s="30" t="inlineStr">
        <is>
          <t>Pharma - Formulators</t>
        </is>
      </c>
      <c r="F15" s="30" t="n">
        <v>2</v>
      </c>
      <c r="G15" s="30" t="inlineStr">
        <is>
          <t>No</t>
        </is>
      </c>
      <c r="H15" s="30" t="inlineStr">
        <is>
          <t>Yes</t>
        </is>
      </c>
      <c r="I15" s="30" t="n">
        <v>25</v>
      </c>
      <c r="J15" s="30" t="n">
        <v>30</v>
      </c>
    </row>
    <row r="16">
      <c r="A16" s="30">
        <f>IF(B16=0,"",ROW()-1)</f>
        <v/>
      </c>
      <c r="B16" s="31">
        <f>IFERROR(INDEX('Monit Non Financial'!$B$2:$B$400, MATCH(C16, 'Monit Non Financial'!$C$2:$C$400, 0)), IFERROR(INDEX('Monit Banks NBFC'!$B$2:$B$100, MATCH(C16, 'Monit Banks NBFC'!$C$2:$C$100, 0)), 0))</f>
        <v/>
      </c>
      <c r="C16" s="30" t="inlineStr">
        <is>
          <t>GVT&amp;D</t>
        </is>
      </c>
      <c r="D16" s="30" t="inlineStr">
        <is>
          <t>GE Vernova T&amp;D India Ltd</t>
        </is>
      </c>
      <c r="E16" s="30" t="inlineStr">
        <is>
          <t>Electrical Equipments/HVDC</t>
        </is>
      </c>
      <c r="F16" s="30" t="n">
        <v>2</v>
      </c>
      <c r="G16" s="30" t="inlineStr">
        <is>
          <t>No</t>
        </is>
      </c>
      <c r="H16" s="30" t="inlineStr">
        <is>
          <t>Yes</t>
        </is>
      </c>
      <c r="I16" s="30" t="n">
        <v>21</v>
      </c>
      <c r="J16" s="30" t="n">
        <v>25</v>
      </c>
    </row>
    <row r="17">
      <c r="A17" s="30">
        <f>IF(B17=0,"",ROW()-1)</f>
        <v/>
      </c>
      <c r="B17" s="31">
        <f>IFERROR(INDEX('Monit Non Financial'!$B$2:$B$400, MATCH(C17, 'Monit Non Financial'!$C$2:$C$400, 0)), IFERROR(INDEX('Monit Banks NBFC'!$B$2:$B$100, MATCH(C17, 'Monit Banks NBFC'!$C$2:$C$100, 0)), 0))</f>
        <v/>
      </c>
      <c r="C17" s="30" t="inlineStr">
        <is>
          <t>NETWEB</t>
        </is>
      </c>
      <c r="D17" s="30" t="inlineStr">
        <is>
          <t>Netweb Technologies India Ltd</t>
        </is>
      </c>
      <c r="E17" s="30" t="inlineStr">
        <is>
          <t>Data Centre</t>
        </is>
      </c>
      <c r="F17" s="30" t="n">
        <v>2</v>
      </c>
      <c r="G17" s="30" t="inlineStr">
        <is>
          <t>No</t>
        </is>
      </c>
      <c r="H17" s="30" t="inlineStr">
        <is>
          <t>Yes</t>
        </is>
      </c>
      <c r="I17" s="30" t="n">
        <v>21</v>
      </c>
      <c r="J17" s="30" t="n">
        <v>19</v>
      </c>
    </row>
    <row r="18">
      <c r="A18" s="30">
        <f>IF(B18=0,"",ROW()-1)</f>
        <v/>
      </c>
      <c r="B18" s="31">
        <f>IFERROR(INDEX('Monit Non Financial'!$B$2:$B$400, MATCH(C18, 'Monit Non Financial'!$C$2:$C$400, 0)), IFERROR(INDEX('Monit Banks NBFC'!$B$2:$B$100, MATCH(C18, 'Monit Banks NBFC'!$C$2:$C$100, 0)), 0))</f>
        <v/>
      </c>
      <c r="C18" s="30" t="inlineStr">
        <is>
          <t>STYLAMIND</t>
        </is>
      </c>
      <c r="D18" s="30" t="inlineStr">
        <is>
          <t>Stylam Industries Ltd</t>
        </is>
      </c>
      <c r="E18" s="30" t="inlineStr">
        <is>
          <t>Plywood Boards/Laminates</t>
        </is>
      </c>
      <c r="F18" s="30" t="n">
        <v>2</v>
      </c>
      <c r="G18" s="30" t="inlineStr">
        <is>
          <t>52W Breakout</t>
        </is>
      </c>
      <c r="H18" s="30" t="inlineStr">
        <is>
          <t>Yes</t>
        </is>
      </c>
      <c r="I18" s="30" t="n">
        <v>14</v>
      </c>
      <c r="J18" s="30" t="n">
        <v>30</v>
      </c>
    </row>
    <row r="19">
      <c r="A19" s="30">
        <f>IF(B19=0,"",ROW()-1)</f>
        <v/>
      </c>
      <c r="B19" s="31">
        <f>IFERROR(INDEX('Monit Non Financial'!$B$2:$B$400, MATCH(C19, 'Monit Non Financial'!$C$2:$C$400, 0)), IFERROR(INDEX('Monit Banks NBFC'!$B$2:$B$100, MATCH(C19, 'Monit Banks NBFC'!$C$2:$C$100, 0)), 0))</f>
        <v/>
      </c>
      <c r="C19" s="30" t="inlineStr">
        <is>
          <t>PGHL</t>
        </is>
      </c>
      <c r="D19" s="30" t="inlineStr">
        <is>
          <t>Procter &amp; Gamble Health Ltd</t>
        </is>
      </c>
      <c r="E19" s="30" t="inlineStr">
        <is>
          <t>Pharma - MNC bulk Drugs</t>
        </is>
      </c>
      <c r="F19" s="30" t="n">
        <v>2</v>
      </c>
      <c r="G19" s="30" t="inlineStr">
        <is>
          <t>No</t>
        </is>
      </c>
      <c r="H19" s="30" t="inlineStr">
        <is>
          <t>Yes</t>
        </is>
      </c>
      <c r="I19" s="30" t="n">
        <v>19</v>
      </c>
      <c r="J19" s="30" t="n">
        <v>14</v>
      </c>
    </row>
    <row r="20">
      <c r="A20" s="30">
        <f>IF(B20=0,"",ROW()-1)</f>
        <v/>
      </c>
      <c r="B20" s="31">
        <f>IFERROR(INDEX('Monit Non Financial'!$B$2:$B$400, MATCH(C20, 'Monit Non Financial'!$C$2:$C$400, 0)), IFERROR(INDEX('Monit Banks NBFC'!$B$2:$B$100, MATCH(C20, 'Monit Banks NBFC'!$C$2:$C$100, 0)), 0))</f>
        <v/>
      </c>
      <c r="C20" s="30" t="inlineStr">
        <is>
          <t>NGLFINE</t>
        </is>
      </c>
      <c r="D20" s="30" t="inlineStr">
        <is>
          <t>NGL Fine Chem Ltd</t>
        </is>
      </c>
      <c r="E20" s="30" t="inlineStr">
        <is>
          <t>Pharma - Animal</t>
        </is>
      </c>
      <c r="F20" s="30" t="n">
        <v>2</v>
      </c>
      <c r="G20" s="30" t="inlineStr">
        <is>
          <t>No</t>
        </is>
      </c>
      <c r="H20" s="30" t="inlineStr">
        <is>
          <t>Yes</t>
        </is>
      </c>
      <c r="I20" s="30" t="n">
        <v>23</v>
      </c>
      <c r="J20" s="30" t="n">
        <v>17</v>
      </c>
    </row>
    <row r="21">
      <c r="A21" s="30">
        <f>IF(B21=0,"",ROW()-1)</f>
        <v/>
      </c>
      <c r="B21" s="31">
        <f>IFERROR(INDEX('Monit Non Financial'!$B$2:$B$400, MATCH(C21, 'Monit Non Financial'!$C$2:$C$400, 0)), IFERROR(INDEX('Monit Banks NBFC'!$B$2:$B$100, MATCH(C21, 'Monit Banks NBFC'!$C$2:$C$100, 0)), 0))</f>
        <v/>
      </c>
      <c r="C21" s="30" t="inlineStr">
        <is>
          <t>SATIN</t>
        </is>
      </c>
      <c r="D21" s="30" t="inlineStr">
        <is>
          <t>Satin Creditcare Network Limited</t>
        </is>
      </c>
      <c r="E21" s="30" t="inlineStr">
        <is>
          <t>Finance &amp; Investments - Microfinance</t>
        </is>
      </c>
      <c r="F21" s="30" t="n">
        <v>2</v>
      </c>
      <c r="G21" s="30" t="inlineStr">
        <is>
          <t>No</t>
        </is>
      </c>
      <c r="H21" s="30" t="inlineStr">
        <is>
          <t>Yes</t>
        </is>
      </c>
      <c r="I21" s="30" t="n">
        <v>25</v>
      </c>
      <c r="J21" s="30" t="n">
        <v>30</v>
      </c>
    </row>
    <row r="22">
      <c r="A22" s="30">
        <f>IF(B22=0,"",ROW()-1)</f>
        <v/>
      </c>
      <c r="B22" s="31">
        <f>IFERROR(INDEX('Monit Non Financial'!$B$2:$B$400, MATCH(C22, 'Monit Non Financial'!$C$2:$C$400, 0)), IFERROR(INDEX('Monit Banks NBFC'!$B$2:$B$100, MATCH(C22, 'Monit Banks NBFC'!$C$2:$C$100, 0)), 0))</f>
        <v/>
      </c>
      <c r="C22" s="30" t="inlineStr">
        <is>
          <t>POWERINDIA</t>
        </is>
      </c>
      <c r="D22" s="30" t="inlineStr">
        <is>
          <t>Hitachi Energy India Ltd</t>
        </is>
      </c>
      <c r="E22" s="30" t="inlineStr">
        <is>
          <t>Electrical Equipments/HVDC</t>
        </is>
      </c>
      <c r="F22" s="30" t="n">
        <v>2</v>
      </c>
      <c r="G22" s="30" t="inlineStr">
        <is>
          <t>No</t>
        </is>
      </c>
      <c r="H22" s="30" t="inlineStr">
        <is>
          <t>Yes</t>
        </is>
      </c>
      <c r="I22" s="30" t="n">
        <v>19</v>
      </c>
      <c r="J22" s="30" t="n">
        <v>30</v>
      </c>
    </row>
    <row r="23">
      <c r="A23" s="30">
        <f>IF(B23=0,"",ROW()-1)</f>
        <v/>
      </c>
      <c r="B23" s="31">
        <f>IFERROR(INDEX('Monit Non Financial'!$B$2:$B$400, MATCH(C23, 'Monit Non Financial'!$C$2:$C$400, 0)), IFERROR(INDEX('Monit Banks NBFC'!$B$2:$B$100, MATCH(C23, 'Monit Banks NBFC'!$C$2:$C$100, 0)), 0))</f>
        <v/>
      </c>
      <c r="C23" s="30" t="inlineStr">
        <is>
          <t>GVPIL</t>
        </is>
      </c>
      <c r="D23" s="30" t="inlineStr">
        <is>
          <t>GE Power India Ltd</t>
        </is>
      </c>
      <c r="E23" s="30" t="inlineStr">
        <is>
          <t>Infra - General</t>
        </is>
      </c>
      <c r="F23" s="30" t="n">
        <v>2</v>
      </c>
      <c r="G23" s="30" t="inlineStr">
        <is>
          <t>No</t>
        </is>
      </c>
      <c r="H23" s="30" t="inlineStr">
        <is>
          <t>Yes</t>
        </is>
      </c>
      <c r="I23" s="30" t="n">
        <v>22</v>
      </c>
      <c r="J23" s="30" t="n">
        <v>30</v>
      </c>
    </row>
    <row r="24">
      <c r="A24" s="30">
        <f>IF(B24=0,"",ROW()-1)</f>
        <v/>
      </c>
      <c r="B24" s="31">
        <f>IFERROR(INDEX('Monit Non Financial'!$B$2:$B$400, MATCH(C24, 'Monit Non Financial'!$C$2:$C$400, 0)), IFERROR(INDEX('Monit Banks NBFC'!$B$2:$B$100, MATCH(C24, 'Monit Banks NBFC'!$C$2:$C$100, 0)), 0))</f>
        <v/>
      </c>
      <c r="C24" s="30" t="inlineStr">
        <is>
          <t>GLAND</t>
        </is>
      </c>
      <c r="D24" s="30" t="inlineStr">
        <is>
          <t>Gland Pharma Ltd</t>
        </is>
      </c>
      <c r="E24" s="30" t="inlineStr">
        <is>
          <t>Pharma - API &amp; CRAMS</t>
        </is>
      </c>
      <c r="F24" s="30" t="n">
        <v>2</v>
      </c>
      <c r="G24" s="30" t="inlineStr">
        <is>
          <t>No</t>
        </is>
      </c>
      <c r="H24" s="30" t="inlineStr">
        <is>
          <t>Yes</t>
        </is>
      </c>
      <c r="I24" s="30" t="n">
        <v>22</v>
      </c>
      <c r="J24" s="30" t="n">
        <v>26</v>
      </c>
    </row>
    <row r="25">
      <c r="A25" s="30">
        <f>IF(B25=0,"",ROW()-1)</f>
        <v/>
      </c>
      <c r="B25" s="31">
        <f>IFERROR(INDEX('Monit Non Financial'!$B$2:$B$400, MATCH(C25, 'Monit Non Financial'!$C$2:$C$400, 0)), IFERROR(INDEX('Monit Banks NBFC'!$B$2:$B$100, MATCH(C25, 'Monit Banks NBFC'!$C$2:$C$100, 0)), 0))</f>
        <v/>
      </c>
      <c r="C25" s="30" t="inlineStr">
        <is>
          <t>IOLCP</t>
        </is>
      </c>
      <c r="D25" s="30" t="inlineStr">
        <is>
          <t>Iol Chemicals And Pharmaceuticals Limited</t>
        </is>
      </c>
      <c r="E25" s="30" t="inlineStr">
        <is>
          <t>Pharma - API &amp; CRAMS</t>
        </is>
      </c>
      <c r="F25" s="30" t="n">
        <v>2</v>
      </c>
      <c r="G25" s="30" t="inlineStr">
        <is>
          <t>No</t>
        </is>
      </c>
      <c r="H25" s="30" t="inlineStr">
        <is>
          <t>Yes</t>
        </is>
      </c>
      <c r="I25" s="30" t="n">
        <v>19</v>
      </c>
      <c r="J25" s="30" t="n">
        <v>22</v>
      </c>
    </row>
    <row r="26">
      <c r="A26" s="30">
        <f>IF(B26=0,"",ROW()-1)</f>
        <v/>
      </c>
      <c r="B26" s="31">
        <f>IFERROR(INDEX('Monit Non Financial'!$B$2:$B$400, MATCH(C26, 'Monit Non Financial'!$C$2:$C$400, 0)), IFERROR(INDEX('Monit Banks NBFC'!$B$2:$B$100, MATCH(C26, 'Monit Banks NBFC'!$C$2:$C$100, 0)), 0))</f>
        <v/>
      </c>
      <c r="C26" s="30" t="inlineStr">
        <is>
          <t>AVALON</t>
        </is>
      </c>
      <c r="D26" s="30" t="inlineStr">
        <is>
          <t>Avalon Technologies Ltd</t>
        </is>
      </c>
      <c r="E26" s="30" t="inlineStr">
        <is>
          <t>Consumer Electronics - EMS</t>
        </is>
      </c>
      <c r="F26" s="30" t="n">
        <v>2</v>
      </c>
      <c r="G26" s="30" t="inlineStr">
        <is>
          <t>No</t>
        </is>
      </c>
      <c r="H26" s="30" t="inlineStr">
        <is>
          <t>Yes</t>
        </is>
      </c>
      <c r="I26" s="30" t="n">
        <v>22</v>
      </c>
      <c r="J26" s="30" t="n">
        <v>27</v>
      </c>
    </row>
    <row r="27">
      <c r="A27" s="30">
        <f>IF(B27=0,"",ROW()-1)</f>
        <v/>
      </c>
      <c r="B27" s="31">
        <f>IFERROR(INDEX('Monit Non Financial'!$B$2:$B$400, MATCH(C27, 'Monit Non Financial'!$C$2:$C$400, 0)), IFERROR(INDEX('Monit Banks NBFC'!$B$2:$B$100, MATCH(C27, 'Monit Banks NBFC'!$C$2:$C$100, 0)), 0))</f>
        <v/>
      </c>
      <c r="C27" s="30" t="inlineStr">
        <is>
          <t>FEDERALBNK</t>
        </is>
      </c>
      <c r="D27" s="30" t="inlineStr">
        <is>
          <t>The Federal Bank  Limited</t>
        </is>
      </c>
      <c r="E27" s="30" t="inlineStr">
        <is>
          <t>Banks - Private</t>
        </is>
      </c>
      <c r="F27" s="30" t="n">
        <v>2</v>
      </c>
      <c r="G27" s="30" t="inlineStr">
        <is>
          <t>52W Breakout</t>
        </is>
      </c>
      <c r="H27" s="30" t="inlineStr">
        <is>
          <t>Yes</t>
        </is>
      </c>
      <c r="I27" s="30" t="n">
        <v>13</v>
      </c>
      <c r="J27" s="30" t="n">
        <v>10</v>
      </c>
    </row>
    <row r="28">
      <c r="A28" s="30">
        <f>IF(B28=0,"",ROW()-1)</f>
        <v/>
      </c>
      <c r="B28" s="31">
        <f>IFERROR(INDEX('Monit Non Financial'!$B$2:$B$400, MATCH(C28, 'Monit Non Financial'!$C$2:$C$400, 0)), IFERROR(INDEX('Monit Banks NBFC'!$B$2:$B$100, MATCH(C28, 'Monit Banks NBFC'!$C$2:$C$100, 0)), 0))</f>
        <v/>
      </c>
      <c r="C28" s="30" t="inlineStr">
        <is>
          <t>CEMPRO</t>
        </is>
      </c>
      <c r="D28" s="30" t="inlineStr">
        <is>
          <t>Cemindia Projects Ltd</t>
        </is>
      </c>
      <c r="E28" s="30" t="inlineStr">
        <is>
          <t>Infra - Construction &amp; Contracting</t>
        </is>
      </c>
      <c r="F28" s="30" t="n">
        <v>2</v>
      </c>
      <c r="G28" s="30" t="inlineStr">
        <is>
          <t>No</t>
        </is>
      </c>
      <c r="H28" s="30" t="inlineStr">
        <is>
          <t>Yes</t>
        </is>
      </c>
      <c r="I28" s="30" t="n">
        <v>23</v>
      </c>
      <c r="J28" s="30" t="n">
        <v>28</v>
      </c>
    </row>
    <row r="29">
      <c r="A29" s="30">
        <f>IF(B29=0,"",ROW()-1)</f>
        <v/>
      </c>
      <c r="B29" s="31">
        <f>IFERROR(INDEX('Monit Non Financial'!$B$2:$B$400, MATCH(C29, 'Monit Non Financial'!$C$2:$C$400, 0)), IFERROR(INDEX('Monit Banks NBFC'!$B$2:$B$100, MATCH(C29, 'Monit Banks NBFC'!$C$2:$C$100, 0)), 0))</f>
        <v/>
      </c>
      <c r="C29" s="30" t="inlineStr">
        <is>
          <t>TIPSMUSIC</t>
        </is>
      </c>
      <c r="D29" s="30" t="inlineStr">
        <is>
          <t>Tips Music Ltd</t>
        </is>
      </c>
      <c r="E29" s="30" t="inlineStr">
        <is>
          <t>Music Licensing</t>
        </is>
      </c>
      <c r="F29" s="30" t="n">
        <v>2</v>
      </c>
      <c r="G29" s="30" t="inlineStr">
        <is>
          <t>No</t>
        </is>
      </c>
      <c r="H29" s="30" t="inlineStr">
        <is>
          <t>Yes</t>
        </is>
      </c>
      <c r="I29" s="30" t="n">
        <v>21</v>
      </c>
      <c r="J29" s="30" t="n">
        <v>29</v>
      </c>
    </row>
    <row r="30">
      <c r="A30" s="30">
        <f>IF(B30=0,"",ROW()-1)</f>
        <v/>
      </c>
      <c r="B30" s="31">
        <f>IFERROR(INDEX('Monit Non Financial'!$B$2:$B$400, MATCH(C30, 'Monit Non Financial'!$C$2:$C$400, 0)), IFERROR(INDEX('Monit Banks NBFC'!$B$2:$B$100, MATCH(C30, 'Monit Banks NBFC'!$C$2:$C$100, 0)), 0))</f>
        <v/>
      </c>
      <c r="C30" s="30" t="inlineStr">
        <is>
          <t>RPTECH</t>
        </is>
      </c>
      <c r="D30" s="30" t="inlineStr">
        <is>
          <t>Rashi Peripherals Ltd</t>
        </is>
      </c>
      <c r="E30" s="30" t="inlineStr">
        <is>
          <t>Trading</t>
        </is>
      </c>
      <c r="F30" s="30" t="n">
        <v>2</v>
      </c>
      <c r="G30" s="30" t="inlineStr">
        <is>
          <t>No</t>
        </is>
      </c>
      <c r="H30" s="30" t="inlineStr">
        <is>
          <t>Yes</t>
        </is>
      </c>
      <c r="I30" s="30" t="n">
        <v>22</v>
      </c>
      <c r="J30" s="30" t="n">
        <v>30</v>
      </c>
    </row>
    <row r="31">
      <c r="A31" s="30">
        <f>IF(B31=0,"",ROW()-1)</f>
        <v/>
      </c>
      <c r="B31" s="31">
        <f>IFERROR(INDEX('Monit Non Financial'!$B$2:$B$400, MATCH(C31, 'Monit Non Financial'!$C$2:$C$400, 0)), IFERROR(INDEX('Monit Banks NBFC'!$B$2:$B$100, MATCH(C31, 'Monit Banks NBFC'!$C$2:$C$100, 0)), 0))</f>
        <v/>
      </c>
      <c r="C31" s="30" t="inlineStr">
        <is>
          <t>THANGAMAYL</t>
        </is>
      </c>
      <c r="D31" s="30" t="inlineStr">
        <is>
          <t>Thangamayil Jewellery Limited</t>
        </is>
      </c>
      <c r="E31" s="30" t="inlineStr">
        <is>
          <t>Diamond, Gems &amp; Jewellery</t>
        </is>
      </c>
      <c r="F31" s="30" t="n">
        <v>2</v>
      </c>
      <c r="G31" s="30" t="inlineStr">
        <is>
          <t>No</t>
        </is>
      </c>
      <c r="H31" s="30" t="inlineStr">
        <is>
          <t>Yes</t>
        </is>
      </c>
      <c r="I31" s="30" t="n">
        <v>31</v>
      </c>
      <c r="J31" s="30" t="n">
        <v>12</v>
      </c>
    </row>
    <row r="32">
      <c r="A32" s="30">
        <f>IF(B32=0,"",ROW()-1)</f>
        <v/>
      </c>
      <c r="B32" s="31">
        <f>IFERROR(INDEX('Monit Non Financial'!$B$2:$B$400, MATCH(C32, 'Monit Non Financial'!$C$2:$C$400, 0)), IFERROR(INDEX('Monit Banks NBFC'!$B$2:$B$100, MATCH(C32, 'Monit Banks NBFC'!$C$2:$C$100, 0)), 0))</f>
        <v/>
      </c>
      <c r="C32" s="30" t="inlineStr">
        <is>
          <t>MTARTECH</t>
        </is>
      </c>
      <c r="D32" s="30" t="inlineStr">
        <is>
          <t>MTAR Technologies Ltd</t>
        </is>
      </c>
      <c r="E32" s="30" t="inlineStr">
        <is>
          <t>Aerospace &amp; Defence - Equipments</t>
        </is>
      </c>
      <c r="F32" s="30" t="n">
        <v>2</v>
      </c>
      <c r="G32" s="30" t="inlineStr">
        <is>
          <t>No</t>
        </is>
      </c>
      <c r="H32" s="30" t="inlineStr">
        <is>
          <t>Yes</t>
        </is>
      </c>
      <c r="I32" s="30" t="n">
        <v>22</v>
      </c>
      <c r="J32" s="30" t="n">
        <v>29</v>
      </c>
    </row>
    <row r="33">
      <c r="A33" s="30">
        <f>IF(B33=0,"",ROW()-1)</f>
        <v/>
      </c>
      <c r="B33" s="31">
        <f>IFERROR(INDEX('Monit Non Financial'!$B$2:$B$400, MATCH(C33, 'Monit Non Financial'!$C$2:$C$400, 0)), IFERROR(INDEX('Monit Banks NBFC'!$B$2:$B$100, MATCH(C33, 'Monit Banks NBFC'!$C$2:$C$100, 0)), 0))</f>
        <v/>
      </c>
      <c r="C33" s="30" t="inlineStr">
        <is>
          <t>UNIPARTS</t>
        </is>
      </c>
      <c r="D33" s="30" t="inlineStr">
        <is>
          <t>Uniparts India Ltd</t>
        </is>
      </c>
      <c r="E33" s="30" t="inlineStr">
        <is>
          <t>Castings, Forgings &amp; Fastners</t>
        </is>
      </c>
      <c r="F33" s="30" t="n">
        <v>2</v>
      </c>
      <c r="G33" s="30" t="inlineStr">
        <is>
          <t>No</t>
        </is>
      </c>
      <c r="H33" s="30" t="inlineStr">
        <is>
          <t>Yes</t>
        </is>
      </c>
      <c r="I33" s="30" t="n">
        <v>29</v>
      </c>
      <c r="J33" s="30" t="n">
        <v>29</v>
      </c>
    </row>
    <row r="34">
      <c r="A34" s="30">
        <f>IF(B34=0,"",ROW()-1)</f>
        <v/>
      </c>
      <c r="B34" s="31">
        <f>IFERROR(INDEX('Monit Non Financial'!$B$2:$B$400, MATCH(C34, 'Monit Non Financial'!$C$2:$C$400, 0)), IFERROR(INDEX('Monit Banks NBFC'!$B$2:$B$100, MATCH(C34, 'Monit Banks NBFC'!$C$2:$C$100, 0)), 0))</f>
        <v/>
      </c>
      <c r="C34" s="30" t="inlineStr">
        <is>
          <t>RATEGAIN</t>
        </is>
      </c>
      <c r="D34" s="30" t="inlineStr">
        <is>
          <t>Rategain Travel Technologies Ltd</t>
        </is>
      </c>
      <c r="E34" s="30" t="inlineStr">
        <is>
          <t>IT Product Companies</t>
        </is>
      </c>
      <c r="F34" s="30" t="n">
        <v>2</v>
      </c>
      <c r="G34" s="30" t="inlineStr">
        <is>
          <t>No</t>
        </is>
      </c>
      <c r="H34" s="30" t="inlineStr">
        <is>
          <t>Yes</t>
        </is>
      </c>
      <c r="I34" s="30" t="n">
        <v>25</v>
      </c>
      <c r="J34" s="30" t="n">
        <v>28</v>
      </c>
    </row>
    <row r="35">
      <c r="A35" s="30">
        <f>IF(B35=0,"",ROW()-1)</f>
        <v/>
      </c>
      <c r="B35" s="31">
        <f>IFERROR(INDEX('Monit Non Financial'!$B$2:$B$400, MATCH(C35, 'Monit Non Financial'!$C$2:$C$400, 0)), IFERROR(INDEX('Monit Banks NBFC'!$B$2:$B$100, MATCH(C35, 'Monit Banks NBFC'!$C$2:$C$100, 0)), 0))</f>
        <v/>
      </c>
      <c r="C35" s="30" t="inlineStr">
        <is>
          <t>KERNEX</t>
        </is>
      </c>
      <c r="D35" s="30" t="inlineStr">
        <is>
          <t>Kernex Microsystems (india) Limited</t>
        </is>
      </c>
      <c r="E35" s="30" t="inlineStr">
        <is>
          <t>Railways - Kavach/Springs</t>
        </is>
      </c>
      <c r="F35" s="30" t="n">
        <v>2</v>
      </c>
      <c r="G35" s="30" t="inlineStr">
        <is>
          <t>No</t>
        </is>
      </c>
      <c r="H35" s="30" t="inlineStr">
        <is>
          <t>Yes</t>
        </is>
      </c>
      <c r="I35" s="30" t="n">
        <v>26</v>
      </c>
      <c r="J35" s="30" t="n">
        <v>26</v>
      </c>
    </row>
    <row r="36">
      <c r="A36" s="30">
        <f>IF(B36=0,"",ROW()-1)</f>
        <v/>
      </c>
      <c r="B36" s="31">
        <f>IFERROR(INDEX('Monit Non Financial'!$B$2:$B$400, MATCH(C36, 'Monit Non Financial'!$C$2:$C$400, 0)), IFERROR(INDEX('Monit Banks NBFC'!$B$2:$B$100, MATCH(C36, 'Monit Banks NBFC'!$C$2:$C$100, 0)), 0))</f>
        <v/>
      </c>
      <c r="C36" s="30" t="inlineStr">
        <is>
          <t>GOCLCORP</t>
        </is>
      </c>
      <c r="D36" s="30" t="inlineStr">
        <is>
          <t>Gocl Corporation Limited</t>
        </is>
      </c>
      <c r="E36" s="30" t="inlineStr">
        <is>
          <t>Lubricants</t>
        </is>
      </c>
      <c r="F36" s="30" t="n">
        <v>2</v>
      </c>
      <c r="G36" s="30" t="inlineStr">
        <is>
          <t>No</t>
        </is>
      </c>
      <c r="H36" s="30" t="inlineStr">
        <is>
          <t>Yes</t>
        </is>
      </c>
      <c r="I36" s="30" t="n">
        <v>20</v>
      </c>
      <c r="J36" s="30" t="n">
        <v>13</v>
      </c>
    </row>
    <row r="37">
      <c r="A37" s="30">
        <f>IF(B37=0,"",ROW()-1)</f>
        <v/>
      </c>
      <c r="B37" s="31">
        <f>IFERROR(INDEX('Monit Non Financial'!$B$2:$B$400, MATCH(C37, 'Monit Non Financial'!$C$2:$C$400, 0)), IFERROR(INDEX('Monit Banks NBFC'!$B$2:$B$100, MATCH(C37, 'Monit Banks NBFC'!$C$2:$C$100, 0)), 0))</f>
        <v/>
      </c>
      <c r="C37" s="30" t="inlineStr">
        <is>
          <t>NAM-INDIA</t>
        </is>
      </c>
      <c r="D37" s="30" t="inlineStr">
        <is>
          <t>Nippon Life India Asset Management Ltd</t>
        </is>
      </c>
      <c r="E37" s="30" t="inlineStr">
        <is>
          <t>Finance - AMC</t>
        </is>
      </c>
      <c r="F37" s="30" t="n">
        <v>2</v>
      </c>
      <c r="G37" s="30" t="inlineStr">
        <is>
          <t>No</t>
        </is>
      </c>
      <c r="H37" s="30" t="inlineStr">
        <is>
          <t>Yes</t>
        </is>
      </c>
      <c r="I37" s="30" t="n">
        <v>19</v>
      </c>
      <c r="J37" s="30" t="n">
        <v>29</v>
      </c>
    </row>
    <row r="38">
      <c r="A38" s="30">
        <f>IF(B38=0,"",ROW()-1)</f>
        <v/>
      </c>
      <c r="B38" s="31">
        <f>IFERROR(INDEX('Monit Non Financial'!$B$2:$B$400, MATCH(C38, 'Monit Non Financial'!$C$2:$C$400, 0)), IFERROR(INDEX('Monit Banks NBFC'!$B$2:$B$100, MATCH(C38, 'Monit Banks NBFC'!$C$2:$C$100, 0)), 0))</f>
        <v/>
      </c>
      <c r="C38" s="30" t="inlineStr">
        <is>
          <t>SUPRIYA</t>
        </is>
      </c>
      <c r="D38" s="30" t="inlineStr">
        <is>
          <t>Supriya Lifescience Ltd</t>
        </is>
      </c>
      <c r="E38" s="30" t="inlineStr">
        <is>
          <t>Pharma - API &amp; CRAMS</t>
        </is>
      </c>
      <c r="F38" s="30" t="n">
        <v>2</v>
      </c>
      <c r="G38" s="30" t="inlineStr">
        <is>
          <t>No</t>
        </is>
      </c>
      <c r="H38" s="30" t="inlineStr">
        <is>
          <t>Yes</t>
        </is>
      </c>
      <c r="I38" s="30" t="n">
        <v>23</v>
      </c>
      <c r="J38" s="30" t="n">
        <v>27</v>
      </c>
    </row>
    <row r="39">
      <c r="A39" s="30">
        <f>IF(B39=0,"",ROW()-1)</f>
        <v/>
      </c>
      <c r="B39" s="31">
        <f>IFERROR(INDEX('Monit Non Financial'!$B$2:$B$400, MATCH(C39, 'Monit Non Financial'!$C$2:$C$400, 0)), IFERROR(INDEX('Monit Banks NBFC'!$B$2:$B$100, MATCH(C39, 'Monit Banks NBFC'!$C$2:$C$100, 0)), 0))</f>
        <v/>
      </c>
      <c r="C39" s="30" t="inlineStr">
        <is>
          <t>SPARC</t>
        </is>
      </c>
      <c r="D39" s="30" t="inlineStr">
        <is>
          <t>Sun Pharma Advanced Research Company Limited</t>
        </is>
      </c>
      <c r="E39" s="30" t="inlineStr">
        <is>
          <t>Pharma - Others</t>
        </is>
      </c>
      <c r="F39" s="30" t="n">
        <v>2</v>
      </c>
      <c r="G39" s="30" t="inlineStr">
        <is>
          <t>No</t>
        </is>
      </c>
      <c r="H39" s="30" t="inlineStr">
        <is>
          <t>Yes</t>
        </is>
      </c>
      <c r="I39" s="30" t="n">
        <v>24</v>
      </c>
      <c r="J39" s="30" t="n">
        <v>22</v>
      </c>
    </row>
    <row r="40">
      <c r="A40" s="30">
        <f>IF(B40=0,"",ROW()-1)</f>
        <v/>
      </c>
      <c r="B40" s="31">
        <f>IFERROR(INDEX('Monit Non Financial'!$B$2:$B$400, MATCH(C40, 'Monit Non Financial'!$C$2:$C$400, 0)), IFERROR(INDEX('Monit Banks NBFC'!$B$2:$B$100, MATCH(C40, 'Monit Banks NBFC'!$C$2:$C$100, 0)), 0))</f>
        <v/>
      </c>
      <c r="C40" s="30" t="inlineStr">
        <is>
          <t>PARAS</t>
        </is>
      </c>
      <c r="D40" s="30" t="inlineStr">
        <is>
          <t>Paras Defence and Space Technologies Ltd</t>
        </is>
      </c>
      <c r="E40" s="30" t="inlineStr">
        <is>
          <t>Aerospace &amp; Defence - Equipments</t>
        </is>
      </c>
      <c r="F40" s="30" t="n">
        <v>2</v>
      </c>
      <c r="G40" s="30" t="inlineStr">
        <is>
          <t>No</t>
        </is>
      </c>
      <c r="H40" s="30" t="inlineStr">
        <is>
          <t>Yes</t>
        </is>
      </c>
      <c r="I40" s="30" t="n">
        <v>20</v>
      </c>
      <c r="J40" s="30" t="n">
        <v>21</v>
      </c>
    </row>
    <row r="41">
      <c r="A41" s="30">
        <f>IF(B41=0,"",ROW()-1)</f>
        <v/>
      </c>
      <c r="B41" s="31">
        <f>IFERROR(INDEX('Monit Non Financial'!$B$2:$B$400, MATCH(C41, 'Monit Non Financial'!$C$2:$C$400, 0)), IFERROR(INDEX('Monit Banks NBFC'!$B$2:$B$100, MATCH(C41, 'Monit Banks NBFC'!$C$2:$C$100, 0)), 0))</f>
        <v/>
      </c>
      <c r="C41" s="30" t="inlineStr">
        <is>
          <t>SANSERA</t>
        </is>
      </c>
      <c r="D41" s="30" t="inlineStr">
        <is>
          <t>Sansera Engineering Ltd</t>
        </is>
      </c>
      <c r="E41" s="30" t="inlineStr">
        <is>
          <t>Auto Ancillaries - Diversified</t>
        </is>
      </c>
      <c r="F41" s="30" t="n">
        <v>2</v>
      </c>
      <c r="G41" s="30" t="inlineStr">
        <is>
          <t>No</t>
        </is>
      </c>
      <c r="H41" s="30" t="inlineStr">
        <is>
          <t>Yes</t>
        </is>
      </c>
      <c r="I41" s="30" t="n">
        <v>19</v>
      </c>
      <c r="J41" s="30" t="n">
        <v>24</v>
      </c>
    </row>
    <row r="42">
      <c r="A42" s="30">
        <f>IF(B42=0,"",ROW()-1)</f>
        <v/>
      </c>
      <c r="B42" s="31">
        <f>IFERROR(INDEX('Monit Non Financial'!$B$2:$B$400, MATCH(C42, 'Monit Non Financial'!$C$2:$C$400, 0)), IFERROR(INDEX('Monit Banks NBFC'!$B$2:$B$100, MATCH(C42, 'Monit Banks NBFC'!$C$2:$C$100, 0)), 0))</f>
        <v/>
      </c>
      <c r="C42" s="30" t="inlineStr">
        <is>
          <t>ASTRAMICRO</t>
        </is>
      </c>
      <c r="D42" s="30" t="inlineStr">
        <is>
          <t>Astra Microwave Products Limited</t>
        </is>
      </c>
      <c r="E42" s="30" t="inlineStr">
        <is>
          <t>Aerospace &amp; Defence - Equipments</t>
        </is>
      </c>
      <c r="F42" s="30" t="n">
        <v>2</v>
      </c>
      <c r="G42" s="30" t="inlineStr">
        <is>
          <t>No</t>
        </is>
      </c>
      <c r="H42" s="30" t="inlineStr">
        <is>
          <t>Yes</t>
        </is>
      </c>
      <c r="I42" s="30" t="n">
        <v>20</v>
      </c>
      <c r="J42" s="30" t="n">
        <v>27</v>
      </c>
    </row>
    <row r="43">
      <c r="A43" s="30">
        <f>IF(B43=0,"",ROW()-1)</f>
        <v/>
      </c>
      <c r="B43" s="31">
        <f>IFERROR(INDEX('Monit Non Financial'!$B$2:$B$400, MATCH(C43, 'Monit Non Financial'!$C$2:$C$400, 0)), IFERROR(INDEX('Monit Banks NBFC'!$B$2:$B$100, MATCH(C43, 'Monit Banks NBFC'!$C$2:$C$100, 0)), 0))</f>
        <v/>
      </c>
      <c r="C43" s="30" t="inlineStr">
        <is>
          <t>WHEELS</t>
        </is>
      </c>
      <c r="D43" s="30" t="inlineStr">
        <is>
          <t>Wheels India Limited</t>
        </is>
      </c>
      <c r="E43" s="30" t="inlineStr">
        <is>
          <t>Auto Ancillaries - Wheels</t>
        </is>
      </c>
      <c r="F43" s="30" t="n">
        <v>2</v>
      </c>
      <c r="G43" s="30" t="inlineStr">
        <is>
          <t>No</t>
        </is>
      </c>
      <c r="H43" s="30" t="inlineStr">
        <is>
          <t>Yes</t>
        </is>
      </c>
      <c r="I43" s="30" t="n">
        <v>22</v>
      </c>
      <c r="J43" s="30" t="n">
        <v>30</v>
      </c>
    </row>
    <row r="44">
      <c r="A44" s="30">
        <f>IF(B44=0,"",ROW()-1)</f>
        <v/>
      </c>
      <c r="B44" s="31">
        <f>IFERROR(INDEX('Monit Non Financial'!$B$2:$B$400, MATCH(C44, 'Monit Non Financial'!$C$2:$C$400, 0)), IFERROR(INDEX('Monit Banks NBFC'!$B$2:$B$100, MATCH(C44, 'Monit Banks NBFC'!$C$2:$C$100, 0)), 0))</f>
        <v/>
      </c>
      <c r="C44" s="30" t="inlineStr">
        <is>
          <t>SKIPPER</t>
        </is>
      </c>
      <c r="D44" s="30" t="inlineStr">
        <is>
          <t>Skipper Limited</t>
        </is>
      </c>
      <c r="E44" s="30" t="inlineStr">
        <is>
          <t>Electrical Equipments/HVDC</t>
        </is>
      </c>
      <c r="F44" s="30" t="n">
        <v>2</v>
      </c>
      <c r="G44" s="30" t="inlineStr">
        <is>
          <t>No</t>
        </is>
      </c>
      <c r="H44" s="30" t="inlineStr">
        <is>
          <t>Yes</t>
        </is>
      </c>
      <c r="I44" s="30" t="n">
        <v>29</v>
      </c>
      <c r="J44" s="30" t="n">
        <v>19</v>
      </c>
    </row>
    <row r="45">
      <c r="A45" s="30">
        <f>IF(B45=0,"",ROW()-1)</f>
        <v/>
      </c>
      <c r="B45" s="31">
        <f>IFERROR(INDEX('Monit Non Financial'!$B$2:$B$400, MATCH(C45, 'Monit Non Financial'!$C$2:$C$400, 0)), IFERROR(INDEX('Monit Banks NBFC'!$B$2:$B$100, MATCH(C45, 'Monit Banks NBFC'!$C$2:$C$100, 0)), 0))</f>
        <v/>
      </c>
      <c r="C45" s="30" t="inlineStr">
        <is>
          <t>PRIMO</t>
        </is>
      </c>
      <c r="D45" s="30" t="inlineStr">
        <is>
          <t>Primo Chemicals Ltd</t>
        </is>
      </c>
      <c r="E45" s="30" t="inlineStr">
        <is>
          <t>Chemicals - Inorganic - Caustic Soda/Soda Ash</t>
        </is>
      </c>
      <c r="F45" s="30" t="n">
        <v>2</v>
      </c>
      <c r="G45" s="30" t="inlineStr">
        <is>
          <t>EMA Crossover</t>
        </is>
      </c>
      <c r="H45" s="30" t="inlineStr">
        <is>
          <t>Yes</t>
        </is>
      </c>
      <c r="I45" s="30" t="n">
        <v>0</v>
      </c>
      <c r="J45" s="30" t="n">
        <v>6</v>
      </c>
    </row>
    <row r="46">
      <c r="A46" s="30">
        <f>IF(B46=0,"",ROW()-1)</f>
        <v/>
      </c>
      <c r="B46" s="31">
        <f>IFERROR(INDEX('Monit Non Financial'!$B$2:$B$400, MATCH(C46, 'Monit Non Financial'!$C$2:$C$400, 0)), IFERROR(INDEX('Monit Banks NBFC'!$B$2:$B$100, MATCH(C46, 'Monit Banks NBFC'!$C$2:$C$100, 0)), 0))</f>
        <v/>
      </c>
      <c r="C46" s="30" t="inlineStr">
        <is>
          <t>PANACEABIO</t>
        </is>
      </c>
      <c r="D46" s="30" t="inlineStr">
        <is>
          <t>Panacea Biotec Limited</t>
        </is>
      </c>
      <c r="E46" s="30" t="inlineStr">
        <is>
          <t>Pharma - Others</t>
        </is>
      </c>
      <c r="F46" s="30" t="n">
        <v>2</v>
      </c>
      <c r="G46" s="30" t="inlineStr">
        <is>
          <t>No</t>
        </is>
      </c>
      <c r="H46" s="30" t="inlineStr">
        <is>
          <t>Yes</t>
        </is>
      </c>
      <c r="I46" s="30" t="n">
        <v>22</v>
      </c>
      <c r="J46" s="30" t="n">
        <v>2</v>
      </c>
    </row>
    <row r="47">
      <c r="A47" s="30">
        <f>IF(B47=0,"",ROW()-1)</f>
        <v/>
      </c>
      <c r="B47" s="31">
        <f>IFERROR(INDEX('Monit Non Financial'!$B$2:$B$400, MATCH(C47, 'Monit Non Financial'!$C$2:$C$400, 0)), IFERROR(INDEX('Monit Banks NBFC'!$B$2:$B$100, MATCH(C47, 'Monit Banks NBFC'!$C$2:$C$100, 0)), 0))</f>
        <v/>
      </c>
      <c r="C47" s="30" t="inlineStr">
        <is>
          <t>SKMEGGPROD</t>
        </is>
      </c>
      <c r="D47" s="30" t="inlineStr">
        <is>
          <t>Skm Egg Products Export (india) Limited</t>
        </is>
      </c>
      <c r="E47" s="30" t="inlineStr">
        <is>
          <t>FMCG - Animal/Polutry</t>
        </is>
      </c>
      <c r="F47" s="30" t="n">
        <v>2</v>
      </c>
      <c r="G47" s="30" t="inlineStr">
        <is>
          <t>No</t>
        </is>
      </c>
      <c r="H47" s="30" t="inlineStr">
        <is>
          <t>Yes</t>
        </is>
      </c>
      <c r="I47" s="30" t="n">
        <v>30</v>
      </c>
      <c r="J47" s="30" t="n">
        <v>13</v>
      </c>
    </row>
    <row r="48">
      <c r="A48" s="30">
        <f>IF(B48=0,"",ROW()-1)</f>
        <v/>
      </c>
      <c r="B48" s="31">
        <f>IFERROR(INDEX('Monit Non Financial'!$B$2:$B$400, MATCH(C48, 'Monit Non Financial'!$C$2:$C$400, 0)), IFERROR(INDEX('Monit Banks NBFC'!$B$2:$B$100, MATCH(C48, 'Monit Banks NBFC'!$C$2:$C$100, 0)), 0))</f>
        <v/>
      </c>
      <c r="C48" s="30" t="inlineStr">
        <is>
          <t>MARKSANS</t>
        </is>
      </c>
      <c r="D48" s="30" t="inlineStr">
        <is>
          <t>Marksans Pharma Limited</t>
        </is>
      </c>
      <c r="E48" s="30" t="inlineStr">
        <is>
          <t>Pharma - Formulators</t>
        </is>
      </c>
      <c r="F48" s="30" t="n">
        <v>2</v>
      </c>
      <c r="G48" s="30" t="inlineStr">
        <is>
          <t>No</t>
        </is>
      </c>
      <c r="H48" s="30" t="inlineStr">
        <is>
          <t>Yes</t>
        </is>
      </c>
      <c r="I48" s="30" t="n">
        <v>20</v>
      </c>
      <c r="J48" s="30" t="n">
        <v>15</v>
      </c>
    </row>
    <row r="49">
      <c r="A49" s="30">
        <f>IF(B49=0,"",ROW()-1)</f>
        <v/>
      </c>
      <c r="B49" s="31">
        <f>IFERROR(INDEX('Monit Non Financial'!$B$2:$B$400, MATCH(C49, 'Monit Non Financial'!$C$2:$C$400, 0)), IFERROR(INDEX('Monit Banks NBFC'!$B$2:$B$100, MATCH(C49, 'Monit Banks NBFC'!$C$2:$C$100, 0)), 0))</f>
        <v/>
      </c>
      <c r="C49" s="30" t="inlineStr">
        <is>
          <t>CGCL</t>
        </is>
      </c>
      <c r="D49" s="30" t="inlineStr">
        <is>
          <t>Capri Global Capital Limited</t>
        </is>
      </c>
      <c r="E49" s="30" t="inlineStr">
        <is>
          <t>Finance &amp; Investments - Gold Loan</t>
        </is>
      </c>
      <c r="F49" s="30" t="n">
        <v>2</v>
      </c>
      <c r="G49" s="30" t="inlineStr">
        <is>
          <t>No</t>
        </is>
      </c>
      <c r="H49" s="30" t="inlineStr">
        <is>
          <t>Yes</t>
        </is>
      </c>
      <c r="I49" s="30" t="n">
        <v>19</v>
      </c>
      <c r="J49" s="30" t="n">
        <v>19</v>
      </c>
    </row>
    <row r="50">
      <c r="A50" s="30">
        <f>IF(B50=0,"",ROW()-1)</f>
        <v/>
      </c>
      <c r="B50" s="31">
        <f>IFERROR(INDEX('Monit Non Financial'!$B$2:$B$400, MATCH(C50, 'Monit Non Financial'!$C$2:$C$400, 0)), IFERROR(INDEX('Monit Banks NBFC'!$B$2:$B$100, MATCH(C50, 'Monit Banks NBFC'!$C$2:$C$100, 0)), 0))</f>
        <v/>
      </c>
      <c r="C50" s="30" t="inlineStr">
        <is>
          <t>UNIVCABLES</t>
        </is>
      </c>
      <c r="D50" s="30" t="inlineStr">
        <is>
          <t>Universal Cables Limited</t>
        </is>
      </c>
      <c r="E50" s="30" t="inlineStr">
        <is>
          <t>Cables - Power</t>
        </is>
      </c>
      <c r="F50" s="30" t="n">
        <v>2</v>
      </c>
      <c r="G50" s="30" t="inlineStr">
        <is>
          <t>No</t>
        </is>
      </c>
      <c r="H50" s="30" t="inlineStr">
        <is>
          <t>Yes</t>
        </is>
      </c>
      <c r="I50" s="30" t="n">
        <v>19</v>
      </c>
      <c r="J50" s="30" t="n">
        <v>29</v>
      </c>
    </row>
    <row r="51">
      <c r="A51" s="30">
        <f>IF(B51=0,"",ROW()-1)</f>
        <v/>
      </c>
      <c r="B51" s="31">
        <f>IFERROR(INDEX('Monit Non Financial'!$B$2:$B$400, MATCH(C51, 'Monit Non Financial'!$C$2:$C$400, 0)), IFERROR(INDEX('Monit Banks NBFC'!$B$2:$B$100, MATCH(C51, 'Monit Banks NBFC'!$C$2:$C$100, 0)), 0))</f>
        <v/>
      </c>
      <c r="C51" s="30" t="inlineStr">
        <is>
          <t>SAILIFE</t>
        </is>
      </c>
      <c r="D51" s="30" t="inlineStr">
        <is>
          <t>Sai Life Sciences Ltd</t>
        </is>
      </c>
      <c r="E51" s="30" t="inlineStr">
        <is>
          <t>Pharma - API &amp; CRAMS</t>
        </is>
      </c>
      <c r="F51" s="30" t="n">
        <v>2</v>
      </c>
      <c r="G51" s="30" t="inlineStr">
        <is>
          <t>52W Breakout</t>
        </is>
      </c>
      <c r="H51" s="30" t="inlineStr">
        <is>
          <t>Yes</t>
        </is>
      </c>
      <c r="I51" s="30" t="n">
        <v>12</v>
      </c>
      <c r="J51" s="30" t="n">
        <v>30</v>
      </c>
    </row>
    <row r="52">
      <c r="A52" s="30">
        <f>IF(B52=0,"",ROW()-1)</f>
        <v/>
      </c>
      <c r="B52" s="31">
        <f>IFERROR(INDEX('Monit Non Financial'!$B$2:$B$400, MATCH(C52, 'Monit Non Financial'!$C$2:$C$400, 0)), IFERROR(INDEX('Monit Banks NBFC'!$B$2:$B$100, MATCH(C52, 'Monit Banks NBFC'!$C$2:$C$100, 0)), 0))</f>
        <v/>
      </c>
      <c r="C52" s="30" t="inlineStr">
        <is>
          <t>HFCL</t>
        </is>
      </c>
      <c r="D52" s="30" t="inlineStr">
        <is>
          <t>HFCL Ltd</t>
        </is>
      </c>
      <c r="E52" s="30" t="inlineStr">
        <is>
          <t>Telecom Services</t>
        </is>
      </c>
      <c r="F52" s="30" t="n">
        <v>2</v>
      </c>
      <c r="G52" s="30" t="inlineStr">
        <is>
          <t>No</t>
        </is>
      </c>
      <c r="H52" s="30" t="inlineStr">
        <is>
          <t>Yes</t>
        </is>
      </c>
      <c r="I52" s="30" t="n">
        <v>22</v>
      </c>
      <c r="J52" s="30" t="n">
        <v>30</v>
      </c>
    </row>
    <row r="53">
      <c r="A53" s="30">
        <f>IF(B53=0,"",ROW()-1)</f>
        <v/>
      </c>
      <c r="B53" s="31">
        <f>IFERROR(INDEX('Monit Non Financial'!$B$2:$B$400, MATCH(C53, 'Monit Non Financial'!$C$2:$C$400, 0)), IFERROR(INDEX('Monit Banks NBFC'!$B$2:$B$100, MATCH(C53, 'Monit Banks NBFC'!$C$2:$C$100, 0)), 0))</f>
        <v/>
      </c>
      <c r="C53" s="30" t="inlineStr">
        <is>
          <t>FIEMIND</t>
        </is>
      </c>
      <c r="D53" s="30" t="inlineStr">
        <is>
          <t>Fiem Industries Limited</t>
        </is>
      </c>
      <c r="E53" s="30" t="inlineStr">
        <is>
          <t>Auto Ancillaries - 2&amp;3 Wheelers</t>
        </is>
      </c>
      <c r="F53" s="30" t="n">
        <v>2</v>
      </c>
      <c r="G53" s="30" t="inlineStr">
        <is>
          <t>No</t>
        </is>
      </c>
      <c r="H53" s="30" t="inlineStr">
        <is>
          <t>Yes</t>
        </is>
      </c>
      <c r="I53" s="30" t="n">
        <v>19</v>
      </c>
      <c r="J53" s="30" t="n">
        <v>13</v>
      </c>
    </row>
    <row r="54">
      <c r="A54" s="30">
        <f>IF(B54=0,"",ROW()-1)</f>
        <v/>
      </c>
      <c r="B54" s="31">
        <f>IFERROR(INDEX('Monit Non Financial'!$B$2:$B$400, MATCH(C54, 'Monit Non Financial'!$C$2:$C$400, 0)), IFERROR(INDEX('Monit Banks NBFC'!$B$2:$B$100, MATCH(C54, 'Monit Banks NBFC'!$C$2:$C$100, 0)), 0))</f>
        <v/>
      </c>
      <c r="C54" s="30" t="inlineStr">
        <is>
          <t>SIGMAADV</t>
        </is>
      </c>
      <c r="D54" s="30" t="inlineStr">
        <is>
          <t>Sigma Advanced System Ltd</t>
        </is>
      </c>
      <c r="E54" s="30" t="inlineStr">
        <is>
          <t>Aerospace &amp; Defence - Equipments</t>
        </is>
      </c>
      <c r="F54" s="30" t="n">
        <v>2</v>
      </c>
      <c r="G54" s="30" t="inlineStr">
        <is>
          <t>No</t>
        </is>
      </c>
      <c r="H54" s="30" t="inlineStr">
        <is>
          <t>Yes</t>
        </is>
      </c>
      <c r="I54" s="30" t="n">
        <v>30</v>
      </c>
      <c r="J54" s="30" t="n">
        <v>30</v>
      </c>
    </row>
    <row r="55">
      <c r="A55" s="30">
        <f>IF(B55=0,"",ROW()-1)</f>
        <v/>
      </c>
      <c r="B55" s="31">
        <f>IFERROR(INDEX('Monit Non Financial'!$B$2:$B$400, MATCH(C55, 'Monit Non Financial'!$C$2:$C$400, 0)), IFERROR(INDEX('Monit Banks NBFC'!$B$2:$B$100, MATCH(C55, 'Monit Banks NBFC'!$C$2:$C$100, 0)), 0))</f>
        <v/>
      </c>
      <c r="C55" s="30" t="inlineStr">
        <is>
          <t>SPECTRUM</t>
        </is>
      </c>
      <c r="D55" s="30" t="inlineStr">
        <is>
          <t>Spectrum Electrical Industries Ltd</t>
        </is>
      </c>
      <c r="E55" s="30" t="inlineStr">
        <is>
          <t>Capital Goods - Electric General</t>
        </is>
      </c>
      <c r="F55" s="30" t="n">
        <v>2</v>
      </c>
      <c r="G55" s="30" t="inlineStr">
        <is>
          <t>No</t>
        </is>
      </c>
      <c r="H55" s="30" t="inlineStr">
        <is>
          <t>Yes</t>
        </is>
      </c>
      <c r="I55" s="30" t="n">
        <v>20</v>
      </c>
      <c r="J55" s="30" t="n">
        <v>11</v>
      </c>
    </row>
    <row r="56">
      <c r="A56" s="30">
        <f>IF(B56=0,"",ROW()-1)</f>
        <v/>
      </c>
      <c r="B56" s="31">
        <f>IFERROR(INDEX('Monit Non Financial'!$B$2:$B$400, MATCH(C56, 'Monit Non Financial'!$C$2:$C$400, 0)), IFERROR(INDEX('Monit Banks NBFC'!$B$2:$B$100, MATCH(C56, 'Monit Banks NBFC'!$C$2:$C$100, 0)), 0))</f>
        <v/>
      </c>
      <c r="C56" s="30" t="inlineStr">
        <is>
          <t>PAISALO</t>
        </is>
      </c>
      <c r="D56" s="30" t="inlineStr">
        <is>
          <t>Paisalo Digital Ltd</t>
        </is>
      </c>
      <c r="E56" s="30" t="inlineStr">
        <is>
          <t>Finance - Capital Markets - Brokers</t>
        </is>
      </c>
      <c r="F56" s="30" t="n">
        <v>2</v>
      </c>
      <c r="G56" s="30" t="inlineStr">
        <is>
          <t>No</t>
        </is>
      </c>
      <c r="H56" s="30" t="inlineStr">
        <is>
          <t>Yes</t>
        </is>
      </c>
      <c r="I56" s="30" t="n">
        <v>24</v>
      </c>
      <c r="J56" s="30" t="n">
        <v>28</v>
      </c>
    </row>
    <row r="57">
      <c r="A57" s="30">
        <f>IF(B57=0,"",ROW()-1)</f>
        <v/>
      </c>
      <c r="B57" s="31">
        <f>IFERROR(INDEX('Monit Non Financial'!$B$2:$B$400, MATCH(C57, 'Monit Non Financial'!$C$2:$C$400, 0)), IFERROR(INDEX('Monit Banks NBFC'!$B$2:$B$100, MATCH(C57, 'Monit Banks NBFC'!$C$2:$C$100, 0)), 0))</f>
        <v/>
      </c>
      <c r="C57" s="30" t="inlineStr">
        <is>
          <t>APOLLO</t>
        </is>
      </c>
      <c r="D57" s="30" t="inlineStr">
        <is>
          <t>Apollo Micro Systems Ltd</t>
        </is>
      </c>
      <c r="E57" s="30" t="inlineStr">
        <is>
          <t>Aerospace &amp; Defence - Equipments</t>
        </is>
      </c>
      <c r="F57" s="30" t="n">
        <v>2</v>
      </c>
      <c r="G57" s="30" t="inlineStr">
        <is>
          <t>No</t>
        </is>
      </c>
      <c r="H57" s="30" t="inlineStr">
        <is>
          <t>Yes</t>
        </is>
      </c>
      <c r="I57" s="30" t="n">
        <v>24</v>
      </c>
      <c r="J57" s="30" t="n">
        <v>30</v>
      </c>
    </row>
    <row r="58">
      <c r="A58" s="30">
        <f>IF(B58=0,"",ROW()-1)</f>
        <v/>
      </c>
      <c r="B58" s="31">
        <f>IFERROR(INDEX('Monit Non Financial'!$B$2:$B$400, MATCH(C58, 'Monit Non Financial'!$C$2:$C$400, 0)), IFERROR(INDEX('Monit Banks NBFC'!$B$2:$B$100, MATCH(C58, 'Monit Banks NBFC'!$C$2:$C$100, 0)), 0))</f>
        <v/>
      </c>
      <c r="C58" s="30" t="inlineStr">
        <is>
          <t>VIYASH</t>
        </is>
      </c>
      <c r="D58" s="30" t="inlineStr">
        <is>
          <t>Viyash Scientific Ltd</t>
        </is>
      </c>
      <c r="E58" s="30" t="inlineStr">
        <is>
          <t>Pharma - Animal</t>
        </is>
      </c>
      <c r="F58" s="30" t="n">
        <v>2</v>
      </c>
      <c r="G58" s="30" t="inlineStr">
        <is>
          <t>No</t>
        </is>
      </c>
      <c r="H58" s="30" t="inlineStr">
        <is>
          <t>Yes</t>
        </is>
      </c>
      <c r="I58" s="30" t="n">
        <v>20</v>
      </c>
      <c r="J58" s="30" t="n">
        <v>25</v>
      </c>
    </row>
    <row r="59">
      <c r="A59" s="30">
        <f>IF(B59=0,"",ROW()-1)</f>
        <v/>
      </c>
      <c r="B59" s="31">
        <f>IFERROR(INDEX('Monit Non Financial'!$B$2:$B$400, MATCH(C59, 'Monit Non Financial'!$C$2:$C$400, 0)), IFERROR(INDEX('Monit Banks NBFC'!$B$2:$B$100, MATCH(C59, 'Monit Banks NBFC'!$C$2:$C$100, 0)), 0))</f>
        <v/>
      </c>
      <c r="C59" s="30" t="inlineStr">
        <is>
          <t>SASKEN</t>
        </is>
      </c>
      <c r="D59" s="30" t="inlineStr">
        <is>
          <t>Sasken Communication Technologies Limited</t>
        </is>
      </c>
      <c r="E59" s="30" t="inlineStr">
        <is>
          <t>IT - Software</t>
        </is>
      </c>
      <c r="F59" s="30" t="n">
        <v>2</v>
      </c>
      <c r="G59" s="30" t="inlineStr">
        <is>
          <t>No</t>
        </is>
      </c>
      <c r="H59" s="30" t="inlineStr">
        <is>
          <t>Yes</t>
        </is>
      </c>
      <c r="I59" s="30" t="n">
        <v>22</v>
      </c>
      <c r="J59" s="30" t="n">
        <v>26</v>
      </c>
    </row>
    <row r="60">
      <c r="A60" s="30">
        <f>IF(B60=0,"",ROW()-1)</f>
        <v/>
      </c>
      <c r="B60" s="31">
        <f>IFERROR(INDEX('Monit Non Financial'!$B$2:$B$400, MATCH(C60, 'Monit Non Financial'!$C$2:$C$400, 0)), IFERROR(INDEX('Monit Banks NBFC'!$B$2:$B$100, MATCH(C60, 'Monit Banks NBFC'!$C$2:$C$100, 0)), 0))</f>
        <v/>
      </c>
      <c r="C60" s="30" t="inlineStr">
        <is>
          <t>CRAFTSMAN</t>
        </is>
      </c>
      <c r="D60" s="30" t="inlineStr">
        <is>
          <t>Craftsman Automation Ltd</t>
        </is>
      </c>
      <c r="E60" s="30" t="inlineStr">
        <is>
          <t>Auto &amp; Auto Ancl - CV</t>
        </is>
      </c>
      <c r="F60" s="30" t="n">
        <v>2</v>
      </c>
      <c r="G60" s="30" t="inlineStr">
        <is>
          <t>No</t>
        </is>
      </c>
      <c r="H60" s="30" t="inlineStr">
        <is>
          <t>Yes</t>
        </is>
      </c>
      <c r="I60" s="30" t="n">
        <v>20</v>
      </c>
      <c r="J60" s="30" t="n">
        <v>30</v>
      </c>
    </row>
    <row r="61">
      <c r="A61" s="30">
        <f>IF(B61=0,"",ROW()-1)</f>
        <v/>
      </c>
      <c r="B61" s="31">
        <f>IFERROR(INDEX('Monit Non Financial'!$B$2:$B$400, MATCH(C61, 'Monit Non Financial'!$C$2:$C$400, 0)), IFERROR(INDEX('Monit Banks NBFC'!$B$2:$B$100, MATCH(C61, 'Monit Banks NBFC'!$C$2:$C$100, 0)), 0))</f>
        <v/>
      </c>
      <c r="C61" s="30" t="inlineStr">
        <is>
          <t>SIS</t>
        </is>
      </c>
      <c r="D61" s="30" t="inlineStr">
        <is>
          <t>Security &amp; Intelligence Services India</t>
        </is>
      </c>
      <c r="E61" s="30" t="inlineStr">
        <is>
          <t>Facility Management</t>
        </is>
      </c>
      <c r="F61" s="30" t="n">
        <v>2</v>
      </c>
      <c r="G61" s="30" t="inlineStr">
        <is>
          <t>No</t>
        </is>
      </c>
      <c r="H61" s="30" t="inlineStr">
        <is>
          <t>Yes</t>
        </is>
      </c>
      <c r="I61" s="30" t="n">
        <v>21</v>
      </c>
      <c r="J61" s="30" t="n">
        <v>30</v>
      </c>
    </row>
    <row r="62">
      <c r="A62" s="30">
        <f>IF(B62=0,"",ROW()-1)</f>
        <v/>
      </c>
      <c r="B62" s="31">
        <f>IFERROR(INDEX('Monit Non Financial'!$B$2:$B$400, MATCH(C62, 'Monit Non Financial'!$C$2:$C$400, 0)), IFERROR(INDEX('Monit Banks NBFC'!$B$2:$B$100, MATCH(C62, 'Monit Banks NBFC'!$C$2:$C$100, 0)), 0))</f>
        <v/>
      </c>
      <c r="C62" s="30" t="inlineStr">
        <is>
          <t>JNKINDIA</t>
        </is>
      </c>
      <c r="D62" s="30" t="inlineStr">
        <is>
          <t>JNK India Ltd</t>
        </is>
      </c>
      <c r="E62" s="30" t="inlineStr">
        <is>
          <t>Capital Goods - Engineering Heavy</t>
        </is>
      </c>
      <c r="F62" s="30" t="n">
        <v>2</v>
      </c>
      <c r="G62" s="30" t="inlineStr">
        <is>
          <t>No</t>
        </is>
      </c>
      <c r="H62" s="30" t="inlineStr">
        <is>
          <t>Yes</t>
        </is>
      </c>
      <c r="I62" s="30" t="n">
        <v>27</v>
      </c>
      <c r="J62" s="30" t="n">
        <v>24</v>
      </c>
    </row>
    <row r="63">
      <c r="A63" s="30">
        <f>IF(B63=0,"",ROW()-1)</f>
        <v/>
      </c>
      <c r="B63" s="31">
        <f>IFERROR(INDEX('Monit Non Financial'!$B$2:$B$400, MATCH(C63, 'Monit Non Financial'!$C$2:$C$400, 0)), IFERROR(INDEX('Monit Banks NBFC'!$B$2:$B$100, MATCH(C63, 'Monit Banks NBFC'!$C$2:$C$100, 0)), 0))</f>
        <v/>
      </c>
      <c r="C63" s="30" t="inlineStr">
        <is>
          <t>PSPPROJECT</t>
        </is>
      </c>
      <c r="D63" s="30" t="inlineStr">
        <is>
          <t>PSP Projects Ltd</t>
        </is>
      </c>
      <c r="E63" s="30" t="inlineStr">
        <is>
          <t>Construction &amp; Contracting</t>
        </is>
      </c>
      <c r="F63" s="30" t="n">
        <v>2</v>
      </c>
      <c r="G63" s="30" t="inlineStr">
        <is>
          <t>No</t>
        </is>
      </c>
      <c r="H63" s="30" t="inlineStr">
        <is>
          <t>Yes</t>
        </is>
      </c>
      <c r="I63" s="30" t="n">
        <v>21</v>
      </c>
      <c r="J63" s="30" t="n">
        <v>13</v>
      </c>
    </row>
    <row r="64">
      <c r="A64" s="30">
        <f>IF(B64=0,"",ROW()-1)</f>
        <v/>
      </c>
      <c r="B64" s="31">
        <f>IFERROR(INDEX('Monit Non Financial'!$B$2:$B$400, MATCH(C64, 'Monit Non Financial'!$C$2:$C$400, 0)), IFERROR(INDEX('Monit Banks NBFC'!$B$2:$B$100, MATCH(C64, 'Monit Banks NBFC'!$C$2:$C$100, 0)), 0))</f>
        <v/>
      </c>
      <c r="C64" s="30" t="inlineStr">
        <is>
          <t>HONASA</t>
        </is>
      </c>
      <c r="D64" s="30" t="inlineStr">
        <is>
          <t>Honasa Consumer Ltd</t>
        </is>
      </c>
      <c r="E64" s="30" t="inlineStr">
        <is>
          <t>New age - Platform - E-Retail</t>
        </is>
      </c>
      <c r="F64" s="30" t="n">
        <v>2</v>
      </c>
      <c r="G64" s="30" t="inlineStr">
        <is>
          <t>No</t>
        </is>
      </c>
      <c r="H64" s="30" t="inlineStr">
        <is>
          <t>Yes</t>
        </is>
      </c>
      <c r="I64" s="30" t="n">
        <v>22</v>
      </c>
      <c r="J64" s="30" t="n">
        <v>30</v>
      </c>
    </row>
    <row r="65">
      <c r="A65" s="30">
        <f>IF(B65=0,"",ROW()-1)</f>
        <v/>
      </c>
      <c r="B65" s="31">
        <f>IFERROR(INDEX('Monit Non Financial'!$B$2:$B$400, MATCH(C65, 'Monit Non Financial'!$C$2:$C$400, 0)), IFERROR(INDEX('Monit Banks NBFC'!$B$2:$B$100, MATCH(C65, 'Monit Banks NBFC'!$C$2:$C$100, 0)), 0))</f>
        <v/>
      </c>
      <c r="C65" s="30" t="inlineStr">
        <is>
          <t>MINDACORP</t>
        </is>
      </c>
      <c r="D65" s="30" t="inlineStr">
        <is>
          <t>Minda Corporation Limited</t>
        </is>
      </c>
      <c r="E65" s="30" t="inlineStr">
        <is>
          <t>Auto Ancillaries - Diversified</t>
        </is>
      </c>
      <c r="F65" s="30" t="n">
        <v>2</v>
      </c>
      <c r="G65" s="30" t="inlineStr">
        <is>
          <t>No</t>
        </is>
      </c>
      <c r="H65" s="30" t="inlineStr">
        <is>
          <t>Yes</t>
        </is>
      </c>
      <c r="I65" s="30" t="n">
        <v>27</v>
      </c>
      <c r="J65" s="30" t="n">
        <v>13</v>
      </c>
    </row>
    <row r="66">
      <c r="A66" s="30">
        <f>IF(B66=0,"",ROW()-1)</f>
        <v/>
      </c>
      <c r="B66" s="31">
        <f>IFERROR(INDEX('Monit Non Financial'!$B$2:$B$400, MATCH(C66, 'Monit Non Financial'!$C$2:$C$400, 0)), IFERROR(INDEX('Monit Banks NBFC'!$B$2:$B$100, MATCH(C66, 'Monit Banks NBFC'!$C$2:$C$100, 0)), 0))</f>
        <v/>
      </c>
      <c r="C66" s="30" t="inlineStr">
        <is>
          <t>IDEAFORGE</t>
        </is>
      </c>
      <c r="D66" s="30" t="inlineStr">
        <is>
          <t>Ideaforge Technology Ltd</t>
        </is>
      </c>
      <c r="E66" s="30" t="inlineStr">
        <is>
          <t>Aerospace &amp; Defence - Equipments</t>
        </is>
      </c>
      <c r="F66" s="30" t="n">
        <v>2</v>
      </c>
      <c r="G66" s="30" t="inlineStr">
        <is>
          <t>52W Breakout</t>
        </is>
      </c>
      <c r="H66" s="30" t="inlineStr">
        <is>
          <t>Yes</t>
        </is>
      </c>
      <c r="I66" s="30" t="n">
        <v>19</v>
      </c>
      <c r="J66" s="30" t="n">
        <v>30</v>
      </c>
    </row>
    <row r="67">
      <c r="A67" s="30">
        <f>IF(B67=0,"",ROW()-1)</f>
        <v/>
      </c>
      <c r="B67" s="31">
        <f>IFERROR(INDEX('Monit Non Financial'!$B$2:$B$400, MATCH(C67, 'Monit Non Financial'!$C$2:$C$400, 0)), IFERROR(INDEX('Monit Banks NBFC'!$B$2:$B$100, MATCH(C67, 'Monit Banks NBFC'!$C$2:$C$100, 0)), 0))</f>
        <v/>
      </c>
      <c r="C67" s="30" t="inlineStr">
        <is>
          <t>LAURUSLABS</t>
        </is>
      </c>
      <c r="D67" s="30" t="inlineStr">
        <is>
          <t>Laurus Labs Limited</t>
        </is>
      </c>
      <c r="E67" s="30" t="inlineStr">
        <is>
          <t>Pharma - API &amp; CRAMS</t>
        </is>
      </c>
      <c r="F67" s="30" t="n">
        <v>2</v>
      </c>
      <c r="G67" s="30" t="inlineStr">
        <is>
          <t>52W Breakout</t>
        </is>
      </c>
      <c r="H67" s="30" t="inlineStr">
        <is>
          <t>Yes</t>
        </is>
      </c>
      <c r="I67" s="30" t="n">
        <v>14</v>
      </c>
      <c r="J67" s="30" t="n">
        <v>28</v>
      </c>
    </row>
    <row r="68">
      <c r="A68" s="30">
        <f>IF(B68=0,"",ROW()-1)</f>
        <v/>
      </c>
      <c r="B68" s="31">
        <f>IFERROR(INDEX('Monit Non Financial'!$B$2:$B$400, MATCH(C68, 'Monit Non Financial'!$C$2:$C$400, 0)), IFERROR(INDEX('Monit Banks NBFC'!$B$2:$B$100, MATCH(C68, 'Monit Banks NBFC'!$C$2:$C$100, 0)), 0))</f>
        <v/>
      </c>
      <c r="C68" s="30" t="inlineStr">
        <is>
          <t>RAIN</t>
        </is>
      </c>
      <c r="D68" s="30" t="inlineStr">
        <is>
          <t>Rain Industries Limited</t>
        </is>
      </c>
      <c r="E68" s="30" t="inlineStr">
        <is>
          <t>Cement</t>
        </is>
      </c>
      <c r="F68" s="30" t="n">
        <v>2</v>
      </c>
      <c r="G68" s="30" t="inlineStr">
        <is>
          <t>No</t>
        </is>
      </c>
      <c r="H68" s="30" t="inlineStr">
        <is>
          <t>Yes</t>
        </is>
      </c>
      <c r="I68" s="30" t="n">
        <v>22</v>
      </c>
      <c r="J68" s="30" t="n">
        <v>23</v>
      </c>
    </row>
    <row r="69">
      <c r="A69" s="30">
        <f>IF(B69=0,"",ROW()-1)</f>
        <v/>
      </c>
      <c r="B69" s="31">
        <f>IFERROR(INDEX('Monit Non Financial'!$B$2:$B$400, MATCH(C69, 'Monit Non Financial'!$C$2:$C$400, 0)), IFERROR(INDEX('Monit Banks NBFC'!$B$2:$B$100, MATCH(C69, 'Monit Banks NBFC'!$C$2:$C$100, 0)), 0))</f>
        <v/>
      </c>
      <c r="C69" s="30" t="inlineStr">
        <is>
          <t>PREMIERENE</t>
        </is>
      </c>
      <c r="D69" s="30" t="inlineStr">
        <is>
          <t>Premier Energies Ltd</t>
        </is>
      </c>
      <c r="E69" s="30" t="inlineStr">
        <is>
          <t>Capital Goods - Solar</t>
        </is>
      </c>
      <c r="F69" s="30" t="n">
        <v>2</v>
      </c>
      <c r="G69" s="30" t="inlineStr">
        <is>
          <t>No</t>
        </is>
      </c>
      <c r="H69" s="30" t="inlineStr">
        <is>
          <t>Yes</t>
        </is>
      </c>
      <c r="I69" s="30" t="n">
        <v>21</v>
      </c>
      <c r="J69" s="30" t="n">
        <v>21</v>
      </c>
    </row>
    <row r="70">
      <c r="A70" s="30">
        <f>IF(B70=0,"",ROW()-1)</f>
        <v/>
      </c>
      <c r="B70" s="31">
        <f>IFERROR(INDEX('Monit Non Financial'!$B$2:$B$400, MATCH(C70, 'Monit Non Financial'!$C$2:$C$400, 0)), IFERROR(INDEX('Monit Banks NBFC'!$B$2:$B$100, MATCH(C70, 'Monit Banks NBFC'!$C$2:$C$100, 0)), 0))</f>
        <v/>
      </c>
      <c r="C70" s="30" t="inlineStr">
        <is>
          <t>FCL</t>
        </is>
      </c>
      <c r="D70" s="30" t="inlineStr">
        <is>
          <t>Fineotex Chemical Limited</t>
        </is>
      </c>
      <c r="E70" s="30" t="inlineStr">
        <is>
          <t>Speciality Chemicals</t>
        </is>
      </c>
      <c r="F70" s="30" t="n">
        <v>2</v>
      </c>
      <c r="G70" s="30" t="inlineStr">
        <is>
          <t>No</t>
        </is>
      </c>
      <c r="H70" s="30" t="inlineStr">
        <is>
          <t>Yes</t>
        </is>
      </c>
      <c r="I70" s="30" t="n">
        <v>26</v>
      </c>
      <c r="J70" s="30" t="n">
        <v>17</v>
      </c>
    </row>
    <row r="71">
      <c r="A71" s="30">
        <f>IF(B71=0,"",ROW()-1)</f>
        <v/>
      </c>
      <c r="B71" s="31">
        <f>IFERROR(INDEX('Monit Non Financial'!$B$2:$B$400, MATCH(C71, 'Monit Non Financial'!$C$2:$C$400, 0)), IFERROR(INDEX('Monit Banks NBFC'!$B$2:$B$100, MATCH(C71, 'Monit Banks NBFC'!$C$2:$C$100, 0)), 0))</f>
        <v/>
      </c>
      <c r="C71" s="30" t="inlineStr">
        <is>
          <t>SANDHAR</t>
        </is>
      </c>
      <c r="D71" s="30" t="inlineStr">
        <is>
          <t>Sandhar Technologies Limited</t>
        </is>
      </c>
      <c r="E71" s="30" t="inlineStr">
        <is>
          <t>Auto Ancillaries - 2&amp;3 Wheelers</t>
        </is>
      </c>
      <c r="F71" s="30" t="n">
        <v>2</v>
      </c>
      <c r="G71" s="30" t="inlineStr">
        <is>
          <t>No</t>
        </is>
      </c>
      <c r="H71" s="30" t="inlineStr">
        <is>
          <t>Yes</t>
        </is>
      </c>
      <c r="I71" s="30" t="n">
        <v>23</v>
      </c>
      <c r="J71" s="30" t="n">
        <v>21</v>
      </c>
    </row>
    <row r="72">
      <c r="A72" s="30">
        <f>IF(B72=0,"",ROW()-1)</f>
        <v/>
      </c>
      <c r="B72" s="31">
        <f>IFERROR(INDEX('Monit Non Financial'!$B$2:$B$400, MATCH(C72, 'Monit Non Financial'!$C$2:$C$400, 0)), IFERROR(INDEX('Monit Banks NBFC'!$B$2:$B$100, MATCH(C72, 'Monit Banks NBFC'!$C$2:$C$100, 0)), 0))</f>
        <v/>
      </c>
      <c r="C72" s="30" t="inlineStr">
        <is>
          <t>APARINDS</t>
        </is>
      </c>
      <c r="D72" s="30" t="inlineStr">
        <is>
          <t>Apar Industries Limited</t>
        </is>
      </c>
      <c r="E72" s="30" t="inlineStr">
        <is>
          <t>Cables - Power</t>
        </is>
      </c>
      <c r="F72" s="30" t="n">
        <v>2</v>
      </c>
      <c r="G72" s="30" t="inlineStr">
        <is>
          <t>52W Breakout</t>
        </is>
      </c>
      <c r="H72" s="30" t="inlineStr">
        <is>
          <t>Yes</t>
        </is>
      </c>
      <c r="I72" s="30" t="n">
        <v>8</v>
      </c>
      <c r="J72" s="30" t="n">
        <v>29</v>
      </c>
    </row>
    <row r="73">
      <c r="A73" s="30">
        <f>IF(B73=0,"",ROW()-1)</f>
        <v/>
      </c>
      <c r="B73" s="31">
        <f>IFERROR(INDEX('Monit Non Financial'!$B$2:$B$400, MATCH(C73, 'Monit Non Financial'!$C$2:$C$400, 0)), IFERROR(INDEX('Monit Banks NBFC'!$B$2:$B$100, MATCH(C73, 'Monit Banks NBFC'!$C$2:$C$100, 0)), 0))</f>
        <v/>
      </c>
      <c r="C73" s="30" t="inlineStr">
        <is>
          <t>RUBYMILLS</t>
        </is>
      </c>
      <c r="D73" s="30" t="inlineStr">
        <is>
          <t>The Ruby Mills Limited</t>
        </is>
      </c>
      <c r="E73" s="30" t="inlineStr">
        <is>
          <t>Textiles - Composite Mills</t>
        </is>
      </c>
      <c r="F73" s="30" t="n">
        <v>2</v>
      </c>
      <c r="G73" s="30" t="inlineStr">
        <is>
          <t>52W Breakout</t>
        </is>
      </c>
      <c r="H73" s="30" t="inlineStr">
        <is>
          <t>Yes</t>
        </is>
      </c>
      <c r="I73" s="30" t="n">
        <v>15</v>
      </c>
      <c r="J73" s="30" t="n">
        <v>20</v>
      </c>
    </row>
    <row r="74">
      <c r="A74" s="30">
        <f>IF(B74=0,"",ROW()-1)</f>
        <v/>
      </c>
      <c r="B74" s="31">
        <f>IFERROR(INDEX('Monit Non Financial'!$B$2:$B$400, MATCH(C74, 'Monit Non Financial'!$C$2:$C$400, 0)), IFERROR(INDEX('Monit Banks NBFC'!$B$2:$B$100, MATCH(C74, 'Monit Banks NBFC'!$C$2:$C$100, 0)), 0))</f>
        <v/>
      </c>
      <c r="C74" s="30" t="inlineStr">
        <is>
          <t>INDNIPPON</t>
        </is>
      </c>
      <c r="D74" s="30" t="inlineStr">
        <is>
          <t>India Nippon Electricals Limited</t>
        </is>
      </c>
      <c r="E74" s="30" t="inlineStr">
        <is>
          <t>Auto Ancillaries - Engine Parts</t>
        </is>
      </c>
      <c r="F74" s="30" t="n">
        <v>2</v>
      </c>
      <c r="G74" s="30" t="inlineStr">
        <is>
          <t>No</t>
        </is>
      </c>
      <c r="H74" s="30" t="inlineStr">
        <is>
          <t>Yes</t>
        </is>
      </c>
      <c r="I74" s="30" t="n">
        <v>21</v>
      </c>
      <c r="J74" s="30" t="n">
        <v>8</v>
      </c>
    </row>
    <row r="75">
      <c r="A75" s="30">
        <f>IF(B75=0,"",ROW()-1)</f>
        <v/>
      </c>
      <c r="B75" s="31">
        <f>IFERROR(INDEX('Monit Non Financial'!$B$2:$B$400, MATCH(C75, 'Monit Non Financial'!$C$2:$C$400, 0)), IFERROR(INDEX('Monit Banks NBFC'!$B$2:$B$100, MATCH(C75, 'Monit Banks NBFC'!$C$2:$C$100, 0)), 0))</f>
        <v/>
      </c>
      <c r="C75" s="30" t="inlineStr">
        <is>
          <t>JAYBARMARU</t>
        </is>
      </c>
      <c r="D75" s="30" t="inlineStr">
        <is>
          <t>Jay Bharat Maruti Limited</t>
        </is>
      </c>
      <c r="E75" s="30" t="inlineStr">
        <is>
          <t>Auto Ancillaries - Diversified</t>
        </is>
      </c>
      <c r="F75" s="30" t="n">
        <v>2</v>
      </c>
      <c r="G75" s="30" t="inlineStr">
        <is>
          <t>No</t>
        </is>
      </c>
      <c r="H75" s="30" t="inlineStr">
        <is>
          <t>Yes</t>
        </is>
      </c>
      <c r="I75" s="30" t="n">
        <v>24</v>
      </c>
      <c r="J75" s="30" t="n">
        <v>17</v>
      </c>
    </row>
    <row r="76">
      <c r="A76" s="30">
        <f>IF(B76=0,"",ROW()-1)</f>
        <v/>
      </c>
      <c r="B76" s="31">
        <f>IFERROR(INDEX('Monit Non Financial'!$B$2:$B$400, MATCH(C76, 'Monit Non Financial'!$C$2:$C$400, 0)), IFERROR(INDEX('Monit Banks NBFC'!$B$2:$B$100, MATCH(C76, 'Monit Banks NBFC'!$C$2:$C$100, 0)), 0))</f>
        <v/>
      </c>
      <c r="C76" s="30" t="inlineStr">
        <is>
          <t>SOTL</t>
        </is>
      </c>
      <c r="D76" s="30" t="inlineStr">
        <is>
          <t>Savita Oil Technologies Limited</t>
        </is>
      </c>
      <c r="E76" s="30" t="inlineStr">
        <is>
          <t>Petrochem - Others</t>
        </is>
      </c>
      <c r="F76" s="30" t="n">
        <v>2</v>
      </c>
      <c r="G76" s="30" t="inlineStr">
        <is>
          <t>No</t>
        </is>
      </c>
      <c r="H76" s="30" t="inlineStr">
        <is>
          <t>Yes</t>
        </is>
      </c>
      <c r="I76" s="30" t="n">
        <v>27</v>
      </c>
      <c r="J76" s="30" t="n">
        <v>26</v>
      </c>
    </row>
    <row r="77">
      <c r="A77" s="30">
        <f>IF(B77=0,"",ROW()-1)</f>
        <v/>
      </c>
      <c r="B77" s="31">
        <f>IFERROR(INDEX('Monit Non Financial'!$B$2:$B$400, MATCH(C77, 'Monit Non Financial'!$C$2:$C$400, 0)), IFERROR(INDEX('Monit Banks NBFC'!$B$2:$B$100, MATCH(C77, 'Monit Banks NBFC'!$C$2:$C$100, 0)), 0))</f>
        <v/>
      </c>
      <c r="C77" s="30" t="inlineStr">
        <is>
          <t>V2RETAIL</t>
        </is>
      </c>
      <c r="D77" s="30" t="inlineStr">
        <is>
          <t>V2 Retail Limited</t>
        </is>
      </c>
      <c r="E77" s="30" t="inlineStr">
        <is>
          <t>Textiles - Readymade Apparel</t>
        </is>
      </c>
      <c r="F77" s="30" t="n">
        <v>2</v>
      </c>
      <c r="G77" s="30" t="inlineStr">
        <is>
          <t>No</t>
        </is>
      </c>
      <c r="H77" s="30" t="inlineStr">
        <is>
          <t>Yes</t>
        </is>
      </c>
      <c r="I77" s="30" t="n">
        <v>26</v>
      </c>
      <c r="J77" s="30" t="n">
        <v>25</v>
      </c>
    </row>
    <row r="78">
      <c r="A78" s="30">
        <f>IF(B78=0,"",ROW()-1)</f>
        <v/>
      </c>
      <c r="B78" s="31">
        <f>IFERROR(INDEX('Monit Non Financial'!$B$2:$B$400, MATCH(C78, 'Monit Non Financial'!$C$2:$C$400, 0)), IFERROR(INDEX('Monit Banks NBFC'!$B$2:$B$100, MATCH(C78, 'Monit Banks NBFC'!$C$2:$C$100, 0)), 0))</f>
        <v/>
      </c>
      <c r="C78" s="30" t="inlineStr">
        <is>
          <t>DIACABS</t>
        </is>
      </c>
      <c r="D78" s="30" t="inlineStr">
        <is>
          <t>Diamond Power Infrastructure Ltd</t>
        </is>
      </c>
      <c r="E78" s="30" t="inlineStr">
        <is>
          <t>Cables - Power</t>
        </is>
      </c>
      <c r="F78" s="30" t="n">
        <v>2</v>
      </c>
      <c r="G78" s="30" t="inlineStr">
        <is>
          <t>No</t>
        </is>
      </c>
      <c r="H78" s="30" t="inlineStr">
        <is>
          <t>Yes</t>
        </is>
      </c>
      <c r="I78" s="30" t="n">
        <v>24</v>
      </c>
      <c r="J78" s="30" t="n">
        <v>29</v>
      </c>
    </row>
    <row r="79">
      <c r="A79" s="30">
        <f>IF(B79=0,"",ROW()-1)</f>
        <v/>
      </c>
      <c r="B79" s="31">
        <f>IFERROR(INDEX('Monit Non Financial'!$B$2:$B$400, MATCH(C79, 'Monit Non Financial'!$C$2:$C$400, 0)), IFERROR(INDEX('Monit Banks NBFC'!$B$2:$B$100, MATCH(C79, 'Monit Banks NBFC'!$C$2:$C$100, 0)), 0))</f>
        <v/>
      </c>
      <c r="C79" s="30" t="inlineStr">
        <is>
          <t>KINGFA</t>
        </is>
      </c>
      <c r="D79" s="30" t="inlineStr">
        <is>
          <t>Kingfa Science &amp; Technology (india) Limited</t>
        </is>
      </c>
      <c r="E79" s="30" t="inlineStr">
        <is>
          <t>Plastics - Plastic &amp; Plastic Products</t>
        </is>
      </c>
      <c r="F79" s="30" t="n">
        <v>2</v>
      </c>
      <c r="G79" s="30" t="inlineStr">
        <is>
          <t>No</t>
        </is>
      </c>
      <c r="H79" s="30" t="inlineStr">
        <is>
          <t>Yes</t>
        </is>
      </c>
      <c r="I79" s="30" t="n">
        <v>20</v>
      </c>
      <c r="J79" s="30" t="n">
        <v>30</v>
      </c>
    </row>
    <row r="80">
      <c r="A80" s="30">
        <f>IF(B80=0,"",ROW()-1)</f>
        <v/>
      </c>
      <c r="B80" s="31">
        <f>IFERROR(INDEX('Monit Non Financial'!$B$2:$B$400, MATCH(C80, 'Monit Non Financial'!$C$2:$C$400, 0)), IFERROR(INDEX('Monit Banks NBFC'!$B$2:$B$100, MATCH(C80, 'Monit Banks NBFC'!$C$2:$C$100, 0)), 0))</f>
        <v/>
      </c>
      <c r="C80" s="30" t="inlineStr">
        <is>
          <t>CEIGALL</t>
        </is>
      </c>
      <c r="D80" s="30" t="inlineStr">
        <is>
          <t>Ceigall India Ltd</t>
        </is>
      </c>
      <c r="E80" s="30" t="inlineStr">
        <is>
          <t>Construction - Civil/Turnkey</t>
        </is>
      </c>
      <c r="F80" s="30" t="n">
        <v>2</v>
      </c>
      <c r="G80" s="30" t="inlineStr">
        <is>
          <t>No</t>
        </is>
      </c>
      <c r="H80" s="30" t="inlineStr">
        <is>
          <t>Yes</t>
        </is>
      </c>
      <c r="I80" s="30" t="n">
        <v>20</v>
      </c>
      <c r="J80" s="30" t="n">
        <v>24</v>
      </c>
    </row>
    <row r="81">
      <c r="A81" s="30">
        <f>IF(B81=0,"",ROW()-1)</f>
        <v/>
      </c>
      <c r="B81" s="31">
        <f>IFERROR(INDEX('Monit Non Financial'!$B$2:$B$400, MATCH(C81, 'Monit Non Financial'!$C$2:$C$400, 0)), IFERROR(INDEX('Monit Banks NBFC'!$B$2:$B$100, MATCH(C81, 'Monit Banks NBFC'!$C$2:$C$100, 0)), 0))</f>
        <v/>
      </c>
      <c r="C81" s="30" t="inlineStr">
        <is>
          <t>ANTELOPUS</t>
        </is>
      </c>
      <c r="D81" s="30" t="inlineStr">
        <is>
          <t>Antelopus Selan Energy Ltd</t>
        </is>
      </c>
      <c r="E81" s="30" t="inlineStr">
        <is>
          <t>Oil Drilling &amp; Exploration</t>
        </is>
      </c>
      <c r="F81" s="30" t="n">
        <v>2</v>
      </c>
      <c r="G81" s="30" t="inlineStr">
        <is>
          <t>No</t>
        </is>
      </c>
      <c r="H81" s="30" t="inlineStr">
        <is>
          <t>Yes</t>
        </is>
      </c>
      <c r="I81" s="30" t="n">
        <v>22</v>
      </c>
      <c r="J81" s="30" t="n">
        <v>28</v>
      </c>
    </row>
    <row r="82">
      <c r="A82" s="30">
        <f>IF(B82=0,"",ROW()-1)</f>
        <v/>
      </c>
      <c r="B82" s="31">
        <f>IFERROR(INDEX('Monit Non Financial'!$B$2:$B$400, MATCH(C82, 'Monit Non Financial'!$C$2:$C$400, 0)), IFERROR(INDEX('Monit Banks NBFC'!$B$2:$B$100, MATCH(C82, 'Monit Banks NBFC'!$C$2:$C$100, 0)), 0))</f>
        <v/>
      </c>
      <c r="C82" s="30" t="inlineStr">
        <is>
          <t>SHYAMMETL</t>
        </is>
      </c>
      <c r="D82" s="30" t="inlineStr">
        <is>
          <t>Shyam Metalics &amp; Energy Ltd</t>
        </is>
      </c>
      <c r="E82" s="30" t="inlineStr">
        <is>
          <t>Steel Products</t>
        </is>
      </c>
      <c r="F82" s="30" t="n">
        <v>2</v>
      </c>
      <c r="G82" s="30" t="inlineStr">
        <is>
          <t>No</t>
        </is>
      </c>
      <c r="H82" s="30" t="inlineStr">
        <is>
          <t>Yes</t>
        </is>
      </c>
      <c r="I82" s="30" t="n">
        <v>23</v>
      </c>
      <c r="J82" s="30" t="n">
        <v>26</v>
      </c>
    </row>
    <row r="83">
      <c r="A83" s="30">
        <f>IF(B83=0,"",ROW()-1)</f>
        <v/>
      </c>
      <c r="B83" s="31">
        <f>IFERROR(INDEX('Monit Non Financial'!$B$2:$B$400, MATCH(C83, 'Monit Non Financial'!$C$2:$C$400, 0)), IFERROR(INDEX('Monit Banks NBFC'!$B$2:$B$100, MATCH(C83, 'Monit Banks NBFC'!$C$2:$C$100, 0)), 0))</f>
        <v/>
      </c>
      <c r="C83" s="30" t="inlineStr">
        <is>
          <t>VADILALIND</t>
        </is>
      </c>
      <c r="D83" s="30" t="inlineStr">
        <is>
          <t>Vadilal Industries Limited</t>
        </is>
      </c>
      <c r="E83" s="30" t="inlineStr">
        <is>
          <t>FMCG - Dairy Products</t>
        </is>
      </c>
      <c r="F83" s="30" t="n">
        <v>2</v>
      </c>
      <c r="G83" s="30" t="inlineStr">
        <is>
          <t>No</t>
        </is>
      </c>
      <c r="H83" s="30" t="inlineStr">
        <is>
          <t>Yes</t>
        </is>
      </c>
      <c r="I83" s="30" t="n">
        <v>23</v>
      </c>
      <c r="J83" s="30" t="n">
        <v>5</v>
      </c>
    </row>
    <row r="84">
      <c r="A84" s="30">
        <f>IF(B84=0,"",ROW()-1)</f>
        <v/>
      </c>
      <c r="B84" s="31">
        <f>IFERROR(INDEX('Monit Non Financial'!$B$2:$B$400, MATCH(C84, 'Monit Non Financial'!$C$2:$C$400, 0)), IFERROR(INDEX('Monit Banks NBFC'!$B$2:$B$100, MATCH(C84, 'Monit Banks NBFC'!$C$2:$C$100, 0)), 0))</f>
        <v/>
      </c>
      <c r="C84" s="30" t="inlineStr">
        <is>
          <t>NSLNISP</t>
        </is>
      </c>
      <c r="D84" s="30" t="inlineStr">
        <is>
          <t>NMDC Steel Ltd</t>
        </is>
      </c>
      <c r="E84" s="30" t="inlineStr">
        <is>
          <t>Steel</t>
        </is>
      </c>
      <c r="F84" s="30" t="n">
        <v>2</v>
      </c>
      <c r="G84" s="30" t="inlineStr">
        <is>
          <t>No</t>
        </is>
      </c>
      <c r="H84" s="30" t="inlineStr">
        <is>
          <t>Yes</t>
        </is>
      </c>
      <c r="I84" s="30" t="n">
        <v>23</v>
      </c>
      <c r="J84" s="30" t="n">
        <v>26</v>
      </c>
    </row>
    <row r="85">
      <c r="A85" s="30">
        <f>IF(B85=0,"",ROW()-1)</f>
        <v/>
      </c>
      <c r="B85" s="31">
        <f>IFERROR(INDEX('Monit Non Financial'!$B$2:$B$400, MATCH(C85, 'Monit Non Financial'!$C$2:$C$400, 0)), IFERROR(INDEX('Monit Banks NBFC'!$B$2:$B$100, MATCH(C85, 'Monit Banks NBFC'!$C$2:$C$100, 0)), 0))</f>
        <v/>
      </c>
      <c r="C85" s="30" t="inlineStr">
        <is>
          <t>AEROFLEX</t>
        </is>
      </c>
      <c r="D85" s="30" t="inlineStr">
        <is>
          <t>Aeroflex Industries Ltd</t>
        </is>
      </c>
      <c r="E85" s="30" t="inlineStr">
        <is>
          <t>Stainless Steel</t>
        </is>
      </c>
      <c r="F85" s="30" t="n">
        <v>2</v>
      </c>
      <c r="G85" s="30" t="inlineStr">
        <is>
          <t>No</t>
        </is>
      </c>
      <c r="H85" s="30" t="inlineStr">
        <is>
          <t>Yes</t>
        </is>
      </c>
      <c r="I85" s="30" t="n">
        <v>20</v>
      </c>
      <c r="J85" s="30" t="n">
        <v>27</v>
      </c>
    </row>
    <row r="86">
      <c r="A86" s="30">
        <f>IF(B86=0,"",ROW()-1)</f>
        <v/>
      </c>
      <c r="B86" s="31">
        <f>IFERROR(INDEX('Monit Non Financial'!$B$2:$B$400, MATCH(C86, 'Monit Non Financial'!$C$2:$C$400, 0)), IFERROR(INDEX('Monit Banks NBFC'!$B$2:$B$100, MATCH(C86, 'Monit Banks NBFC'!$C$2:$C$100, 0)), 0))</f>
        <v/>
      </c>
      <c r="C86" s="30" t="inlineStr">
        <is>
          <t>ADANIENSOL</t>
        </is>
      </c>
      <c r="D86" s="30" t="inlineStr">
        <is>
          <t>Adani Energy Solutions Ltd</t>
        </is>
      </c>
      <c r="E86" s="30" t="inlineStr">
        <is>
          <t>Power - Transmission/Equipment</t>
        </is>
      </c>
      <c r="F86" s="30" t="n">
        <v>2</v>
      </c>
      <c r="G86" s="30" t="inlineStr">
        <is>
          <t>52W Breakout</t>
        </is>
      </c>
      <c r="H86" s="30" t="inlineStr">
        <is>
          <t>Yes</t>
        </is>
      </c>
      <c r="I86" s="30" t="n">
        <v>13</v>
      </c>
      <c r="J86" s="30" t="n">
        <v>28</v>
      </c>
    </row>
    <row r="87">
      <c r="A87" s="30">
        <f>IF(B87=0,"",ROW()-1)</f>
        <v/>
      </c>
      <c r="B87" s="31">
        <f>IFERROR(INDEX('Monit Non Financial'!$B$2:$B$400, MATCH(C87, 'Monit Non Financial'!$C$2:$C$400, 0)), IFERROR(INDEX('Monit Banks NBFC'!$B$2:$B$100, MATCH(C87, 'Monit Banks NBFC'!$C$2:$C$100, 0)), 0))</f>
        <v/>
      </c>
      <c r="C87" s="30" t="inlineStr">
        <is>
          <t>PTCIL</t>
        </is>
      </c>
      <c r="D87" s="30" t="inlineStr">
        <is>
          <t>PTC Industries Ltd</t>
        </is>
      </c>
      <c r="E87" s="30" t="inlineStr">
        <is>
          <t>Castings - Steel/Alloy</t>
        </is>
      </c>
      <c r="F87" s="30" t="n">
        <v>2</v>
      </c>
      <c r="G87" s="30" t="inlineStr">
        <is>
          <t>No</t>
        </is>
      </c>
      <c r="H87" s="30" t="inlineStr">
        <is>
          <t>Yes</t>
        </is>
      </c>
      <c r="I87" s="30" t="n">
        <v>24</v>
      </c>
      <c r="J87" s="30" t="n">
        <v>11</v>
      </c>
    </row>
    <row r="88">
      <c r="A88" s="30">
        <f>IF(B88=0,"",ROW()-1)</f>
        <v/>
      </c>
      <c r="B88" s="31">
        <f>IFERROR(INDEX('Monit Non Financial'!$B$2:$B$400, MATCH(C88, 'Monit Non Financial'!$C$2:$C$400, 0)), IFERROR(INDEX('Monit Banks NBFC'!$B$2:$B$100, MATCH(C88, 'Monit Banks NBFC'!$C$2:$C$100, 0)), 0))</f>
        <v/>
      </c>
      <c r="C88" s="30" t="inlineStr">
        <is>
          <t>DEEDEV</t>
        </is>
      </c>
      <c r="D88" s="30" t="inlineStr">
        <is>
          <t>DEE Development Engineers Ltd</t>
        </is>
      </c>
      <c r="E88" s="30" t="inlineStr">
        <is>
          <t>Steel - Tubes/Pipes</t>
        </is>
      </c>
      <c r="F88" s="30" t="n">
        <v>2</v>
      </c>
      <c r="G88" s="30" t="inlineStr">
        <is>
          <t>52W Breakout</t>
        </is>
      </c>
      <c r="H88" s="30" t="inlineStr">
        <is>
          <t>Yes</t>
        </is>
      </c>
      <c r="I88" s="30" t="n">
        <v>14</v>
      </c>
      <c r="J88" s="30" t="n">
        <v>30</v>
      </c>
    </row>
    <row r="89">
      <c r="A89" s="30">
        <f>IF(B89=0,"",ROW()-1)</f>
        <v/>
      </c>
      <c r="B89" s="31">
        <f>IFERROR(INDEX('Monit Non Financial'!$B$2:$B$400, MATCH(C89, 'Monit Non Financial'!$C$2:$C$400, 0)), IFERROR(INDEX('Monit Banks NBFC'!$B$2:$B$100, MATCH(C89, 'Monit Banks NBFC'!$C$2:$C$100, 0)), 0))</f>
        <v/>
      </c>
      <c r="C89" s="30" t="inlineStr">
        <is>
          <t>ASIANENE</t>
        </is>
      </c>
      <c r="D89" s="30" t="inlineStr">
        <is>
          <t>Asian Energy Services Ltd</t>
        </is>
      </c>
      <c r="E89" s="30" t="inlineStr">
        <is>
          <t>unknown</t>
        </is>
      </c>
      <c r="F89" s="30" t="n">
        <v>2</v>
      </c>
      <c r="G89" s="30" t="inlineStr">
        <is>
          <t>No</t>
        </is>
      </c>
      <c r="H89" s="30" t="inlineStr">
        <is>
          <t>Yes</t>
        </is>
      </c>
      <c r="I89" s="30" t="n">
        <v>0</v>
      </c>
      <c r="J89" s="30" t="n">
        <v>22</v>
      </c>
    </row>
    <row r="90">
      <c r="A90" s="30">
        <f>IF(B90=0,"",ROW()-1)</f>
        <v/>
      </c>
      <c r="B90" s="31">
        <f>IFERROR(INDEX('Monit Non Financial'!$B$2:$B$400, MATCH(C90, 'Monit Non Financial'!$C$2:$C$400, 0)), IFERROR(INDEX('Monit Banks NBFC'!$B$2:$B$100, MATCH(C90, 'Monit Banks NBFC'!$C$2:$C$100, 0)), 0))</f>
        <v/>
      </c>
      <c r="C90" s="30" t="inlineStr">
        <is>
          <t>ACMESOLAR</t>
        </is>
      </c>
      <c r="D90" s="30" t="inlineStr">
        <is>
          <t>ACME Solar Holdings Ltd</t>
        </is>
      </c>
      <c r="E90" s="30" t="inlineStr">
        <is>
          <t>Engineering - Turnkey Services</t>
        </is>
      </c>
      <c r="F90" s="30" t="n">
        <v>2</v>
      </c>
      <c r="G90" s="30" t="inlineStr">
        <is>
          <t>52W Breakout</t>
        </is>
      </c>
      <c r="H90" s="30" t="inlineStr">
        <is>
          <t>Yes</t>
        </is>
      </c>
      <c r="I90" s="30" t="n">
        <v>16</v>
      </c>
      <c r="J90" s="30" t="n">
        <v>19</v>
      </c>
    </row>
    <row r="91">
      <c r="A91" s="30">
        <f>IF(B91=0,"",ROW()-1)</f>
        <v/>
      </c>
      <c r="B91" s="31">
        <f>IFERROR(INDEX('Monit Non Financial'!$B$2:$B$400, MATCH(C91, 'Monit Non Financial'!$C$2:$C$400, 0)), IFERROR(INDEX('Monit Banks NBFC'!$B$2:$B$100, MATCH(C91, 'Monit Banks NBFC'!$C$2:$C$100, 0)), 0))</f>
        <v/>
      </c>
      <c r="C91" s="30" t="inlineStr">
        <is>
          <t>SKYGOLD</t>
        </is>
      </c>
      <c r="D91" s="30" t="inlineStr">
        <is>
          <t>Sky Gold Ltd</t>
        </is>
      </c>
      <c r="E91" s="30" t="inlineStr">
        <is>
          <t>Diamond, Gems &amp; Jewellery</t>
        </is>
      </c>
      <c r="F91" s="30" t="n">
        <v>2</v>
      </c>
      <c r="G91" s="30" t="inlineStr">
        <is>
          <t>No</t>
        </is>
      </c>
      <c r="H91" s="30" t="inlineStr">
        <is>
          <t>Yes</t>
        </is>
      </c>
      <c r="I91" s="30" t="n">
        <v>22</v>
      </c>
      <c r="J91" s="30" t="n">
        <v>26</v>
      </c>
    </row>
    <row r="92">
      <c r="A92" s="30">
        <f>IF(B92=0,"",ROW()-1)</f>
        <v/>
      </c>
      <c r="B92" s="31">
        <f>IFERROR(INDEX('Monit Non Financial'!$B$2:$B$400, MATCH(C92, 'Monit Non Financial'!$C$2:$C$400, 0)), IFERROR(INDEX('Monit Banks NBFC'!$B$2:$B$100, MATCH(C92, 'Monit Banks NBFC'!$C$2:$C$100, 0)), 0))</f>
        <v/>
      </c>
      <c r="C92" s="30" t="inlineStr">
        <is>
          <t>LLOYDSME</t>
        </is>
      </c>
      <c r="D92" s="30" t="inlineStr">
        <is>
          <t>Lloyds Metals &amp; Energy Ltd</t>
        </is>
      </c>
      <c r="E92" s="30" t="inlineStr">
        <is>
          <t>Mining/Minerals - Iron Ore</t>
        </is>
      </c>
      <c r="F92" s="30" t="n">
        <v>2</v>
      </c>
      <c r="G92" s="30" t="inlineStr">
        <is>
          <t>No</t>
        </is>
      </c>
      <c r="H92" s="30" t="inlineStr">
        <is>
          <t>Yes</t>
        </is>
      </c>
      <c r="I92" s="30" t="n">
        <v>21</v>
      </c>
      <c r="J92" s="30" t="n">
        <v>28</v>
      </c>
    </row>
    <row r="93">
      <c r="A93" s="30">
        <f>IF(B93=0,"",ROW()-1)</f>
        <v/>
      </c>
      <c r="B93" s="31">
        <f>IFERROR(INDEX('Monit Non Financial'!$B$2:$B$400, MATCH(C93, 'Monit Non Financial'!$C$2:$C$400, 0)), IFERROR(INDEX('Monit Banks NBFC'!$B$2:$B$100, MATCH(C93, 'Monit Banks NBFC'!$C$2:$C$100, 0)), 0))</f>
        <v/>
      </c>
      <c r="C93" s="30" t="inlineStr">
        <is>
          <t>PANAMAPET</t>
        </is>
      </c>
      <c r="D93" s="30" t="inlineStr">
        <is>
          <t>Panama Petrochem Limited</t>
        </is>
      </c>
      <c r="E93" s="30" t="inlineStr">
        <is>
          <t>Speciality Chemicals</t>
        </is>
      </c>
      <c r="F93" s="30" t="n">
        <v>2</v>
      </c>
      <c r="G93" s="30" t="inlineStr">
        <is>
          <t>No</t>
        </is>
      </c>
      <c r="H93" s="30" t="inlineStr">
        <is>
          <t>Yes</t>
        </is>
      </c>
      <c r="I93" s="30" t="n">
        <v>19</v>
      </c>
      <c r="J93" s="30" t="n">
        <v>12</v>
      </c>
    </row>
  </sheetData>
  <autoFilter ref="A1:J93"/>
  <conditionalFormatting sqref="F2:F9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2026-06-05T13:30:44Z</dcterms:created>
  <dcterms:modified xmlns:dcterms="http://purl.org/dc/terms/" xmlns:xsi="http://www.w3.org/2001/XMLSchema-instance" xsi:type="dcterms:W3CDTF">2026-06-05T13:31:30Z</dcterms:modified>
</cp:coreProperties>
</file>