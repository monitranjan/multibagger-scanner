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Universe'!$A$1:$J$457</definedName>
    <definedName name="_xlnm._FilterDatabase" localSheetId="3" hidden="1">'Confluence Overlap'!$A$1:$K$92</definedName>
    <definedName name="_xlnm._FilterDatabase" localSheetId="4" hidden="1">'Monit Non Financial'!$A$1:$CE$405</definedName>
    <definedName name="_xlnm._FilterDatabase" localSheetId="5" hidden="1">'Monit Banks NBFC'!$A$1:$CA$53</definedName>
    <definedName name="_xlnm._FilterDatabase" localSheetId="6" hidden="1">'Scanner Non Financial'!$A$1:$CJ$19</definedName>
    <definedName name="_xlnm._FilterDatabase" localSheetId="7" hidden="1">'Scanner Banks NBFC'!$A$1:$CF$5</definedName>
    <definedName name="_xlnm._FilterDatabase" localSheetId="8" hidden="1">'Scan Match Non Financial'!$A$1:$CG$91</definedName>
    <definedName name="_xlnm._FilterDatabase" localSheetId="9" hidden="1">'Scan Match Banks NBFC'!$A$1:$CC$11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06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25" customWidth="1" min="3" max="3"/>
    <col width="37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2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564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79</v>
      </c>
      <c r="G6" s="19" t="n">
        <v>47168.41</v>
      </c>
      <c r="H6" s="18" t="inlineStr">
        <is>
          <t>Potential Leader</t>
        </is>
      </c>
      <c r="J6" s="18" t="inlineStr">
        <is>
          <t>metals &amp; mining</t>
        </is>
      </c>
      <c r="K6" s="16" t="n">
        <v>113</v>
      </c>
      <c r="L6" s="16" t="n">
        <v>50</v>
      </c>
      <c r="M6" s="20" t="inlineStr">
        <is>
          <t>126.0%</t>
        </is>
      </c>
    </row>
    <row r="7">
      <c r="A7" s="16" t="n">
        <v>2</v>
      </c>
      <c r="B7" s="17" t="n">
        <v>456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61</v>
      </c>
      <c r="G7" s="19" t="n">
        <v>2899.68</v>
      </c>
      <c r="H7" s="18" t="inlineStr">
        <is>
          <t>Potential Leader</t>
        </is>
      </c>
      <c r="J7" s="18" t="inlineStr">
        <is>
          <t>aerospace &amp; defence</t>
        </is>
      </c>
      <c r="K7" s="16" t="n">
        <v>44</v>
      </c>
      <c r="L7" s="16" t="n">
        <v>20</v>
      </c>
      <c r="M7" s="20" t="inlineStr">
        <is>
          <t>120.0%</t>
        </is>
      </c>
    </row>
    <row r="8">
      <c r="A8" s="16" t="n">
        <v>3</v>
      </c>
      <c r="B8" s="17" t="n">
        <v>450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60</v>
      </c>
      <c r="G8" s="19" t="n">
        <v>99135.8</v>
      </c>
      <c r="H8" s="18" t="inlineStr">
        <is>
          <t>Potential Leader</t>
        </is>
      </c>
      <c r="J8" s="18" t="inlineStr">
        <is>
          <t>i.t</t>
        </is>
      </c>
      <c r="K8" s="16" t="n">
        <v>121</v>
      </c>
      <c r="L8" s="16" t="n">
        <v>65</v>
      </c>
      <c r="M8" s="20" t="inlineStr">
        <is>
          <t>86.2%</t>
        </is>
      </c>
    </row>
    <row r="9">
      <c r="A9" s="16" t="n">
        <v>4</v>
      </c>
      <c r="B9" s="17" t="n">
        <v>384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49</v>
      </c>
      <c r="G9" s="19" t="n">
        <v>5010.7</v>
      </c>
      <c r="H9" s="18" t="inlineStr">
        <is>
          <t>Potential Leader</t>
        </is>
      </c>
      <c r="J9" s="18" t="inlineStr">
        <is>
          <t>energy</t>
        </is>
      </c>
      <c r="K9" s="16" t="n">
        <v>60</v>
      </c>
      <c r="L9" s="16" t="n">
        <v>34</v>
      </c>
      <c r="M9" s="20" t="inlineStr">
        <is>
          <t>76.5%</t>
        </is>
      </c>
    </row>
    <row r="10">
      <c r="A10" s="16" t="n">
        <v>5</v>
      </c>
      <c r="B10" s="17" t="n">
        <v>378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48</v>
      </c>
      <c r="G10" s="19" t="n">
        <v>33900.24</v>
      </c>
      <c r="H10" s="18" t="inlineStr">
        <is>
          <t>Potential Leader</t>
        </is>
      </c>
      <c r="J10" s="18" t="inlineStr">
        <is>
          <t>auto</t>
        </is>
      </c>
      <c r="K10" s="16" t="n">
        <v>222</v>
      </c>
      <c r="L10" s="16" t="n">
        <v>136</v>
      </c>
      <c r="M10" s="20" t="inlineStr">
        <is>
          <t>63.2%</t>
        </is>
      </c>
    </row>
    <row r="11">
      <c r="A11" s="16" t="n">
        <v>6</v>
      </c>
      <c r="B11" s="17" t="n">
        <v>360</v>
      </c>
      <c r="C11" s="17" t="inlineStr">
        <is>
          <t>HESTERBIO</t>
        </is>
      </c>
      <c r="D11" s="18" t="inlineStr">
        <is>
          <t>Hester Biosciences Limited</t>
        </is>
      </c>
      <c r="E11" s="18" t="inlineStr">
        <is>
          <t>healthcare</t>
        </is>
      </c>
      <c r="F11" s="16" t="n">
        <v>45</v>
      </c>
      <c r="G11" s="19" t="n">
        <v>2069.98</v>
      </c>
      <c r="H11" s="18" t="inlineStr">
        <is>
          <t>Potential Leader</t>
        </is>
      </c>
      <c r="J11" s="18" t="inlineStr">
        <is>
          <t>miscellaneous</t>
        </is>
      </c>
      <c r="K11" s="16" t="n">
        <v>59</v>
      </c>
      <c r="L11" s="16" t="n">
        <v>39</v>
      </c>
      <c r="M11" s="20" t="inlineStr">
        <is>
          <t>51.3%</t>
        </is>
      </c>
    </row>
    <row r="12">
      <c r="A12" s="16" t="n">
        <v>7</v>
      </c>
      <c r="B12" s="17" t="n">
        <v>348</v>
      </c>
      <c r="C12" s="17" t="inlineStr">
        <is>
          <t>SPECTRUM</t>
        </is>
      </c>
      <c r="D12" s="18" t="inlineStr">
        <is>
          <t>Spectrum Electrical Industries Ltd</t>
        </is>
      </c>
      <c r="E12" s="18" t="inlineStr">
        <is>
          <t>industrials</t>
        </is>
      </c>
      <c r="F12" s="16" t="n">
        <v>43</v>
      </c>
      <c r="G12" s="19" t="n">
        <v>3950.77</v>
      </c>
      <c r="H12" s="18" t="inlineStr">
        <is>
          <t>Potential Leader</t>
        </is>
      </c>
      <c r="J12" s="18" t="inlineStr">
        <is>
          <t>fmcg</t>
        </is>
      </c>
      <c r="K12" s="16" t="n">
        <v>116</v>
      </c>
      <c r="L12" s="16" t="n">
        <v>79</v>
      </c>
      <c r="M12" s="20" t="inlineStr">
        <is>
          <t>46.8%</t>
        </is>
      </c>
    </row>
    <row r="13">
      <c r="A13" s="16" t="n">
        <v>8</v>
      </c>
      <c r="B13" s="17" t="n">
        <v>318</v>
      </c>
      <c r="C13" s="17" t="inlineStr">
        <is>
          <t>VADILALIND</t>
        </is>
      </c>
      <c r="D13" s="18" t="inlineStr">
        <is>
          <t>Vadilal Industries Limited</t>
        </is>
      </c>
      <c r="E13" s="18" t="inlineStr">
        <is>
          <t>fmcg</t>
        </is>
      </c>
      <c r="F13" s="16" t="n">
        <v>38</v>
      </c>
      <c r="G13" s="19" t="n">
        <v>5147.92</v>
      </c>
      <c r="H13" s="18" t="inlineStr">
        <is>
          <t>Potential Leader</t>
        </is>
      </c>
      <c r="J13" s="18" t="inlineStr">
        <is>
          <t>realty</t>
        </is>
      </c>
      <c r="K13" s="16" t="n">
        <v>60</v>
      </c>
      <c r="L13" s="16" t="n">
        <v>41</v>
      </c>
      <c r="M13" s="20" t="inlineStr">
        <is>
          <t>46.3%</t>
        </is>
      </c>
    </row>
    <row r="14">
      <c r="A14" s="16" t="n">
        <v>9</v>
      </c>
      <c r="B14" s="17" t="n">
        <v>312</v>
      </c>
      <c r="C14" s="17" t="inlineStr">
        <is>
          <t>FEDERALBNK</t>
        </is>
      </c>
      <c r="D14" s="18" t="inlineStr">
        <is>
          <t>The Federal Bank  Limited</t>
        </is>
      </c>
      <c r="E14" s="18" t="inlineStr">
        <is>
          <t>bank</t>
        </is>
      </c>
      <c r="F14" s="16" t="n">
        <v>37</v>
      </c>
      <c r="G14" s="19" t="n">
        <v>87973.25</v>
      </c>
      <c r="H14" s="18" t="inlineStr">
        <is>
          <t>Potential Leader</t>
        </is>
      </c>
      <c r="J14" s="18" t="inlineStr">
        <is>
          <t>media</t>
        </is>
      </c>
      <c r="K14" s="16" t="n">
        <v>20</v>
      </c>
      <c r="L14" s="16" t="n">
        <v>14</v>
      </c>
      <c r="M14" s="20" t="inlineStr">
        <is>
          <t>42.9%</t>
        </is>
      </c>
    </row>
    <row r="15">
      <c r="A15" s="16" t="n">
        <v>10</v>
      </c>
      <c r="B15" s="17" t="n">
        <v>300</v>
      </c>
      <c r="C15" s="17" t="inlineStr">
        <is>
          <t>HITECHCORP</t>
        </is>
      </c>
      <c r="D15" s="18" t="inlineStr">
        <is>
          <t>Hitech Corporation</t>
        </is>
      </c>
      <c r="E15" s="18" t="inlineStr">
        <is>
          <t>industrials</t>
        </is>
      </c>
      <c r="F15" s="16" t="n">
        <v>35</v>
      </c>
      <c r="G15" s="19" t="n">
        <v>549.97</v>
      </c>
      <c r="H15" s="18" t="inlineStr">
        <is>
          <t>Potential Leader</t>
        </is>
      </c>
      <c r="J15" s="18" t="inlineStr">
        <is>
          <t>industrials</t>
        </is>
      </c>
      <c r="K15" s="16" t="n">
        <v>237</v>
      </c>
      <c r="L15" s="16" t="n">
        <v>170</v>
      </c>
      <c r="M15" s="20" t="inlineStr">
        <is>
          <t>39.4%</t>
        </is>
      </c>
    </row>
    <row r="16">
      <c r="A16" s="16" t="n">
        <v>11</v>
      </c>
      <c r="B16" s="17" t="n">
        <v>270</v>
      </c>
      <c r="C16" s="17" t="inlineStr">
        <is>
          <t>SSWL</t>
        </is>
      </c>
      <c r="D16" s="18" t="inlineStr">
        <is>
          <t>Steel Strips Wheels Limited</t>
        </is>
      </c>
      <c r="E16" s="18" t="inlineStr">
        <is>
          <t>auto</t>
        </is>
      </c>
      <c r="F16" s="16" t="n">
        <v>30</v>
      </c>
      <c r="G16" s="19" t="n">
        <v>5028.99</v>
      </c>
      <c r="H16" s="18" t="inlineStr">
        <is>
          <t>Potential Leader</t>
        </is>
      </c>
      <c r="J16" s="18" t="inlineStr">
        <is>
          <t>transportation</t>
        </is>
      </c>
      <c r="K16" s="16" t="n">
        <v>47</v>
      </c>
      <c r="L16" s="16" t="n">
        <v>35</v>
      </c>
      <c r="M16" s="20" t="inlineStr">
        <is>
          <t>34.3%</t>
        </is>
      </c>
    </row>
    <row r="17">
      <c r="A17" s="16" t="n">
        <v>12</v>
      </c>
      <c r="B17" s="17" t="n">
        <v>261</v>
      </c>
      <c r="C17" s="17" t="inlineStr">
        <is>
          <t>BHARATFORG</t>
        </is>
      </c>
      <c r="D17" s="18" t="inlineStr">
        <is>
          <t>Bharat Forge Limited</t>
        </is>
      </c>
      <c r="E17" s="18" t="inlineStr">
        <is>
          <t>industrials</t>
        </is>
      </c>
      <c r="F17" s="16" t="n">
        <v>29</v>
      </c>
      <c r="G17" s="19" t="n">
        <v>105040.85</v>
      </c>
      <c r="H17" s="18" t="inlineStr">
        <is>
          <t>Potential Leader</t>
        </is>
      </c>
      <c r="J17" s="18" t="inlineStr">
        <is>
          <t>financials</t>
        </is>
      </c>
      <c r="K17" s="16" t="n">
        <v>177</v>
      </c>
      <c r="L17" s="16" t="n">
        <v>132</v>
      </c>
      <c r="M17" s="20" t="inlineStr">
        <is>
          <t>34.1%</t>
        </is>
      </c>
    </row>
    <row r="18">
      <c r="A18" s="16" t="n">
        <v>13</v>
      </c>
      <c r="B18" s="17" t="n">
        <v>249</v>
      </c>
      <c r="C18" s="17" t="inlineStr">
        <is>
          <t>ADOR</t>
        </is>
      </c>
      <c r="D18" s="18" t="inlineStr">
        <is>
          <t>Ador Welding Ltd</t>
        </is>
      </c>
      <c r="E18" s="18" t="inlineStr">
        <is>
          <t>industrials</t>
        </is>
      </c>
      <c r="F18" s="16" t="n">
        <v>27</v>
      </c>
      <c r="G18" s="19" t="n">
        <v>2624.52</v>
      </c>
      <c r="H18" s="18" t="inlineStr">
        <is>
          <t>Potential Leader</t>
        </is>
      </c>
      <c r="J18" s="18" t="inlineStr">
        <is>
          <t>building materials</t>
        </is>
      </c>
      <c r="K18" s="16" t="n">
        <v>71</v>
      </c>
      <c r="L18" s="16" t="n">
        <v>53</v>
      </c>
      <c r="M18" s="20" t="inlineStr">
        <is>
          <t>34.0%</t>
        </is>
      </c>
    </row>
    <row r="19">
      <c r="A19" s="16" t="n">
        <v>14</v>
      </c>
      <c r="B19" s="17" t="n">
        <v>249</v>
      </c>
      <c r="C19" s="17" t="inlineStr">
        <is>
          <t>CENTENKA</t>
        </is>
      </c>
      <c r="D19" s="18" t="inlineStr">
        <is>
          <t>Century Enka Limited</t>
        </is>
      </c>
      <c r="E19" s="18" t="inlineStr">
        <is>
          <t>textiles</t>
        </is>
      </c>
      <c r="F19" s="16" t="n">
        <v>27</v>
      </c>
      <c r="G19" s="19" t="n">
        <v>1339.33</v>
      </c>
      <c r="H19" s="18" t="inlineStr">
        <is>
          <t>Potential Leader</t>
        </is>
      </c>
      <c r="J19" s="18" t="inlineStr">
        <is>
          <t>textiles</t>
        </is>
      </c>
      <c r="K19" s="16" t="n">
        <v>91</v>
      </c>
      <c r="L19" s="16" t="n">
        <v>68</v>
      </c>
      <c r="M19" s="20" t="inlineStr">
        <is>
          <t>33.8%</t>
        </is>
      </c>
    </row>
    <row r="20">
      <c r="A20" s="16" t="n">
        <v>15</v>
      </c>
      <c r="B20" s="17" t="n">
        <v>249</v>
      </c>
      <c r="C20" s="17" t="inlineStr">
        <is>
          <t>CYIENTDLM</t>
        </is>
      </c>
      <c r="D20" s="18" t="inlineStr">
        <is>
          <t>Cyient DLM Ltd</t>
        </is>
      </c>
      <c r="E20" s="18" t="inlineStr">
        <is>
          <t>consumer discretionary</t>
        </is>
      </c>
      <c r="F20" s="16" t="n">
        <v>27</v>
      </c>
      <c r="G20" s="19" t="n">
        <v>5277.8</v>
      </c>
      <c r="H20" s="18" t="inlineStr">
        <is>
          <t>Potential Leader</t>
        </is>
      </c>
      <c r="J20" s="18" t="inlineStr">
        <is>
          <t>services</t>
        </is>
      </c>
      <c r="K20" s="16" t="n">
        <v>41</v>
      </c>
      <c r="L20" s="16" t="n">
        <v>31</v>
      </c>
      <c r="M20" s="20" t="inlineStr">
        <is>
          <t>32.3%</t>
        </is>
      </c>
    </row>
    <row r="21">
      <c r="A21" s="16" t="n">
        <v>16</v>
      </c>
      <c r="B21" s="17" t="n">
        <v>246</v>
      </c>
      <c r="C21" s="17" t="inlineStr">
        <is>
          <t>RADICO</t>
        </is>
      </c>
      <c r="D21" s="18" t="inlineStr">
        <is>
          <t>Radico Khaitan Limited</t>
        </is>
      </c>
      <c r="E21" s="18" t="inlineStr">
        <is>
          <t>fmcg</t>
        </is>
      </c>
      <c r="F21" s="16" t="n">
        <v>27</v>
      </c>
      <c r="G21" s="19" t="n">
        <v>60938.76</v>
      </c>
      <c r="H21" s="18" t="inlineStr">
        <is>
          <t>Potential Leader</t>
        </is>
      </c>
    </row>
    <row r="22">
      <c r="A22" s="16" t="n">
        <v>17</v>
      </c>
      <c r="B22" s="17" t="n">
        <v>246</v>
      </c>
      <c r="C22" s="17" t="inlineStr">
        <is>
          <t>RPTECH</t>
        </is>
      </c>
      <c r="D22" s="18" t="inlineStr">
        <is>
          <t>Rashi Peripherals Ltd</t>
        </is>
      </c>
      <c r="E22" s="18" t="inlineStr">
        <is>
          <t>services</t>
        </is>
      </c>
      <c r="F22" s="16" t="n">
        <v>27</v>
      </c>
      <c r="G22" s="19" t="n">
        <v>5949.75</v>
      </c>
      <c r="H22" s="18" t="inlineStr">
        <is>
          <t>Potential Leader</t>
        </is>
      </c>
    </row>
    <row r="23">
      <c r="A23" s="16" t="n">
        <v>18</v>
      </c>
      <c r="B23" s="17" t="n">
        <v>243</v>
      </c>
      <c r="C23" s="17" t="inlineStr">
        <is>
          <t>IRISDOREME</t>
        </is>
      </c>
      <c r="D23" s="18" t="inlineStr">
        <is>
          <t>Iris Clothings Ltd</t>
        </is>
      </c>
      <c r="E23" s="18" t="inlineStr">
        <is>
          <t>consumer discretionary</t>
        </is>
      </c>
      <c r="F23" s="16" t="n">
        <v>27</v>
      </c>
      <c r="G23" s="19" t="n">
        <v>1017.89</v>
      </c>
      <c r="H23" s="18" t="inlineStr">
        <is>
          <t>Potential Leader</t>
        </is>
      </c>
    </row>
    <row r="24">
      <c r="A24" s="16" t="n">
        <v>19</v>
      </c>
      <c r="B24" s="17" t="n">
        <v>243</v>
      </c>
      <c r="C24" s="17" t="inlineStr">
        <is>
          <t>KAMDHENU</t>
        </is>
      </c>
      <c r="D24" s="18" t="inlineStr">
        <is>
          <t>Kamdhenu Limited</t>
        </is>
      </c>
      <c r="E24" s="18" t="inlineStr">
        <is>
          <t>metals &amp; mining</t>
        </is>
      </c>
      <c r="F24" s="16" t="n">
        <v>27</v>
      </c>
      <c r="G24" s="19" t="n">
        <v>975.6</v>
      </c>
      <c r="H24" s="18" t="inlineStr">
        <is>
          <t>Potential Leader</t>
        </is>
      </c>
    </row>
    <row r="25">
      <c r="A25" s="16" t="n">
        <v>20</v>
      </c>
      <c r="B25" s="17" t="n">
        <v>243</v>
      </c>
      <c r="C25" s="17" t="inlineStr">
        <is>
          <t>NYKAA</t>
        </is>
      </c>
      <c r="D25" s="18" t="inlineStr">
        <is>
          <t>FSN E-Commerce Ventures Ltd</t>
        </is>
      </c>
      <c r="E25" s="18" t="inlineStr">
        <is>
          <t>i.t</t>
        </is>
      </c>
      <c r="F25" s="16" t="n">
        <v>27</v>
      </c>
      <c r="G25" s="19" t="n">
        <v>96038.34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UNIVPHOTO</t>
        </is>
      </c>
      <c r="B30" s="18" t="inlineStr">
        <is>
          <t>Universus Photo Imagings Ltd</t>
        </is>
      </c>
      <c r="C30" s="18" t="inlineStr">
        <is>
          <t>consumer discretionary</t>
        </is>
      </c>
      <c r="D30" s="16" t="n">
        <v>10</v>
      </c>
      <c r="E30" s="16" t="n">
        <v>1</v>
      </c>
      <c r="F30" s="19" t="n">
        <v>525.4400000000001</v>
      </c>
      <c r="J30" s="17" t="inlineStr">
        <is>
          <t>SCPL</t>
        </is>
      </c>
      <c r="K30" s="18" t="inlineStr">
        <is>
          <t>fmcg</t>
        </is>
      </c>
      <c r="L30" s="19" t="n">
        <v>310</v>
      </c>
      <c r="M30" s="19" t="n">
        <v>676.99</v>
      </c>
      <c r="N30" s="16" t="n">
        <v>22</v>
      </c>
    </row>
    <row r="31">
      <c r="A31" s="17" t="inlineStr">
        <is>
          <t>NILKAMAL</t>
        </is>
      </c>
      <c r="B31" s="18" t="inlineStr">
        <is>
          <t>Nilkamal Limited</t>
        </is>
      </c>
      <c r="C31" s="18" t="inlineStr">
        <is>
          <t>plastic products</t>
        </is>
      </c>
      <c r="D31" s="16" t="n">
        <v>10</v>
      </c>
      <c r="E31" s="16" t="n">
        <v>2</v>
      </c>
      <c r="F31" s="19" t="n">
        <v>2687.99</v>
      </c>
      <c r="J31" s="17" t="inlineStr">
        <is>
          <t>IBULLSLTD</t>
        </is>
      </c>
      <c r="K31" s="18" t="inlineStr">
        <is>
          <t>miscellaneous</t>
        </is>
      </c>
      <c r="L31" s="19" t="n">
        <v>300</v>
      </c>
      <c r="M31" s="19" t="n">
        <v>6767.32</v>
      </c>
      <c r="N31" s="16" t="n">
        <v>25</v>
      </c>
    </row>
    <row r="32">
      <c r="A32" s="17" t="inlineStr">
        <is>
          <t>MPSLTD</t>
        </is>
      </c>
      <c r="B32" s="18" t="inlineStr">
        <is>
          <t>Mps Limited</t>
        </is>
      </c>
      <c r="C32" s="18" t="inlineStr">
        <is>
          <t>i.t</t>
        </is>
      </c>
      <c r="D32" s="16" t="n">
        <v>10</v>
      </c>
      <c r="E32" s="16" t="n">
        <v>1</v>
      </c>
      <c r="F32" s="19" t="n">
        <v>4915.7</v>
      </c>
      <c r="J32" s="17" t="inlineStr">
        <is>
          <t>TINNARUBR</t>
        </is>
      </c>
      <c r="K32" s="18" t="inlineStr">
        <is>
          <t>fmcg</t>
        </is>
      </c>
      <c r="L32" s="19" t="n">
        <v>295</v>
      </c>
      <c r="M32" s="19" t="n">
        <v>2031.82</v>
      </c>
      <c r="N32" s="16" t="n">
        <v>28</v>
      </c>
    </row>
    <row r="33">
      <c r="A33" s="17" t="inlineStr">
        <is>
          <t>BAJAJFINSV</t>
        </is>
      </c>
      <c r="B33" s="18" t="inlineStr">
        <is>
          <t>Bajaj Finserv Limited</t>
        </is>
      </c>
      <c r="C33" s="18" t="inlineStr">
        <is>
          <t>financials</t>
        </is>
      </c>
      <c r="D33" s="16" t="n">
        <v>10</v>
      </c>
      <c r="E33" s="16" t="n">
        <v>2</v>
      </c>
      <c r="F33" s="19" t="n">
        <v>333874.73</v>
      </c>
      <c r="J33" s="17" t="inlineStr">
        <is>
          <t>KTKBANK</t>
        </is>
      </c>
      <c r="K33" s="18" t="inlineStr">
        <is>
          <t>bank</t>
        </is>
      </c>
      <c r="L33" s="19" t="n">
        <v>295</v>
      </c>
      <c r="M33" s="19" t="n">
        <v>11332.86</v>
      </c>
      <c r="N33" s="16" t="n">
        <v>22</v>
      </c>
    </row>
    <row r="34">
      <c r="A34" s="17" t="inlineStr">
        <is>
          <t>JINDWORLD</t>
        </is>
      </c>
      <c r="B34" s="18" t="inlineStr">
        <is>
          <t>Jindal Worldwide Limited</t>
        </is>
      </c>
      <c r="C34" s="18" t="inlineStr">
        <is>
          <t>textiles</t>
        </is>
      </c>
      <c r="D34" s="16" t="n">
        <v>9</v>
      </c>
      <c r="E34" s="16" t="n">
        <v>2</v>
      </c>
      <c r="F34" s="19" t="n">
        <v>3925.19</v>
      </c>
      <c r="J34" s="17" t="inlineStr">
        <is>
          <t>SJS</t>
        </is>
      </c>
      <c r="K34" s="18" t="inlineStr">
        <is>
          <t>auto</t>
        </is>
      </c>
      <c r="L34" s="19" t="n">
        <v>290</v>
      </c>
      <c r="M34" s="19" t="n">
        <v>8034.25</v>
      </c>
      <c r="N34" s="16" t="n">
        <v>29</v>
      </c>
    </row>
    <row r="35">
      <c r="A35" s="17" t="inlineStr">
        <is>
          <t>M&amp;M</t>
        </is>
      </c>
      <c r="B35" s="18" t="inlineStr">
        <is>
          <t>Mahindra &amp; Mahindra Limited</t>
        </is>
      </c>
      <c r="C35" s="18" t="inlineStr">
        <is>
          <t>auto</t>
        </is>
      </c>
      <c r="D35" s="16" t="n">
        <v>8</v>
      </c>
      <c r="E35" s="16" t="n">
        <v>2</v>
      </c>
      <c r="F35" s="19" t="n">
        <v>429688.95</v>
      </c>
      <c r="J35" s="17" t="inlineStr">
        <is>
          <t>MENONBE</t>
        </is>
      </c>
      <c r="K35" s="18" t="inlineStr">
        <is>
          <t>auto</t>
        </is>
      </c>
      <c r="L35" s="19" t="n">
        <v>290</v>
      </c>
      <c r="M35" s="19" t="n">
        <v>1304.95</v>
      </c>
      <c r="N35" s="16" t="n">
        <v>26</v>
      </c>
    </row>
    <row r="36">
      <c r="A36" s="17" t="inlineStr">
        <is>
          <t>PNB</t>
        </is>
      </c>
      <c r="B36" s="18" t="inlineStr">
        <is>
          <t>Punjab National Bank Ltd</t>
        </is>
      </c>
      <c r="C36" s="18" t="inlineStr">
        <is>
          <t>bank</t>
        </is>
      </c>
      <c r="D36" s="16" t="n">
        <v>8</v>
      </c>
      <c r="E36" s="16" t="n">
        <v>2</v>
      </c>
      <c r="F36" s="19" t="n">
        <v>130502.37</v>
      </c>
      <c r="J36" s="17" t="inlineStr">
        <is>
          <t>E2E</t>
        </is>
      </c>
      <c r="K36" s="18" t="inlineStr">
        <is>
          <t>i.t</t>
        </is>
      </c>
      <c r="L36" s="19" t="n">
        <v>290</v>
      </c>
      <c r="M36" s="19" t="n">
        <v>12306.14</v>
      </c>
      <c r="N36" s="16" t="n">
        <v>13</v>
      </c>
    </row>
    <row r="37">
      <c r="A37" s="17" t="inlineStr">
        <is>
          <t>LODHA</t>
        </is>
      </c>
      <c r="B37" s="18" t="inlineStr">
        <is>
          <t>Lodha Developers Ltd</t>
        </is>
      </c>
      <c r="C37" s="18" t="inlineStr">
        <is>
          <t>realty</t>
        </is>
      </c>
      <c r="D37" s="16" t="n">
        <v>8</v>
      </c>
      <c r="E37" s="16" t="n">
        <v>2</v>
      </c>
      <c r="F37" s="19" t="n">
        <v>124886.8</v>
      </c>
      <c r="J37" s="17" t="inlineStr">
        <is>
          <t>SPORTKING</t>
        </is>
      </c>
      <c r="K37" s="18" t="inlineStr">
        <is>
          <t>Consumer Cyclical</t>
        </is>
      </c>
      <c r="L37" s="19" t="n">
        <v>290</v>
      </c>
      <c r="M37" s="19" t="n">
        <v>2628.26</v>
      </c>
      <c r="N37" s="16" t="n">
        <v>21</v>
      </c>
    </row>
    <row r="38">
      <c r="A38" s="17" t="inlineStr">
        <is>
          <t>VRLLOG</t>
        </is>
      </c>
      <c r="B38" s="18" t="inlineStr">
        <is>
          <t>Vrl Logistics Limited</t>
        </is>
      </c>
      <c r="C38" s="18" t="inlineStr">
        <is>
          <t>transportation</t>
        </is>
      </c>
      <c r="D38" s="16" t="n">
        <v>8</v>
      </c>
      <c r="E38" s="16" t="n">
        <v>1</v>
      </c>
      <c r="F38" s="19" t="n">
        <v>4880.74</v>
      </c>
      <c r="J38" s="17" t="inlineStr">
        <is>
          <t>CONFIPET</t>
        </is>
      </c>
      <c r="K38" s="18" t="inlineStr">
        <is>
          <t>miscellaneous</t>
        </is>
      </c>
      <c r="L38" s="19" t="n">
        <v>288</v>
      </c>
      <c r="M38" s="19" t="n">
        <v>2717.73</v>
      </c>
      <c r="N38" s="16" t="n">
        <v>24</v>
      </c>
    </row>
    <row r="39">
      <c r="A39" s="17" t="inlineStr">
        <is>
          <t>ETERNAL</t>
        </is>
      </c>
      <c r="B39" s="18" t="inlineStr">
        <is>
          <t>Eternal Ltd</t>
        </is>
      </c>
      <c r="C39" s="18" t="inlineStr">
        <is>
          <t>i.t</t>
        </is>
      </c>
      <c r="D39" s="16" t="n">
        <v>8</v>
      </c>
      <c r="E39" s="16" t="n">
        <v>0</v>
      </c>
      <c r="F39" s="19" t="n">
        <v>299498.63</v>
      </c>
      <c r="J39" s="17" t="inlineStr">
        <is>
          <t>ICIL</t>
        </is>
      </c>
      <c r="K39" s="18" t="inlineStr">
        <is>
          <t>textiles</t>
        </is>
      </c>
      <c r="L39" s="19" t="n">
        <v>288</v>
      </c>
      <c r="M39" s="19" t="n">
        <v>8291.540000000001</v>
      </c>
      <c r="N39" s="16" t="n">
        <v>23</v>
      </c>
    </row>
    <row r="40">
      <c r="A40" s="17" t="inlineStr">
        <is>
          <t>EMAMIPAP</t>
        </is>
      </c>
      <c r="B40" s="18" t="inlineStr">
        <is>
          <t>Emami Paper Mills Ltd</t>
        </is>
      </c>
      <c r="C40" s="18" t="inlineStr">
        <is>
          <t>building materials</t>
        </is>
      </c>
      <c r="D40" s="16" t="n">
        <v>8</v>
      </c>
      <c r="E40" s="16" t="n">
        <v>2</v>
      </c>
      <c r="F40" s="19" t="n">
        <v>676.86</v>
      </c>
      <c r="J40" s="17" t="inlineStr">
        <is>
          <t>FCL</t>
        </is>
      </c>
      <c r="K40" s="18" t="inlineStr">
        <is>
          <t>chemicals</t>
        </is>
      </c>
      <c r="L40" s="19" t="n">
        <v>288</v>
      </c>
      <c r="M40" s="19" t="n">
        <v>4500.8</v>
      </c>
      <c r="N40" s="16" t="n">
        <v>17</v>
      </c>
    </row>
    <row r="41">
      <c r="A41" s="17" t="inlineStr">
        <is>
          <t>HEROMOTOCO</t>
        </is>
      </c>
      <c r="B41" s="18" t="inlineStr">
        <is>
          <t>Hero Motocorp Limited</t>
        </is>
      </c>
      <c r="C41" s="18" t="inlineStr">
        <is>
          <t>auto</t>
        </is>
      </c>
      <c r="D41" s="16" t="n">
        <v>8</v>
      </c>
      <c r="E41" s="16" t="n">
        <v>2</v>
      </c>
      <c r="F41" s="19" t="n">
        <v>113852.88</v>
      </c>
      <c r="J41" s="17" t="inlineStr">
        <is>
          <t>RACLGEAR</t>
        </is>
      </c>
      <c r="K41" s="18" t="inlineStr">
        <is>
          <t>auto</t>
        </is>
      </c>
      <c r="L41" s="19" t="n">
        <v>288</v>
      </c>
      <c r="M41" s="19" t="n">
        <v>1642.2</v>
      </c>
      <c r="N41" s="16" t="n">
        <v>9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106.97</v>
      </c>
      <c r="D47" s="27" t="n">
        <v>285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1994.31</v>
      </c>
    </row>
    <row r="48">
      <c r="A48" s="16" t="n">
        <v>2</v>
      </c>
      <c r="B48" s="26" t="n">
        <v>99</v>
      </c>
      <c r="C48" s="27" t="n">
        <v>90.38</v>
      </c>
      <c r="D48" s="27" t="n">
        <v>273</v>
      </c>
      <c r="E48" s="17" t="inlineStr">
        <is>
          <t>STLTECH</t>
        </is>
      </c>
      <c r="F48" s="18" t="inlineStr">
        <is>
          <t>Sterlite Technologies Limited</t>
        </is>
      </c>
      <c r="G48" s="18" t="inlineStr">
        <is>
          <t>industrials</t>
        </is>
      </c>
      <c r="H48" s="19" t="n">
        <v>32614.42</v>
      </c>
    </row>
    <row r="49">
      <c r="A49" s="16" t="n">
        <v>3</v>
      </c>
      <c r="B49" s="26" t="n">
        <v>99</v>
      </c>
      <c r="C49" s="27" t="n">
        <v>86.97</v>
      </c>
      <c r="D49" s="27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33900.24</v>
      </c>
    </row>
    <row r="50">
      <c r="A50" s="16" t="n">
        <v>4</v>
      </c>
      <c r="B50" s="26" t="n">
        <v>98</v>
      </c>
      <c r="C50" s="27" t="n">
        <v>76.33</v>
      </c>
      <c r="D50" s="27" t="n">
        <v>260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13350.01</v>
      </c>
    </row>
    <row r="51">
      <c r="A51" s="16" t="n">
        <v>5</v>
      </c>
      <c r="B51" s="26" t="n">
        <v>98</v>
      </c>
      <c r="C51" s="27" t="n">
        <v>70.28</v>
      </c>
      <c r="D51" s="27" t="n">
        <v>263</v>
      </c>
      <c r="E51" s="17" t="inlineStr">
        <is>
          <t>SWANDEF</t>
        </is>
      </c>
      <c r="F51" s="18" t="inlineStr">
        <is>
          <t>Swan Defence and Heavy Industries Ltd</t>
        </is>
      </c>
      <c r="G51" s="18" t="inlineStr">
        <is>
          <t>transportation</t>
        </is>
      </c>
      <c r="H51" s="19" t="n">
        <v>13441.85</v>
      </c>
    </row>
    <row r="52">
      <c r="A52" s="16" t="n">
        <v>6</v>
      </c>
      <c r="B52" s="26" t="n">
        <v>98</v>
      </c>
      <c r="C52" s="27" t="n">
        <v>66.09999999999999</v>
      </c>
      <c r="D52" s="27" t="n">
        <v>260</v>
      </c>
      <c r="E52" s="17" t="inlineStr">
        <is>
          <t>YASHO</t>
        </is>
      </c>
      <c r="F52" s="18" t="inlineStr">
        <is>
          <t>Yasho Industries Ltd</t>
        </is>
      </c>
      <c r="G52" s="18" t="inlineStr">
        <is>
          <t>chemicals</t>
        </is>
      </c>
      <c r="H52" s="19" t="n">
        <v>5010.7</v>
      </c>
    </row>
    <row r="53">
      <c r="A53" s="16" t="n">
        <v>7</v>
      </c>
      <c r="B53" s="26" t="n">
        <v>98</v>
      </c>
      <c r="C53" s="27" t="n">
        <v>56.01</v>
      </c>
      <c r="D53" s="27" t="n">
        <v>270</v>
      </c>
      <c r="E53" s="17" t="inlineStr">
        <is>
          <t>UFBL</t>
        </is>
      </c>
      <c r="F53" s="18" t="inlineStr">
        <is>
          <t>United Foodbrands Ltd</t>
        </is>
      </c>
      <c r="G53" s="18" t="inlineStr">
        <is>
          <t>consumer discretionary</t>
        </is>
      </c>
      <c r="H53" s="19" t="n">
        <v>3016.88</v>
      </c>
    </row>
    <row r="54">
      <c r="A54" s="16" t="n">
        <v>8</v>
      </c>
      <c r="B54" s="26" t="n">
        <v>98</v>
      </c>
      <c r="C54" s="27" t="n">
        <v>54.29</v>
      </c>
      <c r="D54" s="27" t="n">
        <v>285</v>
      </c>
      <c r="E54" s="17" t="inlineStr">
        <is>
          <t>ATHERENERG</t>
        </is>
      </c>
      <c r="F54" s="18" t="inlineStr">
        <is>
          <t>Ather Energy Ltd</t>
        </is>
      </c>
      <c r="G54" s="18" t="inlineStr">
        <is>
          <t>auto</t>
        </is>
      </c>
      <c r="H54" s="19" t="n">
        <v>57967.95</v>
      </c>
    </row>
    <row r="55">
      <c r="A55" s="16" t="n">
        <v>9</v>
      </c>
      <c r="B55" s="26" t="n">
        <v>97</v>
      </c>
      <c r="C55" s="27" t="n">
        <v>48.42</v>
      </c>
      <c r="D55" s="27" t="n">
        <v>235</v>
      </c>
      <c r="E55" s="17" t="inlineStr">
        <is>
          <t>SVRL</t>
        </is>
      </c>
      <c r="F55" s="18" t="inlineStr">
        <is>
          <t>Shri Venkatesh Refineries Limited</t>
        </is>
      </c>
      <c r="G55" s="18" t="inlineStr">
        <is>
          <t>Consumer Defensive</t>
        </is>
      </c>
      <c r="H55" s="19" t="n">
        <v>1101.54</v>
      </c>
    </row>
    <row r="56">
      <c r="A56" s="16" t="n">
        <v>10</v>
      </c>
      <c r="B56" s="26" t="n">
        <v>97</v>
      </c>
      <c r="C56" s="27" t="n">
        <v>47.3</v>
      </c>
      <c r="D56" s="27" t="n">
        <v>255</v>
      </c>
      <c r="E56" s="17" t="inlineStr">
        <is>
          <t>DIACABS</t>
        </is>
      </c>
      <c r="F56" s="18" t="inlineStr">
        <is>
          <t>Diamond Power Infrastructure Ltd</t>
        </is>
      </c>
      <c r="G56" s="18" t="inlineStr">
        <is>
          <t>industrials</t>
        </is>
      </c>
      <c r="H56" s="19" t="n">
        <v>17505.98</v>
      </c>
    </row>
    <row r="57">
      <c r="A57" s="16" t="n">
        <v>11</v>
      </c>
      <c r="B57" s="26" t="n">
        <v>97</v>
      </c>
      <c r="C57" s="27" t="n">
        <v>47.09</v>
      </c>
      <c r="D57" s="27" t="n">
        <v>273</v>
      </c>
      <c r="E57" s="17" t="inlineStr">
        <is>
          <t>HITECHCORP</t>
        </is>
      </c>
      <c r="F57" s="18" t="inlineStr">
        <is>
          <t>Hitech Corporation</t>
        </is>
      </c>
      <c r="G57" s="18" t="inlineStr">
        <is>
          <t>industrials</t>
        </is>
      </c>
      <c r="H57" s="19" t="n">
        <v>549.97</v>
      </c>
    </row>
    <row r="58">
      <c r="A58" s="16" t="n">
        <v>12</v>
      </c>
      <c r="B58" s="26" t="n">
        <v>97</v>
      </c>
      <c r="C58" s="27" t="n">
        <v>45.91</v>
      </c>
      <c r="D58" s="27" t="n">
        <v>240</v>
      </c>
      <c r="E58" s="17" t="inlineStr">
        <is>
          <t>BLISSGVS</t>
        </is>
      </c>
      <c r="F58" s="18" t="inlineStr">
        <is>
          <t>Bliss Gvs Pharma Limited</t>
        </is>
      </c>
      <c r="G58" s="18" t="inlineStr">
        <is>
          <t>healthcare</t>
        </is>
      </c>
      <c r="H58" s="19" t="n">
        <v>5270.99</v>
      </c>
    </row>
    <row r="59">
      <c r="A59" s="16" t="n">
        <v>13</v>
      </c>
      <c r="B59" s="26" t="n">
        <v>97</v>
      </c>
      <c r="C59" s="27" t="n">
        <v>45.86</v>
      </c>
      <c r="D59" s="27" t="n">
        <v>290</v>
      </c>
      <c r="E59" s="17" t="inlineStr">
        <is>
          <t>E2E</t>
        </is>
      </c>
      <c r="F59" s="18" t="inlineStr">
        <is>
          <t>E2E Networks Ltd</t>
        </is>
      </c>
      <c r="G59" s="18" t="inlineStr">
        <is>
          <t>i.t</t>
        </is>
      </c>
      <c r="H59" s="19" t="n">
        <v>12306.14</v>
      </c>
    </row>
    <row r="60">
      <c r="A60" s="16" t="n">
        <v>14</v>
      </c>
      <c r="B60" s="26" t="n">
        <v>96</v>
      </c>
      <c r="C60" s="27" t="n">
        <v>43.25</v>
      </c>
      <c r="D60" s="27" t="n">
        <v>265</v>
      </c>
      <c r="E60" s="17" t="inlineStr">
        <is>
          <t>SOTL</t>
        </is>
      </c>
      <c r="F60" s="18" t="inlineStr">
        <is>
          <t>Savita Oil Technologies Limited</t>
        </is>
      </c>
      <c r="G60" s="18" t="inlineStr">
        <is>
          <t>energy</t>
        </is>
      </c>
      <c r="H60" s="19" t="n">
        <v>4655.25</v>
      </c>
    </row>
    <row r="61">
      <c r="A61" s="16" t="n">
        <v>15</v>
      </c>
      <c r="B61" s="26" t="n">
        <v>96</v>
      </c>
      <c r="C61" s="27" t="n">
        <v>42.53</v>
      </c>
      <c r="D61" s="27" t="n">
        <v>310</v>
      </c>
      <c r="E61" s="17" t="inlineStr">
        <is>
          <t>SCPL</t>
        </is>
      </c>
      <c r="F61" s="18" t="inlineStr">
        <is>
          <t>Sheetal Cool Products Ltd</t>
        </is>
      </c>
      <c r="G61" s="18" t="inlineStr">
        <is>
          <t>fmcg</t>
        </is>
      </c>
      <c r="H61" s="19" t="n">
        <v>676.99</v>
      </c>
    </row>
    <row r="62">
      <c r="A62" s="16" t="n">
        <v>16</v>
      </c>
      <c r="B62" s="26" t="n">
        <v>96</v>
      </c>
      <c r="C62" s="27" t="n">
        <v>40.12</v>
      </c>
      <c r="D62" s="27" t="n">
        <v>228</v>
      </c>
      <c r="E62" s="17" t="inlineStr">
        <is>
          <t>SALSTEEL</t>
        </is>
      </c>
      <c r="F62" s="18" t="inlineStr">
        <is>
          <t>SAL Steel</t>
        </is>
      </c>
      <c r="G62" s="18" t="inlineStr">
        <is>
          <t>metals &amp; mining</t>
        </is>
      </c>
      <c r="H62" s="19" t="n">
        <v>865.5599999999999</v>
      </c>
    </row>
    <row r="63">
      <c r="A63" s="16" t="n">
        <v>17</v>
      </c>
      <c r="B63" s="26" t="n">
        <v>96</v>
      </c>
      <c r="C63" s="27" t="n">
        <v>39.97</v>
      </c>
      <c r="D63" s="27" t="n">
        <v>285</v>
      </c>
      <c r="E63" s="17" t="inlineStr">
        <is>
          <t>RPTECH</t>
        </is>
      </c>
      <c r="F63" s="18" t="inlineStr">
        <is>
          <t>Rashi Peripherals Ltd</t>
        </is>
      </c>
      <c r="G63" s="18" t="inlineStr">
        <is>
          <t>services</t>
        </is>
      </c>
      <c r="H63" s="19" t="n">
        <v>5949.75</v>
      </c>
    </row>
    <row r="64">
      <c r="A64" s="16" t="n">
        <v>18</v>
      </c>
      <c r="B64" s="26" t="n">
        <v>96</v>
      </c>
      <c r="C64" s="27" t="n">
        <v>39.49</v>
      </c>
      <c r="D64" s="27" t="n">
        <v>290</v>
      </c>
      <c r="E64" s="17" t="inlineStr">
        <is>
          <t>AEGISLOG</t>
        </is>
      </c>
      <c r="F64" s="18" t="inlineStr">
        <is>
          <t>Aegis Logistics Ltd</t>
        </is>
      </c>
      <c r="G64" s="18" t="inlineStr">
        <is>
          <t>services</t>
        </is>
      </c>
      <c r="H64" s="19" t="n">
        <v>48992.58</v>
      </c>
    </row>
    <row r="65">
      <c r="A65" s="16" t="n">
        <v>19</v>
      </c>
      <c r="B65" s="26" t="n">
        <v>95</v>
      </c>
      <c r="C65" s="27" t="n">
        <v>39.23</v>
      </c>
      <c r="D65" s="27" t="n">
        <v>273</v>
      </c>
      <c r="E65" s="17" t="inlineStr">
        <is>
          <t>SPECTRUM</t>
        </is>
      </c>
      <c r="F65" s="18" t="inlineStr">
        <is>
          <t>Spectrum Electrical Industries Ltd</t>
        </is>
      </c>
      <c r="G65" s="18" t="inlineStr">
        <is>
          <t>industrials</t>
        </is>
      </c>
      <c r="H65" s="19" t="n">
        <v>3950.77</v>
      </c>
    </row>
    <row r="66">
      <c r="A66" s="16" t="n">
        <v>20</v>
      </c>
      <c r="B66" s="26" t="n">
        <v>95</v>
      </c>
      <c r="C66" s="27" t="n">
        <v>38.76</v>
      </c>
      <c r="D66" s="27" t="n">
        <v>287</v>
      </c>
      <c r="E66" s="17" t="inlineStr">
        <is>
          <t>SAKAR</t>
        </is>
      </c>
      <c r="F66" s="18" t="inlineStr">
        <is>
          <t>Sakar Healthcare Ltd</t>
        </is>
      </c>
      <c r="G66" s="18" t="inlineStr">
        <is>
          <t>healthcare</t>
        </is>
      </c>
      <c r="H66" s="19" t="n">
        <v>1981.8</v>
      </c>
    </row>
    <row r="67">
      <c r="A67" s="16" t="n">
        <v>21</v>
      </c>
      <c r="B67" s="26" t="n">
        <v>95</v>
      </c>
      <c r="C67" s="27" t="n">
        <v>38.41</v>
      </c>
      <c r="D67" s="27" t="n">
        <v>233</v>
      </c>
      <c r="E67" s="17" t="inlineStr">
        <is>
          <t>SETL</t>
        </is>
      </c>
      <c r="F67" s="18" t="inlineStr">
        <is>
          <t>Standard Enginnering Technology Ltd</t>
        </is>
      </c>
      <c r="G67" s="18" t="inlineStr">
        <is>
          <t>industrials</t>
        </is>
      </c>
      <c r="H67" s="19" t="n">
        <v>5545.87</v>
      </c>
    </row>
    <row r="68">
      <c r="A68" s="16" t="n">
        <v>22</v>
      </c>
      <c r="B68" s="26" t="n">
        <v>95</v>
      </c>
      <c r="C68" s="27" t="n">
        <v>38.06</v>
      </c>
      <c r="D68" s="27" t="n">
        <v>257</v>
      </c>
      <c r="E68" s="17" t="inlineStr">
        <is>
          <t>HFCL</t>
        </is>
      </c>
      <c r="F68" s="18" t="inlineStr">
        <is>
          <t>HFCL Limited</t>
        </is>
      </c>
      <c r="G68" s="18" t="inlineStr">
        <is>
          <t>Technology</t>
        </is>
      </c>
      <c r="H68" s="19" t="n">
        <v>31726.96</v>
      </c>
    </row>
    <row r="69">
      <c r="A69" s="16" t="n">
        <v>23</v>
      </c>
      <c r="B69" s="26" t="n">
        <v>95</v>
      </c>
      <c r="C69" s="27" t="n">
        <v>37.66</v>
      </c>
      <c r="D69" s="27" t="n">
        <v>275</v>
      </c>
      <c r="E69" s="17" t="inlineStr">
        <is>
          <t>RRKABEL</t>
        </is>
      </c>
      <c r="F69" s="18" t="inlineStr">
        <is>
          <t>R R Kabel Ltd</t>
        </is>
      </c>
      <c r="G69" s="18" t="inlineStr">
        <is>
          <t>industrials</t>
        </is>
      </c>
      <c r="H69" s="19" t="n">
        <v>31590.37</v>
      </c>
    </row>
    <row r="70">
      <c r="A70" s="16" t="n">
        <v>24</v>
      </c>
      <c r="B70" s="28" t="n">
        <v>94</v>
      </c>
      <c r="C70" s="27" t="n">
        <v>37.02</v>
      </c>
      <c r="D70" s="27" t="n">
        <v>290</v>
      </c>
      <c r="E70" s="17" t="inlineStr">
        <is>
          <t>MENONBE</t>
        </is>
      </c>
      <c r="F70" s="18" t="inlineStr">
        <is>
          <t>Menon Bearings Limited</t>
        </is>
      </c>
      <c r="G70" s="18" t="inlineStr">
        <is>
          <t>auto</t>
        </is>
      </c>
      <c r="H70" s="19" t="n">
        <v>1304.95</v>
      </c>
    </row>
    <row r="71">
      <c r="A71" s="16" t="n">
        <v>25</v>
      </c>
      <c r="B71" s="28" t="n">
        <v>94</v>
      </c>
      <c r="C71" s="27" t="n">
        <v>36.99</v>
      </c>
      <c r="D71" s="27" t="n">
        <v>255</v>
      </c>
      <c r="E71" s="17" t="inlineStr">
        <is>
          <t>KABRAEXTRU</t>
        </is>
      </c>
      <c r="F71" s="18" t="inlineStr">
        <is>
          <t>Kabra Extrusion Technik Limited</t>
        </is>
      </c>
      <c r="G71" s="18" t="inlineStr">
        <is>
          <t>industrials</t>
        </is>
      </c>
      <c r="H71" s="19" t="n">
        <v>1589.17</v>
      </c>
    </row>
    <row r="72">
      <c r="A72" s="16" t="n">
        <v>26</v>
      </c>
      <c r="B72" s="28" t="n">
        <v>94</v>
      </c>
      <c r="C72" s="27" t="n">
        <v>36.59</v>
      </c>
      <c r="D72" s="27" t="n">
        <v>263</v>
      </c>
      <c r="E72" s="17" t="inlineStr">
        <is>
          <t>UNIVASTU</t>
        </is>
      </c>
      <c r="F72" s="18" t="inlineStr">
        <is>
          <t>Univastu India Ltd</t>
        </is>
      </c>
      <c r="G72" s="18" t="inlineStr">
        <is>
          <t>realty</t>
        </is>
      </c>
      <c r="H72" s="19" t="n">
        <v>528.75</v>
      </c>
    </row>
    <row r="73">
      <c r="A73" s="16" t="n">
        <v>27</v>
      </c>
      <c r="B73" s="28" t="n">
        <v>94</v>
      </c>
      <c r="C73" s="27" t="n">
        <v>35.3</v>
      </c>
      <c r="D73" s="27" t="n">
        <v>268</v>
      </c>
      <c r="E73" s="17" t="inlineStr">
        <is>
          <t>SANSERA</t>
        </is>
      </c>
      <c r="F73" s="18" t="inlineStr">
        <is>
          <t>Sansera Engineering Ltd</t>
        </is>
      </c>
      <c r="G73" s="18" t="inlineStr">
        <is>
          <t>auto</t>
        </is>
      </c>
      <c r="H73" s="19" t="n">
        <v>23356.41</v>
      </c>
    </row>
    <row r="74">
      <c r="A74" s="16" t="n">
        <v>28</v>
      </c>
      <c r="B74" s="28" t="n">
        <v>94</v>
      </c>
      <c r="C74" s="27" t="n">
        <v>34.15</v>
      </c>
      <c r="D74" s="27" t="n">
        <v>300</v>
      </c>
      <c r="E74" s="17" t="inlineStr">
        <is>
          <t>IBULLSLTD</t>
        </is>
      </c>
      <c r="F74" s="18" t="inlineStr">
        <is>
          <t>Indiabulls Limited</t>
        </is>
      </c>
      <c r="G74" s="18" t="inlineStr">
        <is>
          <t>miscellaneous</t>
        </is>
      </c>
      <c r="H74" s="19" t="n">
        <v>6767.32</v>
      </c>
    </row>
    <row r="75">
      <c r="A75" s="16" t="n">
        <v>29</v>
      </c>
      <c r="B75" s="28" t="n">
        <v>93</v>
      </c>
      <c r="C75" s="27" t="n">
        <v>33.98</v>
      </c>
      <c r="D75" s="27" t="n">
        <v>265</v>
      </c>
      <c r="E75" s="17" t="inlineStr">
        <is>
          <t>NGLFINE</t>
        </is>
      </c>
      <c r="F75" s="18" t="inlineStr">
        <is>
          <t>NGL Fine Chem Ltd</t>
        </is>
      </c>
      <c r="G75" s="18" t="inlineStr">
        <is>
          <t>healthcare</t>
        </is>
      </c>
      <c r="H75" s="19" t="n">
        <v>2117.95</v>
      </c>
    </row>
    <row r="76">
      <c r="A76" s="16" t="n">
        <v>30</v>
      </c>
      <c r="B76" s="28" t="n">
        <v>93</v>
      </c>
      <c r="C76" s="27" t="n">
        <v>33.21</v>
      </c>
      <c r="D76" s="27" t="n">
        <v>265</v>
      </c>
      <c r="E76" s="17" t="inlineStr">
        <is>
          <t>KERNEX</t>
        </is>
      </c>
      <c r="F76" s="18" t="inlineStr">
        <is>
          <t>Kernex Microsystems (india) Limited</t>
        </is>
      </c>
      <c r="G76" s="18" t="inlineStr">
        <is>
          <t>consumer discretionary</t>
        </is>
      </c>
      <c r="H76" s="19" t="n">
        <v>4283.58</v>
      </c>
    </row>
    <row r="77">
      <c r="A77" s="16" t="n">
        <v>31</v>
      </c>
      <c r="B77" s="28" t="n">
        <v>93</v>
      </c>
      <c r="C77" s="27" t="n">
        <v>32.96</v>
      </c>
      <c r="D77" s="27" t="n">
        <v>282</v>
      </c>
      <c r="E77" s="17" t="inlineStr">
        <is>
          <t>KPL</t>
        </is>
      </c>
      <c r="F77" s="18" t="inlineStr">
        <is>
          <t>Kwality Pharmaceuticals Limited</t>
        </is>
      </c>
      <c r="G77" s="18" t="inlineStr">
        <is>
          <t>Healthcare</t>
        </is>
      </c>
      <c r="H77" s="19" t="n">
        <v>2752.55</v>
      </c>
    </row>
    <row r="78">
      <c r="A78" s="16" t="n">
        <v>32</v>
      </c>
      <c r="B78" s="28" t="n">
        <v>93</v>
      </c>
      <c r="C78" s="27" t="n">
        <v>32.89</v>
      </c>
      <c r="D78" s="27" t="n">
        <v>253</v>
      </c>
      <c r="E78" s="17" t="inlineStr">
        <is>
          <t>INDOTECH</t>
        </is>
      </c>
      <c r="F78" s="18" t="inlineStr">
        <is>
          <t>Indo Tech Transformers Limited</t>
        </is>
      </c>
      <c r="G78" s="18" t="inlineStr">
        <is>
          <t>industrials</t>
        </is>
      </c>
      <c r="H78" s="19" t="n">
        <v>3830.85</v>
      </c>
    </row>
    <row r="79">
      <c r="A79" s="16" t="n">
        <v>33</v>
      </c>
      <c r="B79" s="28" t="n">
        <v>92</v>
      </c>
      <c r="C79" s="27" t="n">
        <v>31.88</v>
      </c>
      <c r="D79" s="27" t="n">
        <v>263</v>
      </c>
      <c r="E79" s="17" t="inlineStr">
        <is>
          <t>UNIVCABLES</t>
        </is>
      </c>
      <c r="F79" s="18" t="inlineStr">
        <is>
          <t>Universal Cables Limited</t>
        </is>
      </c>
      <c r="G79" s="18" t="inlineStr">
        <is>
          <t>industrials</t>
        </is>
      </c>
      <c r="H79" s="19" t="n">
        <v>4953.11</v>
      </c>
    </row>
    <row r="80">
      <c r="A80" s="16" t="n">
        <v>34</v>
      </c>
      <c r="B80" s="28" t="n">
        <v>92</v>
      </c>
      <c r="C80" s="27" t="n">
        <v>31.85</v>
      </c>
      <c r="D80" s="27" t="n">
        <v>273</v>
      </c>
      <c r="E80" s="17" t="inlineStr">
        <is>
          <t>FILATEX</t>
        </is>
      </c>
      <c r="F80" s="18" t="inlineStr">
        <is>
          <t>Filatex India Limited</t>
        </is>
      </c>
      <c r="G80" s="18" t="inlineStr">
        <is>
          <t>textiles</t>
        </is>
      </c>
      <c r="H80" s="19" t="n">
        <v>3612.86</v>
      </c>
    </row>
    <row r="81">
      <c r="A81" s="16" t="n">
        <v>35</v>
      </c>
      <c r="B81" s="28" t="n">
        <v>92</v>
      </c>
      <c r="C81" s="27" t="n">
        <v>31.1</v>
      </c>
      <c r="D81" s="27" t="n">
        <v>272</v>
      </c>
      <c r="E81" s="17" t="inlineStr">
        <is>
          <t>SHILPAMED</t>
        </is>
      </c>
      <c r="F81" s="18" t="inlineStr">
        <is>
          <t>Shilpa Medicare Limited</t>
        </is>
      </c>
      <c r="G81" s="18" t="inlineStr">
        <is>
          <t>healthcare</t>
        </is>
      </c>
      <c r="H81" s="19" t="n">
        <v>14116.12</v>
      </c>
    </row>
    <row r="82">
      <c r="A82" s="16" t="n">
        <v>36</v>
      </c>
      <c r="B82" s="28" t="n">
        <v>92</v>
      </c>
      <c r="C82" s="27" t="n">
        <v>30.99</v>
      </c>
      <c r="D82" s="27" t="n">
        <v>275</v>
      </c>
      <c r="E82" s="17" t="inlineStr">
        <is>
          <t>GRWRHITECH</t>
        </is>
      </c>
      <c r="F82" s="18" t="inlineStr">
        <is>
          <t>Garware Hi Tech Films Ltd</t>
        </is>
      </c>
      <c r="G82" s="18" t="inlineStr">
        <is>
          <t>industrials</t>
        </is>
      </c>
      <c r="H82" s="19" t="n">
        <v>17214.04</v>
      </c>
    </row>
    <row r="83">
      <c r="A83" s="16" t="n">
        <v>37</v>
      </c>
      <c r="B83" s="28" t="n">
        <v>92</v>
      </c>
      <c r="C83" s="27" t="n">
        <v>30.96</v>
      </c>
      <c r="D83" s="27" t="n">
        <v>263</v>
      </c>
      <c r="E83" s="17" t="inlineStr">
        <is>
          <t>KMEW</t>
        </is>
      </c>
      <c r="F83" s="18" t="inlineStr">
        <is>
          <t>Knowledge Marine &amp; Engineering Works Ltd</t>
        </is>
      </c>
      <c r="G83" s="18" t="inlineStr">
        <is>
          <t>transportation</t>
        </is>
      </c>
      <c r="H83" s="19" t="n">
        <v>6214.18</v>
      </c>
    </row>
    <row r="84">
      <c r="A84" s="16" t="n">
        <v>38</v>
      </c>
      <c r="B84" s="28" t="n">
        <v>91</v>
      </c>
      <c r="C84" s="27" t="n">
        <v>30.79</v>
      </c>
      <c r="D84" s="27" t="n">
        <v>233</v>
      </c>
      <c r="E84" s="17" t="inlineStr">
        <is>
          <t>MAHASTEEL</t>
        </is>
      </c>
      <c r="F84" s="18" t="inlineStr">
        <is>
          <t>Mahamaya Steel Industries Limited</t>
        </is>
      </c>
      <c r="G84" s="18" t="inlineStr">
        <is>
          <t>metals &amp; mining</t>
        </is>
      </c>
      <c r="H84" s="19" t="n">
        <v>1769.82</v>
      </c>
    </row>
    <row r="85">
      <c r="A85" s="16" t="n">
        <v>39</v>
      </c>
      <c r="B85" s="28" t="n">
        <v>91</v>
      </c>
      <c r="C85" s="27" t="n">
        <v>30.28</v>
      </c>
      <c r="D85" s="27" t="n">
        <v>257</v>
      </c>
      <c r="E85" s="17" t="inlineStr">
        <is>
          <t>MOREPENLAB</t>
        </is>
      </c>
      <c r="F85" s="18" t="inlineStr">
        <is>
          <t>Morepen Laboratories Limited</t>
        </is>
      </c>
      <c r="G85" s="18" t="inlineStr">
        <is>
          <t>healthcare</t>
        </is>
      </c>
      <c r="H85" s="19" t="n">
        <v>4216.5</v>
      </c>
    </row>
    <row r="86">
      <c r="A86" s="16" t="n">
        <v>40</v>
      </c>
      <c r="B86" s="28" t="n">
        <v>91</v>
      </c>
      <c r="C86" s="27" t="n">
        <v>30.15</v>
      </c>
      <c r="D86" s="27" t="n">
        <v>277</v>
      </c>
      <c r="E86" s="17" t="inlineStr">
        <is>
          <t>CNL</t>
        </is>
      </c>
      <c r="F86" s="18" t="inlineStr">
        <is>
          <t>Creative Newtech Limited</t>
        </is>
      </c>
      <c r="G86" s="18" t="inlineStr">
        <is>
          <t>Technology</t>
        </is>
      </c>
      <c r="H86" s="19" t="n">
        <v>1645.83</v>
      </c>
    </row>
    <row r="87">
      <c r="A87" s="16" t="n">
        <v>41</v>
      </c>
      <c r="B87" s="28" t="n">
        <v>91</v>
      </c>
      <c r="C87" s="27" t="n">
        <v>30.12</v>
      </c>
      <c r="D87" s="27" t="n">
        <v>273</v>
      </c>
      <c r="E87" s="17" t="inlineStr">
        <is>
          <t>WELCORP</t>
        </is>
      </c>
      <c r="F87" s="18" t="inlineStr">
        <is>
          <t>Welspun Corp Limited</t>
        </is>
      </c>
      <c r="G87" s="18" t="inlineStr">
        <is>
          <t>industrials</t>
        </is>
      </c>
      <c r="H87" s="19" t="n">
        <v>47168.41</v>
      </c>
    </row>
    <row r="88">
      <c r="A88" s="16" t="n">
        <v>42</v>
      </c>
      <c r="B88" s="28" t="n">
        <v>91</v>
      </c>
      <c r="C88" s="27" t="n">
        <v>29.78</v>
      </c>
      <c r="D88" s="27" t="n">
        <v>290</v>
      </c>
      <c r="E88" s="17" t="inlineStr">
        <is>
          <t>AIMTRON</t>
        </is>
      </c>
      <c r="F88" s="18" t="inlineStr">
        <is>
          <t>AIMTRON</t>
        </is>
      </c>
      <c r="G88" s="18" t="inlineStr">
        <is>
          <t>unknown</t>
        </is>
      </c>
      <c r="H88" s="19" t="n">
        <v>1113.17</v>
      </c>
    </row>
    <row r="89">
      <c r="A89" s="16" t="n">
        <v>43</v>
      </c>
      <c r="B89" s="28" t="n">
        <v>90</v>
      </c>
      <c r="C89" s="27" t="n">
        <v>29.7</v>
      </c>
      <c r="D89" s="27" t="n">
        <v>275</v>
      </c>
      <c r="E89" s="17" t="inlineStr">
        <is>
          <t>UNIPARTS</t>
        </is>
      </c>
      <c r="F89" s="18" t="inlineStr">
        <is>
          <t>Uniparts India Ltd</t>
        </is>
      </c>
      <c r="G89" s="18" t="inlineStr">
        <is>
          <t>industrials</t>
        </is>
      </c>
      <c r="H89" s="19" t="n">
        <v>3618.9</v>
      </c>
    </row>
    <row r="90">
      <c r="A90" s="16" t="n">
        <v>44</v>
      </c>
      <c r="B90" s="28" t="n">
        <v>90</v>
      </c>
      <c r="C90" s="27" t="n">
        <v>29.68</v>
      </c>
      <c r="D90" s="27" t="n">
        <v>270</v>
      </c>
      <c r="E90" s="17" t="inlineStr">
        <is>
          <t>RATEGAIN</t>
        </is>
      </c>
      <c r="F90" s="18" t="inlineStr">
        <is>
          <t>Rategain Travel Technologies Ltd</t>
        </is>
      </c>
      <c r="G90" s="18" t="inlineStr">
        <is>
          <t>i.t</t>
        </is>
      </c>
      <c r="H90" s="19" t="n">
        <v>11586.76</v>
      </c>
    </row>
    <row r="91">
      <c r="A91" s="16" t="n">
        <v>45</v>
      </c>
      <c r="B91" s="28" t="n">
        <v>90</v>
      </c>
      <c r="C91" s="27" t="n">
        <v>29.65</v>
      </c>
      <c r="D91" s="27" t="n">
        <v>248</v>
      </c>
      <c r="E91" s="17" t="inlineStr">
        <is>
          <t>PANAMAPET</t>
        </is>
      </c>
      <c r="F91" s="18" t="inlineStr">
        <is>
          <t>Panama Petrochem Limited</t>
        </is>
      </c>
      <c r="G91" s="18" t="inlineStr">
        <is>
          <t>energy</t>
        </is>
      </c>
      <c r="H91" s="19" t="n">
        <v>2753.67</v>
      </c>
    </row>
    <row r="92">
      <c r="A92" s="16" t="n">
        <v>46</v>
      </c>
      <c r="B92" s="28" t="n">
        <v>90</v>
      </c>
      <c r="C92" s="27" t="n">
        <v>29.43</v>
      </c>
      <c r="D92" s="27" t="n">
        <v>255</v>
      </c>
      <c r="E92" s="17" t="inlineStr">
        <is>
          <t>GANDHAR</t>
        </is>
      </c>
      <c r="F92" s="18" t="inlineStr">
        <is>
          <t>Gandhar Oil Refinery (India) Ltd</t>
        </is>
      </c>
      <c r="G92" s="18" t="inlineStr">
        <is>
          <t>energy</t>
        </is>
      </c>
      <c r="H92" s="19" t="n">
        <v>2265.03</v>
      </c>
    </row>
    <row r="93">
      <c r="A93" s="16" t="n">
        <v>47</v>
      </c>
      <c r="B93" s="28" t="n">
        <v>90</v>
      </c>
      <c r="C93" s="27" t="n">
        <v>29.09</v>
      </c>
      <c r="D93" s="27" t="n">
        <v>253</v>
      </c>
      <c r="E93" s="17" t="inlineStr">
        <is>
          <t>VINDHYATEL</t>
        </is>
      </c>
      <c r="F93" s="18" t="inlineStr">
        <is>
          <t>Vindhya Telelinks Limited</t>
        </is>
      </c>
      <c r="G93" s="18" t="inlineStr">
        <is>
          <t>realty</t>
        </is>
      </c>
      <c r="H93" s="19" t="n">
        <v>2793.84</v>
      </c>
    </row>
    <row r="94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SANDESH</t>
        </is>
      </c>
      <c r="B2" s="30" t="inlineStr">
        <is>
          <t>The Sandesh Limited</t>
        </is>
      </c>
      <c r="C2" s="30" t="inlineStr">
        <is>
          <t>media</t>
        </is>
      </c>
      <c r="D2" s="30" t="inlineStr">
        <is>
          <t>entertainment / electronic media software</t>
        </is>
      </c>
      <c r="E2" s="30" t="inlineStr">
        <is>
          <t>smallcap</t>
        </is>
      </c>
      <c r="F2" s="30" t="n">
        <v>749.22</v>
      </c>
      <c r="G2" s="30" t="n">
        <v>1187.75</v>
      </c>
      <c r="H2" s="30" t="n">
        <v>20</v>
      </c>
      <c r="I2" s="30" t="n">
        <v>15365</v>
      </c>
      <c r="J2" s="30" t="inlineStr">
        <is>
          <t>526725</t>
        </is>
      </c>
    </row>
    <row r="3">
      <c r="A3" s="30" t="inlineStr">
        <is>
          <t>PVP</t>
        </is>
      </c>
      <c r="B3" s="30" t="inlineStr">
        <is>
          <t>Pvp Ventures Limited</t>
        </is>
      </c>
      <c r="C3" s="30" t="inlineStr">
        <is>
          <t>realty</t>
        </is>
      </c>
      <c r="D3" s="30" t="inlineStr">
        <is>
          <t>construction</t>
        </is>
      </c>
      <c r="E3" s="30" t="inlineStr">
        <is>
          <t>smallcap</t>
        </is>
      </c>
      <c r="F3" s="30" t="n">
        <v>721.58</v>
      </c>
      <c r="G3" s="30" t="n">
        <v>33.14</v>
      </c>
      <c r="H3" s="30" t="n">
        <v>19.6</v>
      </c>
      <c r="I3" s="30" t="n">
        <v>10496593</v>
      </c>
      <c r="J3" s="30" t="inlineStr">
        <is>
          <t>517556</t>
        </is>
      </c>
    </row>
    <row r="4">
      <c r="A4" s="30" t="inlineStr">
        <is>
          <t>SOTL</t>
        </is>
      </c>
      <c r="B4" s="30" t="inlineStr">
        <is>
          <t>Savita Oil Technologies Limited</t>
        </is>
      </c>
      <c r="C4" s="30" t="inlineStr">
        <is>
          <t>energy</t>
        </is>
      </c>
      <c r="D4" s="30" t="inlineStr">
        <is>
          <t>petrochemicals</t>
        </is>
      </c>
      <c r="E4" s="30" t="inlineStr">
        <is>
          <t>smallcap</t>
        </is>
      </c>
      <c r="F4" s="30" t="n">
        <v>4655.25</v>
      </c>
      <c r="G4" s="30" t="n">
        <v>781.95</v>
      </c>
      <c r="H4" s="30" t="n">
        <v>15.16</v>
      </c>
      <c r="I4" s="30" t="n">
        <v>6004735</v>
      </c>
      <c r="J4" s="30" t="inlineStr">
        <is>
          <t>524667</t>
        </is>
      </c>
    </row>
    <row r="5">
      <c r="A5" s="30" t="inlineStr">
        <is>
          <t>NAVINFLUOR</t>
        </is>
      </c>
      <c r="B5" s="30" t="inlineStr">
        <is>
          <t>Navin Fluorine International Limited</t>
        </is>
      </c>
      <c r="C5" s="30" t="inlineStr">
        <is>
          <t>chemicals</t>
        </is>
      </c>
      <c r="D5" s="30" t="inlineStr">
        <is>
          <t>chemicals</t>
        </is>
      </c>
      <c r="E5" s="30" t="inlineStr">
        <is>
          <t>largecap</t>
        </is>
      </c>
      <c r="F5" s="30" t="n">
        <v>39030.01</v>
      </c>
      <c r="G5" s="30" t="n">
        <v>8650</v>
      </c>
      <c r="H5" s="30" t="n">
        <v>13.67</v>
      </c>
      <c r="I5" s="30" t="n">
        <v>3853522</v>
      </c>
      <c r="J5" s="30" t="inlineStr">
        <is>
          <t>532504</t>
        </is>
      </c>
    </row>
    <row r="6">
      <c r="A6" s="30" t="inlineStr">
        <is>
          <t>UEL</t>
        </is>
      </c>
      <c r="B6" s="30" t="inlineStr">
        <is>
          <t>Ujaas Energy Ltd</t>
        </is>
      </c>
      <c r="C6" s="30" t="inlineStr">
        <is>
          <t>power &amp; utilities</t>
        </is>
      </c>
      <c r="D6" s="30" t="inlineStr">
        <is>
          <t>power generation and supply</t>
        </is>
      </c>
      <c r="E6" s="30" t="inlineStr">
        <is>
          <t>smallcap</t>
        </is>
      </c>
      <c r="F6" s="30" t="n">
        <v>2977.44</v>
      </c>
      <c r="G6" s="30" t="n">
        <v>245.52</v>
      </c>
      <c r="H6" s="30" t="n">
        <v>10</v>
      </c>
      <c r="I6" s="30" t="n">
        <v>8985</v>
      </c>
      <c r="J6" s="30" t="inlineStr">
        <is>
          <t>533644</t>
        </is>
      </c>
    </row>
    <row r="7">
      <c r="A7" s="30" t="inlineStr">
        <is>
          <t>KOLTEPATIL</t>
        </is>
      </c>
      <c r="B7" s="30" t="inlineStr">
        <is>
          <t>Kolte - Patil Developers Limited</t>
        </is>
      </c>
      <c r="C7" s="30" t="inlineStr">
        <is>
          <t>realty</t>
        </is>
      </c>
      <c r="D7" s="30" t="inlineStr">
        <is>
          <t>construction</t>
        </is>
      </c>
      <c r="E7" s="30" t="inlineStr">
        <is>
          <t>smallcap</t>
        </is>
      </c>
      <c r="F7" s="30" t="n">
        <v>3481.58</v>
      </c>
      <c r="G7" s="30" t="n">
        <v>429.3</v>
      </c>
      <c r="H7" s="30" t="n">
        <v>9.35</v>
      </c>
      <c r="I7" s="30" t="n">
        <v>1221264</v>
      </c>
      <c r="J7" s="30" t="inlineStr">
        <is>
          <t>532924</t>
        </is>
      </c>
    </row>
    <row r="8">
      <c r="A8" s="30" t="inlineStr">
        <is>
          <t>PANAMAPET</t>
        </is>
      </c>
      <c r="B8" s="30" t="inlineStr">
        <is>
          <t>Panama Petrochem Limited</t>
        </is>
      </c>
      <c r="C8" s="30" t="inlineStr">
        <is>
          <t>energy</t>
        </is>
      </c>
      <c r="D8" s="30" t="inlineStr">
        <is>
          <t>petrochemicals</t>
        </is>
      </c>
      <c r="E8" s="30" t="inlineStr">
        <is>
          <t>smallcap</t>
        </is>
      </c>
      <c r="F8" s="30" t="n">
        <v>2753.67</v>
      </c>
      <c r="G8" s="30" t="n">
        <v>494.95</v>
      </c>
      <c r="H8" s="30" t="n">
        <v>8.73</v>
      </c>
      <c r="I8" s="30" t="n">
        <v>1103049</v>
      </c>
      <c r="J8" s="30" t="inlineStr">
        <is>
          <t>524820</t>
        </is>
      </c>
    </row>
    <row r="9">
      <c r="A9" s="30" t="inlineStr">
        <is>
          <t>MANAKSTEEL</t>
        </is>
      </c>
      <c r="B9" s="30" t="inlineStr">
        <is>
          <t>Manaksia Steels Limited</t>
        </is>
      </c>
      <c r="C9" s="30" t="inlineStr">
        <is>
          <t>metals &amp; mining</t>
        </is>
      </c>
      <c r="D9" s="30" t="inlineStr">
        <is>
          <t>steel - medium / small</t>
        </is>
      </c>
      <c r="E9" s="30" t="inlineStr">
        <is>
          <t>smallcap</t>
        </is>
      </c>
      <c r="F9" s="30" t="n">
        <v>533.05</v>
      </c>
      <c r="G9" s="30" t="n">
        <v>88.13</v>
      </c>
      <c r="H9" s="30" t="n">
        <v>8.35</v>
      </c>
      <c r="I9" s="30" t="n">
        <v>497159</v>
      </c>
      <c r="J9" s="30" t="inlineStr">
        <is>
          <t>539044</t>
        </is>
      </c>
    </row>
    <row r="10">
      <c r="A10" s="30" t="inlineStr">
        <is>
          <t>FCL</t>
        </is>
      </c>
      <c r="B10" s="30" t="inlineStr">
        <is>
          <t>Fineotex Chemical Limited</t>
        </is>
      </c>
      <c r="C10" s="30" t="inlineStr">
        <is>
          <t>chemicals</t>
        </is>
      </c>
      <c r="D10" s="30" t="inlineStr">
        <is>
          <t>chemicals</t>
        </is>
      </c>
      <c r="E10" s="30" t="inlineStr">
        <is>
          <t>smallcap</t>
        </is>
      </c>
      <c r="F10" s="30" t="n">
        <v>4500.8</v>
      </c>
      <c r="G10" s="30" t="n">
        <v>41.75</v>
      </c>
      <c r="H10" s="30" t="n">
        <v>8.02</v>
      </c>
      <c r="I10" s="30" t="n">
        <v>25029802</v>
      </c>
      <c r="J10" s="30" t="inlineStr">
        <is>
          <t>533333</t>
        </is>
      </c>
    </row>
    <row r="11">
      <c r="A11" s="30" t="inlineStr">
        <is>
          <t>BOSCH-HCIL</t>
        </is>
      </c>
      <c r="B11" s="30" t="inlineStr">
        <is>
          <t>Bosch Home Comfort India Ltd</t>
        </is>
      </c>
      <c r="C11" s="30" t="inlineStr">
        <is>
          <t>consumer discretionary</t>
        </is>
      </c>
      <c r="D11" s="30" t="inlineStr">
        <is>
          <t>air-conditioners</t>
        </is>
      </c>
      <c r="E11" s="30" t="inlineStr">
        <is>
          <t>smallcap</t>
        </is>
      </c>
      <c r="F11" s="30" t="n">
        <v>4143.35</v>
      </c>
      <c r="G11" s="30" t="n">
        <v>1645.2</v>
      </c>
      <c r="H11" s="30" t="n">
        <v>7.97</v>
      </c>
      <c r="I11" s="30" t="n">
        <v>227828</v>
      </c>
      <c r="J11" s="30" t="inlineStr">
        <is>
          <t>523398</t>
        </is>
      </c>
    </row>
    <row r="12">
      <c r="A12" s="30" t="inlineStr">
        <is>
          <t>NEULANDLAB</t>
        </is>
      </c>
      <c r="B12" s="30" t="inlineStr">
        <is>
          <t>Neuland Laboratories Limited</t>
        </is>
      </c>
      <c r="C12" s="30" t="inlineStr">
        <is>
          <t>healthcare</t>
        </is>
      </c>
      <c r="D12" s="30" t="inlineStr">
        <is>
          <t>pharmaceuticals - indian - bulk drugs</t>
        </is>
      </c>
      <c r="E12" s="30" t="inlineStr">
        <is>
          <t>largecap</t>
        </is>
      </c>
      <c r="F12" s="30" t="n">
        <v>25603.33</v>
      </c>
      <c r="G12" s="30" t="n">
        <v>21543</v>
      </c>
      <c r="H12" s="30" t="n">
        <v>7.95</v>
      </c>
      <c r="I12" s="30" t="n">
        <v>929534</v>
      </c>
      <c r="J12" s="30" t="inlineStr">
        <is>
          <t>524558</t>
        </is>
      </c>
    </row>
    <row r="13">
      <c r="A13" s="30" t="inlineStr">
        <is>
          <t>DDEVPLSTIK</t>
        </is>
      </c>
      <c r="B13" s="30" t="inlineStr">
        <is>
          <t>DDev Plastiks Industries Ltd</t>
        </is>
      </c>
      <c r="C13" s="30" t="inlineStr">
        <is>
          <t>chemicals</t>
        </is>
      </c>
      <c r="D13" s="30" t="inlineStr">
        <is>
          <t>chemicals</t>
        </is>
      </c>
      <c r="E13" s="30" t="inlineStr">
        <is>
          <t>smallcap</t>
        </is>
      </c>
      <c r="F13" s="30" t="n">
        <v>2984.27</v>
      </c>
      <c r="G13" s="30" t="n">
        <v>310.6</v>
      </c>
      <c r="H13" s="30" t="n">
        <v>7.7</v>
      </c>
      <c r="I13" s="30" t="n">
        <v>748894</v>
      </c>
      <c r="J13" s="30" t="inlineStr">
        <is>
          <t>543547</t>
        </is>
      </c>
    </row>
    <row r="14">
      <c r="A14" s="30" t="inlineStr">
        <is>
          <t>NRAIL</t>
        </is>
      </c>
      <c r="B14" s="30" t="inlineStr">
        <is>
          <t>N R Agarwal Industries Ltd</t>
        </is>
      </c>
      <c r="C14" s="30" t="inlineStr">
        <is>
          <t>building materials</t>
        </is>
      </c>
      <c r="D14" s="30" t="inlineStr">
        <is>
          <t>paper</t>
        </is>
      </c>
      <c r="E14" s="30" t="inlineStr">
        <is>
          <t>smallcap</t>
        </is>
      </c>
      <c r="F14" s="30" t="n">
        <v>830.11</v>
      </c>
      <c r="G14" s="30" t="n">
        <v>521.65</v>
      </c>
      <c r="H14" s="30" t="n">
        <v>6.95</v>
      </c>
      <c r="I14" s="30" t="n">
        <v>178415</v>
      </c>
      <c r="J14" s="30" t="inlineStr">
        <is>
          <t>516082</t>
        </is>
      </c>
    </row>
    <row r="15">
      <c r="A15" s="30" t="inlineStr">
        <is>
          <t>RAMRAT</t>
        </is>
      </c>
      <c r="B15" s="30" t="inlineStr">
        <is>
          <t>Ram Ratna Wires Ltd</t>
        </is>
      </c>
      <c r="C15" s="30" t="inlineStr">
        <is>
          <t>metals &amp; mining</t>
        </is>
      </c>
      <c r="D15" s="30" t="inlineStr">
        <is>
          <t>mining / minerals / metals</t>
        </is>
      </c>
      <c r="E15" s="30" t="inlineStr">
        <is>
          <t>smallcap</t>
        </is>
      </c>
      <c r="F15" s="30" t="n">
        <v>4077.95</v>
      </c>
      <c r="G15" s="30" t="n">
        <v>467.15</v>
      </c>
      <c r="H15" s="30" t="n">
        <v>6.94</v>
      </c>
      <c r="I15" s="30" t="n">
        <v>941695</v>
      </c>
      <c r="J15" s="30" t="inlineStr">
        <is>
          <t>522281</t>
        </is>
      </c>
    </row>
    <row r="16">
      <c r="A16" s="30" t="inlineStr">
        <is>
          <t>ASKAUTOLTD</t>
        </is>
      </c>
      <c r="B16" s="30" t="inlineStr">
        <is>
          <t>ASK Automotive Ltd</t>
        </is>
      </c>
      <c r="C16" s="30" t="inlineStr">
        <is>
          <t>auto</t>
        </is>
      </c>
      <c r="D16" s="30" t="inlineStr">
        <is>
          <t>auto ancillaries</t>
        </is>
      </c>
      <c r="E16" s="30" t="inlineStr">
        <is>
          <t>midcap</t>
        </is>
      </c>
      <c r="F16" s="30" t="n">
        <v>12568.83</v>
      </c>
      <c r="G16" s="30" t="n">
        <v>678.8</v>
      </c>
      <c r="H16" s="30" t="n">
        <v>6.47</v>
      </c>
      <c r="I16" s="30" t="n">
        <v>9246518</v>
      </c>
      <c r="J16" s="30" t="inlineStr">
        <is>
          <t>544022</t>
        </is>
      </c>
    </row>
    <row r="17">
      <c r="A17" s="30" t="inlineStr">
        <is>
          <t>TATATECH</t>
        </is>
      </c>
      <c r="B17" s="30" t="inlineStr">
        <is>
          <t>Tata Technologies Ltd</t>
        </is>
      </c>
      <c r="C17" s="30" t="inlineStr">
        <is>
          <t>i.t</t>
        </is>
      </c>
      <c r="D17" s="30" t="inlineStr">
        <is>
          <t>computers - software - medium / small</t>
        </is>
      </c>
      <c r="E17" s="30" t="inlineStr">
        <is>
          <t>largecap</t>
        </is>
      </c>
      <c r="F17" s="30" t="n">
        <v>30616.31</v>
      </c>
      <c r="G17" s="30" t="n">
        <v>801.55</v>
      </c>
      <c r="H17" s="30" t="n">
        <v>6.31</v>
      </c>
      <c r="I17" s="30" t="n">
        <v>8537872</v>
      </c>
      <c r="J17" s="30" t="inlineStr">
        <is>
          <t>544028</t>
        </is>
      </c>
    </row>
    <row r="18">
      <c r="A18" s="30" t="inlineStr">
        <is>
          <t>MAZDOCK</t>
        </is>
      </c>
      <c r="B18" s="30" t="inlineStr">
        <is>
          <t>Mazagon Dock Shipbuilders Ltd</t>
        </is>
      </c>
      <c r="C18" s="30" t="inlineStr">
        <is>
          <t>aerospace &amp; defence</t>
        </is>
      </c>
      <c r="D18" s="30" t="inlineStr">
        <is>
          <t>miscellaneous</t>
        </is>
      </c>
      <c r="E18" s="30" t="inlineStr">
        <is>
          <t>largecap</t>
        </is>
      </c>
      <c r="F18" s="30" t="n">
        <v>96024.61</v>
      </c>
      <c r="G18" s="30" t="n">
        <v>2530</v>
      </c>
      <c r="H18" s="30" t="n">
        <v>6.28</v>
      </c>
      <c r="I18" s="30" t="n">
        <v>8349270</v>
      </c>
      <c r="J18" s="30" t="inlineStr">
        <is>
          <t>543237</t>
        </is>
      </c>
    </row>
    <row r="19">
      <c r="A19" s="30" t="inlineStr">
        <is>
          <t>SHAILY</t>
        </is>
      </c>
      <c r="B19" s="30" t="inlineStr">
        <is>
          <t>Shaily Engineering Plastics Ltd</t>
        </is>
      </c>
      <c r="C19" s="30" t="inlineStr">
        <is>
          <t>plastic products</t>
        </is>
      </c>
      <c r="D19" s="30" t="inlineStr">
        <is>
          <t>plastics products</t>
        </is>
      </c>
      <c r="E19" s="30" t="inlineStr">
        <is>
          <t>midcap</t>
        </is>
      </c>
      <c r="F19" s="30" t="n">
        <v>14609.01</v>
      </c>
      <c r="G19" s="30" t="n">
        <v>3366.3</v>
      </c>
      <c r="H19" s="30" t="n">
        <v>5.99</v>
      </c>
      <c r="I19" s="30" t="n">
        <v>644900</v>
      </c>
      <c r="J19" s="30" t="inlineStr">
        <is>
          <t>501423</t>
        </is>
      </c>
    </row>
    <row r="20">
      <c r="A20" s="30" t="inlineStr">
        <is>
          <t>HAL</t>
        </is>
      </c>
      <c r="B20" s="30" t="inlineStr">
        <is>
          <t>Hindustan Aeronautics Ltd</t>
        </is>
      </c>
      <c r="C20" s="30" t="inlineStr">
        <is>
          <t>aerospace &amp; defence</t>
        </is>
      </c>
      <c r="D20" s="30" t="inlineStr">
        <is>
          <t>engineering</t>
        </is>
      </c>
      <c r="E20" s="30" t="inlineStr">
        <is>
          <t>largecap</t>
        </is>
      </c>
      <c r="F20" s="30" t="n">
        <v>310645.99</v>
      </c>
      <c r="G20" s="30" t="n">
        <v>4920</v>
      </c>
      <c r="H20" s="30" t="n">
        <v>5.92</v>
      </c>
      <c r="I20" s="30" t="n">
        <v>9571105</v>
      </c>
      <c r="J20" s="30" t="inlineStr">
        <is>
          <t>541154</t>
        </is>
      </c>
    </row>
    <row r="21">
      <c r="A21" s="30" t="inlineStr">
        <is>
          <t>RACLGEAR</t>
        </is>
      </c>
      <c r="B21" s="30" t="inlineStr">
        <is>
          <t>RACL Geartech Ltd</t>
        </is>
      </c>
      <c r="C21" s="30" t="inlineStr">
        <is>
          <t>auto</t>
        </is>
      </c>
      <c r="D21" s="30" t="inlineStr">
        <is>
          <t>auto ancillaries</t>
        </is>
      </c>
      <c r="E21" s="30" t="inlineStr">
        <is>
          <t>smallcap</t>
        </is>
      </c>
      <c r="F21" s="30" t="n">
        <v>1642.2</v>
      </c>
      <c r="G21" s="30" t="n">
        <v>1475</v>
      </c>
      <c r="H21" s="30" t="n">
        <v>5.88</v>
      </c>
      <c r="I21" s="30" t="n">
        <v>195869</v>
      </c>
      <c r="J21" s="30" t="inlineStr">
        <is>
          <t>520073</t>
        </is>
      </c>
    </row>
    <row r="22">
      <c r="A22" s="30" t="inlineStr">
        <is>
          <t>STOVEKRAFT</t>
        </is>
      </c>
      <c r="B22" s="30" t="inlineStr">
        <is>
          <t>Stove Kraft Ltd</t>
        </is>
      </c>
      <c r="C22" s="30" t="inlineStr">
        <is>
          <t>consumer discretionary</t>
        </is>
      </c>
      <c r="D22" s="30" t="inlineStr">
        <is>
          <t>domestic appliances</t>
        </is>
      </c>
      <c r="E22" s="30" t="inlineStr">
        <is>
          <t>smallcap</t>
        </is>
      </c>
      <c r="F22" s="30" t="n">
        <v>2502.91</v>
      </c>
      <c r="G22" s="30" t="n">
        <v>800.2</v>
      </c>
      <c r="H22" s="30" t="n">
        <v>5.85</v>
      </c>
      <c r="I22" s="30" t="n">
        <v>3348885</v>
      </c>
      <c r="J22" s="30" t="inlineStr">
        <is>
          <t>543260</t>
        </is>
      </c>
    </row>
    <row r="23">
      <c r="A23" s="30" t="inlineStr">
        <is>
          <t>MMFL</t>
        </is>
      </c>
      <c r="B23" s="30" t="inlineStr">
        <is>
          <t>Mm Forgings Limited</t>
        </is>
      </c>
      <c r="C23" s="30" t="inlineStr">
        <is>
          <t>industrials</t>
        </is>
      </c>
      <c r="D23" s="30" t="inlineStr">
        <is>
          <t>castings &amp; forgings</t>
        </is>
      </c>
      <c r="E23" s="30" t="inlineStr">
        <is>
          <t>smallcap</t>
        </is>
      </c>
      <c r="F23" s="30" t="n">
        <v>2754.71</v>
      </c>
      <c r="G23" s="30" t="n">
        <v>603.55</v>
      </c>
      <c r="H23" s="30" t="n">
        <v>5.78</v>
      </c>
      <c r="I23" s="30" t="n">
        <v>468390</v>
      </c>
      <c r="J23" s="30" t="inlineStr">
        <is>
          <t>522241</t>
        </is>
      </c>
    </row>
    <row r="24">
      <c r="A24" s="30" t="inlineStr">
        <is>
          <t>PGIL</t>
        </is>
      </c>
      <c r="B24" s="30" t="inlineStr">
        <is>
          <t>Pearl Global Industries Limited</t>
        </is>
      </c>
      <c r="C24" s="30" t="inlineStr">
        <is>
          <t>consumer discretionary</t>
        </is>
      </c>
      <c r="D24" s="30" t="inlineStr">
        <is>
          <t>textiles - products</t>
        </is>
      </c>
      <c r="E24" s="30" t="inlineStr">
        <is>
          <t>midcap</t>
        </is>
      </c>
      <c r="F24" s="30" t="n">
        <v>9719.450000000001</v>
      </c>
      <c r="G24" s="30" t="n">
        <v>2221.5</v>
      </c>
      <c r="H24" s="30" t="n">
        <v>5.56</v>
      </c>
      <c r="I24" s="30" t="n">
        <v>642556</v>
      </c>
      <c r="J24" s="30" t="inlineStr">
        <is>
          <t>532808</t>
        </is>
      </c>
    </row>
    <row r="25">
      <c r="A25" s="30" t="inlineStr">
        <is>
          <t>ROLEXRINGS</t>
        </is>
      </c>
      <c r="B25" s="30" t="inlineStr">
        <is>
          <t>Rolex Rings Ltd</t>
        </is>
      </c>
      <c r="C25" s="30" t="inlineStr">
        <is>
          <t>auto</t>
        </is>
      </c>
      <c r="D25" s="30" t="inlineStr">
        <is>
          <t>auto ancillaries</t>
        </is>
      </c>
      <c r="E25" s="30" t="inlineStr">
        <is>
          <t>smallcap</t>
        </is>
      </c>
      <c r="F25" s="30" t="n">
        <v>3943.93</v>
      </c>
      <c r="G25" s="30" t="n">
        <v>152.8</v>
      </c>
      <c r="H25" s="30" t="n">
        <v>5.51</v>
      </c>
      <c r="I25" s="30" t="n">
        <v>15721968</v>
      </c>
      <c r="J25" s="30" t="inlineStr">
        <is>
          <t>543325</t>
        </is>
      </c>
    </row>
    <row r="26">
      <c r="A26" s="30" t="inlineStr">
        <is>
          <t>MARINE</t>
        </is>
      </c>
      <c r="B26" s="30" t="inlineStr">
        <is>
          <t>Marine Electricals (India) Ltd</t>
        </is>
      </c>
      <c r="C26" s="30" t="inlineStr">
        <is>
          <t>industrials</t>
        </is>
      </c>
      <c r="D26" s="30" t="inlineStr">
        <is>
          <t>electric equipment</t>
        </is>
      </c>
      <c r="E26" s="30" t="inlineStr">
        <is>
          <t>smallcap</t>
        </is>
      </c>
      <c r="F26" s="30" t="n">
        <v>4275.3</v>
      </c>
      <c r="G26" s="30" t="n">
        <v>321.85</v>
      </c>
      <c r="H26" s="30" t="n">
        <v>5.35</v>
      </c>
      <c r="I26" s="30" t="n">
        <v>2276706</v>
      </c>
      <c r="J26" s="30" t="inlineStr">
        <is>
          <t>535119</t>
        </is>
      </c>
    </row>
    <row r="27">
      <c r="A27" s="30" t="inlineStr">
        <is>
          <t>SUNDRMFAST</t>
        </is>
      </c>
      <c r="B27" s="30" t="inlineStr">
        <is>
          <t>Sundram Fasteners Limited</t>
        </is>
      </c>
      <c r="C27" s="30" t="inlineStr">
        <is>
          <t>auto</t>
        </is>
      </c>
      <c r="D27" s="30" t="inlineStr">
        <is>
          <t>auto ancillaries</t>
        </is>
      </c>
      <c r="E27" s="30" t="inlineStr">
        <is>
          <t>largecap</t>
        </is>
      </c>
      <c r="F27" s="30" t="n">
        <v>21652.68</v>
      </c>
      <c r="G27" s="30" t="n">
        <v>1085.25</v>
      </c>
      <c r="H27" s="30" t="n">
        <v>5.32</v>
      </c>
      <c r="I27" s="30" t="n">
        <v>699524</v>
      </c>
      <c r="J27" s="30" t="inlineStr">
        <is>
          <t>500403</t>
        </is>
      </c>
    </row>
    <row r="28">
      <c r="A28" s="30" t="inlineStr">
        <is>
          <t>GARFIBRES</t>
        </is>
      </c>
      <c r="B28" s="30" t="inlineStr">
        <is>
          <t>Garware Technical Fibres Ltd</t>
        </is>
      </c>
      <c r="C28" s="30" t="inlineStr">
        <is>
          <t>textiles</t>
        </is>
      </c>
      <c r="D28" s="30" t="inlineStr">
        <is>
          <t>textiles - products</t>
        </is>
      </c>
      <c r="E28" s="30" t="inlineStr">
        <is>
          <t>midcap</t>
        </is>
      </c>
      <c r="F28" s="30" t="n">
        <v>7785.99</v>
      </c>
      <c r="G28" s="30" t="n">
        <v>838.85</v>
      </c>
      <c r="H28" s="30" t="n">
        <v>5.2</v>
      </c>
      <c r="I28" s="30" t="n">
        <v>544039</v>
      </c>
      <c r="J28" s="30" t="inlineStr">
        <is>
          <t>509557</t>
        </is>
      </c>
    </row>
    <row r="29">
      <c r="A29" s="30" t="inlineStr">
        <is>
          <t>KABRAEXTRU</t>
        </is>
      </c>
      <c r="B29" s="30" t="inlineStr">
        <is>
          <t>Kabra Extrusion Technik Limited</t>
        </is>
      </c>
      <c r="C29" s="30" t="inlineStr">
        <is>
          <t>industrials</t>
        </is>
      </c>
      <c r="D29" s="30" t="inlineStr">
        <is>
          <t>engineering</t>
        </is>
      </c>
      <c r="E29" s="30" t="inlineStr">
        <is>
          <t>smallcap</t>
        </is>
      </c>
      <c r="F29" s="30" t="n">
        <v>1589.17</v>
      </c>
      <c r="G29" s="30" t="n">
        <v>477.6</v>
      </c>
      <c r="H29" s="30" t="n">
        <v>5.11</v>
      </c>
      <c r="I29" s="30" t="n">
        <v>1101775</v>
      </c>
      <c r="J29" s="30" t="inlineStr">
        <is>
          <t>524109</t>
        </is>
      </c>
    </row>
    <row r="30">
      <c r="A30" s="30" t="inlineStr">
        <is>
          <t>KALYANKJIL</t>
        </is>
      </c>
      <c r="B30" s="30" t="inlineStr">
        <is>
          <t>Kalyan Jewellers India Ltd</t>
        </is>
      </c>
      <c r="C30" s="30" t="inlineStr">
        <is>
          <t>consumer discretionary</t>
        </is>
      </c>
      <c r="D30" s="30" t="inlineStr">
        <is>
          <t>diamond cutting / jewellery</t>
        </is>
      </c>
      <c r="E30" s="30" t="inlineStr">
        <is>
          <t>largecap</t>
        </is>
      </c>
      <c r="F30" s="30" t="n">
        <v>58814.55</v>
      </c>
      <c r="G30" s="30" t="n">
        <v>598</v>
      </c>
      <c r="H30" s="30" t="n">
        <v>5</v>
      </c>
      <c r="I30" s="30" t="n">
        <v>49077111</v>
      </c>
      <c r="J30" s="30" t="inlineStr">
        <is>
          <t>543278</t>
        </is>
      </c>
    </row>
    <row r="31">
      <c r="A31" s="30" t="inlineStr">
        <is>
          <t>DIACABS</t>
        </is>
      </c>
      <c r="B31" s="30" t="inlineStr">
        <is>
          <t>Diamond Power Infrastructure Ltd</t>
        </is>
      </c>
      <c r="C31" s="30" t="inlineStr">
        <is>
          <t>industrials</t>
        </is>
      </c>
      <c r="D31" s="30" t="inlineStr">
        <is>
          <t>cables - power</t>
        </is>
      </c>
      <c r="E31" s="30" t="inlineStr">
        <is>
          <t>midcap</t>
        </is>
      </c>
      <c r="F31" s="30" t="n">
        <v>17505.98</v>
      </c>
      <c r="G31" s="30" t="n">
        <v>348.8</v>
      </c>
      <c r="H31" s="30" t="n">
        <v>5</v>
      </c>
      <c r="I31" s="30" t="n">
        <v>704735</v>
      </c>
      <c r="J31" s="30" t="inlineStr">
        <is>
          <t>522163</t>
        </is>
      </c>
    </row>
    <row r="32">
      <c r="A32" s="30" t="inlineStr">
        <is>
          <t>BIRLACABLE</t>
        </is>
      </c>
      <c r="B32" s="30" t="inlineStr">
        <is>
          <t>Birla Cable Limited</t>
        </is>
      </c>
      <c r="C32" s="30" t="inlineStr">
        <is>
          <t>industrials</t>
        </is>
      </c>
      <c r="D32" s="30" t="inlineStr">
        <is>
          <t>cables - telephone</t>
        </is>
      </c>
      <c r="E32" s="30" t="inlineStr">
        <is>
          <t>smallcap</t>
        </is>
      </c>
      <c r="F32" s="30" t="n">
        <v>707.79</v>
      </c>
      <c r="G32" s="30" t="n">
        <v>247.72</v>
      </c>
      <c r="H32" s="30" t="n">
        <v>5</v>
      </c>
      <c r="I32" s="30" t="n">
        <v>45852</v>
      </c>
      <c r="J32" s="30" t="inlineStr">
        <is>
          <t>500060</t>
        </is>
      </c>
    </row>
    <row r="33">
      <c r="A33" s="30" t="inlineStr">
        <is>
          <t>IDEAFORGE</t>
        </is>
      </c>
      <c r="B33" s="30" t="inlineStr">
        <is>
          <t>Ideaforge Technology Ltd</t>
        </is>
      </c>
      <c r="C33" s="30" t="inlineStr">
        <is>
          <t>aerospace &amp; defence</t>
        </is>
      </c>
      <c r="D33" s="30" t="inlineStr">
        <is>
          <t>engineering</t>
        </is>
      </c>
      <c r="E33" s="30" t="inlineStr">
        <is>
          <t>smallcap</t>
        </is>
      </c>
      <c r="F33" s="30" t="n">
        <v>4334.57</v>
      </c>
      <c r="G33" s="30" t="n">
        <v>916</v>
      </c>
      <c r="H33" s="30" t="n">
        <v>5</v>
      </c>
      <c r="I33" s="30" t="n">
        <v>114363</v>
      </c>
      <c r="J33" s="30" t="inlineStr">
        <is>
          <t>543932</t>
        </is>
      </c>
    </row>
    <row r="34">
      <c r="A34" s="30" t="inlineStr">
        <is>
          <t>INDOTECH</t>
        </is>
      </c>
      <c r="B34" s="30" t="inlineStr">
        <is>
          <t>Indo Tech Transformers Limited</t>
        </is>
      </c>
      <c r="C34" s="30" t="inlineStr">
        <is>
          <t>industrials</t>
        </is>
      </c>
      <c r="D34" s="30" t="inlineStr">
        <is>
          <t>electric equipment</t>
        </is>
      </c>
      <c r="E34" s="30" t="inlineStr">
        <is>
          <t>smallcap</t>
        </is>
      </c>
      <c r="F34" s="30" t="n">
        <v>3830.85</v>
      </c>
      <c r="G34" s="30" t="n">
        <v>3787.5</v>
      </c>
      <c r="H34" s="30" t="n">
        <v>5</v>
      </c>
      <c r="I34" s="30" t="n">
        <v>22978</v>
      </c>
      <c r="J34" s="30" t="inlineStr">
        <is>
          <t>532717</t>
        </is>
      </c>
    </row>
    <row r="35">
      <c r="A35" s="30" t="inlineStr">
        <is>
          <t>GANDHAR</t>
        </is>
      </c>
      <c r="B35" s="30" t="inlineStr">
        <is>
          <t>Gandhar Oil Refinery (India) Ltd</t>
        </is>
      </c>
      <c r="C35" s="30" t="inlineStr">
        <is>
          <t>energy</t>
        </is>
      </c>
      <c r="D35" s="30" t="inlineStr">
        <is>
          <t>refineries</t>
        </is>
      </c>
      <c r="E35" s="30" t="inlineStr">
        <is>
          <t>smallcap</t>
        </is>
      </c>
      <c r="F35" s="30" t="n">
        <v>2265.03</v>
      </c>
      <c r="G35" s="30" t="n">
        <v>242.95</v>
      </c>
      <c r="H35" s="30" t="n">
        <v>4.99</v>
      </c>
      <c r="I35" s="30" t="n">
        <v>6759582</v>
      </c>
      <c r="J35" s="30" t="inlineStr">
        <is>
          <t>544029</t>
        </is>
      </c>
    </row>
    <row r="36">
      <c r="A36" s="30" t="inlineStr">
        <is>
          <t>IBULLSLTD</t>
        </is>
      </c>
      <c r="B36" s="30" t="inlineStr">
        <is>
          <t>Indiabulls Limited</t>
        </is>
      </c>
      <c r="C36" s="30" t="inlineStr">
        <is>
          <t>miscellaneous</t>
        </is>
      </c>
      <c r="D36" s="30" t="inlineStr">
        <is>
          <t>diversified - medium / small</t>
        </is>
      </c>
      <c r="E36" s="30" t="inlineStr">
        <is>
          <t>midcap</t>
        </is>
      </c>
      <c r="F36" s="30" t="n">
        <v>6767.32</v>
      </c>
      <c r="G36" s="30" t="n">
        <v>30.5</v>
      </c>
      <c r="H36" s="30" t="n">
        <v>4.99</v>
      </c>
      <c r="I36" s="30" t="n">
        <v>4589410</v>
      </c>
      <c r="J36" s="30" t="inlineStr">
        <is>
          <t>533520</t>
        </is>
      </c>
    </row>
    <row r="37">
      <c r="A37" s="30" t="inlineStr">
        <is>
          <t>SALSTEEL</t>
        </is>
      </c>
      <c r="B37" s="30" t="inlineStr">
        <is>
          <t>SAL Steel</t>
        </is>
      </c>
      <c r="C37" s="30" t="inlineStr">
        <is>
          <t>metals &amp; mining</t>
        </is>
      </c>
      <c r="D37" s="30" t="inlineStr">
        <is>
          <t>steel - sponge iron</t>
        </is>
      </c>
      <c r="E37" s="30" t="inlineStr">
        <is>
          <t>smallcap</t>
        </is>
      </c>
      <c r="F37" s="30" t="n">
        <v>865.5599999999999</v>
      </c>
      <c r="G37" s="30" t="n">
        <v>62.77</v>
      </c>
      <c r="H37" s="30" t="n">
        <v>4.98</v>
      </c>
      <c r="I37" s="30" t="n">
        <v>242873</v>
      </c>
      <c r="J37" s="30" t="inlineStr">
        <is>
          <t>532604</t>
        </is>
      </c>
    </row>
    <row r="38">
      <c r="A38" s="30" t="inlineStr">
        <is>
          <t>GRPLTD</t>
        </is>
      </c>
      <c r="B38" s="30" t="inlineStr">
        <is>
          <t>Grp Limited</t>
        </is>
      </c>
      <c r="C38" s="30" t="inlineStr">
        <is>
          <t>fmcg</t>
        </is>
      </c>
      <c r="D38" s="30" t="inlineStr">
        <is>
          <t>miscellaneous</t>
        </is>
      </c>
      <c r="E38" s="30" t="inlineStr">
        <is>
          <t>smallcap</t>
        </is>
      </c>
      <c r="F38" s="30" t="n">
        <v>1054.56</v>
      </c>
      <c r="G38" s="30" t="n">
        <v>2072</v>
      </c>
      <c r="H38" s="30" t="n">
        <v>4.79</v>
      </c>
      <c r="I38" s="30" t="n">
        <v>6011</v>
      </c>
      <c r="J38" s="30" t="inlineStr">
        <is>
          <t>509152</t>
        </is>
      </c>
    </row>
    <row r="39">
      <c r="A39" s="30" t="inlineStr">
        <is>
          <t>BORANA</t>
        </is>
      </c>
      <c r="B39" s="30" t="inlineStr">
        <is>
          <t>Borana Weaves Ltd</t>
        </is>
      </c>
      <c r="C39" s="30" t="inlineStr">
        <is>
          <t>textiles</t>
        </is>
      </c>
      <c r="D39" s="30" t="inlineStr">
        <is>
          <t>textiles - processing</t>
        </is>
      </c>
      <c r="E39" s="30" t="inlineStr">
        <is>
          <t>smallcap</t>
        </is>
      </c>
      <c r="F39" s="30" t="n">
        <v>877.96</v>
      </c>
      <c r="G39" s="30" t="n">
        <v>344.95</v>
      </c>
      <c r="H39" s="30" t="n">
        <v>4.69</v>
      </c>
      <c r="I39" s="30" t="n">
        <v>103927</v>
      </c>
      <c r="J39" s="30" t="n"/>
    </row>
    <row r="40">
      <c r="A40" s="30" t="inlineStr">
        <is>
          <t>DIFFNKG</t>
        </is>
      </c>
      <c r="B40" s="30" t="inlineStr">
        <is>
          <t>Diffusion Engineers Ltd</t>
        </is>
      </c>
      <c r="C40" s="30" t="inlineStr">
        <is>
          <t>industrials</t>
        </is>
      </c>
      <c r="D40" s="30" t="inlineStr">
        <is>
          <t>electrodes - welding equipment</t>
        </is>
      </c>
      <c r="E40" s="30" t="inlineStr">
        <is>
          <t>smallcap</t>
        </is>
      </c>
      <c r="F40" s="30" t="n">
        <v>1587.62</v>
      </c>
      <c r="G40" s="30" t="n">
        <v>443.9</v>
      </c>
      <c r="H40" s="30" t="n">
        <v>4.64</v>
      </c>
      <c r="I40" s="30" t="n">
        <v>787836</v>
      </c>
      <c r="J40" s="30" t="inlineStr">
        <is>
          <t>544264</t>
        </is>
      </c>
    </row>
    <row r="41">
      <c r="A41" s="30" t="inlineStr">
        <is>
          <t>TTKHLTCARE</t>
        </is>
      </c>
      <c r="B41" s="30" t="inlineStr">
        <is>
          <t>Ttk Healthcare Limited</t>
        </is>
      </c>
      <c r="C41" s="30" t="inlineStr">
        <is>
          <t>miscellaneous</t>
        </is>
      </c>
      <c r="D41" s="30" t="inlineStr">
        <is>
          <t>diversified - medium / small</t>
        </is>
      </c>
      <c r="E41" s="30" t="inlineStr">
        <is>
          <t>smallcap</t>
        </is>
      </c>
      <c r="F41" s="30" t="n">
        <v>1477.89</v>
      </c>
      <c r="G41" s="30" t="n">
        <v>1094.1</v>
      </c>
      <c r="H41" s="30" t="n">
        <v>4.61</v>
      </c>
      <c r="I41" s="30" t="n">
        <v>211813</v>
      </c>
      <c r="J41" s="30" t="inlineStr">
        <is>
          <t>507747</t>
        </is>
      </c>
    </row>
    <row r="42">
      <c r="A42" s="30" t="inlineStr">
        <is>
          <t>INDOAMIN</t>
        </is>
      </c>
      <c r="B42" s="30" t="inlineStr">
        <is>
          <t>Indo Amines Ltd</t>
        </is>
      </c>
      <c r="C42" s="30" t="inlineStr">
        <is>
          <t>chemicals</t>
        </is>
      </c>
      <c r="D42" s="30" t="inlineStr">
        <is>
          <t>chemicals</t>
        </is>
      </c>
      <c r="E42" s="30" t="inlineStr">
        <is>
          <t>smallcap</t>
        </is>
      </c>
      <c r="F42" s="30" t="n">
        <v>935.22</v>
      </c>
      <c r="G42" s="30" t="n">
        <v>134.7</v>
      </c>
      <c r="H42" s="30" t="n">
        <v>4.55</v>
      </c>
      <c r="I42" s="30" t="n">
        <v>143599</v>
      </c>
      <c r="J42" s="30" t="inlineStr">
        <is>
          <t>524648</t>
        </is>
      </c>
    </row>
    <row r="43">
      <c r="A43" s="30" t="inlineStr">
        <is>
          <t>BANSALWIRE</t>
        </is>
      </c>
      <c r="B43" s="30" t="inlineStr">
        <is>
          <t>Bansal Wire Industries Ltd</t>
        </is>
      </c>
      <c r="C43" s="30" t="inlineStr">
        <is>
          <t>metals &amp; mining</t>
        </is>
      </c>
      <c r="D43" s="30" t="inlineStr">
        <is>
          <t>steel - medium / small</t>
        </is>
      </c>
      <c r="E43" s="30" t="inlineStr">
        <is>
          <t>midcap</t>
        </is>
      </c>
      <c r="F43" s="30" t="n">
        <v>5015.27</v>
      </c>
      <c r="G43" s="30" t="n">
        <v>334.9</v>
      </c>
      <c r="H43" s="30" t="n">
        <v>4.54</v>
      </c>
      <c r="I43" s="30" t="n">
        <v>512649</v>
      </c>
      <c r="J43" s="30" t="inlineStr">
        <is>
          <t>544209</t>
        </is>
      </c>
    </row>
    <row r="44">
      <c r="A44" s="30" t="inlineStr">
        <is>
          <t>AIIL</t>
        </is>
      </c>
      <c r="B44" s="30" t="inlineStr">
        <is>
          <t>Authum Investment &amp; Infrastructure Ltd</t>
        </is>
      </c>
      <c r="C44" s="30" t="inlineStr">
        <is>
          <t>financials</t>
        </is>
      </c>
      <c r="D44" s="30" t="inlineStr">
        <is>
          <t>finance &amp; investments</t>
        </is>
      </c>
      <c r="E44" s="30" t="inlineStr">
        <is>
          <t>largecap</t>
        </is>
      </c>
      <c r="F44" s="30" t="n">
        <v>48448.31</v>
      </c>
      <c r="G44" s="30" t="n">
        <v>596.2</v>
      </c>
      <c r="H44" s="30" t="n">
        <v>4.5</v>
      </c>
      <c r="I44" s="30" t="n">
        <v>3428888</v>
      </c>
      <c r="J44" s="30" t="inlineStr">
        <is>
          <t>539177</t>
        </is>
      </c>
    </row>
    <row r="45">
      <c r="A45" s="30" t="inlineStr">
        <is>
          <t>SUTLEJTEX</t>
        </is>
      </c>
      <c r="B45" s="30" t="inlineStr">
        <is>
          <t>Sutlej Textiles And Industries Limited</t>
        </is>
      </c>
      <c r="C45" s="30" t="inlineStr">
        <is>
          <t>textiles</t>
        </is>
      </c>
      <c r="D45" s="30" t="inlineStr">
        <is>
          <t>textiles - cotton/blended</t>
        </is>
      </c>
      <c r="E45" s="30" t="inlineStr">
        <is>
          <t>smallcap</t>
        </is>
      </c>
      <c r="F45" s="30" t="n">
        <v>638.6</v>
      </c>
      <c r="G45" s="30" t="n">
        <v>40.71</v>
      </c>
      <c r="H45" s="30" t="n">
        <v>4.44</v>
      </c>
      <c r="I45" s="30" t="n">
        <v>127645</v>
      </c>
      <c r="J45" s="30" t="inlineStr">
        <is>
          <t>532782</t>
        </is>
      </c>
    </row>
    <row r="46">
      <c r="A46" s="30" t="inlineStr">
        <is>
          <t>GHCLTEXTIL</t>
        </is>
      </c>
      <c r="B46" s="30" t="inlineStr">
        <is>
          <t>GHCL Textiles Ltd</t>
        </is>
      </c>
      <c r="C46" s="30" t="inlineStr">
        <is>
          <t>textiles</t>
        </is>
      </c>
      <c r="D46" s="30" t="inlineStr">
        <is>
          <t>textiles - spinning - synthetic / blended</t>
        </is>
      </c>
      <c r="E46" s="30" t="inlineStr">
        <is>
          <t>smallcap</t>
        </is>
      </c>
      <c r="F46" s="30" t="n">
        <v>1098.85</v>
      </c>
      <c r="G46" s="30" t="n">
        <v>120</v>
      </c>
      <c r="H46" s="30" t="n">
        <v>4.38</v>
      </c>
      <c r="I46" s="30" t="n">
        <v>1855411</v>
      </c>
      <c r="J46" s="30" t="inlineStr">
        <is>
          <t>543918</t>
        </is>
      </c>
    </row>
    <row r="47">
      <c r="A47" s="30" t="inlineStr">
        <is>
          <t>MIDHANI</t>
        </is>
      </c>
      <c r="B47" s="30" t="inlineStr">
        <is>
          <t>Mishra Dhatu Nigam Ltd</t>
        </is>
      </c>
      <c r="C47" s="30" t="inlineStr">
        <is>
          <t>aerospace &amp; defence</t>
        </is>
      </c>
      <c r="D47" s="30" t="inlineStr">
        <is>
          <t>steel - medium / small</t>
        </is>
      </c>
      <c r="E47" s="30" t="inlineStr">
        <is>
          <t>midcap</t>
        </is>
      </c>
      <c r="F47" s="30" t="n">
        <v>7796.15</v>
      </c>
      <c r="G47" s="30" t="n">
        <v>434.25</v>
      </c>
      <c r="H47" s="30" t="n">
        <v>4.35</v>
      </c>
      <c r="I47" s="30" t="n">
        <v>3174076</v>
      </c>
      <c r="J47" s="30" t="inlineStr">
        <is>
          <t>541195</t>
        </is>
      </c>
    </row>
    <row r="48">
      <c r="A48" s="30" t="inlineStr">
        <is>
          <t>VHL</t>
        </is>
      </c>
      <c r="B48" s="30" t="inlineStr">
        <is>
          <t>Vardhman Holdings Limited</t>
        </is>
      </c>
      <c r="C48" s="30" t="inlineStr">
        <is>
          <t>financials</t>
        </is>
      </c>
      <c r="D48" s="30" t="inlineStr">
        <is>
          <t>finance &amp; investments</t>
        </is>
      </c>
      <c r="E48" s="30" t="inlineStr">
        <is>
          <t>smallcap</t>
        </is>
      </c>
      <c r="F48" s="30" t="n">
        <v>1095.46</v>
      </c>
      <c r="G48" s="30" t="n">
        <v>3579</v>
      </c>
      <c r="H48" s="30" t="n">
        <v>4.27</v>
      </c>
      <c r="I48" s="30" t="n">
        <v>7893</v>
      </c>
      <c r="J48" s="30" t="inlineStr">
        <is>
          <t>500439</t>
        </is>
      </c>
    </row>
    <row r="49">
      <c r="A49" s="30" t="inlineStr">
        <is>
          <t>SICALLOG</t>
        </is>
      </c>
      <c r="B49" s="30" t="inlineStr">
        <is>
          <t>Sical Logistics Ltd</t>
        </is>
      </c>
      <c r="C49" s="30" t="inlineStr">
        <is>
          <t>transportation</t>
        </is>
      </c>
      <c r="D49" s="30" t="inlineStr">
        <is>
          <t>miscellaneous</t>
        </is>
      </c>
      <c r="E49" s="30" t="inlineStr">
        <is>
          <t>smallcap</t>
        </is>
      </c>
      <c r="F49" s="30" t="n">
        <v>796.01</v>
      </c>
      <c r="G49" s="30" t="n">
        <v>103.99</v>
      </c>
      <c r="H49" s="30" t="n">
        <v>4.23</v>
      </c>
      <c r="I49" s="30" t="n">
        <v>51645</v>
      </c>
      <c r="J49" s="30" t="inlineStr">
        <is>
          <t>520086</t>
        </is>
      </c>
    </row>
    <row r="50">
      <c r="A50" s="30" t="inlineStr">
        <is>
          <t>UFBL</t>
        </is>
      </c>
      <c r="B50" s="30" t="inlineStr">
        <is>
          <t>United Foodbrands Ltd</t>
        </is>
      </c>
      <c r="C50" s="30" t="inlineStr">
        <is>
          <t>consumer discretionary</t>
        </is>
      </c>
      <c r="D50" s="30" t="inlineStr">
        <is>
          <t>hotels</t>
        </is>
      </c>
      <c r="E50" s="30" t="inlineStr">
        <is>
          <t>smallcap</t>
        </is>
      </c>
      <c r="F50" s="30" t="n">
        <v>3016.88</v>
      </c>
      <c r="G50" s="30" t="n">
        <v>804.3</v>
      </c>
      <c r="H50" s="30" t="n">
        <v>4.2</v>
      </c>
      <c r="I50" s="30" t="n">
        <v>274867</v>
      </c>
      <c r="J50" s="30" t="inlineStr">
        <is>
          <t>543283</t>
        </is>
      </c>
    </row>
    <row r="51">
      <c r="A51" s="30" t="inlineStr">
        <is>
          <t>CUPID</t>
        </is>
      </c>
      <c r="B51" s="30" t="inlineStr">
        <is>
          <t>Cupid Limited</t>
        </is>
      </c>
      <c r="C51" s="30" t="inlineStr">
        <is>
          <t>fmcg</t>
        </is>
      </c>
      <c r="D51" s="30" t="inlineStr">
        <is>
          <t>personal care - indian</t>
        </is>
      </c>
      <c r="E51" s="30" t="inlineStr">
        <is>
          <t>largecap</t>
        </is>
      </c>
      <c r="F51" s="30" t="n">
        <v>33900.24</v>
      </c>
      <c r="G51" s="30" t="n">
        <v>262.61</v>
      </c>
      <c r="H51" s="30" t="n">
        <v>4.16</v>
      </c>
      <c r="I51" s="30" t="n">
        <v>38625283</v>
      </c>
      <c r="J51" s="30" t="inlineStr">
        <is>
          <t>530843</t>
        </is>
      </c>
    </row>
    <row r="52">
      <c r="A52" s="30" t="inlineStr">
        <is>
          <t>SWANDEF</t>
        </is>
      </c>
      <c r="B52" s="30" t="inlineStr">
        <is>
          <t>Swan Defence and Heavy Industries Ltd</t>
        </is>
      </c>
      <c r="C52" s="30" t="inlineStr">
        <is>
          <t>transportation</t>
        </is>
      </c>
      <c r="D52" s="30" t="inlineStr">
        <is>
          <t>miscellaneous</t>
        </is>
      </c>
      <c r="E52" s="30" t="inlineStr">
        <is>
          <t>midcap</t>
        </is>
      </c>
      <c r="F52" s="30" t="n">
        <v>13441.85</v>
      </c>
      <c r="G52" s="30" t="n">
        <v>2650</v>
      </c>
      <c r="H52" s="30" t="n">
        <v>3.86</v>
      </c>
      <c r="I52" s="30" t="n">
        <v>23486</v>
      </c>
      <c r="J52" s="30" t="inlineStr">
        <is>
          <t>533107</t>
        </is>
      </c>
    </row>
    <row r="53">
      <c r="A53" s="30" t="inlineStr">
        <is>
          <t>UNIONBANK</t>
        </is>
      </c>
      <c r="B53" s="30" t="inlineStr">
        <is>
          <t>Union Bank Of India Ltd</t>
        </is>
      </c>
      <c r="C53" s="30" t="inlineStr">
        <is>
          <t>bank</t>
        </is>
      </c>
      <c r="D53" s="30" t="inlineStr">
        <is>
          <t>banks - public sector</t>
        </is>
      </c>
      <c r="E53" s="30" t="inlineStr">
        <is>
          <t>largecap</t>
        </is>
      </c>
      <c r="F53" s="30" t="n">
        <v>134198.79</v>
      </c>
      <c r="G53" s="30" t="n">
        <v>182.5</v>
      </c>
      <c r="H53" s="30" t="n">
        <v>3.81</v>
      </c>
      <c r="I53" s="30" t="n">
        <v>38880685</v>
      </c>
      <c r="J53" s="30" t="inlineStr">
        <is>
          <t>532477</t>
        </is>
      </c>
    </row>
    <row r="54">
      <c r="A54" s="30" t="inlineStr">
        <is>
          <t>KOTHARIPET</t>
        </is>
      </c>
      <c r="B54" s="30" t="inlineStr">
        <is>
          <t>Kothari Petrochemicals Limited</t>
        </is>
      </c>
      <c r="C54" s="30" t="inlineStr">
        <is>
          <t>energy</t>
        </is>
      </c>
      <c r="D54" s="30" t="inlineStr">
        <is>
          <t>petrochemicals</t>
        </is>
      </c>
      <c r="E54" s="30" t="inlineStr">
        <is>
          <t>smallcap</t>
        </is>
      </c>
      <c r="F54" s="30" t="n">
        <v>848.09</v>
      </c>
      <c r="G54" s="30" t="n">
        <v>149.53</v>
      </c>
      <c r="H54" s="30" t="n">
        <v>3.75</v>
      </c>
      <c r="I54" s="30" t="n">
        <v>312232</v>
      </c>
      <c r="J54" s="30" t="inlineStr">
        <is>
          <t>532096</t>
        </is>
      </c>
    </row>
    <row r="55">
      <c r="A55" s="30" t="inlineStr">
        <is>
          <t>DYNAMATECH</t>
        </is>
      </c>
      <c r="B55" s="30" t="inlineStr">
        <is>
          <t>Dynamatic Technologies Limited</t>
        </is>
      </c>
      <c r="C55" s="30" t="inlineStr">
        <is>
          <t>industrials</t>
        </is>
      </c>
      <c r="D55" s="30" t="inlineStr">
        <is>
          <t>engineering</t>
        </is>
      </c>
      <c r="E55" s="30" t="inlineStr">
        <is>
          <t>midcap</t>
        </is>
      </c>
      <c r="F55" s="30" t="n">
        <v>7465.83</v>
      </c>
      <c r="G55" s="30" t="n">
        <v>11403</v>
      </c>
      <c r="H55" s="30" t="n">
        <v>3.73</v>
      </c>
      <c r="I55" s="30" t="n">
        <v>20384</v>
      </c>
      <c r="J55" s="30" t="inlineStr">
        <is>
          <t>505242</t>
        </is>
      </c>
    </row>
    <row r="56">
      <c r="A56" s="30" t="inlineStr">
        <is>
          <t>STYLAMIND</t>
        </is>
      </c>
      <c r="B56" s="30" t="inlineStr">
        <is>
          <t>Stylam Industries Ltd</t>
        </is>
      </c>
      <c r="C56" s="30" t="inlineStr">
        <is>
          <t>building materials</t>
        </is>
      </c>
      <c r="D56" s="30" t="inlineStr">
        <is>
          <t>miscellaneous</t>
        </is>
      </c>
      <c r="E56" s="30" t="inlineStr">
        <is>
          <t>midcap</t>
        </is>
      </c>
      <c r="F56" s="30" t="n">
        <v>5874.03</v>
      </c>
      <c r="G56" s="30" t="n">
        <v>3594.3</v>
      </c>
      <c r="H56" s="30" t="n">
        <v>3.7</v>
      </c>
      <c r="I56" s="30" t="n">
        <v>60953</v>
      </c>
      <c r="J56" s="30" t="inlineStr">
        <is>
          <t>526951</t>
        </is>
      </c>
    </row>
    <row r="57">
      <c r="A57" s="30" t="inlineStr">
        <is>
          <t>TRITURBINE</t>
        </is>
      </c>
      <c r="B57" s="30" t="inlineStr">
        <is>
          <t>Triveni Turbine Limited</t>
        </is>
      </c>
      <c r="C57" s="30" t="inlineStr">
        <is>
          <t>industrials</t>
        </is>
      </c>
      <c r="D57" s="30" t="inlineStr">
        <is>
          <t>electric equipment</t>
        </is>
      </c>
      <c r="E57" s="30" t="inlineStr">
        <is>
          <t>midcap</t>
        </is>
      </c>
      <c r="F57" s="30" t="n">
        <v>19819.16</v>
      </c>
      <c r="G57" s="30" t="n">
        <v>646.35</v>
      </c>
      <c r="H57" s="30" t="n">
        <v>3.67</v>
      </c>
      <c r="I57" s="30" t="n">
        <v>1270213</v>
      </c>
      <c r="J57" s="30" t="inlineStr">
        <is>
          <t>533655</t>
        </is>
      </c>
    </row>
    <row r="58">
      <c r="A58" s="30" t="inlineStr">
        <is>
          <t>SUNFLAG</t>
        </is>
      </c>
      <c r="B58" s="30" t="inlineStr">
        <is>
          <t>Sunflag Iron And Steel Company Limited</t>
        </is>
      </c>
      <c r="C58" s="30" t="inlineStr">
        <is>
          <t>metals &amp; mining</t>
        </is>
      </c>
      <c r="D58" s="30" t="inlineStr">
        <is>
          <t>steel - medium / small</t>
        </is>
      </c>
      <c r="E58" s="30" t="inlineStr">
        <is>
          <t>midcap</t>
        </is>
      </c>
      <c r="F58" s="30" t="n">
        <v>6763.64</v>
      </c>
      <c r="G58" s="30" t="n">
        <v>388.95</v>
      </c>
      <c r="H58" s="30" t="n">
        <v>3.64</v>
      </c>
      <c r="I58" s="30" t="n">
        <v>896517</v>
      </c>
      <c r="J58" s="30" t="inlineStr">
        <is>
          <t>500404</t>
        </is>
      </c>
    </row>
    <row r="59">
      <c r="A59" s="30" t="inlineStr">
        <is>
          <t>SRM</t>
        </is>
      </c>
      <c r="B59" s="30" t="inlineStr">
        <is>
          <t>SRM Contractors Ltd</t>
        </is>
      </c>
      <c r="C59" s="30" t="inlineStr">
        <is>
          <t>realty</t>
        </is>
      </c>
      <c r="D59" s="30" t="inlineStr">
        <is>
          <t>construction</t>
        </is>
      </c>
      <c r="E59" s="30" t="inlineStr">
        <is>
          <t>smallcap</t>
        </is>
      </c>
      <c r="F59" s="30" t="n">
        <v>1171.42</v>
      </c>
      <c r="G59" s="30" t="n">
        <v>529.05</v>
      </c>
      <c r="H59" s="30" t="n">
        <v>3.62</v>
      </c>
      <c r="I59" s="30" t="n">
        <v>282926</v>
      </c>
      <c r="J59" s="30" t="inlineStr">
        <is>
          <t>544158</t>
        </is>
      </c>
    </row>
    <row r="60">
      <c r="A60" s="30" t="inlineStr">
        <is>
          <t>UJJIVANSFB</t>
        </is>
      </c>
      <c r="B60" s="30" t="inlineStr">
        <is>
          <t>Ujjivan Small Finance Bank Ltd</t>
        </is>
      </c>
      <c r="C60" s="30" t="inlineStr">
        <is>
          <t>bank</t>
        </is>
      </c>
      <c r="D60" s="30" t="inlineStr">
        <is>
          <t>banks - private sector</t>
        </is>
      </c>
      <c r="E60" s="30" t="inlineStr">
        <is>
          <t>midcap</t>
        </is>
      </c>
      <c r="F60" s="30" t="n">
        <v>13537.04</v>
      </c>
      <c r="G60" s="30" t="n">
        <v>72.05</v>
      </c>
      <c r="H60" s="30" t="n">
        <v>3.54</v>
      </c>
      <c r="I60" s="30" t="n">
        <v>16057454</v>
      </c>
      <c r="J60" s="30" t="inlineStr">
        <is>
          <t>542904</t>
        </is>
      </c>
    </row>
    <row r="61">
      <c r="A61" s="30" t="inlineStr">
        <is>
          <t>KINGFA</t>
        </is>
      </c>
      <c r="B61" s="30" t="inlineStr">
        <is>
          <t>Kingfa Science &amp; Technology (india) Limited</t>
        </is>
      </c>
      <c r="C61" s="30" t="inlineStr">
        <is>
          <t>plastic products</t>
        </is>
      </c>
      <c r="D61" s="30" t="inlineStr">
        <is>
          <t>plastics products</t>
        </is>
      </c>
      <c r="E61" s="30" t="inlineStr">
        <is>
          <t>midcap</t>
        </is>
      </c>
      <c r="F61" s="30" t="n">
        <v>6997.26</v>
      </c>
      <c r="G61" s="30" t="n">
        <v>5344</v>
      </c>
      <c r="H61" s="30" t="n">
        <v>3.5</v>
      </c>
      <c r="I61" s="30" t="n">
        <v>24760</v>
      </c>
      <c r="J61" s="30" t="inlineStr">
        <is>
          <t>524019</t>
        </is>
      </c>
    </row>
    <row r="62">
      <c r="A62" s="30" t="inlineStr">
        <is>
          <t>INDIGOPNTS</t>
        </is>
      </c>
      <c r="B62" s="30" t="inlineStr">
        <is>
          <t>Indigo Paints Ltd</t>
        </is>
      </c>
      <c r="C62" s="30" t="inlineStr">
        <is>
          <t>building materials</t>
        </is>
      </c>
      <c r="D62" s="30" t="inlineStr">
        <is>
          <t>paints / varnishes</t>
        </is>
      </c>
      <c r="E62" s="30" t="inlineStr">
        <is>
          <t>midcap</t>
        </is>
      </c>
      <c r="F62" s="30" t="n">
        <v>5200.46</v>
      </c>
      <c r="G62" s="30" t="n">
        <v>1128.6</v>
      </c>
      <c r="H62" s="30" t="n">
        <v>3.47</v>
      </c>
      <c r="I62" s="30" t="n">
        <v>94430</v>
      </c>
      <c r="J62" s="30" t="inlineStr">
        <is>
          <t>543258</t>
        </is>
      </c>
    </row>
    <row r="63">
      <c r="A63" s="30" t="inlineStr">
        <is>
          <t>AUBANK</t>
        </is>
      </c>
      <c r="B63" s="30" t="inlineStr">
        <is>
          <t>AU Small Finance Bank Ltd</t>
        </is>
      </c>
      <c r="C63" s="30" t="inlineStr">
        <is>
          <t>bank</t>
        </is>
      </c>
      <c r="D63" s="30" t="inlineStr">
        <is>
          <t>banks - private sector</t>
        </is>
      </c>
      <c r="E63" s="30" t="inlineStr">
        <is>
          <t>largecap</t>
        </is>
      </c>
      <c r="F63" s="30" t="n">
        <v>78739.42</v>
      </c>
      <c r="G63" s="30" t="n">
        <v>1087.6</v>
      </c>
      <c r="H63" s="30" t="n">
        <v>3.45</v>
      </c>
      <c r="I63" s="30" t="n">
        <v>9439528</v>
      </c>
      <c r="J63" s="30" t="inlineStr">
        <is>
          <t>540611</t>
        </is>
      </c>
    </row>
    <row r="64">
      <c r="A64" s="30" t="inlineStr">
        <is>
          <t>INDNIPPON</t>
        </is>
      </c>
      <c r="B64" s="30" t="inlineStr">
        <is>
          <t>India Nippon Electricals Limited</t>
        </is>
      </c>
      <c r="C64" s="30" t="inlineStr">
        <is>
          <t>auto</t>
        </is>
      </c>
      <c r="D64" s="30" t="inlineStr">
        <is>
          <t>auto ancillaries</t>
        </is>
      </c>
      <c r="E64" s="30" t="inlineStr">
        <is>
          <t>smallcap</t>
        </is>
      </c>
      <c r="F64" s="30" t="n">
        <v>2571.15</v>
      </c>
      <c r="G64" s="30" t="n">
        <v>1175</v>
      </c>
      <c r="H64" s="30" t="n">
        <v>3.38</v>
      </c>
      <c r="I64" s="30" t="n">
        <v>31621</v>
      </c>
      <c r="J64" s="30" t="inlineStr">
        <is>
          <t>532240</t>
        </is>
      </c>
    </row>
    <row r="65">
      <c r="A65" s="30" t="inlineStr">
        <is>
          <t>SAKAR</t>
        </is>
      </c>
      <c r="B65" s="30" t="inlineStr">
        <is>
          <t>Sakar Healthcare Ltd</t>
        </is>
      </c>
      <c r="C65" s="30" t="inlineStr">
        <is>
          <t>healthcare</t>
        </is>
      </c>
      <c r="D65" s="30" t="inlineStr">
        <is>
          <t>pharmaceuticals - indian - bulk drugs &amp; formln</t>
        </is>
      </c>
      <c r="E65" s="30" t="inlineStr">
        <is>
          <t>smallcap</t>
        </is>
      </c>
      <c r="F65" s="30" t="n">
        <v>1981.8</v>
      </c>
      <c r="G65" s="30" t="n">
        <v>919.7</v>
      </c>
      <c r="H65" s="30" t="n">
        <v>3.26</v>
      </c>
      <c r="I65" s="30" t="n">
        <v>132062</v>
      </c>
      <c r="J65" s="30" t="inlineStr">
        <is>
          <t>538377</t>
        </is>
      </c>
    </row>
    <row r="66">
      <c r="A66" s="30" t="inlineStr">
        <is>
          <t>MOREPENLAB</t>
        </is>
      </c>
      <c r="B66" s="30" t="inlineStr">
        <is>
          <t>Morepen Laboratories Limited</t>
        </is>
      </c>
      <c r="C66" s="30" t="inlineStr">
        <is>
          <t>healthcare</t>
        </is>
      </c>
      <c r="D66" s="30" t="inlineStr">
        <is>
          <t>pharmaceuticals - indian - bulk drugs &amp; formln</t>
        </is>
      </c>
      <c r="E66" s="30" t="inlineStr">
        <is>
          <t>smallcap</t>
        </is>
      </c>
      <c r="F66" s="30" t="n">
        <v>4216.5</v>
      </c>
      <c r="G66" s="30" t="n">
        <v>79.42</v>
      </c>
      <c r="H66" s="30" t="n">
        <v>3.21</v>
      </c>
      <c r="I66" s="30" t="n">
        <v>100581767</v>
      </c>
      <c r="J66" s="30" t="inlineStr">
        <is>
          <t>500288</t>
        </is>
      </c>
    </row>
    <row r="67">
      <c r="A67" s="30" t="inlineStr">
        <is>
          <t>AIAENG</t>
        </is>
      </c>
      <c r="B67" s="30" t="inlineStr">
        <is>
          <t>Aia Engineering Limited</t>
        </is>
      </c>
      <c r="C67" s="30" t="inlineStr">
        <is>
          <t>industrials</t>
        </is>
      </c>
      <c r="D67" s="30" t="inlineStr">
        <is>
          <t>castings &amp; forgings</t>
        </is>
      </c>
      <c r="E67" s="30" t="inlineStr">
        <is>
          <t>largecap</t>
        </is>
      </c>
      <c r="F67" s="30" t="n">
        <v>43362.24</v>
      </c>
      <c r="G67" s="30" t="n">
        <v>4795.4</v>
      </c>
      <c r="H67" s="30" t="n">
        <v>3.2</v>
      </c>
      <c r="I67" s="30" t="n">
        <v>82559</v>
      </c>
      <c r="J67" s="30" t="inlineStr">
        <is>
          <t>532683</t>
        </is>
      </c>
    </row>
    <row r="68">
      <c r="A68" s="30" t="inlineStr">
        <is>
          <t>CHOLAFIN</t>
        </is>
      </c>
      <c r="B68" s="30" t="inlineStr">
        <is>
          <t>Cholamandalam Investment And Finance Company Limited</t>
        </is>
      </c>
      <c r="C68" s="30" t="inlineStr">
        <is>
          <t>financials</t>
        </is>
      </c>
      <c r="D68" s="30" t="inlineStr">
        <is>
          <t>finance &amp; investments</t>
        </is>
      </c>
      <c r="E68" s="30" t="inlineStr">
        <is>
          <t>largecap</t>
        </is>
      </c>
      <c r="F68" s="30" t="n">
        <v>160286.29</v>
      </c>
      <c r="G68" s="30" t="n">
        <v>1940</v>
      </c>
      <c r="H68" s="30" t="n">
        <v>3.19</v>
      </c>
      <c r="I68" s="30" t="n">
        <v>5238115</v>
      </c>
      <c r="J68" s="30" t="inlineStr">
        <is>
          <t>511243</t>
        </is>
      </c>
    </row>
    <row r="69">
      <c r="A69" s="30" t="inlineStr">
        <is>
          <t>GALAPREC</t>
        </is>
      </c>
      <c r="B69" s="30" t="inlineStr">
        <is>
          <t>Gala Precision Engineering Ltd</t>
        </is>
      </c>
      <c r="C69" s="30" t="inlineStr">
        <is>
          <t>industrials</t>
        </is>
      </c>
      <c r="D69" s="30" t="inlineStr">
        <is>
          <t>fasteners</t>
        </is>
      </c>
      <c r="E69" s="30" t="inlineStr">
        <is>
          <t>smallcap</t>
        </is>
      </c>
      <c r="F69" s="30" t="n">
        <v>1441.18</v>
      </c>
      <c r="G69" s="30" t="n">
        <v>1160</v>
      </c>
      <c r="H69" s="30" t="n">
        <v>3.16</v>
      </c>
      <c r="I69" s="30" t="n">
        <v>60231</v>
      </c>
      <c r="J69" s="30" t="inlineStr">
        <is>
          <t>544244</t>
        </is>
      </c>
    </row>
    <row r="70">
      <c r="A70" s="30" t="inlineStr">
        <is>
          <t>AARTIIND</t>
        </is>
      </c>
      <c r="B70" s="30" t="inlineStr">
        <is>
          <t>Aarti Industries Limited</t>
        </is>
      </c>
      <c r="C70" s="30" t="inlineStr">
        <is>
          <t>chemicals</t>
        </is>
      </c>
      <c r="D70" s="30" t="inlineStr">
        <is>
          <t>chemicals</t>
        </is>
      </c>
      <c r="E70" s="30" t="inlineStr">
        <is>
          <t>midcap</t>
        </is>
      </c>
      <c r="F70" s="30" t="n">
        <v>17626.7</v>
      </c>
      <c r="G70" s="30" t="n">
        <v>501.2</v>
      </c>
      <c r="H70" s="30" t="n">
        <v>3.14</v>
      </c>
      <c r="I70" s="30" t="n">
        <v>2569948</v>
      </c>
      <c r="J70" s="30" t="inlineStr">
        <is>
          <t>524208</t>
        </is>
      </c>
    </row>
    <row r="71">
      <c r="A71" s="30" t="inlineStr">
        <is>
          <t>KRONOX</t>
        </is>
      </c>
      <c r="B71" s="30" t="inlineStr">
        <is>
          <t>Kronox Lab Sciences Ltd</t>
        </is>
      </c>
      <c r="C71" s="30" t="inlineStr">
        <is>
          <t>chemicals</t>
        </is>
      </c>
      <c r="D71" s="30" t="inlineStr">
        <is>
          <t>chemicals</t>
        </is>
      </c>
      <c r="E71" s="30" t="inlineStr">
        <is>
          <t>smallcap</t>
        </is>
      </c>
      <c r="F71" s="30" t="n">
        <v>600.08</v>
      </c>
      <c r="G71" s="30" t="n">
        <v>166.78</v>
      </c>
      <c r="H71" s="30" t="n">
        <v>3.12</v>
      </c>
      <c r="I71" s="30" t="n">
        <v>306885</v>
      </c>
      <c r="J71" s="30" t="inlineStr">
        <is>
          <t>544187</t>
        </is>
      </c>
    </row>
    <row r="72">
      <c r="A72" s="30" t="inlineStr">
        <is>
          <t>DCBBANK</t>
        </is>
      </c>
      <c r="B72" s="30" t="inlineStr">
        <is>
          <t>Dcb Bank Limited</t>
        </is>
      </c>
      <c r="C72" s="30" t="inlineStr">
        <is>
          <t>bank</t>
        </is>
      </c>
      <c r="D72" s="30" t="inlineStr">
        <is>
          <t>banks - private sector</t>
        </is>
      </c>
      <c r="E72" s="30" t="inlineStr">
        <is>
          <t>midcap</t>
        </is>
      </c>
      <c r="F72" s="30" t="n">
        <v>6091.13</v>
      </c>
      <c r="G72" s="30" t="n">
        <v>194.93</v>
      </c>
      <c r="H72" s="30" t="n">
        <v>3.07</v>
      </c>
      <c r="I72" s="30" t="n">
        <v>2804785</v>
      </c>
      <c r="J72" s="30" t="inlineStr">
        <is>
          <t>532772</t>
        </is>
      </c>
    </row>
    <row r="73">
      <c r="A73" s="30" t="inlineStr">
        <is>
          <t>MANCREDIT</t>
        </is>
      </c>
      <c r="B73" s="30" t="inlineStr">
        <is>
          <t>Mangal Credit &amp; Fincorp Ltd</t>
        </is>
      </c>
      <c r="C73" s="30" t="inlineStr">
        <is>
          <t>financials</t>
        </is>
      </c>
      <c r="D73" s="30" t="inlineStr">
        <is>
          <t>finance &amp; investments</t>
        </is>
      </c>
      <c r="E73" s="30" t="inlineStr">
        <is>
          <t>smallcap</t>
        </is>
      </c>
      <c r="F73" s="30" t="n">
        <v>517.5</v>
      </c>
      <c r="G73" s="30" t="n">
        <v>252.56</v>
      </c>
      <c r="H73" s="30" t="n">
        <v>3.04</v>
      </c>
      <c r="I73" s="30" t="n">
        <v>875147</v>
      </c>
      <c r="J73" s="30" t="inlineStr">
        <is>
          <t>505850</t>
        </is>
      </c>
    </row>
    <row r="74">
      <c r="A74" s="30" t="inlineStr">
        <is>
          <t>MACPOWER</t>
        </is>
      </c>
      <c r="B74" s="30" t="inlineStr">
        <is>
          <t>Macpower CNC Machines Ltd</t>
        </is>
      </c>
      <c r="C74" s="30" t="inlineStr">
        <is>
          <t>industrials</t>
        </is>
      </c>
      <c r="D74" s="30" t="inlineStr">
        <is>
          <t>engineering</t>
        </is>
      </c>
      <c r="E74" s="30" t="inlineStr">
        <is>
          <t>smallcap</t>
        </is>
      </c>
      <c r="F74" s="30" t="n">
        <v>1535.54</v>
      </c>
      <c r="G74" s="30" t="n">
        <v>1581</v>
      </c>
      <c r="H74" s="30" t="n">
        <v>3</v>
      </c>
      <c r="I74" s="30" t="n">
        <v>46677</v>
      </c>
      <c r="J74" s="30" t="inlineStr">
        <is>
          <t>535057</t>
        </is>
      </c>
    </row>
    <row r="75">
      <c r="A75" s="30" t="inlineStr">
        <is>
          <t>APARINDS</t>
        </is>
      </c>
      <c r="B75" s="30" t="inlineStr">
        <is>
          <t>Apar Industries Limited</t>
        </is>
      </c>
      <c r="C75" s="30" t="inlineStr">
        <is>
          <t>industrials</t>
        </is>
      </c>
      <c r="D75" s="30" t="inlineStr">
        <is>
          <t>electric equipment</t>
        </is>
      </c>
      <c r="E75" s="30" t="inlineStr">
        <is>
          <t>largecap</t>
        </is>
      </c>
      <c r="F75" s="30" t="n">
        <v>62936.96</v>
      </c>
      <c r="G75" s="30" t="n">
        <v>16126</v>
      </c>
      <c r="H75" s="30" t="n">
        <v>2.94</v>
      </c>
      <c r="I75" s="30" t="n">
        <v>207442</v>
      </c>
      <c r="J75" s="30" t="inlineStr">
        <is>
          <t>532259</t>
        </is>
      </c>
    </row>
    <row r="76">
      <c r="A76" s="30" t="inlineStr">
        <is>
          <t>PRECOT</t>
        </is>
      </c>
      <c r="B76" s="30" t="inlineStr">
        <is>
          <t>Precot Meridian Limited</t>
        </is>
      </c>
      <c r="C76" s="30" t="inlineStr">
        <is>
          <t>textiles</t>
        </is>
      </c>
      <c r="D76" s="30" t="inlineStr">
        <is>
          <t>textiles - cotton/blended</t>
        </is>
      </c>
      <c r="E76" s="30" t="inlineStr">
        <is>
          <t>smallcap</t>
        </is>
      </c>
      <c r="F76" s="30" t="n">
        <v>992.22</v>
      </c>
      <c r="G76" s="30" t="n">
        <v>851</v>
      </c>
      <c r="H76" s="30" t="n">
        <v>2.92</v>
      </c>
      <c r="I76" s="30" t="n">
        <v>14750</v>
      </c>
      <c r="J76" s="30" t="inlineStr">
        <is>
          <t>521184</t>
        </is>
      </c>
    </row>
    <row r="77">
      <c r="A77" s="30" t="inlineStr">
        <is>
          <t>HAPPYFORGE</t>
        </is>
      </c>
      <c r="B77" s="30" t="inlineStr">
        <is>
          <t>Happy Forgings Ltd</t>
        </is>
      </c>
      <c r="C77" s="30" t="inlineStr">
        <is>
          <t>industrials</t>
        </is>
      </c>
      <c r="D77" s="30" t="inlineStr">
        <is>
          <t>castings &amp; forgings</t>
        </is>
      </c>
      <c r="E77" s="30" t="inlineStr">
        <is>
          <t>midcap</t>
        </is>
      </c>
      <c r="F77" s="30" t="n">
        <v>17148.62</v>
      </c>
      <c r="G77" s="30" t="n">
        <v>1870</v>
      </c>
      <c r="H77" s="30" t="n">
        <v>2.92</v>
      </c>
      <c r="I77" s="30" t="n">
        <v>154891</v>
      </c>
      <c r="J77" s="30" t="inlineStr">
        <is>
          <t>544057</t>
        </is>
      </c>
    </row>
    <row r="78">
      <c r="A78" s="30" t="inlineStr">
        <is>
          <t>EDELWEISS</t>
        </is>
      </c>
      <c r="B78" s="30" t="inlineStr">
        <is>
          <t>Edelweiss Financial Services Limited</t>
        </is>
      </c>
      <c r="C78" s="30" t="inlineStr">
        <is>
          <t>financials</t>
        </is>
      </c>
      <c r="D78" s="30" t="inlineStr">
        <is>
          <t>finance &amp; investments</t>
        </is>
      </c>
      <c r="E78" s="30" t="inlineStr">
        <is>
          <t>midcap</t>
        </is>
      </c>
      <c r="F78" s="30" t="n">
        <v>11148.25</v>
      </c>
      <c r="G78" s="30" t="n">
        <v>121.16</v>
      </c>
      <c r="H78" s="30" t="n">
        <v>2.87</v>
      </c>
      <c r="I78" s="30" t="n">
        <v>11630931</v>
      </c>
      <c r="J78" s="30" t="inlineStr">
        <is>
          <t>532922</t>
        </is>
      </c>
    </row>
    <row r="79">
      <c r="A79" s="30" t="inlineStr">
        <is>
          <t>RBA</t>
        </is>
      </c>
      <c r="B79" s="30" t="inlineStr">
        <is>
          <t>Restaurant Brands Asia Ltd</t>
        </is>
      </c>
      <c r="C79" s="30" t="inlineStr">
        <is>
          <t>consumer discretionary</t>
        </is>
      </c>
      <c r="D79" s="30" t="inlineStr">
        <is>
          <t>hotels</t>
        </is>
      </c>
      <c r="E79" s="30" t="inlineStr">
        <is>
          <t>midcap</t>
        </is>
      </c>
      <c r="F79" s="30" t="n">
        <v>6244.62</v>
      </c>
      <c r="G79" s="30" t="n">
        <v>90.25</v>
      </c>
      <c r="H79" s="30" t="n">
        <v>2.86</v>
      </c>
      <c r="I79" s="30" t="n">
        <v>50121871</v>
      </c>
      <c r="J79" s="30" t="inlineStr">
        <is>
          <t>543248</t>
        </is>
      </c>
    </row>
    <row r="80">
      <c r="A80" s="30" t="inlineStr">
        <is>
          <t>SBIN</t>
        </is>
      </c>
      <c r="B80" s="30" t="inlineStr">
        <is>
          <t>State Bank Of India Ltd</t>
        </is>
      </c>
      <c r="C80" s="30" t="inlineStr">
        <is>
          <t>bank</t>
        </is>
      </c>
      <c r="D80" s="30" t="inlineStr">
        <is>
          <t>banks - public sector</t>
        </is>
      </c>
      <c r="E80" s="30" t="inlineStr">
        <is>
          <t>largecap</t>
        </is>
      </c>
      <c r="F80" s="30" t="n">
        <v>973830.16</v>
      </c>
      <c r="G80" s="30" t="n">
        <v>1085</v>
      </c>
      <c r="H80" s="30" t="n">
        <v>2.84</v>
      </c>
      <c r="I80" s="30" t="n">
        <v>27235922</v>
      </c>
      <c r="J80" s="30" t="inlineStr">
        <is>
          <t>500112</t>
        </is>
      </c>
    </row>
    <row r="81">
      <c r="A81" s="30" t="inlineStr">
        <is>
          <t>VARROC</t>
        </is>
      </c>
      <c r="B81" s="30" t="inlineStr">
        <is>
          <t>Varroc Engineering Ltd</t>
        </is>
      </c>
      <c r="C81" s="30" t="inlineStr">
        <is>
          <t>auto</t>
        </is>
      </c>
      <c r="D81" s="30" t="inlineStr">
        <is>
          <t>auto ancillaries</t>
        </is>
      </c>
      <c r="E81" s="30" t="inlineStr">
        <is>
          <t>midcap</t>
        </is>
      </c>
      <c r="F81" s="30" t="n">
        <v>10963.95</v>
      </c>
      <c r="G81" s="30" t="n">
        <v>737.85</v>
      </c>
      <c r="H81" s="30" t="n">
        <v>2.82</v>
      </c>
      <c r="I81" s="30" t="n">
        <v>796119</v>
      </c>
      <c r="J81" s="30" t="inlineStr">
        <is>
          <t>541578</t>
        </is>
      </c>
    </row>
    <row r="82">
      <c r="A82" s="30" t="inlineStr">
        <is>
          <t>THEJO</t>
        </is>
      </c>
      <c r="B82" s="30" t="inlineStr">
        <is>
          <t>Thejo Engineering Ltd</t>
        </is>
      </c>
      <c r="C82" s="30" t="inlineStr">
        <is>
          <t>industrials</t>
        </is>
      </c>
      <c r="D82" s="30" t="inlineStr">
        <is>
          <t>engineering</t>
        </is>
      </c>
      <c r="E82" s="30" t="inlineStr">
        <is>
          <t>smallcap</t>
        </is>
      </c>
      <c r="F82" s="30" t="n">
        <v>2278.19</v>
      </c>
      <c r="G82" s="30" t="n">
        <v>2159.1</v>
      </c>
      <c r="H82" s="30" t="n">
        <v>2.8</v>
      </c>
      <c r="I82" s="30" t="n">
        <v>6757</v>
      </c>
      <c r="J82" s="30" t="inlineStr">
        <is>
          <t>500492</t>
        </is>
      </c>
    </row>
    <row r="83">
      <c r="A83" s="30" t="inlineStr">
        <is>
          <t>INDIANB</t>
        </is>
      </c>
      <c r="B83" s="30" t="inlineStr">
        <is>
          <t>Indian Bank Ltd</t>
        </is>
      </c>
      <c r="C83" s="30" t="inlineStr">
        <is>
          <t>bank</t>
        </is>
      </c>
      <c r="D83" s="30" t="inlineStr">
        <is>
          <t>banks - public sector</t>
        </is>
      </c>
      <c r="E83" s="30" t="inlineStr">
        <is>
          <t>largecap</t>
        </is>
      </c>
      <c r="F83" s="30" t="n">
        <v>115030.72</v>
      </c>
      <c r="G83" s="30" t="n">
        <v>877.9</v>
      </c>
      <c r="H83" s="30" t="n">
        <v>2.8</v>
      </c>
      <c r="I83" s="30" t="n">
        <v>5128143</v>
      </c>
      <c r="J83" s="30" t="inlineStr">
        <is>
          <t>532814</t>
        </is>
      </c>
    </row>
    <row r="84">
      <c r="A84" s="30" t="inlineStr">
        <is>
          <t>TNPL</t>
        </is>
      </c>
      <c r="B84" s="30" t="inlineStr">
        <is>
          <t>Tamil Nadu Newsprint &amp; Papers Limited</t>
        </is>
      </c>
      <c r="C84" s="30" t="inlineStr">
        <is>
          <t>building materials</t>
        </is>
      </c>
      <c r="D84" s="30" t="inlineStr">
        <is>
          <t>paper</t>
        </is>
      </c>
      <c r="E84" s="30" t="inlineStr">
        <is>
          <t>smallcap</t>
        </is>
      </c>
      <c r="F84" s="30" t="n">
        <v>1062.31</v>
      </c>
      <c r="G84" s="30" t="n">
        <v>157.73</v>
      </c>
      <c r="H84" s="30" t="n">
        <v>2.76</v>
      </c>
      <c r="I84" s="30" t="n">
        <v>198280</v>
      </c>
      <c r="J84" s="30" t="inlineStr">
        <is>
          <t>531426</t>
        </is>
      </c>
    </row>
    <row r="85">
      <c r="A85" s="30" t="inlineStr">
        <is>
          <t>BIOCON</t>
        </is>
      </c>
      <c r="B85" s="30" t="inlineStr">
        <is>
          <t>Biocon Limited</t>
        </is>
      </c>
      <c r="C85" s="30" t="inlineStr">
        <is>
          <t>healthcare</t>
        </is>
      </c>
      <c r="D85" s="30" t="inlineStr">
        <is>
          <t>pharmaceuticals - indian - bulk drugs &amp; formln</t>
        </is>
      </c>
      <c r="E85" s="30" t="inlineStr">
        <is>
          <t>largecap</t>
        </is>
      </c>
      <c r="F85" s="30" t="n">
        <v>69294.59</v>
      </c>
      <c r="G85" s="30" t="n">
        <v>436.6</v>
      </c>
      <c r="H85" s="30" t="n">
        <v>2.68</v>
      </c>
      <c r="I85" s="30" t="n">
        <v>21771221</v>
      </c>
      <c r="J85" s="30" t="inlineStr">
        <is>
          <t>532523</t>
        </is>
      </c>
    </row>
    <row r="86">
      <c r="A86" s="30" t="inlineStr">
        <is>
          <t>SCI</t>
        </is>
      </c>
      <c r="B86" s="30" t="inlineStr">
        <is>
          <t>Shipping Corporation Of India Limited</t>
        </is>
      </c>
      <c r="C86" s="30" t="inlineStr">
        <is>
          <t>transportation</t>
        </is>
      </c>
      <c r="D86" s="30" t="inlineStr">
        <is>
          <t>shipping</t>
        </is>
      </c>
      <c r="E86" s="30" t="inlineStr">
        <is>
          <t>midcap</t>
        </is>
      </c>
      <c r="F86" s="30" t="n">
        <v>14006.58</v>
      </c>
      <c r="G86" s="30" t="n">
        <v>308.6</v>
      </c>
      <c r="H86" s="30" t="n">
        <v>2.63</v>
      </c>
      <c r="I86" s="30" t="n">
        <v>5638778</v>
      </c>
      <c r="J86" s="30" t="inlineStr">
        <is>
          <t>523598</t>
        </is>
      </c>
    </row>
    <row r="87">
      <c r="A87" s="30" t="inlineStr">
        <is>
          <t>SUBEXLTD</t>
        </is>
      </c>
      <c r="B87" s="30" t="inlineStr">
        <is>
          <t>Subex Ltd</t>
        </is>
      </c>
      <c r="C87" s="30" t="inlineStr">
        <is>
          <t>i.t</t>
        </is>
      </c>
      <c r="D87" s="30" t="inlineStr">
        <is>
          <t>computers - software - medium / small</t>
        </is>
      </c>
      <c r="E87" s="30" t="inlineStr">
        <is>
          <t>smallcap</t>
        </is>
      </c>
      <c r="F87" s="30" t="n">
        <v>773.88</v>
      </c>
      <c r="G87" s="30" t="n">
        <v>14.13</v>
      </c>
      <c r="H87" s="30" t="n">
        <v>2.61</v>
      </c>
      <c r="I87" s="30" t="n">
        <v>2392034</v>
      </c>
      <c r="J87" s="30" t="inlineStr">
        <is>
          <t>532348</t>
        </is>
      </c>
    </row>
    <row r="88">
      <c r="A88" s="30" t="inlineStr">
        <is>
          <t>GUFICBIO</t>
        </is>
      </c>
      <c r="B88" s="30" t="inlineStr">
        <is>
          <t>Gufic Biosciences Limited</t>
        </is>
      </c>
      <c r="C88" s="30" t="inlineStr">
        <is>
          <t>healthcare</t>
        </is>
      </c>
      <c r="D88" s="30" t="inlineStr">
        <is>
          <t>pharmaceuticals - indian - bulk drugs &amp; formln</t>
        </is>
      </c>
      <c r="E88" s="30" t="inlineStr">
        <is>
          <t>smallcap</t>
        </is>
      </c>
      <c r="F88" s="30" t="n">
        <v>3954.64</v>
      </c>
      <c r="G88" s="30" t="n">
        <v>404.35</v>
      </c>
      <c r="H88" s="30" t="n">
        <v>2.54</v>
      </c>
      <c r="I88" s="30" t="n">
        <v>102723</v>
      </c>
      <c r="J88" s="30" t="inlineStr">
        <is>
          <t>509079</t>
        </is>
      </c>
    </row>
    <row r="89">
      <c r="A89" s="30" t="inlineStr">
        <is>
          <t>PNBHOUSING</t>
        </is>
      </c>
      <c r="B89" s="30" t="inlineStr">
        <is>
          <t>Pnb Housing Finance Limited</t>
        </is>
      </c>
      <c r="C89" s="30" t="inlineStr">
        <is>
          <t>financials</t>
        </is>
      </c>
      <c r="D89" s="30" t="inlineStr">
        <is>
          <t>finance - housing</t>
        </is>
      </c>
      <c r="E89" s="30" t="inlineStr">
        <is>
          <t>largecap</t>
        </is>
      </c>
      <c r="F89" s="30" t="n">
        <v>29227.77</v>
      </c>
      <c r="G89" s="30" t="n">
        <v>1150</v>
      </c>
      <c r="H89" s="30" t="n">
        <v>2.53</v>
      </c>
      <c r="I89" s="30" t="n">
        <v>3864943</v>
      </c>
      <c r="J89" s="30" t="inlineStr">
        <is>
          <t>540173</t>
        </is>
      </c>
    </row>
    <row r="90">
      <c r="A90" s="30" t="inlineStr">
        <is>
          <t>NAHARINDUS</t>
        </is>
      </c>
      <c r="B90" s="30" t="inlineStr">
        <is>
          <t>Nahar Industrial Enterprises Limited</t>
        </is>
      </c>
      <c r="C90" s="30" t="inlineStr">
        <is>
          <t>textiles</t>
        </is>
      </c>
      <c r="D90" s="30" t="inlineStr">
        <is>
          <t>textiles - cotton/blended</t>
        </is>
      </c>
      <c r="E90" s="30" t="inlineStr">
        <is>
          <t>smallcap</t>
        </is>
      </c>
      <c r="F90" s="30" t="n">
        <v>510.04</v>
      </c>
      <c r="G90" s="30" t="n">
        <v>121</v>
      </c>
      <c r="H90" s="30" t="n">
        <v>2.5</v>
      </c>
      <c r="I90" s="30" t="n">
        <v>13369</v>
      </c>
      <c r="J90" s="30" t="inlineStr">
        <is>
          <t>519136</t>
        </is>
      </c>
    </row>
    <row r="91">
      <c r="A91" s="30" t="inlineStr">
        <is>
          <t>GLAND</t>
        </is>
      </c>
      <c r="B91" s="30" t="inlineStr">
        <is>
          <t>Gland Pharma Ltd</t>
        </is>
      </c>
      <c r="C91" s="30" t="inlineStr">
        <is>
          <t>healthcare</t>
        </is>
      </c>
      <c r="D91" s="30" t="inlineStr">
        <is>
          <t>pharmaceuticals - indian - formulations</t>
        </is>
      </c>
      <c r="E91" s="30" t="inlineStr">
        <is>
          <t>largecap</t>
        </is>
      </c>
      <c r="F91" s="30" t="n">
        <v>41983.89</v>
      </c>
      <c r="G91" s="30" t="n">
        <v>2608.3</v>
      </c>
      <c r="H91" s="30" t="n">
        <v>2.48</v>
      </c>
      <c r="I91" s="30" t="n">
        <v>503698</v>
      </c>
      <c r="J91" s="30" t="inlineStr">
        <is>
          <t>543245</t>
        </is>
      </c>
    </row>
    <row r="92">
      <c r="A92" s="30" t="inlineStr">
        <is>
          <t>GOODLUCK</t>
        </is>
      </c>
      <c r="B92" s="30" t="inlineStr">
        <is>
          <t>Goodluck India Limited</t>
        </is>
      </c>
      <c r="C92" s="30" t="inlineStr">
        <is>
          <t>metals &amp; mining</t>
        </is>
      </c>
      <c r="D92" s="30" t="inlineStr">
        <is>
          <t>steel - medium / small</t>
        </is>
      </c>
      <c r="E92" s="30" t="inlineStr">
        <is>
          <t>smallcap</t>
        </is>
      </c>
      <c r="F92" s="30" t="n">
        <v>4977.8</v>
      </c>
      <c r="G92" s="30" t="n">
        <v>1534.1</v>
      </c>
      <c r="H92" s="30" t="n">
        <v>2.44</v>
      </c>
      <c r="I92" s="30" t="n">
        <v>1035503</v>
      </c>
      <c r="J92" s="30" t="inlineStr">
        <is>
          <t>530655</t>
        </is>
      </c>
    </row>
    <row r="93">
      <c r="A93" s="30" t="inlineStr">
        <is>
          <t>GREENLAM</t>
        </is>
      </c>
      <c r="B93" s="30" t="inlineStr">
        <is>
          <t>Greenlam Industries Limited</t>
        </is>
      </c>
      <c r="C93" s="30" t="inlineStr">
        <is>
          <t>building materials</t>
        </is>
      </c>
      <c r="D93" s="30" t="inlineStr">
        <is>
          <t>miscellaneous</t>
        </is>
      </c>
      <c r="E93" s="30" t="inlineStr">
        <is>
          <t>midcap</t>
        </is>
      </c>
      <c r="F93" s="30" t="n">
        <v>6804.79</v>
      </c>
      <c r="G93" s="30" t="n">
        <v>273.15</v>
      </c>
      <c r="H93" s="30" t="n">
        <v>2.42</v>
      </c>
      <c r="I93" s="30" t="n">
        <v>424698</v>
      </c>
      <c r="J93" s="30" t="inlineStr">
        <is>
          <t>538979</t>
        </is>
      </c>
    </row>
    <row r="94">
      <c r="A94" s="30" t="inlineStr">
        <is>
          <t>MEDANTA</t>
        </is>
      </c>
      <c r="B94" s="30" t="inlineStr">
        <is>
          <t>Global Health Ltd</t>
        </is>
      </c>
      <c r="C94" s="30" t="inlineStr">
        <is>
          <t>healthcare</t>
        </is>
      </c>
      <c r="D94" s="30" t="inlineStr">
        <is>
          <t>healthcare</t>
        </is>
      </c>
      <c r="E94" s="30" t="inlineStr">
        <is>
          <t>largecap</t>
        </is>
      </c>
      <c r="F94" s="30" t="n">
        <v>37918.99</v>
      </c>
      <c r="G94" s="30" t="n">
        <v>1444.3</v>
      </c>
      <c r="H94" s="30" t="n">
        <v>2.41</v>
      </c>
      <c r="I94" s="30" t="n">
        <v>362612</v>
      </c>
      <c r="J94" s="30" t="inlineStr">
        <is>
          <t>543654</t>
        </is>
      </c>
    </row>
    <row r="95">
      <c r="A95" s="30" t="inlineStr">
        <is>
          <t>ROSSTECH</t>
        </is>
      </c>
      <c r="B95" s="30" t="inlineStr">
        <is>
          <t>Rossell Techsys Ltd</t>
        </is>
      </c>
      <c r="C95" s="30" t="inlineStr">
        <is>
          <t>aerospace &amp; defence</t>
        </is>
      </c>
      <c r="D95" s="30" t="inlineStr">
        <is>
          <t>engineering</t>
        </is>
      </c>
      <c r="E95" s="30" t="inlineStr">
        <is>
          <t>smallcap</t>
        </is>
      </c>
      <c r="F95" s="30" t="n">
        <v>4013.36</v>
      </c>
      <c r="G95" s="30" t="n">
        <v>1090.2</v>
      </c>
      <c r="H95" s="30" t="n">
        <v>2.4</v>
      </c>
      <c r="I95" s="30" t="n">
        <v>275629</v>
      </c>
      <c r="J95" s="30" t="inlineStr">
        <is>
          <t>544294</t>
        </is>
      </c>
    </row>
    <row r="96">
      <c r="A96" s="30" t="inlineStr">
        <is>
          <t>KTKBANK</t>
        </is>
      </c>
      <c r="B96" s="30" t="inlineStr">
        <is>
          <t>The Karnataka Bank Limited</t>
        </is>
      </c>
      <c r="C96" s="30" t="inlineStr">
        <is>
          <t>bank</t>
        </is>
      </c>
      <c r="D96" s="30" t="inlineStr">
        <is>
          <t>banks - private sector</t>
        </is>
      </c>
      <c r="E96" s="30" t="inlineStr">
        <is>
          <t>midcap</t>
        </is>
      </c>
      <c r="F96" s="30" t="n">
        <v>11332.86</v>
      </c>
      <c r="G96" s="30" t="n">
        <v>306.8</v>
      </c>
      <c r="H96" s="30" t="n">
        <v>2.39</v>
      </c>
      <c r="I96" s="30" t="n">
        <v>7797727</v>
      </c>
      <c r="J96" s="30" t="inlineStr">
        <is>
          <t>532652</t>
        </is>
      </c>
    </row>
    <row r="97">
      <c r="A97" s="30" t="inlineStr">
        <is>
          <t>SHILPAMED</t>
        </is>
      </c>
      <c r="B97" s="30" t="inlineStr">
        <is>
          <t>Shilpa Medicare Limited</t>
        </is>
      </c>
      <c r="C97" s="30" t="inlineStr">
        <is>
          <t>healthcare</t>
        </is>
      </c>
      <c r="D97" s="30" t="inlineStr">
        <is>
          <t>pharmaceuticals - indian - formulations</t>
        </is>
      </c>
      <c r="E97" s="30" t="inlineStr">
        <is>
          <t>midcap</t>
        </is>
      </c>
      <c r="F97" s="30" t="n">
        <v>14116.12</v>
      </c>
      <c r="G97" s="30" t="n">
        <v>738.8</v>
      </c>
      <c r="H97" s="30" t="n">
        <v>2.36</v>
      </c>
      <c r="I97" s="30" t="n">
        <v>20729663</v>
      </c>
      <c r="J97" s="30" t="inlineStr">
        <is>
          <t>530549</t>
        </is>
      </c>
    </row>
    <row r="98">
      <c r="A98" s="30" t="inlineStr">
        <is>
          <t>RELAXO</t>
        </is>
      </c>
      <c r="B98" s="30" t="inlineStr">
        <is>
          <t>Relaxo Footwears Limited</t>
        </is>
      </c>
      <c r="C98" s="30" t="inlineStr">
        <is>
          <t>consumer discretionary</t>
        </is>
      </c>
      <c r="D98" s="30" t="inlineStr">
        <is>
          <t>leather / leather products</t>
        </is>
      </c>
      <c r="E98" s="30" t="inlineStr">
        <is>
          <t>midcap</t>
        </is>
      </c>
      <c r="F98" s="30" t="n">
        <v>10359.58</v>
      </c>
      <c r="G98" s="30" t="n">
        <v>425.8</v>
      </c>
      <c r="H98" s="30" t="n">
        <v>2.32</v>
      </c>
      <c r="I98" s="30" t="n">
        <v>496257</v>
      </c>
      <c r="J98" s="30" t="inlineStr">
        <is>
          <t>530517</t>
        </is>
      </c>
    </row>
    <row r="99">
      <c r="A99" s="30" t="inlineStr">
        <is>
          <t>PRECWIRE</t>
        </is>
      </c>
      <c r="B99" s="30" t="inlineStr">
        <is>
          <t>Precision Wires India Limited</t>
        </is>
      </c>
      <c r="C99" s="30" t="inlineStr">
        <is>
          <t>metals &amp; mining</t>
        </is>
      </c>
      <c r="D99" s="30" t="inlineStr">
        <is>
          <t>mining / minerals / metals</t>
        </is>
      </c>
      <c r="E99" s="30" t="inlineStr">
        <is>
          <t>midcap</t>
        </is>
      </c>
      <c r="F99" s="30" t="n">
        <v>7485.99</v>
      </c>
      <c r="G99" s="30" t="n">
        <v>418.95</v>
      </c>
      <c r="H99" s="30" t="n">
        <v>2.31</v>
      </c>
      <c r="I99" s="30" t="n">
        <v>797520</v>
      </c>
      <c r="J99" s="30" t="inlineStr">
        <is>
          <t>523539</t>
        </is>
      </c>
    </row>
    <row r="100">
      <c r="A100" s="30" t="inlineStr">
        <is>
          <t>VADILALIND</t>
        </is>
      </c>
      <c r="B100" s="30" t="inlineStr">
        <is>
          <t>Vadilal Industries Limited</t>
        </is>
      </c>
      <c r="C100" s="30" t="inlineStr">
        <is>
          <t>fmcg</t>
        </is>
      </c>
      <c r="D100" s="30" t="inlineStr">
        <is>
          <t>food - processing - indian</t>
        </is>
      </c>
      <c r="E100" s="30" t="inlineStr">
        <is>
          <t>midcap</t>
        </is>
      </c>
      <c r="F100" s="30" t="n">
        <v>5147.92</v>
      </c>
      <c r="G100" s="30" t="n">
        <v>7327.5</v>
      </c>
      <c r="H100" s="30" t="n">
        <v>2.31</v>
      </c>
      <c r="I100" s="30" t="n">
        <v>22113</v>
      </c>
      <c r="J100" s="30" t="inlineStr">
        <is>
          <t>519156</t>
        </is>
      </c>
    </row>
    <row r="101">
      <c r="A101" s="30" t="inlineStr">
        <is>
          <t>UNOMINDA</t>
        </is>
      </c>
      <c r="B101" s="30" t="inlineStr">
        <is>
          <t>Uno Minda Ltd</t>
        </is>
      </c>
      <c r="C101" s="30" t="inlineStr">
        <is>
          <t>auto</t>
        </is>
      </c>
      <c r="D101" s="30" t="inlineStr">
        <is>
          <t>auto ancillaries</t>
        </is>
      </c>
      <c r="E101" s="30" t="inlineStr">
        <is>
          <t>largecap</t>
        </is>
      </c>
      <c r="F101" s="30" t="n">
        <v>72183.39999999999</v>
      </c>
      <c r="G101" s="30" t="n">
        <v>1278</v>
      </c>
      <c r="H101" s="30" t="n">
        <v>2.24</v>
      </c>
      <c r="I101" s="30" t="n">
        <v>1514691</v>
      </c>
      <c r="J101" s="30" t="inlineStr">
        <is>
          <t>532539</t>
        </is>
      </c>
    </row>
    <row r="102">
      <c r="A102" s="30" t="inlineStr">
        <is>
          <t>MBAPL</t>
        </is>
      </c>
      <c r="B102" s="30" t="inlineStr">
        <is>
          <t>Madhya Bharat Agro Products Ltd</t>
        </is>
      </c>
      <c r="C102" s="30" t="inlineStr">
        <is>
          <t>chemicals</t>
        </is>
      </c>
      <c r="D102" s="30" t="inlineStr">
        <is>
          <t>fertilizers</t>
        </is>
      </c>
      <c r="E102" s="30" t="inlineStr">
        <is>
          <t>smallcap</t>
        </is>
      </c>
      <c r="F102" s="30" t="n">
        <v>1375.13</v>
      </c>
      <c r="G102" s="30" t="n">
        <v>160.39</v>
      </c>
      <c r="H102" s="30" t="n">
        <v>2.2</v>
      </c>
      <c r="I102" s="30" t="n">
        <v>515434</v>
      </c>
      <c r="J102" s="30" t="inlineStr">
        <is>
          <t>538370</t>
        </is>
      </c>
    </row>
    <row r="103">
      <c r="A103" s="30" t="inlineStr">
        <is>
          <t>BASF</t>
        </is>
      </c>
      <c r="B103" s="30" t="inlineStr">
        <is>
          <t>Basf India Limited</t>
        </is>
      </c>
      <c r="C103" s="30" t="inlineStr">
        <is>
          <t>chemicals</t>
        </is>
      </c>
      <c r="D103" s="30" t="inlineStr">
        <is>
          <t>chemicals</t>
        </is>
      </c>
      <c r="E103" s="30" t="inlineStr">
        <is>
          <t>midcap</t>
        </is>
      </c>
      <c r="F103" s="30" t="n">
        <v>17472.68</v>
      </c>
      <c r="G103" s="30" t="n">
        <v>4125</v>
      </c>
      <c r="H103" s="30" t="n">
        <v>2.19</v>
      </c>
      <c r="I103" s="30" t="n">
        <v>173705</v>
      </c>
      <c r="J103" s="30" t="inlineStr">
        <is>
          <t>500042</t>
        </is>
      </c>
    </row>
    <row r="104">
      <c r="A104" s="30" t="inlineStr">
        <is>
          <t>TMB</t>
        </is>
      </c>
      <c r="B104" s="30" t="inlineStr">
        <is>
          <t>Tamilnad Mercantile Bank Ltd</t>
        </is>
      </c>
      <c r="C104" s="30" t="inlineStr">
        <is>
          <t>bank</t>
        </is>
      </c>
      <c r="D104" s="30" t="inlineStr">
        <is>
          <t>banks - private sector</t>
        </is>
      </c>
      <c r="E104" s="30" t="inlineStr">
        <is>
          <t>midcap</t>
        </is>
      </c>
      <c r="F104" s="30" t="n">
        <v>13533.51</v>
      </c>
      <c r="G104" s="30" t="n">
        <v>873.4</v>
      </c>
      <c r="H104" s="30" t="n">
        <v>2.19</v>
      </c>
      <c r="I104" s="30" t="n">
        <v>216117</v>
      </c>
      <c r="J104" s="30" t="inlineStr">
        <is>
          <t>543596</t>
        </is>
      </c>
    </row>
    <row r="105">
      <c r="A105" s="30" t="inlineStr">
        <is>
          <t>LALPATHLAB</t>
        </is>
      </c>
      <c r="B105" s="30" t="inlineStr">
        <is>
          <t>Dr. Lal Path Labs Ltd.</t>
        </is>
      </c>
      <c r="C105" s="30" t="inlineStr">
        <is>
          <t>healthcare</t>
        </is>
      </c>
      <c r="D105" s="30" t="inlineStr">
        <is>
          <t>healthcare</t>
        </is>
      </c>
      <c r="E105" s="30" t="inlineStr">
        <is>
          <t>largecap</t>
        </is>
      </c>
      <c r="F105" s="30" t="n">
        <v>31634.92</v>
      </c>
      <c r="G105" s="30" t="n">
        <v>1928</v>
      </c>
      <c r="H105" s="30" t="n">
        <v>2.17</v>
      </c>
      <c r="I105" s="30" t="n">
        <v>427191</v>
      </c>
      <c r="J105" s="30" t="inlineStr">
        <is>
          <t>539524</t>
        </is>
      </c>
    </row>
    <row r="106">
      <c r="A106" s="30" t="inlineStr">
        <is>
          <t>AGARWALEYE</t>
        </is>
      </c>
      <c r="B106" s="30" t="inlineStr">
        <is>
          <t>Dr Agarwals Health Care Ltd</t>
        </is>
      </c>
      <c r="C106" s="30" t="inlineStr">
        <is>
          <t>healthcare</t>
        </is>
      </c>
      <c r="D106" s="30" t="inlineStr">
        <is>
          <t>healthcare</t>
        </is>
      </c>
      <c r="E106" s="30" t="inlineStr">
        <is>
          <t>midcap</t>
        </is>
      </c>
      <c r="F106" s="30" t="n">
        <v>16516.4</v>
      </c>
      <c r="G106" s="30" t="n">
        <v>532.3</v>
      </c>
      <c r="H106" s="30" t="n">
        <v>2.16</v>
      </c>
      <c r="I106" s="30" t="n">
        <v>241448</v>
      </c>
      <c r="J106" s="30" t="inlineStr">
        <is>
          <t>544350</t>
        </is>
      </c>
    </row>
    <row r="107">
      <c r="A107" s="30" t="inlineStr">
        <is>
          <t>TDPOWERSYS</t>
        </is>
      </c>
      <c r="B107" s="30" t="inlineStr">
        <is>
          <t>Td Power Systems Limited</t>
        </is>
      </c>
      <c r="C107" s="30" t="inlineStr">
        <is>
          <t>industrials</t>
        </is>
      </c>
      <c r="D107" s="30" t="inlineStr">
        <is>
          <t>electric equipment</t>
        </is>
      </c>
      <c r="E107" s="30" t="inlineStr">
        <is>
          <t>midcap</t>
        </is>
      </c>
      <c r="F107" s="30" t="n">
        <v>18777.1</v>
      </c>
      <c r="G107" s="30" t="n">
        <v>1227.7</v>
      </c>
      <c r="H107" s="30" t="n">
        <v>2.15</v>
      </c>
      <c r="I107" s="30" t="n">
        <v>1125206</v>
      </c>
      <c r="J107" s="30" t="inlineStr">
        <is>
          <t>533553</t>
        </is>
      </c>
    </row>
    <row r="108">
      <c r="A108" s="30" t="inlineStr">
        <is>
          <t>SPECTRUM</t>
        </is>
      </c>
      <c r="B108" s="30" t="inlineStr">
        <is>
          <t>Spectrum Electrical Industries Ltd</t>
        </is>
      </c>
      <c r="C108" s="30" t="inlineStr">
        <is>
          <t>industrials</t>
        </is>
      </c>
      <c r="D108" s="30" t="inlineStr">
        <is>
          <t>electric equipment</t>
        </is>
      </c>
      <c r="E108" s="30" t="inlineStr">
        <is>
          <t>smallcap</t>
        </is>
      </c>
      <c r="F108" s="30" t="n">
        <v>3950.77</v>
      </c>
      <c r="G108" s="30" t="n">
        <v>2568</v>
      </c>
      <c r="H108" s="30" t="n">
        <v>2.14</v>
      </c>
      <c r="I108" s="30" t="n">
        <v>23515</v>
      </c>
      <c r="J108" s="30" t="inlineStr">
        <is>
          <t>535112</t>
        </is>
      </c>
    </row>
    <row r="109">
      <c r="A109" s="30" t="inlineStr">
        <is>
          <t>KENNAMET</t>
        </is>
      </c>
      <c r="B109" s="30" t="inlineStr">
        <is>
          <t>Kennametal India Ltd</t>
        </is>
      </c>
      <c r="C109" s="30" t="inlineStr">
        <is>
          <t>industrials</t>
        </is>
      </c>
      <c r="D109" s="30" t="inlineStr">
        <is>
          <t>castings &amp; forgings</t>
        </is>
      </c>
      <c r="E109" s="30" t="inlineStr">
        <is>
          <t>midcap</t>
        </is>
      </c>
      <c r="F109" s="30" t="n">
        <v>6722.26</v>
      </c>
      <c r="G109" s="30" t="n">
        <v>3123.7</v>
      </c>
      <c r="H109" s="30" t="n">
        <v>2.13</v>
      </c>
      <c r="I109" s="30" t="n">
        <v>28486</v>
      </c>
      <c r="J109" s="30" t="inlineStr">
        <is>
          <t>505890</t>
        </is>
      </c>
    </row>
    <row r="110">
      <c r="A110" s="30" t="inlineStr">
        <is>
          <t>GULFOILLUB</t>
        </is>
      </c>
      <c r="B110" s="30" t="inlineStr">
        <is>
          <t>Gulf Oil Lubricants India Limited</t>
        </is>
      </c>
      <c r="C110" s="30" t="inlineStr">
        <is>
          <t>chemicals</t>
        </is>
      </c>
      <c r="D110" s="30" t="inlineStr">
        <is>
          <t>chemicals</t>
        </is>
      </c>
      <c r="E110" s="30" t="inlineStr">
        <is>
          <t>midcap</t>
        </is>
      </c>
      <c r="F110" s="30" t="n">
        <v>5841</v>
      </c>
      <c r="G110" s="30" t="n">
        <v>1204.5</v>
      </c>
      <c r="H110" s="30" t="n">
        <v>2.11</v>
      </c>
      <c r="I110" s="30" t="n">
        <v>205723</v>
      </c>
      <c r="J110" s="30" t="inlineStr">
        <is>
          <t>538567</t>
        </is>
      </c>
    </row>
    <row r="111">
      <c r="A111" s="30" t="inlineStr">
        <is>
          <t>POONAWALLA</t>
        </is>
      </c>
      <c r="B111" s="30" t="inlineStr">
        <is>
          <t>Poonawalla Fincorp Ltd</t>
        </is>
      </c>
      <c r="C111" s="30" t="inlineStr">
        <is>
          <t>financials</t>
        </is>
      </c>
      <c r="D111" s="30" t="inlineStr">
        <is>
          <t>finance &amp; investments</t>
        </is>
      </c>
      <c r="E111" s="30" t="inlineStr">
        <is>
          <t>largecap</t>
        </is>
      </c>
      <c r="F111" s="30" t="n">
        <v>42329.97</v>
      </c>
      <c r="G111" s="30" t="n">
        <v>490.85</v>
      </c>
      <c r="H111" s="30" t="n">
        <v>2.1</v>
      </c>
      <c r="I111" s="30" t="n">
        <v>2831905</v>
      </c>
      <c r="J111" s="30" t="inlineStr">
        <is>
          <t>524000</t>
        </is>
      </c>
    </row>
    <row r="112">
      <c r="A112" s="30" t="inlineStr">
        <is>
          <t>NAVA</t>
        </is>
      </c>
      <c r="B112" s="30" t="inlineStr">
        <is>
          <t>Nava Ltd</t>
        </is>
      </c>
      <c r="C112" s="30" t="inlineStr">
        <is>
          <t>miscellaneous</t>
        </is>
      </c>
      <c r="D112" s="30" t="inlineStr">
        <is>
          <t>diversified - large</t>
        </is>
      </c>
      <c r="E112" s="30" t="inlineStr">
        <is>
          <t>midcap</t>
        </is>
      </c>
      <c r="F112" s="30" t="n">
        <v>16485.45</v>
      </c>
      <c r="G112" s="30" t="n">
        <v>594.2</v>
      </c>
      <c r="H112" s="30" t="n">
        <v>2.1</v>
      </c>
      <c r="I112" s="30" t="n">
        <v>401369</v>
      </c>
      <c r="J112" s="30" t="inlineStr">
        <is>
          <t>513023</t>
        </is>
      </c>
    </row>
    <row r="113">
      <c r="A113" s="30" t="inlineStr">
        <is>
          <t>HUHTAMAKI</t>
        </is>
      </c>
      <c r="B113" s="30" t="inlineStr">
        <is>
          <t>Huhtamaki India Ltd</t>
        </is>
      </c>
      <c r="C113" s="30" t="inlineStr">
        <is>
          <t>industrials</t>
        </is>
      </c>
      <c r="D113" s="30" t="inlineStr">
        <is>
          <t>packaging</t>
        </is>
      </c>
      <c r="E113" s="30" t="inlineStr">
        <is>
          <t>smallcap</t>
        </is>
      </c>
      <c r="F113" s="30" t="n">
        <v>2145.58</v>
      </c>
      <c r="G113" s="30" t="n">
        <v>289.95</v>
      </c>
      <c r="H113" s="30" t="n">
        <v>2.06</v>
      </c>
      <c r="I113" s="30" t="n">
        <v>257774</v>
      </c>
      <c r="J113" s="30" t="inlineStr">
        <is>
          <t>509820</t>
        </is>
      </c>
    </row>
    <row r="114">
      <c r="A114" s="30" t="inlineStr">
        <is>
          <t>VRLLOG</t>
        </is>
      </c>
      <c r="B114" s="30" t="inlineStr">
        <is>
          <t>Vrl Logistics Limited</t>
        </is>
      </c>
      <c r="C114" s="30" t="inlineStr">
        <is>
          <t>transportation</t>
        </is>
      </c>
      <c r="D114" s="30" t="inlineStr">
        <is>
          <t>miscellaneous</t>
        </is>
      </c>
      <c r="E114" s="30" t="inlineStr">
        <is>
          <t>smallcap</t>
        </is>
      </c>
      <c r="F114" s="30" t="n">
        <v>4880.74</v>
      </c>
      <c r="G114" s="30" t="n">
        <v>284.65</v>
      </c>
      <c r="H114" s="30" t="n">
        <v>2.03</v>
      </c>
      <c r="I114" s="30" t="n">
        <v>1192983</v>
      </c>
      <c r="J114" s="30" t="inlineStr">
        <is>
          <t>539118</t>
        </is>
      </c>
    </row>
    <row r="115">
      <c r="A115" s="30" t="inlineStr">
        <is>
          <t>APLLTD</t>
        </is>
      </c>
      <c r="B115" s="30" t="inlineStr">
        <is>
          <t>Alembic Pharmaceuticals Limited</t>
        </is>
      </c>
      <c r="C115" s="30" t="inlineStr">
        <is>
          <t>healthcare</t>
        </is>
      </c>
      <c r="D115" s="30" t="inlineStr">
        <is>
          <t>pharmaceuticals - indian - bulk drugs &amp; formln</t>
        </is>
      </c>
      <c r="E115" s="30" t="inlineStr">
        <is>
          <t>midcap</t>
        </is>
      </c>
      <c r="F115" s="30" t="n">
        <v>16082.79</v>
      </c>
      <c r="G115" s="30" t="n">
        <v>834.45</v>
      </c>
      <c r="H115" s="30" t="n">
        <v>1.99</v>
      </c>
      <c r="I115" s="30" t="n">
        <v>210314</v>
      </c>
      <c r="J115" s="30" t="inlineStr">
        <is>
          <t>533573</t>
        </is>
      </c>
    </row>
    <row r="116">
      <c r="A116" s="30" t="inlineStr">
        <is>
          <t>ESAFSFB</t>
        </is>
      </c>
      <c r="B116" s="30" t="inlineStr">
        <is>
          <t>ESAF Small Finance Bank Ltd</t>
        </is>
      </c>
      <c r="C116" s="30" t="inlineStr">
        <is>
          <t>bank</t>
        </is>
      </c>
      <c r="D116" s="30" t="inlineStr">
        <is>
          <t>banks - private sector</t>
        </is>
      </c>
      <c r="E116" s="30" t="inlineStr">
        <is>
          <t>smallcap</t>
        </is>
      </c>
      <c r="F116" s="30" t="n">
        <v>2152.55</v>
      </c>
      <c r="G116" s="30" t="n">
        <v>42.54</v>
      </c>
      <c r="H116" s="30" t="n">
        <v>1.97</v>
      </c>
      <c r="I116" s="30" t="n">
        <v>3800131</v>
      </c>
      <c r="J116" s="30" t="inlineStr">
        <is>
          <t>544020</t>
        </is>
      </c>
    </row>
    <row r="117">
      <c r="A117" s="30" t="inlineStr">
        <is>
          <t>REDTAPE</t>
        </is>
      </c>
      <c r="B117" s="30" t="inlineStr">
        <is>
          <t>Redtape Ltd</t>
        </is>
      </c>
      <c r="C117" s="30" t="inlineStr">
        <is>
          <t>consumer discretionary</t>
        </is>
      </c>
      <c r="D117" s="30" t="inlineStr">
        <is>
          <t>trading</t>
        </is>
      </c>
      <c r="E117" s="30" t="inlineStr">
        <is>
          <t>midcap</t>
        </is>
      </c>
      <c r="F117" s="30" t="n">
        <v>7420.89</v>
      </c>
      <c r="G117" s="30" t="n">
        <v>136.86</v>
      </c>
      <c r="H117" s="30" t="n">
        <v>1.95</v>
      </c>
      <c r="I117" s="30" t="n">
        <v>564470</v>
      </c>
      <c r="J117" s="30" t="inlineStr">
        <is>
          <t>543957</t>
        </is>
      </c>
    </row>
    <row r="118">
      <c r="A118" s="30" t="inlineStr">
        <is>
          <t>ETERNAL</t>
        </is>
      </c>
      <c r="B118" s="30" t="inlineStr">
        <is>
          <t>Eternal Ltd</t>
        </is>
      </c>
      <c r="C118" s="30" t="inlineStr">
        <is>
          <t>i.t</t>
        </is>
      </c>
      <c r="D118" s="30" t="inlineStr">
        <is>
          <t>miscellaneous</t>
        </is>
      </c>
      <c r="E118" s="30" t="inlineStr">
        <is>
          <t>largecap</t>
        </is>
      </c>
      <c r="F118" s="30" t="n">
        <v>299498.63</v>
      </c>
      <c r="G118" s="30" t="n">
        <v>316.25</v>
      </c>
      <c r="H118" s="30" t="n">
        <v>1.9</v>
      </c>
      <c r="I118" s="30" t="n">
        <v>59257286</v>
      </c>
      <c r="J118" s="30" t="inlineStr">
        <is>
          <t>543320</t>
        </is>
      </c>
    </row>
    <row r="119">
      <c r="A119" s="30" t="inlineStr">
        <is>
          <t>SKYGOLD</t>
        </is>
      </c>
      <c r="B119" s="30" t="inlineStr">
        <is>
          <t>Sky Gold Ltd</t>
        </is>
      </c>
      <c r="C119" s="30" t="inlineStr">
        <is>
          <t>consumer discretionary</t>
        </is>
      </c>
      <c r="D119" s="30" t="inlineStr">
        <is>
          <t>diamond cutting / jewellery</t>
        </is>
      </c>
      <c r="E119" s="30" t="inlineStr">
        <is>
          <t>midcap</t>
        </is>
      </c>
      <c r="F119" s="30" t="n">
        <v>10509.74</v>
      </c>
      <c r="G119" s="30" t="n">
        <v>691.15</v>
      </c>
      <c r="H119" s="30" t="n">
        <v>1.85</v>
      </c>
      <c r="I119" s="30" t="n">
        <v>819048</v>
      </c>
      <c r="J119" s="30" t="inlineStr">
        <is>
          <t>541967</t>
        </is>
      </c>
    </row>
    <row r="120">
      <c r="A120" s="30" t="inlineStr">
        <is>
          <t>INDGN</t>
        </is>
      </c>
      <c r="B120" s="30" t="inlineStr">
        <is>
          <t>Indegene Ltd</t>
        </is>
      </c>
      <c r="C120" s="30" t="inlineStr">
        <is>
          <t>healthcare</t>
        </is>
      </c>
      <c r="D120" s="30" t="inlineStr">
        <is>
          <t>miscellaneous</t>
        </is>
      </c>
      <c r="E120" s="30" t="inlineStr">
        <is>
          <t>midcap</t>
        </is>
      </c>
      <c r="F120" s="30" t="n">
        <v>13018.76</v>
      </c>
      <c r="G120" s="30" t="n">
        <v>550.2</v>
      </c>
      <c r="H120" s="30" t="n">
        <v>1.83</v>
      </c>
      <c r="I120" s="30" t="n">
        <v>3351726</v>
      </c>
      <c r="J120" s="30" t="inlineStr">
        <is>
          <t>544172</t>
        </is>
      </c>
    </row>
    <row r="121">
      <c r="A121" s="30" t="inlineStr">
        <is>
          <t>GRAPHITE</t>
        </is>
      </c>
      <c r="B121" s="30" t="inlineStr">
        <is>
          <t>Graphite India Limited</t>
        </is>
      </c>
      <c r="C121" s="30" t="inlineStr">
        <is>
          <t>industrials</t>
        </is>
      </c>
      <c r="D121" s="30" t="inlineStr">
        <is>
          <t>electrodes - graphites</t>
        </is>
      </c>
      <c r="E121" s="30" t="inlineStr">
        <is>
          <t>midcap</t>
        </is>
      </c>
      <c r="F121" s="30" t="n">
        <v>13855.06</v>
      </c>
      <c r="G121" s="30" t="n">
        <v>722.05</v>
      </c>
      <c r="H121" s="30" t="n">
        <v>1.82</v>
      </c>
      <c r="I121" s="30" t="n">
        <v>1656611</v>
      </c>
      <c r="J121" s="30" t="inlineStr">
        <is>
          <t>509488</t>
        </is>
      </c>
    </row>
    <row r="122">
      <c r="A122" s="30" t="inlineStr">
        <is>
          <t>EXICOM</t>
        </is>
      </c>
      <c r="B122" s="30" t="inlineStr">
        <is>
          <t>Exicom Tele-Systems Ltd</t>
        </is>
      </c>
      <c r="C122" s="30" t="inlineStr">
        <is>
          <t>industrials</t>
        </is>
      </c>
      <c r="D122" s="30" t="inlineStr">
        <is>
          <t>electric equipment</t>
        </is>
      </c>
      <c r="E122" s="30" t="inlineStr">
        <is>
          <t>smallcap</t>
        </is>
      </c>
      <c r="F122" s="30" t="n">
        <v>2316.23</v>
      </c>
      <c r="G122" s="30" t="n">
        <v>169.56</v>
      </c>
      <c r="H122" s="30" t="n">
        <v>1.81</v>
      </c>
      <c r="I122" s="30" t="n">
        <v>1784433</v>
      </c>
      <c r="J122" s="30" t="inlineStr">
        <is>
          <t>544133</t>
        </is>
      </c>
    </row>
    <row r="123">
      <c r="A123" s="30" t="inlineStr">
        <is>
          <t>AMBIKCO</t>
        </is>
      </c>
      <c r="B123" s="30" t="inlineStr">
        <is>
          <t>Ambika Cotton Mills Limited</t>
        </is>
      </c>
      <c r="C123" s="30" t="inlineStr">
        <is>
          <t>textiles</t>
        </is>
      </c>
      <c r="D123" s="30" t="inlineStr">
        <is>
          <t>textiles - cotton/blended</t>
        </is>
      </c>
      <c r="E123" s="30" t="inlineStr">
        <is>
          <t>smallcap</t>
        </is>
      </c>
      <c r="F123" s="30" t="n">
        <v>1031.82</v>
      </c>
      <c r="G123" s="30" t="n">
        <v>1835</v>
      </c>
      <c r="H123" s="30" t="n">
        <v>1.81</v>
      </c>
      <c r="I123" s="30" t="n">
        <v>41789</v>
      </c>
      <c r="J123" s="30" t="inlineStr">
        <is>
          <t>531978</t>
        </is>
      </c>
    </row>
    <row r="124">
      <c r="A124" s="30" t="inlineStr">
        <is>
          <t>RITES</t>
        </is>
      </c>
      <c r="B124" s="30" t="inlineStr">
        <is>
          <t>Rites Ltd</t>
        </is>
      </c>
      <c r="C124" s="30" t="inlineStr">
        <is>
          <t>miscellaneous</t>
        </is>
      </c>
      <c r="D124" s="30" t="inlineStr">
        <is>
          <t>miscellaneous</t>
        </is>
      </c>
      <c r="E124" s="30" t="inlineStr">
        <is>
          <t>midcap</t>
        </is>
      </c>
      <c r="F124" s="30" t="n">
        <v>10926.53</v>
      </c>
      <c r="G124" s="30" t="n">
        <v>231.38</v>
      </c>
      <c r="H124" s="30" t="n">
        <v>1.77</v>
      </c>
      <c r="I124" s="30" t="n">
        <v>2202153</v>
      </c>
      <c r="J124" s="30" t="inlineStr">
        <is>
          <t>541556</t>
        </is>
      </c>
    </row>
    <row r="125">
      <c r="A125" s="30" t="inlineStr">
        <is>
          <t>WELCORP</t>
        </is>
      </c>
      <c r="B125" s="30" t="inlineStr">
        <is>
          <t>Welspun Corp Limited</t>
        </is>
      </c>
      <c r="C125" s="30" t="inlineStr">
        <is>
          <t>industrials</t>
        </is>
      </c>
      <c r="D125" s="30" t="inlineStr">
        <is>
          <t>steel - large</t>
        </is>
      </c>
      <c r="E125" s="30" t="inlineStr">
        <is>
          <t>largecap</t>
        </is>
      </c>
      <c r="F125" s="30" t="n">
        <v>47168.41</v>
      </c>
      <c r="G125" s="30" t="n">
        <v>1819.6</v>
      </c>
      <c r="H125" s="30" t="n">
        <v>1.76</v>
      </c>
      <c r="I125" s="30" t="n">
        <v>1493022</v>
      </c>
      <c r="J125" s="30" t="inlineStr">
        <is>
          <t>532144</t>
        </is>
      </c>
    </row>
    <row r="126">
      <c r="A126" s="30" t="inlineStr">
        <is>
          <t>TITAN</t>
        </is>
      </c>
      <c r="B126" s="30" t="inlineStr">
        <is>
          <t>Titan Company Limited</t>
        </is>
      </c>
      <c r="C126" s="30" t="inlineStr">
        <is>
          <t>consumer discretionary</t>
        </is>
      </c>
      <c r="D126" s="30" t="inlineStr">
        <is>
          <t>diamond cutting / jewellery</t>
        </is>
      </c>
      <c r="E126" s="30" t="inlineStr">
        <is>
          <t>largecap</t>
        </is>
      </c>
      <c r="F126" s="30" t="n">
        <v>436116.07</v>
      </c>
      <c r="G126" s="30" t="n">
        <v>4998</v>
      </c>
      <c r="H126" s="30" t="n">
        <v>1.74</v>
      </c>
      <c r="I126" s="30" t="n">
        <v>2534662</v>
      </c>
      <c r="J126" s="30" t="inlineStr">
        <is>
          <t>500114</t>
        </is>
      </c>
    </row>
    <row r="127">
      <c r="A127" s="30" t="inlineStr">
        <is>
          <t>THELEELA</t>
        </is>
      </c>
      <c r="B127" s="30" t="inlineStr">
        <is>
          <t>Leela Palaces Hotels &amp; Resorts Ltd</t>
        </is>
      </c>
      <c r="C127" s="30" t="inlineStr">
        <is>
          <t>services</t>
        </is>
      </c>
      <c r="D127" s="30" t="inlineStr">
        <is>
          <t>hotels</t>
        </is>
      </c>
      <c r="E127" s="30" t="inlineStr">
        <is>
          <t>midcap</t>
        </is>
      </c>
      <c r="F127" s="30" t="n">
        <v>16773.03</v>
      </c>
      <c r="G127" s="30" t="n">
        <v>511</v>
      </c>
      <c r="H127" s="30" t="n">
        <v>1.74</v>
      </c>
      <c r="I127" s="30" t="n">
        <v>1027540</v>
      </c>
      <c r="J127" s="30" t="inlineStr">
        <is>
          <t>544408</t>
        </is>
      </c>
    </row>
    <row r="128">
      <c r="A128" s="30" t="inlineStr">
        <is>
          <t>3IINFOLTD</t>
        </is>
      </c>
      <c r="B128" s="30" t="inlineStr">
        <is>
          <t>3i Infotech Ltd</t>
        </is>
      </c>
      <c r="C128" s="30" t="inlineStr">
        <is>
          <t>i.t</t>
        </is>
      </c>
      <c r="D128" s="30" t="inlineStr">
        <is>
          <t>computers - software - medium / small</t>
        </is>
      </c>
      <c r="E128" s="30" t="inlineStr">
        <is>
          <t>smallcap</t>
        </is>
      </c>
      <c r="F128" s="30" t="n">
        <v>520.38</v>
      </c>
      <c r="G128" s="30" t="n">
        <v>25.52</v>
      </c>
      <c r="H128" s="30" t="n">
        <v>1.71</v>
      </c>
      <c r="I128" s="30" t="n">
        <v>1726151</v>
      </c>
      <c r="J128" s="30" t="inlineStr">
        <is>
          <t>532628</t>
        </is>
      </c>
    </row>
    <row r="129">
      <c r="A129" s="30" t="inlineStr">
        <is>
          <t>AEGISVOPAK</t>
        </is>
      </c>
      <c r="B129" s="30" t="inlineStr">
        <is>
          <t>Aegis Vopak Terminals Ltd</t>
        </is>
      </c>
      <c r="C129" s="30" t="inlineStr">
        <is>
          <t>transportation</t>
        </is>
      </c>
      <c r="D129" s="30" t="inlineStr">
        <is>
          <t>miscellaneous</t>
        </is>
      </c>
      <c r="E129" s="30" t="inlineStr">
        <is>
          <t>largecap</t>
        </is>
      </c>
      <c r="F129" s="30" t="n">
        <v>31450.34</v>
      </c>
      <c r="G129" s="30" t="n">
        <v>288.7</v>
      </c>
      <c r="H129" s="30" t="n">
        <v>1.71</v>
      </c>
      <c r="I129" s="30" t="n">
        <v>3393107</v>
      </c>
      <c r="J129" s="30" t="inlineStr">
        <is>
          <t>544407</t>
        </is>
      </c>
    </row>
    <row r="130">
      <c r="A130" s="30" t="inlineStr">
        <is>
          <t>CRISIL</t>
        </is>
      </c>
      <c r="B130" s="30" t="inlineStr">
        <is>
          <t>Crisil Limited</t>
        </is>
      </c>
      <c r="C130" s="30" t="inlineStr">
        <is>
          <t>financials</t>
        </is>
      </c>
      <c r="D130" s="30" t="inlineStr">
        <is>
          <t>miscellaneous</t>
        </is>
      </c>
      <c r="E130" s="30" t="inlineStr">
        <is>
          <t>largecap</t>
        </is>
      </c>
      <c r="F130" s="30" t="n">
        <v>32730.07</v>
      </c>
      <c r="G130" s="30" t="n">
        <v>4550.6</v>
      </c>
      <c r="H130" s="30" t="n">
        <v>1.68</v>
      </c>
      <c r="I130" s="30" t="n">
        <v>88604</v>
      </c>
      <c r="J130" s="30" t="inlineStr">
        <is>
          <t>500092</t>
        </is>
      </c>
    </row>
    <row r="131">
      <c r="A131" s="30" t="inlineStr">
        <is>
          <t>UFLEX</t>
        </is>
      </c>
      <c r="B131" s="30" t="inlineStr">
        <is>
          <t>Uflex Limited</t>
        </is>
      </c>
      <c r="C131" s="30" t="inlineStr">
        <is>
          <t>industrials</t>
        </is>
      </c>
      <c r="D131" s="30" t="inlineStr">
        <is>
          <t>packaging</t>
        </is>
      </c>
      <c r="E131" s="30" t="inlineStr">
        <is>
          <t>smallcap</t>
        </is>
      </c>
      <c r="F131" s="30" t="n">
        <v>3436.91</v>
      </c>
      <c r="G131" s="30" t="n">
        <v>483.9</v>
      </c>
      <c r="H131" s="30" t="n">
        <v>1.67</v>
      </c>
      <c r="I131" s="30" t="n">
        <v>88568</v>
      </c>
      <c r="J131" s="30" t="inlineStr">
        <is>
          <t>500148</t>
        </is>
      </c>
    </row>
    <row r="132">
      <c r="A132" s="30" t="inlineStr">
        <is>
          <t>ANANDRATHI</t>
        </is>
      </c>
      <c r="B132" s="30" t="inlineStr">
        <is>
          <t>Anand Rathi Wealth Ltd</t>
        </is>
      </c>
      <c r="C132" s="30" t="inlineStr">
        <is>
          <t>financials</t>
        </is>
      </c>
      <c r="D132" s="30" t="inlineStr">
        <is>
          <t>finance &amp; investments</t>
        </is>
      </c>
      <c r="E132" s="30" t="inlineStr">
        <is>
          <t>largecap</t>
        </is>
      </c>
      <c r="F132" s="30" t="n">
        <v>33832.57</v>
      </c>
      <c r="G132" s="30" t="n">
        <v>2071.5</v>
      </c>
      <c r="H132" s="30" t="n">
        <v>1.66</v>
      </c>
      <c r="I132" s="30" t="n">
        <v>560790</v>
      </c>
      <c r="J132" s="30" t="inlineStr">
        <is>
          <t>543415</t>
        </is>
      </c>
    </row>
    <row r="133">
      <c r="A133" s="30" t="inlineStr">
        <is>
          <t>KANORICHEM</t>
        </is>
      </c>
      <c r="B133" s="30" t="inlineStr">
        <is>
          <t>Kanoria Chemicals &amp; Industries Limited</t>
        </is>
      </c>
      <c r="C133" s="30" t="inlineStr">
        <is>
          <t>chemicals</t>
        </is>
      </c>
      <c r="D133" s="30" t="inlineStr">
        <is>
          <t>chemicals</t>
        </is>
      </c>
      <c r="E133" s="30" t="inlineStr">
        <is>
          <t>smallcap</t>
        </is>
      </c>
      <c r="F133" s="30" t="n">
        <v>653.3</v>
      </c>
      <c r="G133" s="30" t="n">
        <v>152</v>
      </c>
      <c r="H133" s="30" t="n">
        <v>1.66</v>
      </c>
      <c r="I133" s="30" t="n">
        <v>29050</v>
      </c>
      <c r="J133" s="30" t="inlineStr">
        <is>
          <t>506525</t>
        </is>
      </c>
    </row>
    <row r="134">
      <c r="A134" s="30" t="inlineStr">
        <is>
          <t>SHRIRAMFIN</t>
        </is>
      </c>
      <c r="B134" s="30" t="inlineStr">
        <is>
          <t>Shriram Finance Ltd</t>
        </is>
      </c>
      <c r="C134" s="30" t="inlineStr">
        <is>
          <t>financials</t>
        </is>
      </c>
      <c r="D134" s="30" t="inlineStr">
        <is>
          <t>finance &amp; investments</t>
        </is>
      </c>
      <c r="E134" s="30" t="inlineStr">
        <is>
          <t>largecap</t>
        </is>
      </c>
      <c r="F134" s="30" t="n">
        <v>264091.19</v>
      </c>
      <c r="G134" s="30" t="n">
        <v>1141</v>
      </c>
      <c r="H134" s="30" t="n">
        <v>1.66</v>
      </c>
      <c r="I134" s="30" t="n">
        <v>25055607</v>
      </c>
      <c r="J134" s="30" t="inlineStr">
        <is>
          <t>511218</t>
        </is>
      </c>
    </row>
    <row r="135">
      <c r="A135" s="30" t="inlineStr">
        <is>
          <t>GAEL</t>
        </is>
      </c>
      <c r="B135" s="30" t="inlineStr">
        <is>
          <t>Gujarat Ambuja Exports Limited</t>
        </is>
      </c>
      <c r="C135" s="30" t="inlineStr">
        <is>
          <t>fmcg</t>
        </is>
      </c>
      <c r="D135" s="30" t="inlineStr">
        <is>
          <t>miscellaneous</t>
        </is>
      </c>
      <c r="E135" s="30" t="inlineStr">
        <is>
          <t>midcap</t>
        </is>
      </c>
      <c r="F135" s="30" t="n">
        <v>8018.94</v>
      </c>
      <c r="G135" s="30" t="n">
        <v>177.72</v>
      </c>
      <c r="H135" s="30" t="n">
        <v>1.65</v>
      </c>
      <c r="I135" s="30" t="n">
        <v>1888741</v>
      </c>
      <c r="J135" s="30" t="inlineStr">
        <is>
          <t>524226</t>
        </is>
      </c>
    </row>
    <row r="136">
      <c r="A136" s="30" t="inlineStr">
        <is>
          <t>PARAS</t>
        </is>
      </c>
      <c r="B136" s="30" t="inlineStr">
        <is>
          <t>Paras Defence and Space Technologies Ltd</t>
        </is>
      </c>
      <c r="C136" s="30" t="inlineStr">
        <is>
          <t>aerospace &amp; defence</t>
        </is>
      </c>
      <c r="D136" s="30" t="inlineStr">
        <is>
          <t>engineering</t>
        </is>
      </c>
      <c r="E136" s="30" t="inlineStr">
        <is>
          <t>midcap</t>
        </is>
      </c>
      <c r="F136" s="30" t="n">
        <v>10438.48</v>
      </c>
      <c r="G136" s="30" t="n">
        <v>1316.7</v>
      </c>
      <c r="H136" s="30" t="n">
        <v>1.65</v>
      </c>
      <c r="I136" s="30" t="n">
        <v>1491617</v>
      </c>
      <c r="J136" s="30" t="inlineStr">
        <is>
          <t>543367</t>
        </is>
      </c>
    </row>
    <row r="137">
      <c r="A137" s="30" t="inlineStr">
        <is>
          <t>HSCL</t>
        </is>
      </c>
      <c r="B137" s="30" t="inlineStr">
        <is>
          <t>Himadri Speciality Chemical Limited</t>
        </is>
      </c>
      <c r="C137" s="30" t="inlineStr">
        <is>
          <t>chemicals</t>
        </is>
      </c>
      <c r="D137" s="30" t="inlineStr">
        <is>
          <t>chemicals</t>
        </is>
      </c>
      <c r="E137" s="30" t="inlineStr">
        <is>
          <t>largecap</t>
        </is>
      </c>
      <c r="F137" s="30" t="n">
        <v>37787.64</v>
      </c>
      <c r="G137" s="30" t="n">
        <v>761</v>
      </c>
      <c r="H137" s="30" t="n">
        <v>1.61</v>
      </c>
      <c r="I137" s="30" t="n">
        <v>2555878</v>
      </c>
      <c r="J137" s="30" t="inlineStr">
        <is>
          <t>500184</t>
        </is>
      </c>
    </row>
    <row r="138">
      <c r="A138" s="30" t="inlineStr">
        <is>
          <t>LMW</t>
        </is>
      </c>
      <c r="B138" s="30" t="inlineStr">
        <is>
          <t>LMW Ltd</t>
        </is>
      </c>
      <c r="C138" s="30" t="inlineStr">
        <is>
          <t>industrials</t>
        </is>
      </c>
      <c r="D138" s="30" t="inlineStr">
        <is>
          <t>textile machinery</t>
        </is>
      </c>
      <c r="E138" s="30" t="inlineStr">
        <is>
          <t>midcap</t>
        </is>
      </c>
      <c r="F138" s="30" t="n">
        <v>17490.21</v>
      </c>
      <c r="G138" s="30" t="n">
        <v>16635</v>
      </c>
      <c r="H138" s="30" t="n">
        <v>1.61</v>
      </c>
      <c r="I138" s="30" t="n">
        <v>6654</v>
      </c>
      <c r="J138" s="30" t="inlineStr">
        <is>
          <t>500252</t>
        </is>
      </c>
    </row>
    <row r="139">
      <c r="A139" s="30" t="inlineStr">
        <is>
          <t>SHREEPUSHK</t>
        </is>
      </c>
      <c r="B139" s="30" t="inlineStr">
        <is>
          <t>Shree Pushkar Chemicals &amp; Fertilisers Limited</t>
        </is>
      </c>
      <c r="C139" s="30" t="inlineStr">
        <is>
          <t>chemicals</t>
        </is>
      </c>
      <c r="D139" s="30" t="inlineStr">
        <is>
          <t>dyes and pigments</t>
        </is>
      </c>
      <c r="E139" s="30" t="inlineStr">
        <is>
          <t>smallcap</t>
        </is>
      </c>
      <c r="F139" s="30" t="n">
        <v>1346.7</v>
      </c>
      <c r="G139" s="30" t="n">
        <v>423.1</v>
      </c>
      <c r="H139" s="30" t="n">
        <v>1.6</v>
      </c>
      <c r="I139" s="30" t="n">
        <v>36584</v>
      </c>
      <c r="J139" s="30" t="inlineStr">
        <is>
          <t>539334</t>
        </is>
      </c>
    </row>
    <row r="140">
      <c r="A140" s="30" t="inlineStr">
        <is>
          <t>EXIDEIND</t>
        </is>
      </c>
      <c r="B140" s="30" t="inlineStr">
        <is>
          <t>Exide Industries Limited</t>
        </is>
      </c>
      <c r="C140" s="30" t="inlineStr">
        <is>
          <t>auto</t>
        </is>
      </c>
      <c r="D140" s="30" t="inlineStr">
        <is>
          <t>auto ancillaries</t>
        </is>
      </c>
      <c r="E140" s="30" t="inlineStr">
        <is>
          <t>largecap</t>
        </is>
      </c>
      <c r="F140" s="30" t="n">
        <v>39695</v>
      </c>
      <c r="G140" s="30" t="n">
        <v>474.25</v>
      </c>
      <c r="H140" s="30" t="n">
        <v>1.55</v>
      </c>
      <c r="I140" s="30" t="n">
        <v>4895622</v>
      </c>
      <c r="J140" s="30" t="inlineStr">
        <is>
          <t>500086</t>
        </is>
      </c>
    </row>
    <row r="141">
      <c r="A141" s="30" t="inlineStr">
        <is>
          <t>SANGHVIMOV</t>
        </is>
      </c>
      <c r="B141" s="30" t="inlineStr">
        <is>
          <t>Sanghvi Movers Limited</t>
        </is>
      </c>
      <c r="C141" s="30" t="inlineStr">
        <is>
          <t>miscellaneous</t>
        </is>
      </c>
      <c r="D141" s="30" t="inlineStr">
        <is>
          <t>miscellaneous</t>
        </is>
      </c>
      <c r="E141" s="30" t="inlineStr">
        <is>
          <t>smallcap</t>
        </is>
      </c>
      <c r="F141" s="30" t="n">
        <v>4105.43</v>
      </c>
      <c r="G141" s="30" t="n">
        <v>481.55</v>
      </c>
      <c r="H141" s="30" t="n">
        <v>1.55</v>
      </c>
      <c r="I141" s="30" t="n">
        <v>645352</v>
      </c>
      <c r="J141" s="30" t="inlineStr">
        <is>
          <t>530073</t>
        </is>
      </c>
    </row>
    <row r="142">
      <c r="A142" s="30" t="inlineStr">
        <is>
          <t>YATHARTH</t>
        </is>
      </c>
      <c r="B142" s="30" t="inlineStr">
        <is>
          <t>Yatharth Hospital &amp; Trauma Care Services Ltd</t>
        </is>
      </c>
      <c r="C142" s="30" t="inlineStr">
        <is>
          <t>healthcare</t>
        </is>
      </c>
      <c r="D142" s="30" t="inlineStr">
        <is>
          <t>healthcare</t>
        </is>
      </c>
      <c r="E142" s="30" t="inlineStr">
        <is>
          <t>midcap</t>
        </is>
      </c>
      <c r="F142" s="30" t="n">
        <v>8270.58</v>
      </c>
      <c r="G142" s="30" t="n">
        <v>871.45</v>
      </c>
      <c r="H142" s="30" t="n">
        <v>1.53</v>
      </c>
      <c r="I142" s="30" t="n">
        <v>342906</v>
      </c>
      <c r="J142" s="30" t="inlineStr">
        <is>
          <t>543950</t>
        </is>
      </c>
    </row>
    <row r="143">
      <c r="A143" s="30" t="inlineStr">
        <is>
          <t>EMIL</t>
        </is>
      </c>
      <c r="B143" s="30" t="inlineStr">
        <is>
          <t>Electronics Mart India Ltd</t>
        </is>
      </c>
      <c r="C143" s="30" t="inlineStr">
        <is>
          <t>consumer discretionary</t>
        </is>
      </c>
      <c r="D143" s="30" t="inlineStr">
        <is>
          <t>trading</t>
        </is>
      </c>
      <c r="E143" s="30" t="inlineStr">
        <is>
          <t>midcap</t>
        </is>
      </c>
      <c r="F143" s="30" t="n">
        <v>5677.35</v>
      </c>
      <c r="G143" s="30" t="n">
        <v>149.78</v>
      </c>
      <c r="H143" s="30" t="n">
        <v>1.5</v>
      </c>
      <c r="I143" s="30" t="n">
        <v>9559297</v>
      </c>
      <c r="J143" s="30" t="inlineStr">
        <is>
          <t>543626</t>
        </is>
      </c>
    </row>
    <row r="144">
      <c r="A144" s="30" t="inlineStr">
        <is>
          <t>SIRCA</t>
        </is>
      </c>
      <c r="B144" s="30" t="inlineStr">
        <is>
          <t>Sirca Paints India Ltd</t>
        </is>
      </c>
      <c r="C144" s="30" t="inlineStr">
        <is>
          <t>building materials</t>
        </is>
      </c>
      <c r="D144" s="30" t="inlineStr">
        <is>
          <t>paints / varnishes</t>
        </is>
      </c>
      <c r="E144" s="30" t="inlineStr">
        <is>
          <t>smallcap</t>
        </is>
      </c>
      <c r="F144" s="30" t="n">
        <v>2517.91</v>
      </c>
      <c r="G144" s="30" t="n">
        <v>449.95</v>
      </c>
      <c r="H144" s="30" t="n">
        <v>1.49</v>
      </c>
      <c r="I144" s="30" t="n">
        <v>559902</v>
      </c>
      <c r="J144" s="30" t="inlineStr">
        <is>
          <t>535083</t>
        </is>
      </c>
    </row>
    <row r="145">
      <c r="A145" s="30" t="inlineStr">
        <is>
          <t>JUBLINGREA</t>
        </is>
      </c>
      <c r="B145" s="30" t="inlineStr">
        <is>
          <t>Jubilant Ingrevia Ltd</t>
        </is>
      </c>
      <c r="C145" s="30" t="inlineStr">
        <is>
          <t>chemicals</t>
        </is>
      </c>
      <c r="D145" s="30" t="inlineStr">
        <is>
          <t>chemicals</t>
        </is>
      </c>
      <c r="E145" s="30" t="inlineStr">
        <is>
          <t>midcap</t>
        </is>
      </c>
      <c r="F145" s="30" t="n">
        <v>11883.97</v>
      </c>
      <c r="G145" s="30" t="n">
        <v>757</v>
      </c>
      <c r="H145" s="30" t="n">
        <v>1.46</v>
      </c>
      <c r="I145" s="30" t="n">
        <v>379357</v>
      </c>
      <c r="J145" s="30" t="inlineStr">
        <is>
          <t>543271</t>
        </is>
      </c>
    </row>
    <row r="146">
      <c r="A146" s="30" t="inlineStr">
        <is>
          <t>APOLLOTYRE</t>
        </is>
      </c>
      <c r="B146" s="30" t="inlineStr">
        <is>
          <t>Apollo Tyres Limited</t>
        </is>
      </c>
      <c r="C146" s="30" t="inlineStr">
        <is>
          <t>auto</t>
        </is>
      </c>
      <c r="D146" s="30" t="inlineStr">
        <is>
          <t>tyres</t>
        </is>
      </c>
      <c r="E146" s="30" t="inlineStr">
        <is>
          <t>largecap</t>
        </is>
      </c>
      <c r="F146" s="30" t="n">
        <v>28255.64</v>
      </c>
      <c r="G146" s="30" t="n">
        <v>451.2</v>
      </c>
      <c r="H146" s="30" t="n">
        <v>1.42</v>
      </c>
      <c r="I146" s="30" t="n">
        <v>907493</v>
      </c>
      <c r="J146" s="30" t="inlineStr">
        <is>
          <t>500877</t>
        </is>
      </c>
    </row>
    <row r="147">
      <c r="A147" s="30" t="inlineStr">
        <is>
          <t>HARSHA</t>
        </is>
      </c>
      <c r="B147" s="30" t="inlineStr">
        <is>
          <t>Harsha Engineers International Ltd</t>
        </is>
      </c>
      <c r="C147" s="30" t="inlineStr">
        <is>
          <t>industrials</t>
        </is>
      </c>
      <c r="D147" s="30" t="inlineStr">
        <is>
          <t>engineering</t>
        </is>
      </c>
      <c r="E147" s="30" t="inlineStr">
        <is>
          <t>smallcap</t>
        </is>
      </c>
      <c r="F147" s="30" t="n">
        <v>3821.58</v>
      </c>
      <c r="G147" s="30" t="n">
        <v>425.7</v>
      </c>
      <c r="H147" s="30" t="n">
        <v>1.42</v>
      </c>
      <c r="I147" s="30" t="n">
        <v>110076</v>
      </c>
      <c r="J147" s="30" t="inlineStr">
        <is>
          <t>543600</t>
        </is>
      </c>
    </row>
    <row r="148">
      <c r="A148" s="30" t="inlineStr">
        <is>
          <t>CRAFTSMAN</t>
        </is>
      </c>
      <c r="B148" s="30" t="inlineStr">
        <is>
          <t>Craftsman Automation Ltd</t>
        </is>
      </c>
      <c r="C148" s="30" t="inlineStr">
        <is>
          <t>auto</t>
        </is>
      </c>
      <c r="D148" s="30" t="inlineStr">
        <is>
          <t>auto ancillaries</t>
        </is>
      </c>
      <c r="E148" s="30" t="inlineStr">
        <is>
          <t>largecap</t>
        </is>
      </c>
      <c r="F148" s="30" t="n">
        <v>27222.84</v>
      </c>
      <c r="G148" s="30" t="n">
        <v>10555</v>
      </c>
      <c r="H148" s="30" t="n">
        <v>1.41</v>
      </c>
      <c r="I148" s="30" t="n">
        <v>40822</v>
      </c>
      <c r="J148" s="30" t="inlineStr">
        <is>
          <t>543276</t>
        </is>
      </c>
    </row>
    <row r="149">
      <c r="A149" s="30" t="inlineStr">
        <is>
          <t>SAILIFE</t>
        </is>
      </c>
      <c r="B149" s="30" t="inlineStr">
        <is>
          <t>Sai Life Sciences Ltd</t>
        </is>
      </c>
      <c r="C149" s="30" t="inlineStr">
        <is>
          <t>healthcare</t>
        </is>
      </c>
      <c r="D149" s="30" t="inlineStr">
        <is>
          <t>pharmaceuticals - indian - bulk drugs &amp; formln</t>
        </is>
      </c>
      <c r="E149" s="30" t="inlineStr">
        <is>
          <t>largecap</t>
        </is>
      </c>
      <c r="F149" s="30" t="n">
        <v>29599.04</v>
      </c>
      <c r="G149" s="30" t="n">
        <v>1414</v>
      </c>
      <c r="H149" s="30" t="n">
        <v>1.41</v>
      </c>
      <c r="I149" s="30" t="n">
        <v>1284015</v>
      </c>
      <c r="J149" s="30" t="inlineStr">
        <is>
          <t>544306</t>
        </is>
      </c>
    </row>
    <row r="150">
      <c r="A150" s="30" t="inlineStr">
        <is>
          <t>SADHNANIQ</t>
        </is>
      </c>
      <c r="B150" s="30" t="inlineStr">
        <is>
          <t>Sadhana Nitro Chem Ltd</t>
        </is>
      </c>
      <c r="C150" s="30" t="inlineStr">
        <is>
          <t>chemicals</t>
        </is>
      </c>
      <c r="D150" s="30" t="inlineStr">
        <is>
          <t>chemicals</t>
        </is>
      </c>
      <c r="E150" s="30" t="inlineStr">
        <is>
          <t>smallcap</t>
        </is>
      </c>
      <c r="F150" s="30" t="n">
        <v>841.97</v>
      </c>
      <c r="G150" s="30" t="n">
        <v>2.88</v>
      </c>
      <c r="H150" s="30" t="n">
        <v>1.41</v>
      </c>
      <c r="I150" s="30" t="n">
        <v>3698881</v>
      </c>
      <c r="J150" s="30" t="inlineStr">
        <is>
          <t>506642</t>
        </is>
      </c>
    </row>
    <row r="151">
      <c r="A151" s="30" t="inlineStr">
        <is>
          <t>CEATLTD</t>
        </is>
      </c>
      <c r="B151" s="30" t="inlineStr">
        <is>
          <t>Ceat Limited</t>
        </is>
      </c>
      <c r="C151" s="30" t="inlineStr">
        <is>
          <t>auto</t>
        </is>
      </c>
      <c r="D151" s="30" t="inlineStr">
        <is>
          <t>tyres</t>
        </is>
      </c>
      <c r="E151" s="30" t="inlineStr">
        <is>
          <t>midcap</t>
        </is>
      </c>
      <c r="F151" s="30" t="n">
        <v>14980.69</v>
      </c>
      <c r="G151" s="30" t="n">
        <v>3755.4</v>
      </c>
      <c r="H151" s="30" t="n">
        <v>1.4</v>
      </c>
      <c r="I151" s="30" t="n">
        <v>98294</v>
      </c>
      <c r="J151" s="30" t="inlineStr">
        <is>
          <t>500878</t>
        </is>
      </c>
    </row>
    <row r="152">
      <c r="A152" s="30" t="inlineStr">
        <is>
          <t>SPECIALITY</t>
        </is>
      </c>
      <c r="B152" s="30" t="inlineStr">
        <is>
          <t>Speciality Restaurants Limited</t>
        </is>
      </c>
      <c r="C152" s="30" t="inlineStr">
        <is>
          <t>services</t>
        </is>
      </c>
      <c r="D152" s="30" t="inlineStr">
        <is>
          <t>hotels</t>
        </is>
      </c>
      <c r="E152" s="30" t="inlineStr">
        <is>
          <t>smallcap</t>
        </is>
      </c>
      <c r="F152" s="30" t="n">
        <v>685.09</v>
      </c>
      <c r="G152" s="30" t="n">
        <v>143.99</v>
      </c>
      <c r="H152" s="30" t="n">
        <v>1.38</v>
      </c>
      <c r="I152" s="30" t="n">
        <v>124577</v>
      </c>
      <c r="J152" s="30" t="inlineStr">
        <is>
          <t>534425</t>
        </is>
      </c>
    </row>
    <row r="153">
      <c r="A153" s="30" t="inlineStr">
        <is>
          <t>CARYSIL</t>
        </is>
      </c>
      <c r="B153" s="30" t="inlineStr">
        <is>
          <t>Carysil Ltd</t>
        </is>
      </c>
      <c r="C153" s="30" t="inlineStr">
        <is>
          <t>consumer discretionary</t>
        </is>
      </c>
      <c r="D153" s="30" t="inlineStr">
        <is>
          <t>domestic appliances</t>
        </is>
      </c>
      <c r="E153" s="30" t="inlineStr">
        <is>
          <t>smallcap</t>
        </is>
      </c>
      <c r="F153" s="30" t="n">
        <v>3387.8</v>
      </c>
      <c r="G153" s="30" t="n">
        <v>1207.5</v>
      </c>
      <c r="H153" s="30" t="n">
        <v>1.38</v>
      </c>
      <c r="I153" s="30" t="n">
        <v>87856</v>
      </c>
      <c r="J153" s="30" t="inlineStr">
        <is>
          <t>524091</t>
        </is>
      </c>
    </row>
    <row r="154">
      <c r="A154" s="30" t="inlineStr">
        <is>
          <t>VSSL</t>
        </is>
      </c>
      <c r="B154" s="30" t="inlineStr">
        <is>
          <t>Vardhman Special Steels Limited</t>
        </is>
      </c>
      <c r="C154" s="30" t="inlineStr">
        <is>
          <t>metals &amp; mining</t>
        </is>
      </c>
      <c r="D154" s="30" t="inlineStr">
        <is>
          <t>steel - medium / small</t>
        </is>
      </c>
      <c r="E154" s="30" t="inlineStr">
        <is>
          <t>smallcap</t>
        </is>
      </c>
      <c r="F154" s="30" t="n">
        <v>3184.34</v>
      </c>
      <c r="G154" s="30" t="n">
        <v>333.85</v>
      </c>
      <c r="H154" s="30" t="n">
        <v>1.37</v>
      </c>
      <c r="I154" s="30" t="n">
        <v>1000800</v>
      </c>
      <c r="J154" s="30" t="inlineStr">
        <is>
          <t>534392</t>
        </is>
      </c>
    </row>
    <row r="155">
      <c r="A155" s="30" t="inlineStr">
        <is>
          <t>CASTROLIND</t>
        </is>
      </c>
      <c r="B155" s="30" t="inlineStr">
        <is>
          <t>Castrol India Limited</t>
        </is>
      </c>
      <c r="C155" s="30" t="inlineStr">
        <is>
          <t>chemicals</t>
        </is>
      </c>
      <c r="D155" s="30" t="inlineStr">
        <is>
          <t>chemicals</t>
        </is>
      </c>
      <c r="E155" s="30" t="inlineStr">
        <is>
          <t>midcap</t>
        </is>
      </c>
      <c r="F155" s="30" t="n">
        <v>18945.65</v>
      </c>
      <c r="G155" s="30" t="n">
        <v>194.17</v>
      </c>
      <c r="H155" s="30" t="n">
        <v>1.37</v>
      </c>
      <c r="I155" s="30" t="n">
        <v>9762712</v>
      </c>
      <c r="J155" s="30" t="inlineStr">
        <is>
          <t>500870</t>
        </is>
      </c>
    </row>
    <row r="156">
      <c r="A156" s="30" t="inlineStr">
        <is>
          <t>IMFA</t>
        </is>
      </c>
      <c r="B156" s="30" t="inlineStr">
        <is>
          <t>Indian Metals &amp; Ferro Alloys Limited</t>
        </is>
      </c>
      <c r="C156" s="30" t="inlineStr">
        <is>
          <t>metals &amp; mining</t>
        </is>
      </c>
      <c r="D156" s="30" t="inlineStr">
        <is>
          <t>mining / minerals / metals</t>
        </is>
      </c>
      <c r="E156" s="30" t="inlineStr">
        <is>
          <t>midcap</t>
        </is>
      </c>
      <c r="F156" s="30" t="n">
        <v>8038.62</v>
      </c>
      <c r="G156" s="30" t="n">
        <v>1510.1</v>
      </c>
      <c r="H156" s="30" t="n">
        <v>1.36</v>
      </c>
      <c r="I156" s="30" t="n">
        <v>388975</v>
      </c>
      <c r="J156" s="30" t="inlineStr">
        <is>
          <t>533047</t>
        </is>
      </c>
    </row>
    <row r="157">
      <c r="A157" s="30" t="inlineStr">
        <is>
          <t>HONASA</t>
        </is>
      </c>
      <c r="B157" s="30" t="inlineStr">
        <is>
          <t>Honasa Consumer Ltd</t>
        </is>
      </c>
      <c r="C157" s="30" t="inlineStr">
        <is>
          <t>services</t>
        </is>
      </c>
      <c r="D157" s="30" t="inlineStr">
        <is>
          <t>trading</t>
        </is>
      </c>
      <c r="E157" s="30" t="inlineStr">
        <is>
          <t>midcap</t>
        </is>
      </c>
      <c r="F157" s="30" t="n">
        <v>14985.7</v>
      </c>
      <c r="G157" s="30" t="n">
        <v>465.65</v>
      </c>
      <c r="H157" s="30" t="n">
        <v>1.31</v>
      </c>
      <c r="I157" s="30" t="n">
        <v>628711</v>
      </c>
      <c r="J157" s="30" t="inlineStr">
        <is>
          <t>544014</t>
        </is>
      </c>
    </row>
    <row r="158">
      <c r="A158" s="30" t="inlineStr">
        <is>
          <t>BELRISE</t>
        </is>
      </c>
      <c r="B158" s="30" t="inlineStr">
        <is>
          <t>Belrise Industries Ltd</t>
        </is>
      </c>
      <c r="C158" s="30" t="inlineStr">
        <is>
          <t>auto</t>
        </is>
      </c>
      <c r="D158" s="30" t="inlineStr">
        <is>
          <t>auto ancillaries</t>
        </is>
      </c>
      <c r="E158" s="30" t="inlineStr">
        <is>
          <t>largecap</t>
        </is>
      </c>
      <c r="F158" s="30" t="n">
        <v>23355.75</v>
      </c>
      <c r="G158" s="30" t="n">
        <v>244.61</v>
      </c>
      <c r="H158" s="30" t="n">
        <v>1.29</v>
      </c>
      <c r="I158" s="30" t="n">
        <v>4084296</v>
      </c>
      <c r="J158" s="30" t="n"/>
    </row>
    <row r="159">
      <c r="A159" s="30" t="inlineStr">
        <is>
          <t>KILITCH</t>
        </is>
      </c>
      <c r="B159" s="30" t="inlineStr">
        <is>
          <t>Kilitch Drugs (india) Limited</t>
        </is>
      </c>
      <c r="C159" s="30" t="inlineStr">
        <is>
          <t>healthcare</t>
        </is>
      </c>
      <c r="D159" s="30" t="inlineStr">
        <is>
          <t>pharmaceuticals - indian - formulations</t>
        </is>
      </c>
      <c r="E159" s="30" t="inlineStr">
        <is>
          <t>smallcap</t>
        </is>
      </c>
      <c r="F159" s="30" t="n">
        <v>669.09</v>
      </c>
      <c r="G159" s="30" t="n">
        <v>193.82</v>
      </c>
      <c r="H159" s="30" t="n">
        <v>1.28</v>
      </c>
      <c r="I159" s="30" t="n">
        <v>19005</v>
      </c>
      <c r="J159" s="30" t="inlineStr">
        <is>
          <t>524500</t>
        </is>
      </c>
    </row>
    <row r="160">
      <c r="A160" s="30" t="inlineStr">
        <is>
          <t>KAMDHENU</t>
        </is>
      </c>
      <c r="B160" s="30" t="inlineStr">
        <is>
          <t>Kamdhenu Limited</t>
        </is>
      </c>
      <c r="C160" s="30" t="inlineStr">
        <is>
          <t>metals &amp; mining</t>
        </is>
      </c>
      <c r="D160" s="30" t="inlineStr">
        <is>
          <t>steel - medium / small</t>
        </is>
      </c>
      <c r="E160" s="30" t="inlineStr">
        <is>
          <t>smallcap</t>
        </is>
      </c>
      <c r="F160" s="30" t="n">
        <v>975.6</v>
      </c>
      <c r="G160" s="30" t="n">
        <v>35.05</v>
      </c>
      <c r="H160" s="30" t="n">
        <v>1.27</v>
      </c>
      <c r="I160" s="30" t="n">
        <v>303152</v>
      </c>
      <c r="J160" s="30" t="inlineStr">
        <is>
          <t>532741</t>
        </is>
      </c>
    </row>
    <row r="161">
      <c r="A161" s="30" t="inlineStr">
        <is>
          <t>SIS</t>
        </is>
      </c>
      <c r="B161" s="30" t="inlineStr">
        <is>
          <t>Security &amp; Intelligence Services India</t>
        </is>
      </c>
      <c r="C161" s="30" t="inlineStr">
        <is>
          <t>miscellaneous</t>
        </is>
      </c>
      <c r="D161" s="30" t="inlineStr">
        <is>
          <t>miscellaneous</t>
        </is>
      </c>
      <c r="E161" s="30" t="inlineStr">
        <is>
          <t>midcap</t>
        </is>
      </c>
      <c r="F161" s="30" t="n">
        <v>6083.7</v>
      </c>
      <c r="G161" s="30" t="n">
        <v>436</v>
      </c>
      <c r="H161" s="30" t="n">
        <v>1.27</v>
      </c>
      <c r="I161" s="30" t="n">
        <v>264788</v>
      </c>
      <c r="J161" s="30" t="inlineStr">
        <is>
          <t>540673</t>
        </is>
      </c>
    </row>
    <row r="162">
      <c r="A162" s="30" t="inlineStr">
        <is>
          <t>PIDILITIND</t>
        </is>
      </c>
      <c r="B162" s="30" t="inlineStr">
        <is>
          <t>Pidilite Industries Limited</t>
        </is>
      </c>
      <c r="C162" s="30" t="inlineStr">
        <is>
          <t>chemicals</t>
        </is>
      </c>
      <c r="D162" s="30" t="inlineStr">
        <is>
          <t>chemicals</t>
        </is>
      </c>
      <c r="E162" s="30" t="inlineStr">
        <is>
          <t>largecap</t>
        </is>
      </c>
      <c r="F162" s="30" t="n">
        <v>169459.6</v>
      </c>
      <c r="G162" s="30" t="n">
        <v>1686</v>
      </c>
      <c r="H162" s="30" t="n">
        <v>1.26</v>
      </c>
      <c r="I162" s="30" t="n">
        <v>3512973</v>
      </c>
      <c r="J162" s="30" t="inlineStr">
        <is>
          <t>500331</t>
        </is>
      </c>
    </row>
    <row r="163">
      <c r="A163" s="30" t="inlineStr">
        <is>
          <t>CIPLA</t>
        </is>
      </c>
      <c r="B163" s="30" t="inlineStr">
        <is>
          <t>Cipla Limited</t>
        </is>
      </c>
      <c r="C163" s="30" t="inlineStr">
        <is>
          <t>healthcare</t>
        </is>
      </c>
      <c r="D163" s="30" t="inlineStr">
        <is>
          <t>pharmaceuticals - indian - bulk drugs &amp; formln</t>
        </is>
      </c>
      <c r="E163" s="30" t="inlineStr">
        <is>
          <t>largecap</t>
        </is>
      </c>
      <c r="F163" s="30" t="n">
        <v>117848.47</v>
      </c>
      <c r="G163" s="30" t="n">
        <v>1477</v>
      </c>
      <c r="H163" s="30" t="n">
        <v>1.25</v>
      </c>
      <c r="I163" s="30" t="n">
        <v>2883870</v>
      </c>
      <c r="J163" s="30" t="inlineStr">
        <is>
          <t>500087</t>
        </is>
      </c>
    </row>
    <row r="164">
      <c r="A164" s="30" t="inlineStr">
        <is>
          <t>CLSEL</t>
        </is>
      </c>
      <c r="B164" s="30" t="inlineStr">
        <is>
          <t>Chamanlal Setia Exports Ltd</t>
        </is>
      </c>
      <c r="C164" s="30" t="inlineStr">
        <is>
          <t>fmcg</t>
        </is>
      </c>
      <c r="D164" s="30" t="inlineStr">
        <is>
          <t>food - processing - indian</t>
        </is>
      </c>
      <c r="E164" s="30" t="inlineStr">
        <is>
          <t>smallcap</t>
        </is>
      </c>
      <c r="F164" s="30" t="n">
        <v>1462.93</v>
      </c>
      <c r="G164" s="30" t="n">
        <v>297.85</v>
      </c>
      <c r="H164" s="30" t="n">
        <v>1.24</v>
      </c>
      <c r="I164" s="30" t="n">
        <v>220524</v>
      </c>
      <c r="J164" s="30" t="inlineStr">
        <is>
          <t>530307</t>
        </is>
      </c>
    </row>
    <row r="165">
      <c r="A165" s="30" t="inlineStr">
        <is>
          <t>GEECEE</t>
        </is>
      </c>
      <c r="B165" s="30" t="inlineStr">
        <is>
          <t>Geecee Ventures Limited</t>
        </is>
      </c>
      <c r="C165" s="30" t="inlineStr">
        <is>
          <t>financials</t>
        </is>
      </c>
      <c r="D165" s="30" t="inlineStr">
        <is>
          <t>finance &amp; investments</t>
        </is>
      </c>
      <c r="E165" s="30" t="inlineStr">
        <is>
          <t>smallcap</t>
        </is>
      </c>
      <c r="F165" s="30" t="n">
        <v>751.88</v>
      </c>
      <c r="G165" s="30" t="n">
        <v>364</v>
      </c>
      <c r="H165" s="30" t="n">
        <v>1.24</v>
      </c>
      <c r="I165" s="30" t="n">
        <v>8415</v>
      </c>
      <c r="J165" s="30" t="inlineStr">
        <is>
          <t>532764</t>
        </is>
      </c>
    </row>
    <row r="166">
      <c r="A166" s="30" t="inlineStr">
        <is>
          <t>SHALPAINTS</t>
        </is>
      </c>
      <c r="B166" s="30" t="inlineStr">
        <is>
          <t>Shalimar Paints Limited</t>
        </is>
      </c>
      <c r="C166" s="30" t="inlineStr">
        <is>
          <t>building materials</t>
        </is>
      </c>
      <c r="D166" s="30" t="inlineStr">
        <is>
          <t>paints / varnishes</t>
        </is>
      </c>
      <c r="E166" s="30" t="inlineStr">
        <is>
          <t>smallcap</t>
        </is>
      </c>
      <c r="F166" s="30" t="n">
        <v>721.51</v>
      </c>
      <c r="G166" s="30" t="n">
        <v>87.25</v>
      </c>
      <c r="H166" s="30" t="n">
        <v>1.23</v>
      </c>
      <c r="I166" s="30" t="n">
        <v>763795</v>
      </c>
      <c r="J166" s="30" t="inlineStr">
        <is>
          <t>509874</t>
        </is>
      </c>
    </row>
    <row r="167">
      <c r="A167" s="30" t="inlineStr">
        <is>
          <t>SANSERA</t>
        </is>
      </c>
      <c r="B167" s="30" t="inlineStr">
        <is>
          <t>Sansera Engineering Ltd</t>
        </is>
      </c>
      <c r="C167" s="30" t="inlineStr">
        <is>
          <t>auto</t>
        </is>
      </c>
      <c r="D167" s="30" t="inlineStr">
        <is>
          <t>auto ancillaries</t>
        </is>
      </c>
      <c r="E167" s="30" t="inlineStr">
        <is>
          <t>largecap</t>
        </is>
      </c>
      <c r="F167" s="30" t="n">
        <v>23356.41</v>
      </c>
      <c r="G167" s="30" t="n">
        <v>3787.3</v>
      </c>
      <c r="H167" s="30" t="n">
        <v>1.19</v>
      </c>
      <c r="I167" s="30" t="n">
        <v>349481</v>
      </c>
      <c r="J167" s="30" t="inlineStr">
        <is>
          <t>543358</t>
        </is>
      </c>
    </row>
    <row r="168">
      <c r="A168" s="30" t="inlineStr">
        <is>
          <t>E2E</t>
        </is>
      </c>
      <c r="B168" s="30" t="inlineStr">
        <is>
          <t>E2E Networks Ltd</t>
        </is>
      </c>
      <c r="C168" s="30" t="inlineStr">
        <is>
          <t>i.t</t>
        </is>
      </c>
      <c r="D168" s="30" t="inlineStr">
        <is>
          <t>computers - software - medium / small</t>
        </is>
      </c>
      <c r="E168" s="30" t="inlineStr">
        <is>
          <t>midcap</t>
        </is>
      </c>
      <c r="F168" s="30" t="n">
        <v>12306.14</v>
      </c>
      <c r="G168" s="30" t="n">
        <v>605.7</v>
      </c>
      <c r="H168" s="30" t="n">
        <v>1.18</v>
      </c>
      <c r="I168" s="30" t="n">
        <v>3029968</v>
      </c>
      <c r="J168" s="30" t="inlineStr">
        <is>
          <t>535080</t>
        </is>
      </c>
    </row>
    <row r="169">
      <c r="A169" s="30" t="inlineStr">
        <is>
          <t>CGCL</t>
        </is>
      </c>
      <c r="B169" s="30" t="inlineStr">
        <is>
          <t>Capri Global Capital Limited</t>
        </is>
      </c>
      <c r="C169" s="30" t="inlineStr">
        <is>
          <t>financials</t>
        </is>
      </c>
      <c r="D169" s="30" t="inlineStr">
        <is>
          <t>finance &amp; investments</t>
        </is>
      </c>
      <c r="E169" s="30" t="inlineStr">
        <is>
          <t>largecap</t>
        </is>
      </c>
      <c r="F169" s="30" t="n">
        <v>22928.13</v>
      </c>
      <c r="G169" s="30" t="n">
        <v>241.07</v>
      </c>
      <c r="H169" s="30" t="n">
        <v>1.16</v>
      </c>
      <c r="I169" s="30" t="n">
        <v>4519331</v>
      </c>
      <c r="J169" s="30" t="inlineStr">
        <is>
          <t>531595</t>
        </is>
      </c>
    </row>
    <row r="170">
      <c r="A170" s="30" t="inlineStr">
        <is>
          <t>RATNAVEER</t>
        </is>
      </c>
      <c r="B170" s="30" t="inlineStr">
        <is>
          <t>Ratnaveer Precision Engineering Ltd</t>
        </is>
      </c>
      <c r="C170" s="30" t="inlineStr">
        <is>
          <t>metals &amp; mining</t>
        </is>
      </c>
      <c r="D170" s="30" t="inlineStr">
        <is>
          <t>steel - medium / small</t>
        </is>
      </c>
      <c r="E170" s="30" t="inlineStr">
        <is>
          <t>smallcap</t>
        </is>
      </c>
      <c r="F170" s="30" t="n">
        <v>1451.75</v>
      </c>
      <c r="G170" s="30" t="n">
        <v>205.61</v>
      </c>
      <c r="H170" s="30" t="n">
        <v>1.16</v>
      </c>
      <c r="I170" s="30" t="n">
        <v>5915374</v>
      </c>
      <c r="J170" s="30" t="inlineStr">
        <is>
          <t>543978</t>
        </is>
      </c>
    </row>
    <row r="171">
      <c r="A171" s="30" t="inlineStr">
        <is>
          <t>NAZARA</t>
        </is>
      </c>
      <c r="B171" s="30" t="inlineStr">
        <is>
          <t>Nazara Technologies Ltd</t>
        </is>
      </c>
      <c r="C171" s="30" t="inlineStr">
        <is>
          <t>i.t</t>
        </is>
      </c>
      <c r="D171" s="30" t="inlineStr">
        <is>
          <t>telecommunications - service provider</t>
        </is>
      </c>
      <c r="E171" s="30" t="inlineStr">
        <is>
          <t>midcap</t>
        </is>
      </c>
      <c r="F171" s="30" t="n">
        <v>12921.82</v>
      </c>
      <c r="G171" s="30" t="n">
        <v>352.85</v>
      </c>
      <c r="H171" s="30" t="n">
        <v>1.16</v>
      </c>
      <c r="I171" s="30" t="n">
        <v>5602434</v>
      </c>
      <c r="J171" s="30" t="inlineStr">
        <is>
          <t>543280</t>
        </is>
      </c>
    </row>
    <row r="172">
      <c r="A172" s="30" t="inlineStr">
        <is>
          <t>AVTNPL</t>
        </is>
      </c>
      <c r="B172" s="30" t="inlineStr">
        <is>
          <t>Avt Natural Products Limited</t>
        </is>
      </c>
      <c r="C172" s="30" t="inlineStr">
        <is>
          <t>fmcg</t>
        </is>
      </c>
      <c r="D172" s="30" t="inlineStr">
        <is>
          <t>solvent extraction</t>
        </is>
      </c>
      <c r="E172" s="30" t="inlineStr">
        <is>
          <t>smallcap</t>
        </is>
      </c>
      <c r="F172" s="30" t="n">
        <v>1078.32</v>
      </c>
      <c r="G172" s="30" t="n">
        <v>71.61</v>
      </c>
      <c r="H172" s="30" t="n">
        <v>1.13</v>
      </c>
      <c r="I172" s="30" t="n">
        <v>54036</v>
      </c>
      <c r="J172" s="30" t="inlineStr">
        <is>
          <t>519105</t>
        </is>
      </c>
    </row>
    <row r="173">
      <c r="A173" s="30" t="inlineStr">
        <is>
          <t>FLUOROCHEM</t>
        </is>
      </c>
      <c r="B173" s="30" t="inlineStr">
        <is>
          <t>Gujarat Fluorochemicals Ltd</t>
        </is>
      </c>
      <c r="C173" s="30" t="inlineStr">
        <is>
          <t>chemicals</t>
        </is>
      </c>
      <c r="D173" s="30" t="inlineStr">
        <is>
          <t>chemicals</t>
        </is>
      </c>
      <c r="E173" s="30" t="inlineStr">
        <is>
          <t>largecap</t>
        </is>
      </c>
      <c r="F173" s="30" t="n">
        <v>49411.63</v>
      </c>
      <c r="G173" s="30" t="n">
        <v>4548</v>
      </c>
      <c r="H173" s="30" t="n">
        <v>1.11</v>
      </c>
      <c r="I173" s="30" t="n">
        <v>70208</v>
      </c>
      <c r="J173" s="30" t="inlineStr">
        <is>
          <t>542812</t>
        </is>
      </c>
    </row>
    <row r="174">
      <c r="A174" s="30" t="inlineStr">
        <is>
          <t>SOUTHBANK</t>
        </is>
      </c>
      <c r="B174" s="30" t="inlineStr">
        <is>
          <t>The South Indian Bank Limited</t>
        </is>
      </c>
      <c r="C174" s="30" t="inlineStr">
        <is>
          <t>bank</t>
        </is>
      </c>
      <c r="D174" s="30" t="inlineStr">
        <is>
          <t>banks - private sector</t>
        </is>
      </c>
      <c r="E174" s="30" t="inlineStr">
        <is>
          <t>midcap</t>
        </is>
      </c>
      <c r="F174" s="30" t="n">
        <v>12283.97</v>
      </c>
      <c r="G174" s="30" t="n">
        <v>47.43</v>
      </c>
      <c r="H174" s="30" t="n">
        <v>1.09</v>
      </c>
      <c r="I174" s="30" t="n">
        <v>10026732</v>
      </c>
      <c r="J174" s="30" t="inlineStr">
        <is>
          <t>532218</t>
        </is>
      </c>
    </row>
    <row r="175">
      <c r="A175" s="30" t="inlineStr">
        <is>
          <t>CHOICEIN</t>
        </is>
      </c>
      <c r="B175" s="30" t="inlineStr">
        <is>
          <t>Choice International Ltd</t>
        </is>
      </c>
      <c r="C175" s="30" t="inlineStr">
        <is>
          <t>financials</t>
        </is>
      </c>
      <c r="D175" s="30" t="inlineStr">
        <is>
          <t>finance &amp; investments</t>
        </is>
      </c>
      <c r="E175" s="30" t="inlineStr">
        <is>
          <t>midcap</t>
        </is>
      </c>
      <c r="F175" s="30" t="n">
        <v>18364.58</v>
      </c>
      <c r="G175" s="30" t="n">
        <v>833.2</v>
      </c>
      <c r="H175" s="30" t="n">
        <v>1.07</v>
      </c>
      <c r="I175" s="30" t="n">
        <v>684783</v>
      </c>
      <c r="J175" s="30" t="inlineStr">
        <is>
          <t>531358</t>
        </is>
      </c>
    </row>
    <row r="176">
      <c r="A176" s="30" t="inlineStr">
        <is>
          <t>TVSHLTD</t>
        </is>
      </c>
      <c r="B176" s="30" t="inlineStr">
        <is>
          <t>TVS Holdings Ltd</t>
        </is>
      </c>
      <c r="C176" s="30" t="inlineStr">
        <is>
          <t>financials</t>
        </is>
      </c>
      <c r="D176" s="30" t="inlineStr">
        <is>
          <t>finance &amp; investments</t>
        </is>
      </c>
      <c r="E176" s="30" t="inlineStr">
        <is>
          <t>largecap</t>
        </is>
      </c>
      <c r="F176" s="30" t="n">
        <v>29880.79</v>
      </c>
      <c r="G176" s="30" t="n">
        <v>14925</v>
      </c>
      <c r="H176" s="30" t="n">
        <v>1.06</v>
      </c>
      <c r="I176" s="30" t="n">
        <v>4451</v>
      </c>
      <c r="J176" s="30" t="inlineStr">
        <is>
          <t>520056</t>
        </is>
      </c>
    </row>
    <row r="177">
      <c r="A177" s="30" t="inlineStr">
        <is>
          <t>HESTERBIO</t>
        </is>
      </c>
      <c r="B177" s="30" t="inlineStr">
        <is>
          <t>Hester Biosciences Limited</t>
        </is>
      </c>
      <c r="C177" s="30" t="inlineStr">
        <is>
          <t>healthcare</t>
        </is>
      </c>
      <c r="D177" s="30" t="inlineStr">
        <is>
          <t>pharmaceuticals - indian - formulations</t>
        </is>
      </c>
      <c r="E177" s="30" t="inlineStr">
        <is>
          <t>smallcap</t>
        </is>
      </c>
      <c r="F177" s="30" t="n">
        <v>2069.98</v>
      </c>
      <c r="G177" s="30" t="n">
        <v>2458.5</v>
      </c>
      <c r="H177" s="30" t="n">
        <v>1.04</v>
      </c>
      <c r="I177" s="30" t="n">
        <v>3170</v>
      </c>
      <c r="J177" s="30" t="inlineStr">
        <is>
          <t>524669</t>
        </is>
      </c>
    </row>
    <row r="178">
      <c r="A178" s="30" t="inlineStr">
        <is>
          <t>JKPAPER</t>
        </is>
      </c>
      <c r="B178" s="30" t="inlineStr">
        <is>
          <t>Jk Paper Limited</t>
        </is>
      </c>
      <c r="C178" s="30" t="inlineStr">
        <is>
          <t>building materials</t>
        </is>
      </c>
      <c r="D178" s="30" t="inlineStr">
        <is>
          <t>paper</t>
        </is>
      </c>
      <c r="E178" s="30" t="inlineStr">
        <is>
          <t>midcap</t>
        </is>
      </c>
      <c r="F178" s="30" t="n">
        <v>6985.31</v>
      </c>
      <c r="G178" s="30" t="n">
        <v>389.2</v>
      </c>
      <c r="H178" s="30" t="n">
        <v>1.03</v>
      </c>
      <c r="I178" s="30" t="n">
        <v>229143</v>
      </c>
      <c r="J178" s="30" t="inlineStr">
        <is>
          <t>532162</t>
        </is>
      </c>
    </row>
    <row r="179">
      <c r="A179" s="30" t="inlineStr">
        <is>
          <t>TIMKEN</t>
        </is>
      </c>
      <c r="B179" s="30" t="inlineStr">
        <is>
          <t>Timken India Limited</t>
        </is>
      </c>
      <c r="C179" s="30" t="inlineStr">
        <is>
          <t>industrials</t>
        </is>
      </c>
      <c r="D179" s="30" t="inlineStr">
        <is>
          <t>bearings</t>
        </is>
      </c>
      <c r="E179" s="30" t="inlineStr">
        <is>
          <t>largecap</t>
        </is>
      </c>
      <c r="F179" s="30" t="n">
        <v>24892.89</v>
      </c>
      <c r="G179" s="30" t="n">
        <v>3343.1</v>
      </c>
      <c r="H179" s="30" t="n">
        <v>1.02</v>
      </c>
      <c r="I179" s="30" t="n">
        <v>66428</v>
      </c>
      <c r="J179" s="30" t="inlineStr">
        <is>
          <t>522113</t>
        </is>
      </c>
    </row>
    <row r="180">
      <c r="A180" s="30" t="inlineStr">
        <is>
          <t>OAL</t>
        </is>
      </c>
      <c r="B180" s="30" t="inlineStr">
        <is>
          <t>Oriental Aromatics Ltd</t>
        </is>
      </c>
      <c r="C180" s="30" t="inlineStr">
        <is>
          <t>chemicals</t>
        </is>
      </c>
      <c r="D180" s="30" t="inlineStr">
        <is>
          <t>chemicals</t>
        </is>
      </c>
      <c r="E180" s="30" t="inlineStr">
        <is>
          <t>smallcap</t>
        </is>
      </c>
      <c r="F180" s="30" t="n">
        <v>1265.88</v>
      </c>
      <c r="G180" s="30" t="n">
        <v>380</v>
      </c>
      <c r="H180" s="30" t="n">
        <v>1.02</v>
      </c>
      <c r="I180" s="30" t="n">
        <v>8142</v>
      </c>
      <c r="J180" s="30" t="inlineStr">
        <is>
          <t>500078</t>
        </is>
      </c>
    </row>
    <row r="181">
      <c r="A181" s="30" t="inlineStr">
        <is>
          <t>TITAGARH</t>
        </is>
      </c>
      <c r="B181" s="30" t="inlineStr">
        <is>
          <t>Titagarh Rail Systems Ltd</t>
        </is>
      </c>
      <c r="C181" s="30" t="inlineStr">
        <is>
          <t>industrials</t>
        </is>
      </c>
      <c r="D181" s="30" t="inlineStr">
        <is>
          <t>engineering</t>
        </is>
      </c>
      <c r="E181" s="30" t="inlineStr">
        <is>
          <t>midcap</t>
        </is>
      </c>
      <c r="F181" s="30" t="n">
        <v>11487</v>
      </c>
      <c r="G181" s="30" t="n">
        <v>861.65</v>
      </c>
      <c r="H181" s="30" t="n">
        <v>1.02</v>
      </c>
      <c r="I181" s="30" t="n">
        <v>418636</v>
      </c>
      <c r="J181" s="30" t="inlineStr">
        <is>
          <t>532966</t>
        </is>
      </c>
    </row>
    <row r="182">
      <c r="A182" s="30" t="inlineStr">
        <is>
          <t>FIVESTAR</t>
        </is>
      </c>
      <c r="B182" s="30" t="inlineStr">
        <is>
          <t>Five-Star Business Finance Ltd</t>
        </is>
      </c>
      <c r="C182" s="30" t="inlineStr">
        <is>
          <t>financials</t>
        </is>
      </c>
      <c r="D182" s="30" t="inlineStr">
        <is>
          <t>finance &amp; investments</t>
        </is>
      </c>
      <c r="E182" s="30" t="inlineStr">
        <is>
          <t>midcap</t>
        </is>
      </c>
      <c r="F182" s="30" t="n">
        <v>16167</v>
      </c>
      <c r="G182" s="30" t="n">
        <v>553.25</v>
      </c>
      <c r="H182" s="30" t="n">
        <v>1.01</v>
      </c>
      <c r="I182" s="30" t="n">
        <v>300200</v>
      </c>
      <c r="J182" s="30" t="n"/>
    </row>
    <row r="183">
      <c r="A183" s="30" t="inlineStr">
        <is>
          <t>SMCGLOBAL</t>
        </is>
      </c>
      <c r="B183" s="30" t="inlineStr">
        <is>
          <t>SMC Global Securities Ltd</t>
        </is>
      </c>
      <c r="C183" s="30" t="inlineStr">
        <is>
          <t>financials</t>
        </is>
      </c>
      <c r="D183" s="30" t="inlineStr">
        <is>
          <t>finance &amp; investments</t>
        </is>
      </c>
      <c r="E183" s="30" t="inlineStr">
        <is>
          <t>smallcap</t>
        </is>
      </c>
      <c r="F183" s="30" t="n">
        <v>1671.01</v>
      </c>
      <c r="G183" s="30" t="n">
        <v>80.59999999999999</v>
      </c>
      <c r="H183" s="30" t="n">
        <v>1</v>
      </c>
      <c r="I183" s="30" t="n">
        <v>1033645</v>
      </c>
      <c r="J183" s="30" t="inlineStr">
        <is>
          <t>543263</t>
        </is>
      </c>
    </row>
    <row r="184">
      <c r="A184" s="30" t="inlineStr">
        <is>
          <t>NESTLEIND</t>
        </is>
      </c>
      <c r="B184" s="30" t="inlineStr">
        <is>
          <t>Nestle India Limited</t>
        </is>
      </c>
      <c r="C184" s="30" t="inlineStr">
        <is>
          <t>fmcg</t>
        </is>
      </c>
      <c r="D184" s="30" t="inlineStr">
        <is>
          <t>food - processing - mnc</t>
        </is>
      </c>
      <c r="E184" s="30" t="inlineStr">
        <is>
          <t>largecap</t>
        </is>
      </c>
      <c r="F184" s="30" t="n">
        <v>293103.78</v>
      </c>
      <c r="G184" s="30" t="n">
        <v>1535</v>
      </c>
      <c r="H184" s="30" t="n">
        <v>0.99</v>
      </c>
      <c r="I184" s="30" t="n">
        <v>3240347</v>
      </c>
      <c r="J184" s="30" t="inlineStr">
        <is>
          <t>500790</t>
        </is>
      </c>
    </row>
    <row r="185">
      <c r="A185" s="30" t="inlineStr">
        <is>
          <t>VMART</t>
        </is>
      </c>
      <c r="B185" s="30" t="inlineStr">
        <is>
          <t>V-mart Retail Limited</t>
        </is>
      </c>
      <c r="C185" s="30" t="inlineStr">
        <is>
          <t>consumer discretionary</t>
        </is>
      </c>
      <c r="D185" s="30" t="inlineStr">
        <is>
          <t>trading</t>
        </is>
      </c>
      <c r="E185" s="30" t="inlineStr">
        <is>
          <t>midcap</t>
        </is>
      </c>
      <c r="F185" s="30" t="n">
        <v>6419.92</v>
      </c>
      <c r="G185" s="30" t="n">
        <v>815</v>
      </c>
      <c r="H185" s="30" t="n">
        <v>0.99</v>
      </c>
      <c r="I185" s="30" t="n">
        <v>146279</v>
      </c>
      <c r="J185" s="30" t="inlineStr">
        <is>
          <t>534976</t>
        </is>
      </c>
    </row>
    <row r="186">
      <c r="A186" s="30" t="inlineStr">
        <is>
          <t>AJANTPHARM</t>
        </is>
      </c>
      <c r="B186" s="30" t="inlineStr">
        <is>
          <t>Ajanta Pharma Limited</t>
        </is>
      </c>
      <c r="C186" s="30" t="inlineStr">
        <is>
          <t>healthcare</t>
        </is>
      </c>
      <c r="D186" s="30" t="inlineStr">
        <is>
          <t>pharmaceuticals - indian - formulations</t>
        </is>
      </c>
      <c r="E186" s="30" t="inlineStr">
        <is>
          <t>largecap</t>
        </is>
      </c>
      <c r="F186" s="30" t="n">
        <v>42946.62</v>
      </c>
      <c r="G186" s="30" t="n">
        <v>3470.4</v>
      </c>
      <c r="H186" s="30" t="n">
        <v>0.96</v>
      </c>
      <c r="I186" s="30" t="n">
        <v>49287</v>
      </c>
      <c r="J186" s="30" t="inlineStr">
        <is>
          <t>532331</t>
        </is>
      </c>
    </row>
    <row r="187">
      <c r="A187" s="30" t="inlineStr">
        <is>
          <t>DOLPHIN</t>
        </is>
      </c>
      <c r="B187" s="30" t="inlineStr">
        <is>
          <t>Dolphin Offshore Enterprises (India) Ltd</t>
        </is>
      </c>
      <c r="C187" s="30" t="inlineStr">
        <is>
          <t>energy</t>
        </is>
      </c>
      <c r="D187" s="30" t="inlineStr">
        <is>
          <t>oil drilling / allied services</t>
        </is>
      </c>
      <c r="E187" s="30" t="inlineStr">
        <is>
          <t>smallcap</t>
        </is>
      </c>
      <c r="F187" s="30" t="n">
        <v>1608.98</v>
      </c>
      <c r="G187" s="30" t="n">
        <v>406</v>
      </c>
      <c r="H187" s="30" t="n">
        <v>0.9399999999999999</v>
      </c>
      <c r="I187" s="30" t="n">
        <v>5051</v>
      </c>
      <c r="J187" s="30" t="inlineStr">
        <is>
          <t>522261</t>
        </is>
      </c>
    </row>
    <row r="188">
      <c r="A188" s="30" t="inlineStr">
        <is>
          <t>MAHLIFE</t>
        </is>
      </c>
      <c r="B188" s="30" t="inlineStr">
        <is>
          <t>Mahindra Lifespace Developers Limited</t>
        </is>
      </c>
      <c r="C188" s="30" t="inlineStr">
        <is>
          <t>realty</t>
        </is>
      </c>
      <c r="D188" s="30" t="inlineStr">
        <is>
          <t>construction</t>
        </is>
      </c>
      <c r="E188" s="30" t="inlineStr">
        <is>
          <t>midcap</t>
        </is>
      </c>
      <c r="F188" s="30" t="n">
        <v>8167.83</v>
      </c>
      <c r="G188" s="30" t="n">
        <v>386.4</v>
      </c>
      <c r="H188" s="30" t="n">
        <v>0.93</v>
      </c>
      <c r="I188" s="30" t="n">
        <v>134129</v>
      </c>
      <c r="J188" s="30" t="inlineStr">
        <is>
          <t>532313</t>
        </is>
      </c>
    </row>
    <row r="189">
      <c r="A189" s="30" t="inlineStr">
        <is>
          <t>PTC</t>
        </is>
      </c>
      <c r="B189" s="30" t="inlineStr">
        <is>
          <t>Ptc India Limited</t>
        </is>
      </c>
      <c r="C189" s="30" t="inlineStr">
        <is>
          <t>power &amp; utilities</t>
        </is>
      </c>
      <c r="D189" s="30" t="inlineStr">
        <is>
          <t>trading</t>
        </is>
      </c>
      <c r="E189" s="30" t="inlineStr">
        <is>
          <t>midcap</t>
        </is>
      </c>
      <c r="F189" s="30" t="n">
        <v>5871.62</v>
      </c>
      <c r="G189" s="30" t="n">
        <v>200.17</v>
      </c>
      <c r="H189" s="30" t="n">
        <v>0.91</v>
      </c>
      <c r="I189" s="30" t="n">
        <v>7809024</v>
      </c>
      <c r="J189" s="30" t="inlineStr">
        <is>
          <t>532524</t>
        </is>
      </c>
    </row>
    <row r="190">
      <c r="A190" s="30" t="inlineStr">
        <is>
          <t>LINDEINDIA</t>
        </is>
      </c>
      <c r="B190" s="30" t="inlineStr">
        <is>
          <t>Linde India Limited</t>
        </is>
      </c>
      <c r="C190" s="30" t="inlineStr">
        <is>
          <t>chemicals</t>
        </is>
      </c>
      <c r="D190" s="30" t="inlineStr">
        <is>
          <t>chemicals</t>
        </is>
      </c>
      <c r="E190" s="30" t="inlineStr">
        <is>
          <t>largecap</t>
        </is>
      </c>
      <c r="F190" s="30" t="n">
        <v>60449.46</v>
      </c>
      <c r="G190" s="30" t="n">
        <v>7152.5</v>
      </c>
      <c r="H190" s="30" t="n">
        <v>0.91</v>
      </c>
      <c r="I190" s="30" t="n">
        <v>14507</v>
      </c>
      <c r="J190" s="30" t="inlineStr">
        <is>
          <t>523457</t>
        </is>
      </c>
    </row>
    <row r="191">
      <c r="A191" s="30" t="inlineStr">
        <is>
          <t>PAYTM</t>
        </is>
      </c>
      <c r="B191" s="30" t="inlineStr">
        <is>
          <t>One 97 Communications Ltd</t>
        </is>
      </c>
      <c r="C191" s="30" t="inlineStr">
        <is>
          <t>i.t</t>
        </is>
      </c>
      <c r="D191" s="30" t="inlineStr">
        <is>
          <t>miscellaneous</t>
        </is>
      </c>
      <c r="E191" s="30" t="inlineStr">
        <is>
          <t>largecap</t>
        </is>
      </c>
      <c r="F191" s="30" t="n">
        <v>91504.16</v>
      </c>
      <c r="G191" s="30" t="n">
        <v>1442</v>
      </c>
      <c r="H191" s="30" t="n">
        <v>0.91</v>
      </c>
      <c r="I191" s="30" t="n">
        <v>7304158</v>
      </c>
      <c r="J191" s="30" t="inlineStr">
        <is>
          <t>543396</t>
        </is>
      </c>
    </row>
    <row r="192">
      <c r="A192" s="30" t="inlineStr">
        <is>
          <t>ENGINERSIN</t>
        </is>
      </c>
      <c r="B192" s="30" t="inlineStr">
        <is>
          <t>Engineers India Limited</t>
        </is>
      </c>
      <c r="C192" s="30" t="inlineStr">
        <is>
          <t>realty</t>
        </is>
      </c>
      <c r="D192" s="30" t="inlineStr">
        <is>
          <t>engineering - turnkey services</t>
        </is>
      </c>
      <c r="E192" s="30" t="inlineStr">
        <is>
          <t>midcap</t>
        </is>
      </c>
      <c r="F192" s="30" t="n">
        <v>13504.19</v>
      </c>
      <c r="G192" s="30" t="n">
        <v>242.39</v>
      </c>
      <c r="H192" s="30" t="n">
        <v>0.88</v>
      </c>
      <c r="I192" s="30" t="n">
        <v>4137200</v>
      </c>
      <c r="J192" s="30" t="inlineStr">
        <is>
          <t>532178</t>
        </is>
      </c>
    </row>
    <row r="193">
      <c r="A193" s="30" t="inlineStr">
        <is>
          <t>GNFC</t>
        </is>
      </c>
      <c r="B193" s="30" t="inlineStr">
        <is>
          <t>Gujarat Narmada Valley Fertilizers And Chemicals Limited</t>
        </is>
      </c>
      <c r="C193" s="30" t="inlineStr">
        <is>
          <t>chemicals</t>
        </is>
      </c>
      <c r="D193" s="30" t="inlineStr">
        <is>
          <t>chemicals</t>
        </is>
      </c>
      <c r="E193" s="30" t="inlineStr">
        <is>
          <t>midcap</t>
        </is>
      </c>
      <c r="F193" s="30" t="n">
        <v>7909.82</v>
      </c>
      <c r="G193" s="30" t="n">
        <v>542.95</v>
      </c>
      <c r="H193" s="30" t="n">
        <v>0.86</v>
      </c>
      <c r="I193" s="30" t="n">
        <v>2522028</v>
      </c>
      <c r="J193" s="30" t="inlineStr">
        <is>
          <t>500670</t>
        </is>
      </c>
    </row>
    <row r="194">
      <c r="A194" s="30" t="inlineStr">
        <is>
          <t>BIL</t>
        </is>
      </c>
      <c r="B194" s="30" t="inlineStr">
        <is>
          <t>Bhartiya International Limited</t>
        </is>
      </c>
      <c r="C194" s="30" t="inlineStr">
        <is>
          <t>consumer discretionary</t>
        </is>
      </c>
      <c r="D194" s="30" t="inlineStr">
        <is>
          <t>leather / leather products</t>
        </is>
      </c>
      <c r="E194" s="30" t="inlineStr">
        <is>
          <t>smallcap</t>
        </is>
      </c>
      <c r="F194" s="30" t="n">
        <v>1083.76</v>
      </c>
      <c r="G194" s="30" t="n">
        <v>815</v>
      </c>
      <c r="H194" s="30" t="n">
        <v>0.85</v>
      </c>
      <c r="I194" s="30" t="n">
        <v>3594</v>
      </c>
      <c r="J194" s="30" t="inlineStr">
        <is>
          <t>526666</t>
        </is>
      </c>
    </row>
    <row r="195">
      <c r="A195" s="30" t="inlineStr">
        <is>
          <t>REDINGTON</t>
        </is>
      </c>
      <c r="B195" s="30" t="inlineStr">
        <is>
          <t>Redington (india) Limited</t>
        </is>
      </c>
      <c r="C195" s="30" t="inlineStr">
        <is>
          <t>services</t>
        </is>
      </c>
      <c r="D195" s="30" t="inlineStr">
        <is>
          <t>trading</t>
        </is>
      </c>
      <c r="E195" s="30" t="inlineStr">
        <is>
          <t>largecap</t>
        </is>
      </c>
      <c r="F195" s="30" t="n">
        <v>27194.02</v>
      </c>
      <c r="G195" s="30" t="n">
        <v>350.75</v>
      </c>
      <c r="H195" s="30" t="n">
        <v>0.83</v>
      </c>
      <c r="I195" s="30" t="n">
        <v>4480468</v>
      </c>
      <c r="J195" s="30" t="inlineStr">
        <is>
          <t>532805</t>
        </is>
      </c>
    </row>
    <row r="196">
      <c r="A196" s="30" t="inlineStr">
        <is>
          <t>ARIHANT</t>
        </is>
      </c>
      <c r="B196" s="30" t="inlineStr">
        <is>
          <t>Arihant Foundations &amp; Housing Limited</t>
        </is>
      </c>
      <c r="C196" s="30" t="inlineStr">
        <is>
          <t>realty</t>
        </is>
      </c>
      <c r="D196" s="30" t="inlineStr">
        <is>
          <t>construction</t>
        </is>
      </c>
      <c r="E196" s="30" t="inlineStr">
        <is>
          <t>smallcap</t>
        </is>
      </c>
      <c r="F196" s="30" t="n">
        <v>1132.69</v>
      </c>
      <c r="G196" s="30" t="n">
        <v>1146</v>
      </c>
      <c r="H196" s="30" t="n">
        <v>0.83</v>
      </c>
      <c r="I196" s="30" t="n">
        <v>1815</v>
      </c>
      <c r="J196" s="30" t="inlineStr">
        <is>
          <t>531381</t>
        </is>
      </c>
    </row>
    <row r="197">
      <c r="A197" s="30" t="inlineStr">
        <is>
          <t>WSTCSTPAPR</t>
        </is>
      </c>
      <c r="B197" s="30" t="inlineStr">
        <is>
          <t>West Coast Paper Mills Limited</t>
        </is>
      </c>
      <c r="C197" s="30" t="inlineStr">
        <is>
          <t>building materials</t>
        </is>
      </c>
      <c r="D197" s="30" t="inlineStr">
        <is>
          <t>paper</t>
        </is>
      </c>
      <c r="E197" s="30" t="inlineStr">
        <is>
          <t>smallcap</t>
        </is>
      </c>
      <c r="F197" s="30" t="n">
        <v>3899.53</v>
      </c>
      <c r="G197" s="30" t="n">
        <v>595.15</v>
      </c>
      <c r="H197" s="30" t="n">
        <v>0.8</v>
      </c>
      <c r="I197" s="30" t="n">
        <v>130485</v>
      </c>
      <c r="J197" s="30" t="inlineStr">
        <is>
          <t>500444</t>
        </is>
      </c>
    </row>
    <row r="198">
      <c r="A198" s="30" t="inlineStr">
        <is>
          <t>DEEPAKNTR</t>
        </is>
      </c>
      <c r="B198" s="30" t="inlineStr">
        <is>
          <t>Deepak Nitrite Limited</t>
        </is>
      </c>
      <c r="C198" s="30" t="inlineStr">
        <is>
          <t>chemicals</t>
        </is>
      </c>
      <c r="D198" s="30" t="inlineStr">
        <is>
          <t>chemicals</t>
        </is>
      </c>
      <c r="E198" s="30" t="inlineStr">
        <is>
          <t>largecap</t>
        </is>
      </c>
      <c r="F198" s="30" t="n">
        <v>23687.38</v>
      </c>
      <c r="G198" s="30" t="n">
        <v>1750.4</v>
      </c>
      <c r="H198" s="30" t="n">
        <v>0.79</v>
      </c>
      <c r="I198" s="30" t="n">
        <v>429334</v>
      </c>
      <c r="J198" s="30" t="inlineStr">
        <is>
          <t>506401</t>
        </is>
      </c>
    </row>
    <row r="199">
      <c r="A199" s="30" t="inlineStr">
        <is>
          <t>MUKANDLTD</t>
        </is>
      </c>
      <c r="B199" s="30" t="inlineStr">
        <is>
          <t>Mukand Limited</t>
        </is>
      </c>
      <c r="C199" s="30" t="inlineStr">
        <is>
          <t>metals &amp; mining</t>
        </is>
      </c>
      <c r="D199" s="30" t="inlineStr">
        <is>
          <t>steel - medium / small</t>
        </is>
      </c>
      <c r="E199" s="30" t="inlineStr">
        <is>
          <t>smallcap</t>
        </is>
      </c>
      <c r="F199" s="30" t="n">
        <v>2054.29</v>
      </c>
      <c r="G199" s="30" t="n">
        <v>143.29</v>
      </c>
      <c r="H199" s="30" t="n">
        <v>0.79</v>
      </c>
      <c r="I199" s="30" t="n">
        <v>85729</v>
      </c>
      <c r="J199" s="30" t="inlineStr">
        <is>
          <t>500460</t>
        </is>
      </c>
    </row>
    <row r="200">
      <c r="A200" s="30" t="inlineStr">
        <is>
          <t>IRISDOREME</t>
        </is>
      </c>
      <c r="B200" s="30" t="inlineStr">
        <is>
          <t>Iris Clothings Ltd</t>
        </is>
      </c>
      <c r="C200" s="30" t="inlineStr">
        <is>
          <t>consumer discretionary</t>
        </is>
      </c>
      <c r="D200" s="30" t="inlineStr">
        <is>
          <t>textiles - products</t>
        </is>
      </c>
      <c r="E200" s="30" t="inlineStr">
        <is>
          <t>smallcap</t>
        </is>
      </c>
      <c r="F200" s="30" t="n">
        <v>1017.89</v>
      </c>
      <c r="G200" s="30" t="n">
        <v>53.9</v>
      </c>
      <c r="H200" s="30" t="n">
        <v>0.79</v>
      </c>
      <c r="I200" s="30" t="n">
        <v>320701</v>
      </c>
      <c r="J200" s="30" t="inlineStr">
        <is>
          <t>535123</t>
        </is>
      </c>
    </row>
    <row r="201">
      <c r="A201" s="30" t="inlineStr">
        <is>
          <t>BEPL</t>
        </is>
      </c>
      <c r="B201" s="30" t="inlineStr">
        <is>
          <t>Bhansali Engineering Polymers Limited</t>
        </is>
      </c>
      <c r="C201" s="30" t="inlineStr">
        <is>
          <t>energy</t>
        </is>
      </c>
      <c r="D201" s="30" t="inlineStr">
        <is>
          <t>petrochemicals</t>
        </is>
      </c>
      <c r="E201" s="30" t="inlineStr">
        <is>
          <t>smallcap</t>
        </is>
      </c>
      <c r="F201" s="30" t="n">
        <v>3023.38</v>
      </c>
      <c r="G201" s="30" t="n">
        <v>122.42</v>
      </c>
      <c r="H201" s="30" t="n">
        <v>0.77</v>
      </c>
      <c r="I201" s="30" t="n">
        <v>1506377</v>
      </c>
      <c r="J201" s="30" t="inlineStr">
        <is>
          <t>500052</t>
        </is>
      </c>
    </row>
    <row r="202">
      <c r="A202" s="30" t="inlineStr">
        <is>
          <t>APOLLOHOSP</t>
        </is>
      </c>
      <c r="B202" s="30" t="inlineStr">
        <is>
          <t>Apollo Hospitals Enterprise Limited</t>
        </is>
      </c>
      <c r="C202" s="30" t="inlineStr">
        <is>
          <t>healthcare</t>
        </is>
      </c>
      <c r="D202" s="30" t="inlineStr">
        <is>
          <t>healthcare</t>
        </is>
      </c>
      <c r="E202" s="30" t="inlineStr">
        <is>
          <t>largecap</t>
        </is>
      </c>
      <c r="F202" s="30" t="n">
        <v>128112.13</v>
      </c>
      <c r="G202" s="30" t="n">
        <v>8974.5</v>
      </c>
      <c r="H202" s="30" t="n">
        <v>0.72</v>
      </c>
      <c r="I202" s="30" t="n">
        <v>780514</v>
      </c>
      <c r="J202" s="30" t="inlineStr">
        <is>
          <t>508869</t>
        </is>
      </c>
    </row>
    <row r="203">
      <c r="A203" s="30" t="inlineStr">
        <is>
          <t>PPLPHARMA</t>
        </is>
      </c>
      <c r="B203" s="30" t="inlineStr">
        <is>
          <t>Piramal Pharma Ltd</t>
        </is>
      </c>
      <c r="C203" s="30" t="inlineStr">
        <is>
          <t>healthcare</t>
        </is>
      </c>
      <c r="D203" s="30" t="inlineStr">
        <is>
          <t>pharmaceuticals - indian - bulk drugs &amp; formln</t>
        </is>
      </c>
      <c r="E203" s="30" t="inlineStr">
        <is>
          <t>largecap</t>
        </is>
      </c>
      <c r="F203" s="30" t="n">
        <v>27529.62</v>
      </c>
      <c r="G203" s="30" t="n">
        <v>208.24</v>
      </c>
      <c r="H203" s="30" t="n">
        <v>0.71</v>
      </c>
      <c r="I203" s="30" t="n">
        <v>7183683</v>
      </c>
      <c r="J203" s="30" t="inlineStr">
        <is>
          <t>543635</t>
        </is>
      </c>
    </row>
    <row r="204">
      <c r="A204" s="30" t="inlineStr">
        <is>
          <t>SAIL</t>
        </is>
      </c>
      <c r="B204" s="30" t="inlineStr">
        <is>
          <t>Steel Authority Of India Limited</t>
        </is>
      </c>
      <c r="C204" s="30" t="inlineStr">
        <is>
          <t>metals &amp; mining</t>
        </is>
      </c>
      <c r="D204" s="30" t="inlineStr">
        <is>
          <t>steel - large</t>
        </is>
      </c>
      <c r="E204" s="30" t="inlineStr">
        <is>
          <t>largecap</t>
        </is>
      </c>
      <c r="F204" s="30" t="n">
        <v>72490.72</v>
      </c>
      <c r="G204" s="30" t="n">
        <v>176.74</v>
      </c>
      <c r="H204" s="30" t="n">
        <v>0.71</v>
      </c>
      <c r="I204" s="30" t="n">
        <v>34960151</v>
      </c>
      <c r="J204" s="30" t="inlineStr">
        <is>
          <t>500113</t>
        </is>
      </c>
    </row>
    <row r="205">
      <c r="A205" s="30" t="inlineStr">
        <is>
          <t>ICIL</t>
        </is>
      </c>
      <c r="B205" s="30" t="inlineStr">
        <is>
          <t>Indo Count Industries Limited</t>
        </is>
      </c>
      <c r="C205" s="30" t="inlineStr">
        <is>
          <t>textiles</t>
        </is>
      </c>
      <c r="D205" s="30" t="inlineStr">
        <is>
          <t>textiles - cotton/blended</t>
        </is>
      </c>
      <c r="E205" s="30" t="inlineStr">
        <is>
          <t>midcap</t>
        </is>
      </c>
      <c r="F205" s="30" t="n">
        <v>8291.540000000001</v>
      </c>
      <c r="G205" s="30" t="n">
        <v>421.55</v>
      </c>
      <c r="H205" s="30" t="n">
        <v>0.6899999999999999</v>
      </c>
      <c r="I205" s="30" t="n">
        <v>314508</v>
      </c>
      <c r="J205" s="30" t="inlineStr">
        <is>
          <t>521016</t>
        </is>
      </c>
    </row>
    <row r="206">
      <c r="A206" s="30" t="inlineStr">
        <is>
          <t>HCG</t>
        </is>
      </c>
      <c r="B206" s="30" t="inlineStr">
        <is>
          <t>Healthcare Global Enterprises Limited</t>
        </is>
      </c>
      <c r="C206" s="30" t="inlineStr">
        <is>
          <t>healthcare</t>
        </is>
      </c>
      <c r="D206" s="30" t="inlineStr">
        <is>
          <t>healthcare</t>
        </is>
      </c>
      <c r="E206" s="30" t="inlineStr">
        <is>
          <t>midcap</t>
        </is>
      </c>
      <c r="F206" s="30" t="n">
        <v>9995.780000000001</v>
      </c>
      <c r="G206" s="30" t="n">
        <v>674</v>
      </c>
      <c r="H206" s="30" t="n">
        <v>0.67</v>
      </c>
      <c r="I206" s="30" t="n">
        <v>167096</v>
      </c>
      <c r="J206" s="30" t="inlineStr">
        <is>
          <t>539787</t>
        </is>
      </c>
    </row>
    <row r="207">
      <c r="A207" s="30" t="inlineStr">
        <is>
          <t>SUPRAJIT</t>
        </is>
      </c>
      <c r="B207" s="30" t="inlineStr">
        <is>
          <t>Suprajit Engineering Limited</t>
        </is>
      </c>
      <c r="C207" s="30" t="inlineStr">
        <is>
          <t>auto</t>
        </is>
      </c>
      <c r="D207" s="30" t="inlineStr">
        <is>
          <t>auto ancillaries</t>
        </is>
      </c>
      <c r="E207" s="30" t="inlineStr">
        <is>
          <t>midcap</t>
        </is>
      </c>
      <c r="F207" s="30" t="n">
        <v>7189.14</v>
      </c>
      <c r="G207" s="30" t="n">
        <v>527.55</v>
      </c>
      <c r="H207" s="30" t="n">
        <v>0.66</v>
      </c>
      <c r="I207" s="30" t="n">
        <v>522228</v>
      </c>
      <c r="J207" s="30" t="inlineStr">
        <is>
          <t>532509</t>
        </is>
      </c>
    </row>
    <row r="208">
      <c r="A208" s="30" t="inlineStr">
        <is>
          <t>PNB</t>
        </is>
      </c>
      <c r="B208" s="30" t="inlineStr">
        <is>
          <t>Punjab National Bank Ltd</t>
        </is>
      </c>
      <c r="C208" s="30" t="inlineStr">
        <is>
          <t>bank</t>
        </is>
      </c>
      <c r="D208" s="30" t="inlineStr">
        <is>
          <t>banks - public sector</t>
        </is>
      </c>
      <c r="E208" s="30" t="inlineStr">
        <is>
          <t>largecap</t>
        </is>
      </c>
      <c r="F208" s="30" t="n">
        <v>130502.37</v>
      </c>
      <c r="G208" s="30" t="n">
        <v>114.3</v>
      </c>
      <c r="H208" s="30" t="n">
        <v>0.66</v>
      </c>
      <c r="I208" s="30" t="n">
        <v>23421933</v>
      </c>
      <c r="J208" s="30" t="inlineStr">
        <is>
          <t>532461</t>
        </is>
      </c>
    </row>
    <row r="209">
      <c r="A209" s="30" t="inlineStr">
        <is>
          <t>DALMIASUG</t>
        </is>
      </c>
      <c r="B209" s="30" t="inlineStr">
        <is>
          <t>Dalmia Bharat Sugar And Industries Limited</t>
        </is>
      </c>
      <c r="C209" s="30" t="inlineStr">
        <is>
          <t>fmcg</t>
        </is>
      </c>
      <c r="D209" s="30" t="inlineStr">
        <is>
          <t>sugar</t>
        </is>
      </c>
      <c r="E209" s="30" t="inlineStr">
        <is>
          <t>smallcap</t>
        </is>
      </c>
      <c r="F209" s="30" t="n">
        <v>3183.34</v>
      </c>
      <c r="G209" s="30" t="n">
        <v>395.8</v>
      </c>
      <c r="H209" s="30" t="n">
        <v>0.64</v>
      </c>
      <c r="I209" s="30" t="n">
        <v>300087</v>
      </c>
      <c r="J209" s="30" t="inlineStr">
        <is>
          <t>500097</t>
        </is>
      </c>
    </row>
    <row r="210">
      <c r="A210" s="30" t="inlineStr">
        <is>
          <t>RBZJEWEL</t>
        </is>
      </c>
      <c r="B210" s="30" t="inlineStr">
        <is>
          <t>RBZ Jewellers Ltd</t>
        </is>
      </c>
      <c r="C210" s="30" t="inlineStr">
        <is>
          <t>consumer discretionary</t>
        </is>
      </c>
      <c r="D210" s="30" t="inlineStr">
        <is>
          <t>diamond cutting / jewellery</t>
        </is>
      </c>
      <c r="E210" s="30" t="inlineStr">
        <is>
          <t>smallcap</t>
        </is>
      </c>
      <c r="F210" s="30" t="n">
        <v>599.04</v>
      </c>
      <c r="G210" s="30" t="n">
        <v>150.7</v>
      </c>
      <c r="H210" s="30" t="n">
        <v>0.63</v>
      </c>
      <c r="I210" s="30" t="n">
        <v>67821</v>
      </c>
      <c r="J210" s="30" t="inlineStr">
        <is>
          <t>544060</t>
        </is>
      </c>
    </row>
    <row r="211">
      <c r="A211" s="30" t="inlineStr">
        <is>
          <t>THYROCARE</t>
        </is>
      </c>
      <c r="B211" s="30" t="inlineStr">
        <is>
          <t>Thyrocare Technologies Limited</t>
        </is>
      </c>
      <c r="C211" s="30" t="inlineStr">
        <is>
          <t>healthcare</t>
        </is>
      </c>
      <c r="D211" s="30" t="inlineStr">
        <is>
          <t>healthcare</t>
        </is>
      </c>
      <c r="E211" s="30" t="inlineStr">
        <is>
          <t>midcap</t>
        </is>
      </c>
      <c r="F211" s="30" t="n">
        <v>9549.92</v>
      </c>
      <c r="G211" s="30" t="n">
        <v>603.8</v>
      </c>
      <c r="H211" s="30" t="n">
        <v>0.63</v>
      </c>
      <c r="I211" s="30" t="n">
        <v>179627</v>
      </c>
      <c r="J211" s="30" t="inlineStr">
        <is>
          <t>539871</t>
        </is>
      </c>
    </row>
    <row r="212">
      <c r="A212" s="30" t="inlineStr">
        <is>
          <t>JYOTICNC</t>
        </is>
      </c>
      <c r="B212" s="30" t="inlineStr">
        <is>
          <t>Jyoti CNC Automation Ltd</t>
        </is>
      </c>
      <c r="C212" s="30" t="inlineStr">
        <is>
          <t>industrials</t>
        </is>
      </c>
      <c r="D212" s="30" t="inlineStr">
        <is>
          <t>engineering</t>
        </is>
      </c>
      <c r="E212" s="30" t="inlineStr">
        <is>
          <t>midcap</t>
        </is>
      </c>
      <c r="F212" s="30" t="n">
        <v>19552.7</v>
      </c>
      <c r="G212" s="30" t="n">
        <v>865.05</v>
      </c>
      <c r="H212" s="30" t="n">
        <v>0.62</v>
      </c>
      <c r="I212" s="30" t="n">
        <v>442570</v>
      </c>
      <c r="J212" s="30" t="inlineStr">
        <is>
          <t>544081</t>
        </is>
      </c>
    </row>
    <row r="213">
      <c r="A213" s="30" t="inlineStr">
        <is>
          <t>BHARATFORG</t>
        </is>
      </c>
      <c r="B213" s="30" t="inlineStr">
        <is>
          <t>Bharat Forge Limited</t>
        </is>
      </c>
      <c r="C213" s="30" t="inlineStr">
        <is>
          <t>industrials</t>
        </is>
      </c>
      <c r="D213" s="30" t="inlineStr">
        <is>
          <t>castings &amp; forgings</t>
        </is>
      </c>
      <c r="E213" s="30" t="inlineStr">
        <is>
          <t>largecap</t>
        </is>
      </c>
      <c r="F213" s="30" t="n">
        <v>105040.85</v>
      </c>
      <c r="G213" s="30" t="n">
        <v>2210</v>
      </c>
      <c r="H213" s="30" t="n">
        <v>0.59</v>
      </c>
      <c r="I213" s="30" t="n">
        <v>1768682</v>
      </c>
      <c r="J213" s="30" t="inlineStr">
        <is>
          <t>500493</t>
        </is>
      </c>
    </row>
    <row r="214">
      <c r="A214" s="30" t="inlineStr">
        <is>
          <t>ABB</t>
        </is>
      </c>
      <c r="B214" s="30" t="inlineStr">
        <is>
          <t>Abb India Limited</t>
        </is>
      </c>
      <c r="C214" s="30" t="inlineStr">
        <is>
          <t>industrials</t>
        </is>
      </c>
      <c r="D214" s="30" t="inlineStr">
        <is>
          <t>electric equipment</t>
        </is>
      </c>
      <c r="E214" s="30" t="inlineStr">
        <is>
          <t>largecap</t>
        </is>
      </c>
      <c r="F214" s="30" t="n">
        <v>162968.14</v>
      </c>
      <c r="G214" s="30" t="n">
        <v>7735</v>
      </c>
      <c r="H214" s="30" t="n">
        <v>0.58</v>
      </c>
      <c r="I214" s="30" t="n">
        <v>314075</v>
      </c>
      <c r="J214" s="30" t="inlineStr">
        <is>
          <t>500002</t>
        </is>
      </c>
    </row>
    <row r="215">
      <c r="A215" s="30" t="inlineStr">
        <is>
          <t>RBLBANK</t>
        </is>
      </c>
      <c r="B215" s="30" t="inlineStr">
        <is>
          <t>Rbl Bank Limited</t>
        </is>
      </c>
      <c r="C215" s="30" t="inlineStr">
        <is>
          <t>bank</t>
        </is>
      </c>
      <c r="D215" s="30" t="inlineStr">
        <is>
          <t>banks - private sector</t>
        </is>
      </c>
      <c r="E215" s="30" t="inlineStr">
        <is>
          <t>largecap</t>
        </is>
      </c>
      <c r="F215" s="30" t="n">
        <v>60362.79</v>
      </c>
      <c r="G215" s="30" t="n">
        <v>392</v>
      </c>
      <c r="H215" s="30" t="n">
        <v>0.5600000000000001</v>
      </c>
      <c r="I215" s="30" t="n">
        <v>5761253</v>
      </c>
      <c r="J215" s="30" t="inlineStr">
        <is>
          <t>540065</t>
        </is>
      </c>
    </row>
    <row r="216">
      <c r="A216" s="30" t="inlineStr">
        <is>
          <t>FILATEX</t>
        </is>
      </c>
      <c r="B216" s="30" t="inlineStr">
        <is>
          <t>Filatex India Limited</t>
        </is>
      </c>
      <c r="C216" s="30" t="inlineStr">
        <is>
          <t>textiles</t>
        </is>
      </c>
      <c r="D216" s="30" t="inlineStr">
        <is>
          <t>textiles - manmade</t>
        </is>
      </c>
      <c r="E216" s="30" t="inlineStr">
        <is>
          <t>smallcap</t>
        </is>
      </c>
      <c r="F216" s="30" t="n">
        <v>3612.86</v>
      </c>
      <c r="G216" s="30" t="n">
        <v>81.81</v>
      </c>
      <c r="H216" s="30" t="n">
        <v>0.55</v>
      </c>
      <c r="I216" s="30" t="n">
        <v>4659099</v>
      </c>
      <c r="J216" s="30" t="inlineStr">
        <is>
          <t>526227</t>
        </is>
      </c>
    </row>
    <row r="217">
      <c r="A217" s="30" t="inlineStr">
        <is>
          <t>PTCIL</t>
        </is>
      </c>
      <c r="B217" s="30" t="inlineStr">
        <is>
          <t>PTC Industries Ltd</t>
        </is>
      </c>
      <c r="C217" s="30" t="inlineStr">
        <is>
          <t>industrials</t>
        </is>
      </c>
      <c r="D217" s="30" t="inlineStr">
        <is>
          <t>castings &amp; forgings</t>
        </is>
      </c>
      <c r="E217" s="30" t="inlineStr">
        <is>
          <t>largecap</t>
        </is>
      </c>
      <c r="F217" s="30" t="n">
        <v>27124.52</v>
      </c>
      <c r="G217" s="30" t="n">
        <v>18190</v>
      </c>
      <c r="H217" s="30" t="n">
        <v>0.54</v>
      </c>
      <c r="I217" s="30" t="n">
        <v>25380</v>
      </c>
      <c r="J217" s="30" t="inlineStr">
        <is>
          <t>539006</t>
        </is>
      </c>
    </row>
    <row r="218">
      <c r="A218" s="30" t="inlineStr">
        <is>
          <t>UTTAMSUGAR</t>
        </is>
      </c>
      <c r="B218" s="30" t="inlineStr">
        <is>
          <t>Uttam Sugar Mills Limited</t>
        </is>
      </c>
      <c r="C218" s="30" t="inlineStr">
        <is>
          <t>fmcg</t>
        </is>
      </c>
      <c r="D218" s="30" t="inlineStr">
        <is>
          <t>sugar</t>
        </is>
      </c>
      <c r="E218" s="30" t="inlineStr">
        <is>
          <t>smallcap</t>
        </is>
      </c>
      <c r="F218" s="30" t="n">
        <v>955.13</v>
      </c>
      <c r="G218" s="30" t="n">
        <v>251.8</v>
      </c>
      <c r="H218" s="30" t="n">
        <v>0.54</v>
      </c>
      <c r="I218" s="30" t="n">
        <v>137097</v>
      </c>
      <c r="J218" s="30" t="inlineStr">
        <is>
          <t>532729</t>
        </is>
      </c>
    </row>
    <row r="219">
      <c r="A219" s="30" t="inlineStr">
        <is>
          <t>LTFOODS</t>
        </is>
      </c>
      <c r="B219" s="30" t="inlineStr">
        <is>
          <t>L T Foods Ltd</t>
        </is>
      </c>
      <c r="C219" s="30" t="inlineStr">
        <is>
          <t>fmcg</t>
        </is>
      </c>
      <c r="D219" s="30" t="inlineStr">
        <is>
          <t>food - processing - indian</t>
        </is>
      </c>
      <c r="E219" s="30" t="inlineStr">
        <is>
          <t>midcap</t>
        </is>
      </c>
      <c r="F219" s="30" t="n">
        <v>14485.66</v>
      </c>
      <c r="G219" s="30" t="n">
        <v>419.4</v>
      </c>
      <c r="H219" s="30" t="n">
        <v>0.54</v>
      </c>
      <c r="I219" s="30" t="n">
        <v>256000</v>
      </c>
      <c r="J219" s="30" t="inlineStr">
        <is>
          <t>532783</t>
        </is>
      </c>
    </row>
    <row r="220">
      <c r="A220" s="30" t="inlineStr">
        <is>
          <t>GUJALKALI</t>
        </is>
      </c>
      <c r="B220" s="30" t="inlineStr">
        <is>
          <t>Gujarat Alkalies And Chemicals Limited</t>
        </is>
      </c>
      <c r="C220" s="30" t="inlineStr">
        <is>
          <t>chemicals</t>
        </is>
      </c>
      <c r="D220" s="30" t="inlineStr">
        <is>
          <t>chemicals</t>
        </is>
      </c>
      <c r="E220" s="30" t="inlineStr">
        <is>
          <t>smallcap</t>
        </is>
      </c>
      <c r="F220" s="30" t="n">
        <v>4974.25</v>
      </c>
      <c r="G220" s="30" t="n">
        <v>680.8</v>
      </c>
      <c r="H220" s="30" t="n">
        <v>0.51</v>
      </c>
      <c r="I220" s="30" t="n">
        <v>81514</v>
      </c>
      <c r="J220" s="30" t="inlineStr">
        <is>
          <t>530001</t>
        </is>
      </c>
    </row>
    <row r="221">
      <c r="A221" s="30" t="inlineStr">
        <is>
          <t>ICICIBANK</t>
        </is>
      </c>
      <c r="B221" s="30" t="inlineStr">
        <is>
          <t>Icici Bank Limited</t>
        </is>
      </c>
      <c r="C221" s="30" t="inlineStr">
        <is>
          <t>bank</t>
        </is>
      </c>
      <c r="D221" s="30" t="inlineStr">
        <is>
          <t>banks - private sector</t>
        </is>
      </c>
      <c r="E221" s="30" t="inlineStr">
        <is>
          <t>largecap</t>
        </is>
      </c>
      <c r="F221" s="30" t="n">
        <v>1040246.02</v>
      </c>
      <c r="G221" s="30" t="n">
        <v>1457.5</v>
      </c>
      <c r="H221" s="30" t="n">
        <v>0.51</v>
      </c>
      <c r="I221" s="30" t="n">
        <v>28647459</v>
      </c>
      <c r="J221" s="30" t="inlineStr">
        <is>
          <t>532174</t>
        </is>
      </c>
    </row>
    <row r="222">
      <c r="A222" s="30" t="inlineStr">
        <is>
          <t>TEXINFRA</t>
        </is>
      </c>
      <c r="B222" s="30" t="inlineStr">
        <is>
          <t>Texmaco Infrastructure &amp; Holdings Limited</t>
        </is>
      </c>
      <c r="C222" s="30" t="inlineStr">
        <is>
          <t>realty</t>
        </is>
      </c>
      <c r="D222" s="30" t="inlineStr">
        <is>
          <t>construction</t>
        </is>
      </c>
      <c r="E222" s="30" t="inlineStr">
        <is>
          <t>smallcap</t>
        </is>
      </c>
      <c r="F222" s="30" t="n">
        <v>1439.16</v>
      </c>
      <c r="G222" s="30" t="n">
        <v>113.5</v>
      </c>
      <c r="H222" s="30" t="n">
        <v>0.5</v>
      </c>
      <c r="I222" s="30" t="n">
        <v>168133</v>
      </c>
      <c r="J222" s="30" t="inlineStr">
        <is>
          <t>505400</t>
        </is>
      </c>
    </row>
    <row r="223">
      <c r="A223" s="30" t="inlineStr">
        <is>
          <t>GLENMARK</t>
        </is>
      </c>
      <c r="B223" s="30" t="inlineStr">
        <is>
          <t>Glenmark Pharmaceuticals Limited</t>
        </is>
      </c>
      <c r="C223" s="30" t="inlineStr">
        <is>
          <t>healthcare</t>
        </is>
      </c>
      <c r="D223" s="30" t="inlineStr">
        <is>
          <t>pharmaceuticals - indian - bulk drugs &amp; formln</t>
        </is>
      </c>
      <c r="E223" s="30" t="inlineStr">
        <is>
          <t>largecap</t>
        </is>
      </c>
      <c r="F223" s="30" t="n">
        <v>63749.16</v>
      </c>
      <c r="G223" s="30" t="n">
        <v>2270</v>
      </c>
      <c r="H223" s="30" t="n">
        <v>0.49</v>
      </c>
      <c r="I223" s="30" t="n">
        <v>1105311</v>
      </c>
      <c r="J223" s="30" t="inlineStr">
        <is>
          <t>532296</t>
        </is>
      </c>
    </row>
    <row r="224">
      <c r="A224" s="30" t="inlineStr">
        <is>
          <t>JAMNAAUTO</t>
        </is>
      </c>
      <c r="B224" s="30" t="inlineStr">
        <is>
          <t>Jamna Auto Industries Limited</t>
        </is>
      </c>
      <c r="C224" s="30" t="inlineStr">
        <is>
          <t>auto</t>
        </is>
      </c>
      <c r="D224" s="30" t="inlineStr">
        <is>
          <t>auto ancillaries</t>
        </is>
      </c>
      <c r="E224" s="30" t="inlineStr">
        <is>
          <t>midcap</t>
        </is>
      </c>
      <c r="F224" s="30" t="n">
        <v>5727.74</v>
      </c>
      <c r="G224" s="30" t="n">
        <v>143.97</v>
      </c>
      <c r="H224" s="30" t="n">
        <v>0.49</v>
      </c>
      <c r="I224" s="30" t="n">
        <v>2153995</v>
      </c>
      <c r="J224" s="30" t="inlineStr">
        <is>
          <t>520051</t>
        </is>
      </c>
    </row>
    <row r="225">
      <c r="A225" s="30" t="inlineStr">
        <is>
          <t>CERA</t>
        </is>
      </c>
      <c r="B225" s="30" t="inlineStr">
        <is>
          <t>Cera Sanitaryware Limited</t>
        </is>
      </c>
      <c r="C225" s="30" t="inlineStr">
        <is>
          <t>building materials</t>
        </is>
      </c>
      <c r="D225" s="30" t="inlineStr">
        <is>
          <t>ceramics - tiles / sanitaryware</t>
        </is>
      </c>
      <c r="E225" s="30" t="inlineStr">
        <is>
          <t>midcap</t>
        </is>
      </c>
      <c r="F225" s="30" t="n">
        <v>8118.36</v>
      </c>
      <c r="G225" s="30" t="n">
        <v>6324.5</v>
      </c>
      <c r="H225" s="30" t="n">
        <v>0.48</v>
      </c>
      <c r="I225" s="30" t="n">
        <v>6509</v>
      </c>
      <c r="J225" s="30" t="inlineStr">
        <is>
          <t>532443</t>
        </is>
      </c>
    </row>
    <row r="226">
      <c r="A226" s="30" t="inlineStr">
        <is>
          <t>ANDHRSUGAR</t>
        </is>
      </c>
      <c r="B226" s="30" t="inlineStr">
        <is>
          <t>The Andhra Sugars Limited</t>
        </is>
      </c>
      <c r="C226" s="30" t="inlineStr">
        <is>
          <t>chemicals</t>
        </is>
      </c>
      <c r="D226" s="30" t="inlineStr">
        <is>
          <t>chlor alkali / soda ash</t>
        </is>
      </c>
      <c r="E226" s="30" t="inlineStr">
        <is>
          <t>smallcap</t>
        </is>
      </c>
      <c r="F226" s="30" t="n">
        <v>1175.63</v>
      </c>
      <c r="G226" s="30" t="n">
        <v>87.15000000000001</v>
      </c>
      <c r="H226" s="30" t="n">
        <v>0.47</v>
      </c>
      <c r="I226" s="30" t="n">
        <v>128432</v>
      </c>
      <c r="J226" s="30" t="inlineStr">
        <is>
          <t>590062</t>
        </is>
      </c>
    </row>
    <row r="227">
      <c r="A227" s="30" t="inlineStr">
        <is>
          <t>NMDC</t>
        </is>
      </c>
      <c r="B227" s="30" t="inlineStr">
        <is>
          <t>Nmdc Limited</t>
        </is>
      </c>
      <c r="C227" s="30" t="inlineStr">
        <is>
          <t>metals &amp; mining</t>
        </is>
      </c>
      <c r="D227" s="30" t="inlineStr">
        <is>
          <t>mining / minerals / metals</t>
        </is>
      </c>
      <c r="E227" s="30" t="inlineStr">
        <is>
          <t>largecap</t>
        </is>
      </c>
      <c r="F227" s="30" t="n">
        <v>75433.78999999999</v>
      </c>
      <c r="G227" s="30" t="n">
        <v>86.2</v>
      </c>
      <c r="H227" s="30" t="n">
        <v>0.47</v>
      </c>
      <c r="I227" s="30" t="n">
        <v>51885359</v>
      </c>
      <c r="J227" s="30" t="inlineStr">
        <is>
          <t>526371</t>
        </is>
      </c>
    </row>
    <row r="228">
      <c r="A228" s="30" t="inlineStr">
        <is>
          <t>MAGADSUGAR</t>
        </is>
      </c>
      <c r="B228" s="30" t="inlineStr">
        <is>
          <t>Magadh Sugar &amp; Energy Ltd</t>
        </is>
      </c>
      <c r="C228" s="30" t="inlineStr">
        <is>
          <t>fmcg</t>
        </is>
      </c>
      <c r="D228" s="30" t="inlineStr">
        <is>
          <t>sugar</t>
        </is>
      </c>
      <c r="E228" s="30" t="inlineStr">
        <is>
          <t>smallcap</t>
        </is>
      </c>
      <c r="F228" s="30" t="n">
        <v>721.84</v>
      </c>
      <c r="G228" s="30" t="n">
        <v>514.5</v>
      </c>
      <c r="H228" s="30" t="n">
        <v>0.44</v>
      </c>
      <c r="I228" s="30" t="n">
        <v>157298</v>
      </c>
      <c r="J228" s="30" t="inlineStr">
        <is>
          <t>540650</t>
        </is>
      </c>
    </row>
    <row r="229">
      <c r="A229" s="30" t="inlineStr">
        <is>
          <t>MOTHERSON</t>
        </is>
      </c>
      <c r="B229" s="30" t="inlineStr">
        <is>
          <t>Samvardhana Motherson International Ltd</t>
        </is>
      </c>
      <c r="C229" s="30" t="inlineStr">
        <is>
          <t>auto</t>
        </is>
      </c>
      <c r="D229" s="30" t="inlineStr">
        <is>
          <t>auto ancillaries</t>
        </is>
      </c>
      <c r="E229" s="30" t="inlineStr">
        <is>
          <t>largecap</t>
        </is>
      </c>
      <c r="F229" s="30" t="n">
        <v>162907.82</v>
      </c>
      <c r="G229" s="30" t="n">
        <v>155</v>
      </c>
      <c r="H229" s="30" t="n">
        <v>0.42</v>
      </c>
      <c r="I229" s="30" t="n">
        <v>78423134</v>
      </c>
      <c r="J229" s="30" t="inlineStr">
        <is>
          <t>517334</t>
        </is>
      </c>
    </row>
    <row r="230">
      <c r="A230" s="30" t="inlineStr">
        <is>
          <t>GLAXO</t>
        </is>
      </c>
      <c r="B230" s="30" t="inlineStr">
        <is>
          <t>Glaxosmithkline Pharmaceuticals Limited</t>
        </is>
      </c>
      <c r="C230" s="30" t="inlineStr">
        <is>
          <t>healthcare</t>
        </is>
      </c>
      <c r="D230" s="30" t="inlineStr">
        <is>
          <t>pharmaceuticals - multinational</t>
        </is>
      </c>
      <c r="E230" s="30" t="inlineStr">
        <is>
          <t>largecap</t>
        </is>
      </c>
      <c r="F230" s="30" t="n">
        <v>43532.27</v>
      </c>
      <c r="G230" s="30" t="n">
        <v>2579.5</v>
      </c>
      <c r="H230" s="30" t="n">
        <v>0.38</v>
      </c>
      <c r="I230" s="30" t="n">
        <v>40361</v>
      </c>
      <c r="J230" s="30" t="inlineStr">
        <is>
          <t>500660</t>
        </is>
      </c>
    </row>
    <row r="231">
      <c r="A231" s="30" t="inlineStr">
        <is>
          <t>AZAD</t>
        </is>
      </c>
      <c r="B231" s="30" t="inlineStr">
        <is>
          <t>Azad Engineering Ltd</t>
        </is>
      </c>
      <c r="C231" s="30" t="inlineStr">
        <is>
          <t>aerospace &amp; defence</t>
        </is>
      </c>
      <c r="D231" s="30" t="inlineStr">
        <is>
          <t>engineering</t>
        </is>
      </c>
      <c r="E231" s="30" t="inlineStr">
        <is>
          <t>midcap</t>
        </is>
      </c>
      <c r="F231" s="30" t="n">
        <v>15801.86</v>
      </c>
      <c r="G231" s="30" t="n">
        <v>2455.8</v>
      </c>
      <c r="H231" s="30" t="n">
        <v>0.37</v>
      </c>
      <c r="I231" s="30" t="n">
        <v>292557</v>
      </c>
      <c r="J231" s="30" t="inlineStr">
        <is>
          <t>544061</t>
        </is>
      </c>
    </row>
    <row r="232">
      <c r="A232" s="30" t="inlineStr">
        <is>
          <t>KRISHANA</t>
        </is>
      </c>
      <c r="B232" s="30" t="inlineStr">
        <is>
          <t>Krishana Phoschem Ltd</t>
        </is>
      </c>
      <c r="C232" s="30" t="inlineStr">
        <is>
          <t>chemicals</t>
        </is>
      </c>
      <c r="D232" s="30" t="inlineStr">
        <is>
          <t>fertilizers</t>
        </is>
      </c>
      <c r="E232" s="30" t="inlineStr">
        <is>
          <t>smallcap</t>
        </is>
      </c>
      <c r="F232" s="30" t="n">
        <v>1105.11</v>
      </c>
      <c r="G232" s="30" t="n">
        <v>179.41</v>
      </c>
      <c r="H232" s="30" t="n">
        <v>0.37</v>
      </c>
      <c r="I232" s="30" t="n">
        <v>381699</v>
      </c>
      <c r="J232" s="30" t="inlineStr">
        <is>
          <t>538405</t>
        </is>
      </c>
    </row>
    <row r="233">
      <c r="A233" s="30" t="inlineStr">
        <is>
          <t>UNITDSPR</t>
        </is>
      </c>
      <c r="B233" s="30" t="inlineStr">
        <is>
          <t>United Spirits Ltd</t>
        </is>
      </c>
      <c r="C233" s="30" t="inlineStr">
        <is>
          <t>fmcg</t>
        </is>
      </c>
      <c r="D233" s="30" t="inlineStr">
        <is>
          <t>breweries &amp; distilleries</t>
        </is>
      </c>
      <c r="E233" s="30" t="inlineStr">
        <is>
          <t>largecap</t>
        </is>
      </c>
      <c r="F233" s="30" t="n">
        <v>110557.33</v>
      </c>
      <c r="G233" s="30" t="n">
        <v>1525</v>
      </c>
      <c r="H233" s="30" t="n">
        <v>0.33</v>
      </c>
      <c r="I233" s="30" t="n">
        <v>787600</v>
      </c>
      <c r="J233" s="30" t="inlineStr">
        <is>
          <t>532432</t>
        </is>
      </c>
    </row>
    <row r="234">
      <c r="A234" s="30" t="inlineStr">
        <is>
          <t>KEI</t>
        </is>
      </c>
      <c r="B234" s="30" t="inlineStr">
        <is>
          <t>Kei Industries Limited</t>
        </is>
      </c>
      <c r="C234" s="30" t="inlineStr">
        <is>
          <t>industrials</t>
        </is>
      </c>
      <c r="D234" s="30" t="inlineStr">
        <is>
          <t>cables - power</t>
        </is>
      </c>
      <c r="E234" s="30" t="inlineStr">
        <is>
          <t>largecap</t>
        </is>
      </c>
      <c r="F234" s="30" t="n">
        <v>53316.45</v>
      </c>
      <c r="G234" s="30" t="n">
        <v>5595</v>
      </c>
      <c r="H234" s="30" t="n">
        <v>0.32</v>
      </c>
      <c r="I234" s="30" t="n">
        <v>741647</v>
      </c>
      <c r="J234" s="30" t="inlineStr">
        <is>
          <t>517569</t>
        </is>
      </c>
    </row>
    <row r="235">
      <c r="A235" s="30" t="inlineStr">
        <is>
          <t>TATVA</t>
        </is>
      </c>
      <c r="B235" s="30" t="inlineStr">
        <is>
          <t>Tatva Chintan Pharma Chem Ltd</t>
        </is>
      </c>
      <c r="C235" s="30" t="inlineStr">
        <is>
          <t>chemicals</t>
        </is>
      </c>
      <c r="D235" s="30" t="inlineStr">
        <is>
          <t>chemicals</t>
        </is>
      </c>
      <c r="E235" s="30" t="inlineStr">
        <is>
          <t>smallcap</t>
        </is>
      </c>
      <c r="F235" s="30" t="n">
        <v>4025.3</v>
      </c>
      <c r="G235" s="30" t="n">
        <v>1726</v>
      </c>
      <c r="H235" s="30" t="n">
        <v>0.3</v>
      </c>
      <c r="I235" s="30" t="n">
        <v>33842</v>
      </c>
      <c r="J235" s="30" t="inlineStr">
        <is>
          <t>543321</t>
        </is>
      </c>
    </row>
    <row r="236">
      <c r="A236" s="30" t="inlineStr">
        <is>
          <t>AEGISLOG</t>
        </is>
      </c>
      <c r="B236" s="30" t="inlineStr">
        <is>
          <t>Aegis Logistics Ltd</t>
        </is>
      </c>
      <c r="C236" s="30" t="inlineStr">
        <is>
          <t>services</t>
        </is>
      </c>
      <c r="D236" s="30" t="inlineStr">
        <is>
          <t>trading</t>
        </is>
      </c>
      <c r="E236" s="30" t="inlineStr">
        <is>
          <t>largecap</t>
        </is>
      </c>
      <c r="F236" s="30" t="n">
        <v>48992.58</v>
      </c>
      <c r="G236" s="30" t="n">
        <v>1400</v>
      </c>
      <c r="H236" s="30" t="n">
        <v>0.3</v>
      </c>
      <c r="I236" s="30" t="n">
        <v>3282416</v>
      </c>
      <c r="J236" s="30" t="inlineStr">
        <is>
          <t>500003</t>
        </is>
      </c>
    </row>
    <row r="237">
      <c r="A237" s="30" t="inlineStr">
        <is>
          <t>STEELCAS</t>
        </is>
      </c>
      <c r="B237" s="30" t="inlineStr">
        <is>
          <t>Steelcast Ltd</t>
        </is>
      </c>
      <c r="C237" s="30" t="inlineStr">
        <is>
          <t>industrials</t>
        </is>
      </c>
      <c r="D237" s="30" t="inlineStr">
        <is>
          <t>castings &amp; forgings</t>
        </is>
      </c>
      <c r="E237" s="30" t="inlineStr">
        <is>
          <t>smallcap</t>
        </is>
      </c>
      <c r="F237" s="30" t="n">
        <v>3410.44</v>
      </c>
      <c r="G237" s="30" t="n">
        <v>338</v>
      </c>
      <c r="H237" s="30" t="n">
        <v>0.3</v>
      </c>
      <c r="I237" s="30" t="n">
        <v>52816</v>
      </c>
      <c r="J237" s="30" t="inlineStr">
        <is>
          <t>513517</t>
        </is>
      </c>
    </row>
    <row r="238">
      <c r="A238" s="30" t="inlineStr">
        <is>
          <t>ASHOKLEY</t>
        </is>
      </c>
      <c r="B238" s="30" t="inlineStr">
        <is>
          <t>Ashok Leyland Limited</t>
        </is>
      </c>
      <c r="C238" s="30" t="inlineStr">
        <is>
          <t>auto</t>
        </is>
      </c>
      <c r="D238" s="30" t="inlineStr">
        <is>
          <t>automobiles - lcvs / hcvs</t>
        </is>
      </c>
      <c r="E238" s="30" t="inlineStr">
        <is>
          <t>largecap</t>
        </is>
      </c>
      <c r="F238" s="30" t="n">
        <v>103967.23</v>
      </c>
      <c r="G238" s="30" t="n">
        <v>177.5</v>
      </c>
      <c r="H238" s="30" t="n">
        <v>0.28</v>
      </c>
      <c r="I238" s="30" t="n">
        <v>29418273</v>
      </c>
      <c r="J238" s="30" t="inlineStr">
        <is>
          <t>500477</t>
        </is>
      </c>
    </row>
    <row r="239">
      <c r="A239" s="30" t="inlineStr">
        <is>
          <t>MMP</t>
        </is>
      </c>
      <c r="B239" s="30" t="inlineStr">
        <is>
          <t>MMP Industries Ltd</t>
        </is>
      </c>
      <c r="C239" s="30" t="inlineStr">
        <is>
          <t>metals &amp; mining</t>
        </is>
      </c>
      <c r="D239" s="30" t="inlineStr">
        <is>
          <t>aluminium and aluminium products</t>
        </is>
      </c>
      <c r="E239" s="30" t="inlineStr">
        <is>
          <t>smallcap</t>
        </is>
      </c>
      <c r="F239" s="30" t="n">
        <v>623.16</v>
      </c>
      <c r="G239" s="30" t="n">
        <v>330.25</v>
      </c>
      <c r="H239" s="30" t="n">
        <v>0.27</v>
      </c>
      <c r="I239" s="30" t="n">
        <v>161584</v>
      </c>
      <c r="J239" s="30" t="inlineStr">
        <is>
          <t>535071</t>
        </is>
      </c>
    </row>
    <row r="240">
      <c r="A240" s="30" t="inlineStr">
        <is>
          <t>QUESS</t>
        </is>
      </c>
      <c r="B240" s="30" t="inlineStr">
        <is>
          <t>Quess Corp Limited</t>
        </is>
      </c>
      <c r="C240" s="30" t="inlineStr">
        <is>
          <t>miscellaneous</t>
        </is>
      </c>
      <c r="D240" s="30" t="inlineStr">
        <is>
          <t>diversified - large</t>
        </is>
      </c>
      <c r="E240" s="30" t="inlineStr">
        <is>
          <t>smallcap</t>
        </is>
      </c>
      <c r="F240" s="30" t="n">
        <v>4697.37</v>
      </c>
      <c r="G240" s="30" t="n">
        <v>315.25</v>
      </c>
      <c r="H240" s="30" t="n">
        <v>0.24</v>
      </c>
      <c r="I240" s="30" t="n">
        <v>341665</v>
      </c>
      <c r="J240" s="30" t="inlineStr">
        <is>
          <t>539978</t>
        </is>
      </c>
    </row>
    <row r="241">
      <c r="A241" s="30" t="inlineStr">
        <is>
          <t>SANDHAR</t>
        </is>
      </c>
      <c r="B241" s="30" t="inlineStr">
        <is>
          <t>Sandhar Technologies Limited</t>
        </is>
      </c>
      <c r="C241" s="30" t="inlineStr">
        <is>
          <t>auto</t>
        </is>
      </c>
      <c r="D241" s="30" t="inlineStr">
        <is>
          <t>auto ancillaries</t>
        </is>
      </c>
      <c r="E241" s="30" t="inlineStr">
        <is>
          <t>smallcap</t>
        </is>
      </c>
      <c r="F241" s="30" t="n">
        <v>3940.99</v>
      </c>
      <c r="G241" s="30" t="n">
        <v>656.35</v>
      </c>
      <c r="H241" s="30" t="n">
        <v>0.24</v>
      </c>
      <c r="I241" s="30" t="n">
        <v>145612</v>
      </c>
      <c r="J241" s="30" t="inlineStr">
        <is>
          <t>541163</t>
        </is>
      </c>
    </row>
    <row r="242">
      <c r="A242" s="30" t="inlineStr">
        <is>
          <t>GPTHEALTH</t>
        </is>
      </c>
      <c r="B242" s="30" t="inlineStr">
        <is>
          <t>GPT Healthcare Ltd</t>
        </is>
      </c>
      <c r="C242" s="30" t="inlineStr">
        <is>
          <t>healthcare</t>
        </is>
      </c>
      <c r="D242" s="30" t="inlineStr">
        <is>
          <t>healthcare</t>
        </is>
      </c>
      <c r="E242" s="30" t="inlineStr">
        <is>
          <t>smallcap</t>
        </is>
      </c>
      <c r="F242" s="30" t="n">
        <v>1351.44</v>
      </c>
      <c r="G242" s="30" t="n">
        <v>165.03</v>
      </c>
      <c r="H242" s="30" t="n">
        <v>0.2</v>
      </c>
      <c r="I242" s="30" t="n">
        <v>121795</v>
      </c>
      <c r="J242" s="30" t="inlineStr">
        <is>
          <t>544131</t>
        </is>
      </c>
    </row>
    <row r="243">
      <c r="A243" s="30" t="inlineStr">
        <is>
          <t>ARVIND</t>
        </is>
      </c>
      <c r="B243" s="30" t="inlineStr">
        <is>
          <t>Arvind Limited</t>
        </is>
      </c>
      <c r="C243" s="30" t="inlineStr">
        <is>
          <t>textiles</t>
        </is>
      </c>
      <c r="D243" s="30" t="inlineStr">
        <is>
          <t>textiles - cotton/blended</t>
        </is>
      </c>
      <c r="E243" s="30" t="inlineStr">
        <is>
          <t>midcap</t>
        </is>
      </c>
      <c r="F243" s="30" t="n">
        <v>14289.23</v>
      </c>
      <c r="G243" s="30" t="n">
        <v>546.1</v>
      </c>
      <c r="H243" s="30" t="n">
        <v>0.18</v>
      </c>
      <c r="I243" s="30" t="n">
        <v>466341</v>
      </c>
      <c r="J243" s="30" t="inlineStr">
        <is>
          <t>500101</t>
        </is>
      </c>
    </row>
    <row r="244">
      <c r="A244" s="30" t="inlineStr">
        <is>
          <t>EMAMIPAP</t>
        </is>
      </c>
      <c r="B244" s="30" t="inlineStr">
        <is>
          <t>Emami Paper Mills Ltd</t>
        </is>
      </c>
      <c r="C244" s="30" t="inlineStr">
        <is>
          <t>building materials</t>
        </is>
      </c>
      <c r="D244" s="30" t="inlineStr">
        <is>
          <t>paper</t>
        </is>
      </c>
      <c r="E244" s="30" t="inlineStr">
        <is>
          <t>smallcap</t>
        </is>
      </c>
      <c r="F244" s="30" t="n">
        <v>676.86</v>
      </c>
      <c r="G244" s="30" t="n">
        <v>112.06</v>
      </c>
      <c r="H244" s="30" t="n">
        <v>0.16</v>
      </c>
      <c r="I244" s="30" t="n">
        <v>76456</v>
      </c>
      <c r="J244" s="30" t="inlineStr">
        <is>
          <t>533208</t>
        </is>
      </c>
    </row>
    <row r="245">
      <c r="A245" s="30" t="inlineStr">
        <is>
          <t>VERANDA</t>
        </is>
      </c>
      <c r="B245" s="30" t="inlineStr">
        <is>
          <t>Veranda Learning Solutions Ltd</t>
        </is>
      </c>
      <c r="C245" s="30" t="inlineStr">
        <is>
          <t>services</t>
        </is>
      </c>
      <c r="D245" s="30" t="inlineStr">
        <is>
          <t>miscellaneous</t>
        </is>
      </c>
      <c r="E245" s="30" t="inlineStr">
        <is>
          <t>smallcap</t>
        </is>
      </c>
      <c r="F245" s="30" t="n">
        <v>2481.22</v>
      </c>
      <c r="G245" s="30" t="n">
        <v>258</v>
      </c>
      <c r="H245" s="30" t="n">
        <v>0.16</v>
      </c>
      <c r="I245" s="30" t="n">
        <v>270948</v>
      </c>
      <c r="J245" s="30" t="inlineStr">
        <is>
          <t>543514</t>
        </is>
      </c>
    </row>
    <row r="246">
      <c r="A246" s="30" t="inlineStr">
        <is>
          <t>RAIN</t>
        </is>
      </c>
      <c r="B246" s="30" t="inlineStr">
        <is>
          <t>Rain Industries Limited</t>
        </is>
      </c>
      <c r="C246" s="30" t="inlineStr">
        <is>
          <t>miscellaneous</t>
        </is>
      </c>
      <c r="D246" s="30" t="inlineStr">
        <is>
          <t>miscellaneous</t>
        </is>
      </c>
      <c r="E246" s="30" t="inlineStr">
        <is>
          <t>midcap</t>
        </is>
      </c>
      <c r="F246" s="30" t="n">
        <v>8162.44</v>
      </c>
      <c r="G246" s="30" t="n">
        <v>243</v>
      </c>
      <c r="H246" s="30" t="n">
        <v>0.13</v>
      </c>
      <c r="I246" s="30" t="n">
        <v>6138266</v>
      </c>
      <c r="J246" s="30" t="inlineStr">
        <is>
          <t>500339</t>
        </is>
      </c>
    </row>
    <row r="247">
      <c r="A247" s="30" t="inlineStr">
        <is>
          <t>ARROWGREEN</t>
        </is>
      </c>
      <c r="B247" s="30" t="inlineStr">
        <is>
          <t>Arrow Greentech Limited</t>
        </is>
      </c>
      <c r="C247" s="30" t="inlineStr">
        <is>
          <t>plastic products</t>
        </is>
      </c>
      <c r="D247" s="30" t="inlineStr">
        <is>
          <t>plastics products</t>
        </is>
      </c>
      <c r="E247" s="30" t="inlineStr">
        <is>
          <t>smallcap</t>
        </is>
      </c>
      <c r="F247" s="30" t="n">
        <v>1124.2</v>
      </c>
      <c r="G247" s="30" t="n">
        <v>746.1</v>
      </c>
      <c r="H247" s="30" t="n">
        <v>0.13</v>
      </c>
      <c r="I247" s="30" t="n">
        <v>17477</v>
      </c>
      <c r="J247" s="30" t="inlineStr">
        <is>
          <t>516064</t>
        </is>
      </c>
    </row>
    <row r="248">
      <c r="A248" s="30" t="inlineStr">
        <is>
          <t>LT</t>
        </is>
      </c>
      <c r="B248" s="30" t="inlineStr">
        <is>
          <t>Larsen &amp; Toubro Limited</t>
        </is>
      </c>
      <c r="C248" s="30" t="inlineStr">
        <is>
          <t>realty</t>
        </is>
      </c>
      <c r="D248" s="30" t="inlineStr">
        <is>
          <t>engineering - turnkey services</t>
        </is>
      </c>
      <c r="E248" s="30" t="inlineStr">
        <is>
          <t>largecap</t>
        </is>
      </c>
      <c r="F248" s="30" t="n">
        <v>558133.33</v>
      </c>
      <c r="G248" s="30" t="n">
        <v>4061.8</v>
      </c>
      <c r="H248" s="30" t="n">
        <v>0.12</v>
      </c>
      <c r="I248" s="30" t="n">
        <v>2733174</v>
      </c>
      <c r="J248" s="30" t="inlineStr">
        <is>
          <t>500510</t>
        </is>
      </c>
    </row>
    <row r="249">
      <c r="A249" s="30" t="inlineStr">
        <is>
          <t>MANAPPURAM</t>
        </is>
      </c>
      <c r="B249" s="30" t="inlineStr">
        <is>
          <t>Manappuram Finance Limited</t>
        </is>
      </c>
      <c r="C249" s="30" t="inlineStr">
        <is>
          <t>financials</t>
        </is>
      </c>
      <c r="D249" s="30" t="inlineStr">
        <is>
          <t>finance &amp; investments</t>
        </is>
      </c>
      <c r="E249" s="30" t="inlineStr">
        <is>
          <t>largecap</t>
        </is>
      </c>
      <c r="F249" s="30" t="n">
        <v>34154.26</v>
      </c>
      <c r="G249" s="30" t="n">
        <v>364</v>
      </c>
      <c r="H249" s="30" t="n">
        <v>0.11</v>
      </c>
      <c r="I249" s="30" t="n">
        <v>7771194</v>
      </c>
      <c r="J249" s="30" t="inlineStr">
        <is>
          <t>531213</t>
        </is>
      </c>
    </row>
    <row r="250">
      <c r="A250" s="30" t="inlineStr">
        <is>
          <t>GNA</t>
        </is>
      </c>
      <c r="B250" s="30" t="inlineStr">
        <is>
          <t>Gna Axles Limited</t>
        </is>
      </c>
      <c r="C250" s="30" t="inlineStr">
        <is>
          <t>auto</t>
        </is>
      </c>
      <c r="D250" s="30" t="inlineStr">
        <is>
          <t>auto ancillaries</t>
        </is>
      </c>
      <c r="E250" s="30" t="inlineStr">
        <is>
          <t>smallcap</t>
        </is>
      </c>
      <c r="F250" s="30" t="n">
        <v>2274.04</v>
      </c>
      <c r="G250" s="30" t="n">
        <v>530.25</v>
      </c>
      <c r="H250" s="30" t="n">
        <v>0.1</v>
      </c>
      <c r="I250" s="30" t="n">
        <v>298194</v>
      </c>
      <c r="J250" s="30" t="inlineStr">
        <is>
          <t>540124</t>
        </is>
      </c>
    </row>
    <row r="251">
      <c r="A251" s="30" t="inlineStr">
        <is>
          <t>MAHLOG</t>
        </is>
      </c>
      <c r="B251" s="30" t="inlineStr">
        <is>
          <t>Mahindra Logistics Ltd</t>
        </is>
      </c>
      <c r="C251" s="30" t="inlineStr">
        <is>
          <t>transportation</t>
        </is>
      </c>
      <c r="D251" s="30" t="inlineStr">
        <is>
          <t>miscellaneous</t>
        </is>
      </c>
      <c r="E251" s="30" t="inlineStr">
        <is>
          <t>smallcap</t>
        </is>
      </c>
      <c r="F251" s="30" t="n">
        <v>4102.85</v>
      </c>
      <c r="G251" s="30" t="n">
        <v>413.9</v>
      </c>
      <c r="H251" s="30" t="n">
        <v>0.1</v>
      </c>
      <c r="I251" s="30" t="n">
        <v>177016</v>
      </c>
      <c r="J251" s="30" t="inlineStr">
        <is>
          <t>540768</t>
        </is>
      </c>
    </row>
    <row r="252">
      <c r="A252" s="30" t="inlineStr">
        <is>
          <t>NSLNISP</t>
        </is>
      </c>
      <c r="B252" s="30" t="inlineStr">
        <is>
          <t>NMDC Steel Ltd</t>
        </is>
      </c>
      <c r="C252" s="30" t="inlineStr">
        <is>
          <t>metals &amp; mining</t>
        </is>
      </c>
      <c r="D252" s="30" t="inlineStr">
        <is>
          <t>steel - large</t>
        </is>
      </c>
      <c r="E252" s="30" t="inlineStr">
        <is>
          <t>midcap</t>
        </is>
      </c>
      <c r="F252" s="30" t="n">
        <v>13120.32</v>
      </c>
      <c r="G252" s="30" t="n">
        <v>44.81</v>
      </c>
      <c r="H252" s="30" t="n">
        <v>0.09</v>
      </c>
      <c r="I252" s="30" t="n">
        <v>3840920</v>
      </c>
      <c r="J252" s="30" t="inlineStr">
        <is>
          <t>543768</t>
        </is>
      </c>
    </row>
    <row r="253">
      <c r="A253" s="30" t="inlineStr">
        <is>
          <t>IDFCFIRSTB</t>
        </is>
      </c>
      <c r="B253" s="30" t="inlineStr">
        <is>
          <t>IDFC First Bank Ltd</t>
        </is>
      </c>
      <c r="C253" s="30" t="inlineStr">
        <is>
          <t>bank</t>
        </is>
      </c>
      <c r="D253" s="30" t="inlineStr">
        <is>
          <t>banks - private sector</t>
        </is>
      </c>
      <c r="E253" s="30" t="inlineStr">
        <is>
          <t>largecap</t>
        </is>
      </c>
      <c r="F253" s="30" t="n">
        <v>73483.7</v>
      </c>
      <c r="G253" s="30" t="n">
        <v>85.34999999999999</v>
      </c>
      <c r="H253" s="30" t="n">
        <v>0.06</v>
      </c>
      <c r="I253" s="30" t="n">
        <v>20096925</v>
      </c>
      <c r="J253" s="30" t="inlineStr">
        <is>
          <t>539437</t>
        </is>
      </c>
    </row>
    <row r="254">
      <c r="A254" s="30" t="inlineStr">
        <is>
          <t>KDDL</t>
        </is>
      </c>
      <c r="B254" s="30" t="inlineStr">
        <is>
          <t>Kddl Limited</t>
        </is>
      </c>
      <c r="C254" s="30" t="inlineStr">
        <is>
          <t>consumer discretionary</t>
        </is>
      </c>
      <c r="D254" s="30" t="inlineStr">
        <is>
          <t>miscellaneous</t>
        </is>
      </c>
      <c r="E254" s="30" t="inlineStr">
        <is>
          <t>smallcap</t>
        </is>
      </c>
      <c r="F254" s="30" t="n">
        <v>4556.15</v>
      </c>
      <c r="G254" s="30" t="n">
        <v>3706.1</v>
      </c>
      <c r="H254" s="30" t="n">
        <v>0.05</v>
      </c>
      <c r="I254" s="30" t="n">
        <v>57663</v>
      </c>
      <c r="J254" s="30" t="inlineStr">
        <is>
          <t>532054</t>
        </is>
      </c>
    </row>
    <row r="255">
      <c r="A255" s="30" t="inlineStr">
        <is>
          <t>SANGAMIND</t>
        </is>
      </c>
      <c r="B255" s="30" t="inlineStr">
        <is>
          <t>Sangam (india) Limited</t>
        </is>
      </c>
      <c r="C255" s="30" t="inlineStr">
        <is>
          <t>textiles</t>
        </is>
      </c>
      <c r="D255" s="30" t="inlineStr">
        <is>
          <t>textiles - spinning - synthetic / blended</t>
        </is>
      </c>
      <c r="E255" s="30" t="inlineStr">
        <is>
          <t>smallcap</t>
        </is>
      </c>
      <c r="F255" s="30" t="n">
        <v>3077.85</v>
      </c>
      <c r="G255" s="30" t="n">
        <v>612.85</v>
      </c>
      <c r="H255" s="30" t="n">
        <v>0.05</v>
      </c>
      <c r="I255" s="30" t="n">
        <v>43277</v>
      </c>
      <c r="J255" s="30" t="inlineStr">
        <is>
          <t>514234</t>
        </is>
      </c>
    </row>
    <row r="256">
      <c r="A256" s="30" t="inlineStr">
        <is>
          <t>ATUL</t>
        </is>
      </c>
      <c r="B256" s="30" t="inlineStr">
        <is>
          <t>Atul Limited</t>
        </is>
      </c>
      <c r="C256" s="30" t="inlineStr">
        <is>
          <t>chemicals</t>
        </is>
      </c>
      <c r="D256" s="30" t="inlineStr">
        <is>
          <t>chemicals</t>
        </is>
      </c>
      <c r="E256" s="30" t="inlineStr">
        <is>
          <t>largecap</t>
        </is>
      </c>
      <c r="F256" s="30" t="n">
        <v>20002.73</v>
      </c>
      <c r="G256" s="30" t="n">
        <v>6796.5</v>
      </c>
      <c r="H256" s="30" t="n">
        <v>0.04</v>
      </c>
      <c r="I256" s="30" t="n">
        <v>85917</v>
      </c>
      <c r="J256" s="30" t="inlineStr">
        <is>
          <t>500027</t>
        </is>
      </c>
    </row>
    <row r="257">
      <c r="A257" s="30" t="inlineStr">
        <is>
          <t>3MINDIA</t>
        </is>
      </c>
      <c r="B257" s="30" t="inlineStr">
        <is>
          <t>3m India Limited</t>
        </is>
      </c>
      <c r="C257" s="30" t="inlineStr">
        <is>
          <t>miscellaneous</t>
        </is>
      </c>
      <c r="D257" s="30" t="inlineStr">
        <is>
          <t>diversified - large</t>
        </is>
      </c>
      <c r="E257" s="30" t="inlineStr">
        <is>
          <t>largecap</t>
        </is>
      </c>
      <c r="F257" s="30" t="n">
        <v>40334.58</v>
      </c>
      <c r="G257" s="30" t="n">
        <v>35820</v>
      </c>
      <c r="H257" s="30" t="n">
        <v>0.04</v>
      </c>
      <c r="I257" s="30" t="n">
        <v>4631</v>
      </c>
      <c r="J257" s="30" t="inlineStr">
        <is>
          <t>523395</t>
        </is>
      </c>
    </row>
    <row r="258">
      <c r="A258" s="30" t="inlineStr">
        <is>
          <t>TFCILTD</t>
        </is>
      </c>
      <c r="B258" s="30" t="inlineStr">
        <is>
          <t>Tourism Finance Corporation Of India Limited</t>
        </is>
      </c>
      <c r="C258" s="30" t="inlineStr">
        <is>
          <t>financials</t>
        </is>
      </c>
      <c r="D258" s="30" t="inlineStr">
        <is>
          <t>finance - term-lending institutions</t>
        </is>
      </c>
      <c r="E258" s="30" t="inlineStr">
        <is>
          <t>midcap</t>
        </is>
      </c>
      <c r="F258" s="30" t="n">
        <v>5128.4</v>
      </c>
      <c r="G258" s="30" t="n">
        <v>110.81</v>
      </c>
      <c r="H258" s="30" t="n">
        <v>0.04</v>
      </c>
      <c r="I258" s="30" t="n">
        <v>18425822</v>
      </c>
      <c r="J258" s="30" t="inlineStr">
        <is>
          <t>526650</t>
        </is>
      </c>
    </row>
    <row r="259">
      <c r="A259" s="30" t="inlineStr">
        <is>
          <t>LUMAXIND</t>
        </is>
      </c>
      <c r="B259" s="30" t="inlineStr">
        <is>
          <t>Lumax Industries Limited</t>
        </is>
      </c>
      <c r="C259" s="30" t="inlineStr">
        <is>
          <t>auto</t>
        </is>
      </c>
      <c r="D259" s="30" t="inlineStr">
        <is>
          <t>auto ancillaries</t>
        </is>
      </c>
      <c r="E259" s="30" t="inlineStr">
        <is>
          <t>midcap</t>
        </is>
      </c>
      <c r="F259" s="30" t="n">
        <v>5419.82</v>
      </c>
      <c r="G259" s="30" t="n">
        <v>5799.5</v>
      </c>
      <c r="H259" s="30" t="n">
        <v>0.03</v>
      </c>
      <c r="I259" s="30" t="n">
        <v>15036</v>
      </c>
      <c r="J259" s="30" t="inlineStr">
        <is>
          <t>517206</t>
        </is>
      </c>
    </row>
    <row r="260">
      <c r="A260" s="30" t="inlineStr">
        <is>
          <t>ORBTEXP</t>
        </is>
      </c>
      <c r="B260" s="30" t="inlineStr">
        <is>
          <t>Orbit Exports Limited</t>
        </is>
      </c>
      <c r="C260" s="30" t="inlineStr">
        <is>
          <t>textiles</t>
        </is>
      </c>
      <c r="D260" s="30" t="inlineStr">
        <is>
          <t>textiles - processing</t>
        </is>
      </c>
      <c r="E260" s="30" t="inlineStr">
        <is>
          <t>smallcap</t>
        </is>
      </c>
      <c r="F260" s="30" t="n">
        <v>662.59</v>
      </c>
      <c r="G260" s="30" t="n">
        <v>250</v>
      </c>
      <c r="H260" s="30" t="n">
        <v>0.03</v>
      </c>
      <c r="I260" s="30" t="n">
        <v>96047</v>
      </c>
      <c r="J260" s="30" t="inlineStr">
        <is>
          <t>512626</t>
        </is>
      </c>
    </row>
    <row r="261">
      <c r="A261" s="30" t="inlineStr">
        <is>
          <t>LUMAXTECH</t>
        </is>
      </c>
      <c r="B261" s="30" t="inlineStr">
        <is>
          <t>Lumax Auto Technologies Limited</t>
        </is>
      </c>
      <c r="C261" s="30" t="inlineStr">
        <is>
          <t>auto</t>
        </is>
      </c>
      <c r="D261" s="30" t="inlineStr">
        <is>
          <t>auto ancillaries</t>
        </is>
      </c>
      <c r="E261" s="30" t="inlineStr">
        <is>
          <t>midcap</t>
        </is>
      </c>
      <c r="F261" s="30" t="n">
        <v>11572.5</v>
      </c>
      <c r="G261" s="30" t="n">
        <v>1698.3</v>
      </c>
      <c r="H261" s="30" t="n">
        <v>0.02</v>
      </c>
      <c r="I261" s="30" t="n">
        <v>180268</v>
      </c>
      <c r="J261" s="30" t="inlineStr">
        <is>
          <t>532796</t>
        </is>
      </c>
    </row>
    <row r="262">
      <c r="A262" s="30" t="inlineStr">
        <is>
          <t>CENTUM</t>
        </is>
      </c>
      <c r="B262" s="30" t="inlineStr">
        <is>
          <t>Centum Electronics Limited</t>
        </is>
      </c>
      <c r="C262" s="30" t="inlineStr">
        <is>
          <t>aerospace &amp; defence</t>
        </is>
      </c>
      <c r="D262" s="30" t="inlineStr">
        <is>
          <t>electronics - components</t>
        </is>
      </c>
      <c r="E262" s="30" t="inlineStr">
        <is>
          <t>midcap</t>
        </is>
      </c>
      <c r="F262" s="30" t="n">
        <v>5592.93</v>
      </c>
      <c r="G262" s="30" t="n">
        <v>3790.3</v>
      </c>
      <c r="H262" s="30" t="n">
        <v>0.02</v>
      </c>
      <c r="I262" s="30" t="n">
        <v>20565</v>
      </c>
      <c r="J262" s="30" t="inlineStr">
        <is>
          <t>517544</t>
        </is>
      </c>
    </row>
    <row r="263">
      <c r="A263" s="30" t="inlineStr">
        <is>
          <t>ANTHEM</t>
        </is>
      </c>
      <c r="B263" s="30" t="inlineStr">
        <is>
          <t>Anthem Biosciences Ltd</t>
        </is>
      </c>
      <c r="C263" s="30" t="inlineStr">
        <is>
          <t>healthcare</t>
        </is>
      </c>
      <c r="D263" s="30" t="inlineStr">
        <is>
          <t>pharmaceuticals - indian - bulk drugs &amp; formln</t>
        </is>
      </c>
      <c r="E263" s="30" t="inlineStr">
        <is>
          <t>largecap</t>
        </is>
      </c>
      <c r="F263" s="30" t="n">
        <v>46515.86</v>
      </c>
      <c r="G263" s="30" t="n">
        <v>825.65</v>
      </c>
      <c r="H263" s="30" t="n">
        <v>0</v>
      </c>
      <c r="I263" s="30" t="n">
        <v>799264</v>
      </c>
      <c r="J263" s="30" t="inlineStr">
        <is>
          <t>544449</t>
        </is>
      </c>
    </row>
    <row r="264">
      <c r="A264" s="30" t="inlineStr">
        <is>
          <t>PANACHE</t>
        </is>
      </c>
      <c r="B264" s="30" t="inlineStr">
        <is>
          <t>Panache Digilife Ltd</t>
        </is>
      </c>
      <c r="C264" s="30" t="inlineStr">
        <is>
          <t>i.t</t>
        </is>
      </c>
      <c r="D264" s="30" t="inlineStr">
        <is>
          <t>computers - hardware</t>
        </is>
      </c>
      <c r="E264" s="30" t="inlineStr">
        <is>
          <t>smallcap</t>
        </is>
      </c>
      <c r="F264" s="30" t="n">
        <v>704.62</v>
      </c>
      <c r="G264" s="30" t="n">
        <v>440</v>
      </c>
      <c r="H264" s="30" t="n">
        <v>0</v>
      </c>
      <c r="I264" s="30" t="n">
        <v>11722</v>
      </c>
      <c r="J264" s="30" t="inlineStr">
        <is>
          <t>538424</t>
        </is>
      </c>
    </row>
    <row r="265">
      <c r="A265" s="30" t="inlineStr">
        <is>
          <t>UNIVPHOTO</t>
        </is>
      </c>
      <c r="B265" s="30" t="inlineStr">
        <is>
          <t>Universus Photo Imagings Ltd</t>
        </is>
      </c>
      <c r="C265" s="30" t="inlineStr">
        <is>
          <t>consumer discretionary</t>
        </is>
      </c>
      <c r="D265" s="30" t="inlineStr">
        <is>
          <t>photographic and allied products</t>
        </is>
      </c>
      <c r="E265" s="30" t="inlineStr">
        <is>
          <t>smallcap</t>
        </is>
      </c>
      <c r="F265" s="30" t="n">
        <v>525.4400000000001</v>
      </c>
      <c r="G265" s="30" t="n">
        <v>480</v>
      </c>
      <c r="H265" s="30" t="n">
        <v>0</v>
      </c>
      <c r="I265" s="30" t="n">
        <v>1099</v>
      </c>
      <c r="J265" s="30" t="inlineStr">
        <is>
          <t>542933</t>
        </is>
      </c>
    </row>
    <row r="266">
      <c r="A266" s="30" t="inlineStr">
        <is>
          <t>OLECTRA</t>
        </is>
      </c>
      <c r="B266" s="30" t="inlineStr">
        <is>
          <t>Olectra Greentech Ltd</t>
        </is>
      </c>
      <c r="C266" s="30" t="inlineStr">
        <is>
          <t>auto</t>
        </is>
      </c>
      <c r="D266" s="30" t="inlineStr">
        <is>
          <t>automobiles - lcvs / hcvs</t>
        </is>
      </c>
      <c r="E266" s="30" t="inlineStr">
        <is>
          <t>midcap</t>
        </is>
      </c>
      <c r="F266" s="30" t="n">
        <v>11486.38</v>
      </c>
      <c r="G266" s="30" t="n">
        <v>1399.4</v>
      </c>
      <c r="H266" s="30" t="n">
        <v>0</v>
      </c>
      <c r="I266" s="30" t="n">
        <v>486029</v>
      </c>
      <c r="J266" s="30" t="inlineStr">
        <is>
          <t>532439</t>
        </is>
      </c>
    </row>
    <row r="267">
      <c r="A267" s="30" t="inlineStr">
        <is>
          <t>BAJAJFINSV</t>
        </is>
      </c>
      <c r="B267" s="30" t="inlineStr">
        <is>
          <t>Bajaj Finserv Limited</t>
        </is>
      </c>
      <c r="C267" s="30" t="inlineStr">
        <is>
          <t>financials</t>
        </is>
      </c>
      <c r="D267" s="30" t="inlineStr">
        <is>
          <t>finance &amp; investments</t>
        </is>
      </c>
      <c r="E267" s="30" t="inlineStr">
        <is>
          <t>largecap</t>
        </is>
      </c>
      <c r="F267" s="30" t="n">
        <v>333874.73</v>
      </c>
      <c r="G267" s="30" t="n">
        <v>2086</v>
      </c>
      <c r="H267" s="30" t="n">
        <v>0</v>
      </c>
      <c r="I267" s="30" t="n">
        <v>3575444</v>
      </c>
      <c r="J267" s="30" t="inlineStr">
        <is>
          <t>532978</t>
        </is>
      </c>
    </row>
    <row r="268">
      <c r="A268" s="30" t="inlineStr">
        <is>
          <t>NATIONALUM</t>
        </is>
      </c>
      <c r="B268" s="30" t="inlineStr">
        <is>
          <t>National Aluminium Company Limited</t>
        </is>
      </c>
      <c r="C268" s="30" t="inlineStr">
        <is>
          <t>metals &amp; mining</t>
        </is>
      </c>
      <c r="D268" s="30" t="inlineStr">
        <is>
          <t>aluminium and aluminium products</t>
        </is>
      </c>
      <c r="E268" s="30" t="inlineStr">
        <is>
          <t>largecap</t>
        </is>
      </c>
      <c r="F268" s="30" t="n">
        <v>69975.67</v>
      </c>
      <c r="G268" s="30" t="n">
        <v>381</v>
      </c>
      <c r="H268" s="30" t="n">
        <v>0</v>
      </c>
      <c r="I268" s="30" t="n">
        <v>13129890</v>
      </c>
      <c r="J268" s="30" t="inlineStr">
        <is>
          <t>532234</t>
        </is>
      </c>
    </row>
    <row r="269">
      <c r="A269" s="30" t="inlineStr">
        <is>
          <t>RISHABH</t>
        </is>
      </c>
      <c r="B269" s="30" t="inlineStr">
        <is>
          <t>Rishabh Instruments Ltd</t>
        </is>
      </c>
      <c r="C269" s="30" t="inlineStr">
        <is>
          <t>industrials</t>
        </is>
      </c>
      <c r="D269" s="30" t="inlineStr">
        <is>
          <t>electric equipment</t>
        </is>
      </c>
      <c r="E269" s="30" t="inlineStr">
        <is>
          <t>smallcap</t>
        </is>
      </c>
      <c r="F269" s="30" t="n">
        <v>2494.51</v>
      </c>
      <c r="G269" s="30" t="n">
        <v>647.05</v>
      </c>
      <c r="H269" s="30" t="n">
        <v>-0.02</v>
      </c>
      <c r="I269" s="30" t="n">
        <v>73129</v>
      </c>
      <c r="J269" s="30" t="inlineStr">
        <is>
          <t>543977</t>
        </is>
      </c>
    </row>
    <row r="270">
      <c r="A270" s="30" t="inlineStr">
        <is>
          <t>LANDMARK</t>
        </is>
      </c>
      <c r="B270" s="30" t="inlineStr">
        <is>
          <t>Landmark Cars Ltd</t>
        </is>
      </c>
      <c r="C270" s="30" t="inlineStr">
        <is>
          <t>consumer discretionary</t>
        </is>
      </c>
      <c r="D270" s="30" t="inlineStr">
        <is>
          <t>trading</t>
        </is>
      </c>
      <c r="E270" s="30" t="inlineStr">
        <is>
          <t>smallcap</t>
        </is>
      </c>
      <c r="F270" s="30" t="n">
        <v>2268.34</v>
      </c>
      <c r="G270" s="30" t="n">
        <v>546.9</v>
      </c>
      <c r="H270" s="30" t="n">
        <v>-0.03</v>
      </c>
      <c r="I270" s="30" t="n">
        <v>140202</v>
      </c>
      <c r="J270" s="30" t="inlineStr">
        <is>
          <t>543714</t>
        </is>
      </c>
    </row>
    <row r="271">
      <c r="A271" s="30" t="inlineStr">
        <is>
          <t>HITECHCORP</t>
        </is>
      </c>
      <c r="B271" s="30" t="inlineStr">
        <is>
          <t>Hitech Corporation</t>
        </is>
      </c>
      <c r="C271" s="30" t="inlineStr">
        <is>
          <t>industrials</t>
        </is>
      </c>
      <c r="D271" s="30" t="inlineStr">
        <is>
          <t>packaging</t>
        </is>
      </c>
      <c r="E271" s="30" t="inlineStr">
        <is>
          <t>smallcap</t>
        </is>
      </c>
      <c r="F271" s="30" t="n">
        <v>549.97</v>
      </c>
      <c r="G271" s="30" t="n">
        <v>320.1</v>
      </c>
      <c r="H271" s="30" t="n">
        <v>-0.03</v>
      </c>
      <c r="I271" s="30" t="n">
        <v>8212</v>
      </c>
      <c r="J271" s="30" t="inlineStr">
        <is>
          <t>526217</t>
        </is>
      </c>
    </row>
    <row r="272">
      <c r="A272" s="30" t="inlineStr">
        <is>
          <t>KARURVYSYA</t>
        </is>
      </c>
      <c r="B272" s="30" t="inlineStr">
        <is>
          <t>Karur Vysya Bank Limited</t>
        </is>
      </c>
      <c r="C272" s="30" t="inlineStr">
        <is>
          <t>bank</t>
        </is>
      </c>
      <c r="D272" s="30" t="inlineStr">
        <is>
          <t>banks - private sector</t>
        </is>
      </c>
      <c r="E272" s="30" t="inlineStr">
        <is>
          <t>largecap</t>
        </is>
      </c>
      <c r="F272" s="30" t="n">
        <v>32639.57</v>
      </c>
      <c r="G272" s="30" t="n">
        <v>337.5</v>
      </c>
      <c r="H272" s="30" t="n">
        <v>-0.04</v>
      </c>
      <c r="I272" s="30" t="n">
        <v>1675844</v>
      </c>
      <c r="J272" s="30" t="inlineStr">
        <is>
          <t>590003</t>
        </is>
      </c>
    </row>
    <row r="273">
      <c r="A273" s="30" t="inlineStr">
        <is>
          <t>COMSYN</t>
        </is>
      </c>
      <c r="B273" s="30" t="inlineStr">
        <is>
          <t>Commercial Syn Bags Ltd</t>
        </is>
      </c>
      <c r="C273" s="30" t="inlineStr">
        <is>
          <t>industrials</t>
        </is>
      </c>
      <c r="D273" s="30" t="inlineStr">
        <is>
          <t>packaging</t>
        </is>
      </c>
      <c r="E273" s="30" t="inlineStr">
        <is>
          <t>smallcap</t>
        </is>
      </c>
      <c r="F273" s="30" t="n">
        <v>845.99</v>
      </c>
      <c r="G273" s="30" t="n">
        <v>209.58</v>
      </c>
      <c r="H273" s="30" t="n">
        <v>-0.07000000000000001</v>
      </c>
      <c r="I273" s="30" t="n">
        <v>1181335</v>
      </c>
      <c r="J273" s="30" t="inlineStr">
        <is>
          <t>539986</t>
        </is>
      </c>
    </row>
    <row r="274">
      <c r="A274" s="30" t="inlineStr">
        <is>
          <t>PFIZER</t>
        </is>
      </c>
      <c r="B274" s="30" t="inlineStr">
        <is>
          <t>Pfizer Limited</t>
        </is>
      </c>
      <c r="C274" s="30" t="inlineStr">
        <is>
          <t>healthcare</t>
        </is>
      </c>
      <c r="D274" s="30" t="inlineStr">
        <is>
          <t>pharmaceuticals - multinational</t>
        </is>
      </c>
      <c r="E274" s="30" t="inlineStr">
        <is>
          <t>largecap</t>
        </is>
      </c>
      <c r="F274" s="30" t="n">
        <v>22452.99</v>
      </c>
      <c r="G274" s="30" t="n">
        <v>4903</v>
      </c>
      <c r="H274" s="30" t="n">
        <v>-0.1</v>
      </c>
      <c r="I274" s="30" t="n">
        <v>16772</v>
      </c>
      <c r="J274" s="30" t="inlineStr">
        <is>
          <t>500680</t>
        </is>
      </c>
    </row>
    <row r="275">
      <c r="A275" s="30" t="inlineStr">
        <is>
          <t>GRASIM</t>
        </is>
      </c>
      <c r="B275" s="30" t="inlineStr">
        <is>
          <t>Grasim Industries Limited</t>
        </is>
      </c>
      <c r="C275" s="30" t="inlineStr">
        <is>
          <t>textiles</t>
        </is>
      </c>
      <c r="D275" s="30" t="inlineStr">
        <is>
          <t>textiles - manmade</t>
        </is>
      </c>
      <c r="E275" s="30" t="inlineStr">
        <is>
          <t>largecap</t>
        </is>
      </c>
      <c r="F275" s="30" t="n">
        <v>219419.18</v>
      </c>
      <c r="G275" s="30" t="n">
        <v>3220</v>
      </c>
      <c r="H275" s="30" t="n">
        <v>-0.12</v>
      </c>
      <c r="I275" s="30" t="n">
        <v>692999</v>
      </c>
      <c r="J275" s="30" t="inlineStr">
        <is>
          <t>500300</t>
        </is>
      </c>
    </row>
    <row r="276">
      <c r="A276" s="30" t="inlineStr">
        <is>
          <t>JINDALSAW</t>
        </is>
      </c>
      <c r="B276" s="30" t="inlineStr">
        <is>
          <t>Jindal Saw Limited</t>
        </is>
      </c>
      <c r="C276" s="30" t="inlineStr">
        <is>
          <t>industrials</t>
        </is>
      </c>
      <c r="D276" s="30" t="inlineStr">
        <is>
          <t>steel - large</t>
        </is>
      </c>
      <c r="E276" s="30" t="inlineStr">
        <is>
          <t>midcap</t>
        </is>
      </c>
      <c r="F276" s="30" t="n">
        <v>16985.34</v>
      </c>
      <c r="G276" s="30" t="n">
        <v>265.25</v>
      </c>
      <c r="H276" s="30" t="n">
        <v>-0.13</v>
      </c>
      <c r="I276" s="30" t="n">
        <v>1690930</v>
      </c>
      <c r="J276" s="30" t="inlineStr">
        <is>
          <t>500378</t>
        </is>
      </c>
    </row>
    <row r="277">
      <c r="A277" s="30" t="inlineStr">
        <is>
          <t>STLTECH</t>
        </is>
      </c>
      <c r="B277" s="30" t="inlineStr">
        <is>
          <t>Sterlite Technologies Limited</t>
        </is>
      </c>
      <c r="C277" s="30" t="inlineStr">
        <is>
          <t>industrials</t>
        </is>
      </c>
      <c r="D277" s="30" t="inlineStr">
        <is>
          <t>cables - telephone</t>
        </is>
      </c>
      <c r="E277" s="30" t="inlineStr">
        <is>
          <t>largecap</t>
        </is>
      </c>
      <c r="F277" s="30" t="n">
        <v>32614.42</v>
      </c>
      <c r="G277" s="30" t="n">
        <v>633.85</v>
      </c>
      <c r="H277" s="30" t="n">
        <v>-0.13</v>
      </c>
      <c r="I277" s="30" t="n">
        <v>4123473</v>
      </c>
      <c r="J277" s="30" t="inlineStr">
        <is>
          <t>532374</t>
        </is>
      </c>
    </row>
    <row r="278">
      <c r="A278" s="30" t="inlineStr">
        <is>
          <t>IIFL</t>
        </is>
      </c>
      <c r="B278" s="30" t="inlineStr">
        <is>
          <t>IIFL Finance Ltd</t>
        </is>
      </c>
      <c r="C278" s="30" t="inlineStr">
        <is>
          <t>financials</t>
        </is>
      </c>
      <c r="D278" s="30" t="inlineStr">
        <is>
          <t>finance &amp; investments</t>
        </is>
      </c>
      <c r="E278" s="30" t="inlineStr">
        <is>
          <t>largecap</t>
        </is>
      </c>
      <c r="F278" s="30" t="n">
        <v>25953.33</v>
      </c>
      <c r="G278" s="30" t="n">
        <v>609.35</v>
      </c>
      <c r="H278" s="30" t="n">
        <v>-0.14</v>
      </c>
      <c r="I278" s="30" t="n">
        <v>1098383</v>
      </c>
      <c r="J278" s="30" t="inlineStr">
        <is>
          <t>532636</t>
        </is>
      </c>
    </row>
    <row r="279">
      <c r="A279" s="30" t="inlineStr">
        <is>
          <t>IOLCP</t>
        </is>
      </c>
      <c r="B279" s="30" t="inlineStr">
        <is>
          <t>Iol Chemicals And Pharmaceuticals Limited</t>
        </is>
      </c>
      <c r="C279" s="30" t="inlineStr">
        <is>
          <t>healthcare</t>
        </is>
      </c>
      <c r="D279" s="30" t="inlineStr">
        <is>
          <t>pharmaceuticals - indian - bulk drugs &amp; formln</t>
        </is>
      </c>
      <c r="E279" s="30" t="inlineStr">
        <is>
          <t>smallcap</t>
        </is>
      </c>
      <c r="F279" s="30" t="n">
        <v>4796.53</v>
      </c>
      <c r="G279" s="30" t="n">
        <v>163.18</v>
      </c>
      <c r="H279" s="30" t="n">
        <v>-0.14</v>
      </c>
      <c r="I279" s="30" t="n">
        <v>2373584</v>
      </c>
      <c r="J279" s="30" t="inlineStr">
        <is>
          <t>524164</t>
        </is>
      </c>
    </row>
    <row r="280">
      <c r="A280" s="30" t="inlineStr">
        <is>
          <t>NAUKRI</t>
        </is>
      </c>
      <c r="B280" s="30" t="inlineStr">
        <is>
          <t>Info Edge (india) Limited</t>
        </is>
      </c>
      <c r="C280" s="30" t="inlineStr">
        <is>
          <t>i.t</t>
        </is>
      </c>
      <c r="D280" s="30" t="inlineStr">
        <is>
          <t>miscellaneous</t>
        </is>
      </c>
      <c r="E280" s="30" t="inlineStr">
        <is>
          <t>largecap</t>
        </is>
      </c>
      <c r="F280" s="30" t="n">
        <v>80533.84</v>
      </c>
      <c r="G280" s="30" t="n">
        <v>1240</v>
      </c>
      <c r="H280" s="30" t="n">
        <v>-0.16</v>
      </c>
      <c r="I280" s="30" t="n">
        <v>2365603</v>
      </c>
      <c r="J280" s="30" t="inlineStr">
        <is>
          <t>532777</t>
        </is>
      </c>
    </row>
    <row r="281">
      <c r="A281" s="30" t="inlineStr">
        <is>
          <t>HEG</t>
        </is>
      </c>
      <c r="B281" s="30" t="inlineStr">
        <is>
          <t>Heg Limited</t>
        </is>
      </c>
      <c r="C281" s="30" t="inlineStr">
        <is>
          <t>industrials</t>
        </is>
      </c>
      <c r="D281" s="30" t="inlineStr">
        <is>
          <t>electrodes - graphites</t>
        </is>
      </c>
      <c r="E281" s="30" t="inlineStr">
        <is>
          <t>midcap</t>
        </is>
      </c>
      <c r="F281" s="30" t="n">
        <v>13242.12</v>
      </c>
      <c r="G281" s="30" t="n">
        <v>685.1</v>
      </c>
      <c r="H281" s="30" t="n">
        <v>-0.16</v>
      </c>
      <c r="I281" s="30" t="n">
        <v>1107334</v>
      </c>
      <c r="J281" s="30" t="inlineStr">
        <is>
          <t>509631</t>
        </is>
      </c>
    </row>
    <row r="282">
      <c r="A282" s="30" t="inlineStr">
        <is>
          <t>ONEPOINT</t>
        </is>
      </c>
      <c r="B282" s="30" t="inlineStr">
        <is>
          <t>One Point One Solutions Ltd</t>
        </is>
      </c>
      <c r="C282" s="30" t="inlineStr">
        <is>
          <t>i.t</t>
        </is>
      </c>
      <c r="D282" s="30" t="inlineStr">
        <is>
          <t>computers - software - medium / small</t>
        </is>
      </c>
      <c r="E282" s="30" t="inlineStr">
        <is>
          <t>smallcap</t>
        </is>
      </c>
      <c r="F282" s="30" t="n">
        <v>1503.74</v>
      </c>
      <c r="G282" s="30" t="n">
        <v>57.1</v>
      </c>
      <c r="H282" s="30" t="n">
        <v>-0.16</v>
      </c>
      <c r="I282" s="30" t="n">
        <v>537920</v>
      </c>
      <c r="J282" s="30" t="inlineStr">
        <is>
          <t>535039</t>
        </is>
      </c>
    </row>
    <row r="283">
      <c r="A283" s="30" t="inlineStr">
        <is>
          <t>SANATHAN</t>
        </is>
      </c>
      <c r="B283" s="30" t="inlineStr">
        <is>
          <t>Sanathan Textiles Ltd</t>
        </is>
      </c>
      <c r="C283" s="30" t="inlineStr">
        <is>
          <t>textiles</t>
        </is>
      </c>
      <c r="D283" s="30" t="inlineStr">
        <is>
          <t>textiles - cotton/blended</t>
        </is>
      </c>
      <c r="E283" s="30" t="inlineStr">
        <is>
          <t>smallcap</t>
        </is>
      </c>
      <c r="F283" s="30" t="n">
        <v>4023.96</v>
      </c>
      <c r="G283" s="30" t="n">
        <v>476</v>
      </c>
      <c r="H283" s="30" t="n">
        <v>-0.16</v>
      </c>
      <c r="I283" s="30" t="n">
        <v>21890</v>
      </c>
      <c r="J283" s="30" t="inlineStr">
        <is>
          <t>544314</t>
        </is>
      </c>
    </row>
    <row r="284">
      <c r="A284" s="30" t="inlineStr">
        <is>
          <t>APLAPOLLO</t>
        </is>
      </c>
      <c r="B284" s="30" t="inlineStr">
        <is>
          <t>Apl Apollo Tubes Limited</t>
        </is>
      </c>
      <c r="C284" s="30" t="inlineStr">
        <is>
          <t>industrials</t>
        </is>
      </c>
      <c r="D284" s="30" t="inlineStr">
        <is>
          <t>steel - large</t>
        </is>
      </c>
      <c r="E284" s="30" t="inlineStr">
        <is>
          <t>largecap</t>
        </is>
      </c>
      <c r="F284" s="30" t="n">
        <v>54101.74</v>
      </c>
      <c r="G284" s="30" t="n">
        <v>1945</v>
      </c>
      <c r="H284" s="30" t="n">
        <v>-0.18</v>
      </c>
      <c r="I284" s="30" t="n">
        <v>1607461</v>
      </c>
      <c r="J284" s="30" t="inlineStr">
        <is>
          <t>533758</t>
        </is>
      </c>
    </row>
    <row r="285">
      <c r="A285" s="30" t="inlineStr">
        <is>
          <t>YASHO</t>
        </is>
      </c>
      <c r="B285" s="30" t="inlineStr">
        <is>
          <t>Yasho Industries Ltd</t>
        </is>
      </c>
      <c r="C285" s="30" t="inlineStr">
        <is>
          <t>chemicals</t>
        </is>
      </c>
      <c r="D285" s="30" t="inlineStr">
        <is>
          <t>chemicals</t>
        </is>
      </c>
      <c r="E285" s="30" t="inlineStr">
        <is>
          <t>midcap</t>
        </is>
      </c>
      <c r="F285" s="30" t="n">
        <v>5010.7</v>
      </c>
      <c r="G285" s="30" t="n">
        <v>4150</v>
      </c>
      <c r="H285" s="30" t="n">
        <v>-0.18</v>
      </c>
      <c r="I285" s="30" t="n">
        <v>67222</v>
      </c>
      <c r="J285" s="30" t="inlineStr">
        <is>
          <t>541167</t>
        </is>
      </c>
    </row>
    <row r="286">
      <c r="A286" s="30" t="inlineStr">
        <is>
          <t>ASIANPAINT</t>
        </is>
      </c>
      <c r="B286" s="30" t="inlineStr">
        <is>
          <t>Asian Paints Limited</t>
        </is>
      </c>
      <c r="C286" s="30" t="inlineStr">
        <is>
          <t>building materials</t>
        </is>
      </c>
      <c r="D286" s="30" t="inlineStr">
        <is>
          <t>paints / varnishes</t>
        </is>
      </c>
      <c r="E286" s="30" t="inlineStr">
        <is>
          <t>largecap</t>
        </is>
      </c>
      <c r="F286" s="30" t="n">
        <v>264738.59</v>
      </c>
      <c r="G286" s="30" t="n">
        <v>2755</v>
      </c>
      <c r="H286" s="30" t="n">
        <v>-0.18</v>
      </c>
      <c r="I286" s="30" t="n">
        <v>1477098</v>
      </c>
      <c r="J286" s="30" t="inlineStr">
        <is>
          <t>500820</t>
        </is>
      </c>
    </row>
    <row r="287">
      <c r="A287" s="30" t="inlineStr">
        <is>
          <t>OFSS</t>
        </is>
      </c>
      <c r="B287" s="30" t="inlineStr">
        <is>
          <t>Oracle Financial Services Software Limited</t>
        </is>
      </c>
      <c r="C287" s="30" t="inlineStr">
        <is>
          <t>i.t</t>
        </is>
      </c>
      <c r="D287" s="30" t="inlineStr">
        <is>
          <t>computers - software - large</t>
        </is>
      </c>
      <c r="E287" s="30" t="inlineStr">
        <is>
          <t>largecap</t>
        </is>
      </c>
      <c r="F287" s="30" t="n">
        <v>102388.13</v>
      </c>
      <c r="G287" s="30" t="n">
        <v>11735</v>
      </c>
      <c r="H287" s="30" t="n">
        <v>-0.2</v>
      </c>
      <c r="I287" s="30" t="n">
        <v>447234</v>
      </c>
      <c r="J287" s="30" t="inlineStr">
        <is>
          <t>532466</t>
        </is>
      </c>
    </row>
    <row r="288">
      <c r="A288" s="30" t="inlineStr">
        <is>
          <t>TIMETECHNO</t>
        </is>
      </c>
      <c r="B288" s="30" t="inlineStr">
        <is>
          <t>Time Technoplast Limited</t>
        </is>
      </c>
      <c r="C288" s="30" t="inlineStr">
        <is>
          <t>plastic products</t>
        </is>
      </c>
      <c r="D288" s="30" t="inlineStr">
        <is>
          <t>plastics products</t>
        </is>
      </c>
      <c r="E288" s="30" t="inlineStr">
        <is>
          <t>midcap</t>
        </is>
      </c>
      <c r="F288" s="30" t="n">
        <v>10231.09</v>
      </c>
      <c r="G288" s="30" t="n">
        <v>206.82</v>
      </c>
      <c r="H288" s="30" t="n">
        <v>-0.21</v>
      </c>
      <c r="I288" s="30" t="n">
        <v>4332234</v>
      </c>
      <c r="J288" s="30" t="inlineStr">
        <is>
          <t>532856</t>
        </is>
      </c>
    </row>
    <row r="289">
      <c r="A289" s="30" t="inlineStr">
        <is>
          <t>HMVL</t>
        </is>
      </c>
      <c r="B289" s="30" t="inlineStr">
        <is>
          <t>Hindustan Media Ventures Limited</t>
        </is>
      </c>
      <c r="C289" s="30" t="inlineStr">
        <is>
          <t>media</t>
        </is>
      </c>
      <c r="D289" s="30" t="inlineStr">
        <is>
          <t>entertainment / electronic media software</t>
        </is>
      </c>
      <c r="E289" s="30" t="inlineStr">
        <is>
          <t>smallcap</t>
        </is>
      </c>
      <c r="F289" s="30" t="n">
        <v>766.55</v>
      </c>
      <c r="G289" s="30" t="n">
        <v>103.81</v>
      </c>
      <c r="H289" s="30" t="n">
        <v>-0.23</v>
      </c>
      <c r="I289" s="30" t="n">
        <v>92990</v>
      </c>
      <c r="J289" s="30" t="inlineStr">
        <is>
          <t>533217</t>
        </is>
      </c>
    </row>
    <row r="290">
      <c r="A290" s="30" t="inlineStr">
        <is>
          <t>EICHERMOT</t>
        </is>
      </c>
      <c r="B290" s="30" t="inlineStr">
        <is>
          <t>Eicher Motors Limited</t>
        </is>
      </c>
      <c r="C290" s="30" t="inlineStr">
        <is>
          <t>auto</t>
        </is>
      </c>
      <c r="D290" s="30" t="inlineStr">
        <is>
          <t>automobiles - motorcycles / mopeds</t>
        </is>
      </c>
      <c r="E290" s="30" t="inlineStr">
        <is>
          <t>largecap</t>
        </is>
      </c>
      <c r="F290" s="30" t="n">
        <v>219227.45</v>
      </c>
      <c r="G290" s="30" t="n">
        <v>7967.5</v>
      </c>
      <c r="H290" s="30" t="n">
        <v>-0.24</v>
      </c>
      <c r="I290" s="30" t="n">
        <v>736160</v>
      </c>
      <c r="J290" s="30" t="inlineStr">
        <is>
          <t>505200</t>
        </is>
      </c>
    </row>
    <row r="291">
      <c r="A291" s="30" t="inlineStr">
        <is>
          <t>ATULAUTO</t>
        </is>
      </c>
      <c r="B291" s="30" t="inlineStr">
        <is>
          <t>Atul Auto Limited</t>
        </is>
      </c>
      <c r="C291" s="30" t="inlineStr">
        <is>
          <t>auto</t>
        </is>
      </c>
      <c r="D291" s="30" t="inlineStr">
        <is>
          <t>automobiles - scooters and 3 - wheelers</t>
        </is>
      </c>
      <c r="E291" s="30" t="inlineStr">
        <is>
          <t>smallcap</t>
        </is>
      </c>
      <c r="F291" s="30" t="n">
        <v>1612.21</v>
      </c>
      <c r="G291" s="30" t="n">
        <v>579.55</v>
      </c>
      <c r="H291" s="30" t="n">
        <v>-0.24</v>
      </c>
      <c r="I291" s="30" t="n">
        <v>239269</v>
      </c>
      <c r="J291" s="30" t="inlineStr">
        <is>
          <t>531795</t>
        </is>
      </c>
    </row>
    <row r="292">
      <c r="A292" s="30" t="inlineStr">
        <is>
          <t>COFORGE</t>
        </is>
      </c>
      <c r="B292" s="30" t="inlineStr">
        <is>
          <t>Coforge (Niit Tech) Ltd</t>
        </is>
      </c>
      <c r="C292" s="30" t="inlineStr">
        <is>
          <t>i.t</t>
        </is>
      </c>
      <c r="D292" s="30" t="inlineStr">
        <is>
          <t>computers - software - large</t>
        </is>
      </c>
      <c r="E292" s="30" t="inlineStr">
        <is>
          <t>largecap</t>
        </is>
      </c>
      <c r="F292" s="30" t="n">
        <v>78666.16</v>
      </c>
      <c r="G292" s="30" t="n">
        <v>1772.8</v>
      </c>
      <c r="H292" s="30" t="n">
        <v>-0.24</v>
      </c>
      <c r="I292" s="30" t="n">
        <v>3173675</v>
      </c>
      <c r="J292" s="30" t="inlineStr">
        <is>
          <t>532541</t>
        </is>
      </c>
    </row>
    <row r="293">
      <c r="A293" s="30" t="inlineStr">
        <is>
          <t>BCLIND</t>
        </is>
      </c>
      <c r="B293" s="30" t="inlineStr">
        <is>
          <t>BCL Industries Ltd</t>
        </is>
      </c>
      <c r="C293" s="30" t="inlineStr">
        <is>
          <t>fmcg</t>
        </is>
      </c>
      <c r="D293" s="30" t="inlineStr">
        <is>
          <t>breweries &amp; distilleries</t>
        </is>
      </c>
      <c r="E293" s="30" t="inlineStr">
        <is>
          <t>smallcap</t>
        </is>
      </c>
      <c r="F293" s="30" t="n">
        <v>1087.68</v>
      </c>
      <c r="G293" s="30" t="n">
        <v>36.75</v>
      </c>
      <c r="H293" s="30" t="n">
        <v>-0.27</v>
      </c>
      <c r="I293" s="30" t="n">
        <v>514126</v>
      </c>
      <c r="J293" s="30" t="inlineStr">
        <is>
          <t>524332</t>
        </is>
      </c>
    </row>
    <row r="294">
      <c r="A294" s="30" t="inlineStr">
        <is>
          <t>LAURUSLABS</t>
        </is>
      </c>
      <c r="B294" s="30" t="inlineStr">
        <is>
          <t>Laurus Labs Limited</t>
        </is>
      </c>
      <c r="C294" s="30" t="inlineStr">
        <is>
          <t>healthcare</t>
        </is>
      </c>
      <c r="D294" s="30" t="inlineStr">
        <is>
          <t>pharmaceuticals - indian - bulk drugs &amp; formln</t>
        </is>
      </c>
      <c r="E294" s="30" t="inlineStr">
        <is>
          <t>largecap</t>
        </is>
      </c>
      <c r="F294" s="30" t="n">
        <v>99135.8</v>
      </c>
      <c r="G294" s="30" t="n">
        <v>1830</v>
      </c>
      <c r="H294" s="30" t="n">
        <v>-0.27</v>
      </c>
      <c r="I294" s="30" t="n">
        <v>4042684</v>
      </c>
      <c r="J294" s="30" t="inlineStr">
        <is>
          <t>540222</t>
        </is>
      </c>
    </row>
    <row r="295">
      <c r="A295" s="30" t="inlineStr">
        <is>
          <t>RAYMOND</t>
        </is>
      </c>
      <c r="B295" s="30" t="inlineStr">
        <is>
          <t>Raymond Limited</t>
        </is>
      </c>
      <c r="C295" s="30" t="inlineStr">
        <is>
          <t>transportation</t>
        </is>
      </c>
      <c r="D295" s="30" t="inlineStr">
        <is>
          <t>transport - airlines</t>
        </is>
      </c>
      <c r="E295" s="30" t="inlineStr">
        <is>
          <t>smallcap</t>
        </is>
      </c>
      <c r="F295" s="30" t="n">
        <v>4190.15</v>
      </c>
      <c r="G295" s="30" t="n">
        <v>627.6</v>
      </c>
      <c r="H295" s="30" t="n">
        <v>-0.29</v>
      </c>
      <c r="I295" s="30" t="n">
        <v>450599</v>
      </c>
      <c r="J295" s="30" t="inlineStr">
        <is>
          <t>500330</t>
        </is>
      </c>
    </row>
    <row r="296">
      <c r="A296" s="30" t="inlineStr">
        <is>
          <t>TALBROAUTO</t>
        </is>
      </c>
      <c r="B296" s="30" t="inlineStr">
        <is>
          <t>Talbros Automotive Components Limited</t>
        </is>
      </c>
      <c r="C296" s="30" t="inlineStr">
        <is>
          <t>auto</t>
        </is>
      </c>
      <c r="D296" s="30" t="inlineStr">
        <is>
          <t>auto ancillaries</t>
        </is>
      </c>
      <c r="E296" s="30" t="inlineStr">
        <is>
          <t>smallcap</t>
        </is>
      </c>
      <c r="F296" s="30" t="n">
        <v>2705.54</v>
      </c>
      <c r="G296" s="30" t="n">
        <v>437</v>
      </c>
      <c r="H296" s="30" t="n">
        <v>-0.3</v>
      </c>
      <c r="I296" s="30" t="n">
        <v>343827</v>
      </c>
      <c r="J296" s="30" t="inlineStr">
        <is>
          <t>505160</t>
        </is>
      </c>
    </row>
    <row r="297">
      <c r="A297" s="30" t="inlineStr">
        <is>
          <t>AETHER</t>
        </is>
      </c>
      <c r="B297" s="30" t="inlineStr">
        <is>
          <t>Aether Industries Ltd</t>
        </is>
      </c>
      <c r="C297" s="30" t="inlineStr">
        <is>
          <t>chemicals</t>
        </is>
      </c>
      <c r="D297" s="30" t="inlineStr">
        <is>
          <t>chemicals</t>
        </is>
      </c>
      <c r="E297" s="30" t="inlineStr">
        <is>
          <t>largecap</t>
        </is>
      </c>
      <c r="F297" s="30" t="n">
        <v>21093.34</v>
      </c>
      <c r="G297" s="30" t="n">
        <v>1584.4</v>
      </c>
      <c r="H297" s="30" t="n">
        <v>-0.31</v>
      </c>
      <c r="I297" s="30" t="n">
        <v>240048</v>
      </c>
      <c r="J297" s="30" t="inlineStr">
        <is>
          <t>543534</t>
        </is>
      </c>
    </row>
    <row r="298">
      <c r="A298" s="30" t="inlineStr">
        <is>
          <t>POLYPLEX</t>
        </is>
      </c>
      <c r="B298" s="30" t="inlineStr">
        <is>
          <t>Polyplex Corporation Limited</t>
        </is>
      </c>
      <c r="C298" s="30" t="inlineStr">
        <is>
          <t>industrials</t>
        </is>
      </c>
      <c r="D298" s="30" t="inlineStr">
        <is>
          <t>packaging</t>
        </is>
      </c>
      <c r="E298" s="30" t="inlineStr">
        <is>
          <t>smallcap</t>
        </is>
      </c>
      <c r="F298" s="30" t="n">
        <v>3512.19</v>
      </c>
      <c r="G298" s="30" t="n">
        <v>1115.1</v>
      </c>
      <c r="H298" s="30" t="n">
        <v>-0.33</v>
      </c>
      <c r="I298" s="30" t="n">
        <v>19280</v>
      </c>
      <c r="J298" s="30" t="inlineStr">
        <is>
          <t>524051</t>
        </is>
      </c>
    </row>
    <row r="299">
      <c r="A299" s="30" t="inlineStr">
        <is>
          <t>ETHOSLTD</t>
        </is>
      </c>
      <c r="B299" s="30" t="inlineStr">
        <is>
          <t>Ethos Ltd</t>
        </is>
      </c>
      <c r="C299" s="30" t="inlineStr">
        <is>
          <t>consumer discretionary</t>
        </is>
      </c>
      <c r="D299" s="30" t="inlineStr">
        <is>
          <t>trading</t>
        </is>
      </c>
      <c r="E299" s="30" t="inlineStr">
        <is>
          <t>midcap</t>
        </is>
      </c>
      <c r="F299" s="30" t="n">
        <v>7584.2</v>
      </c>
      <c r="G299" s="30" t="n">
        <v>2824.5</v>
      </c>
      <c r="H299" s="30" t="n">
        <v>-0.35</v>
      </c>
      <c r="I299" s="30" t="n">
        <v>40277</v>
      </c>
      <c r="J299" s="30" t="inlineStr">
        <is>
          <t>543532</t>
        </is>
      </c>
    </row>
    <row r="300">
      <c r="A300" s="30" t="inlineStr">
        <is>
          <t>CYIENTDLM</t>
        </is>
      </c>
      <c r="B300" s="30" t="inlineStr">
        <is>
          <t>Cyient DLM Ltd</t>
        </is>
      </c>
      <c r="C300" s="30" t="inlineStr">
        <is>
          <t>consumer discretionary</t>
        </is>
      </c>
      <c r="D300" s="30" t="inlineStr">
        <is>
          <t>electronics - components</t>
        </is>
      </c>
      <c r="E300" s="30" t="inlineStr">
        <is>
          <t>midcap</t>
        </is>
      </c>
      <c r="F300" s="30" t="n">
        <v>5277.8</v>
      </c>
      <c r="G300" s="30" t="n">
        <v>662.5</v>
      </c>
      <c r="H300" s="30" t="n">
        <v>-0.35</v>
      </c>
      <c r="I300" s="30" t="n">
        <v>406082</v>
      </c>
      <c r="J300" s="30" t="inlineStr">
        <is>
          <t>543933</t>
        </is>
      </c>
    </row>
    <row r="301">
      <c r="A301" s="30" t="inlineStr">
        <is>
          <t>ASTRAMICRO</t>
        </is>
      </c>
      <c r="B301" s="30" t="inlineStr">
        <is>
          <t>Astra Microwave Products Limited</t>
        </is>
      </c>
      <c r="C301" s="30" t="inlineStr">
        <is>
          <t>aerospace &amp; defence</t>
        </is>
      </c>
      <c r="D301" s="30" t="inlineStr">
        <is>
          <t>telecommunications - equipment</t>
        </is>
      </c>
      <c r="E301" s="30" t="inlineStr">
        <is>
          <t>midcap</t>
        </is>
      </c>
      <c r="F301" s="30" t="n">
        <v>17179.35</v>
      </c>
      <c r="G301" s="30" t="n">
        <v>1802.2</v>
      </c>
      <c r="H301" s="30" t="n">
        <v>-0.4</v>
      </c>
      <c r="I301" s="30" t="n">
        <v>232224</v>
      </c>
      <c r="J301" s="30" t="inlineStr">
        <is>
          <t>532493</t>
        </is>
      </c>
    </row>
    <row r="302">
      <c r="A302" s="30" t="inlineStr">
        <is>
          <t>TBZ</t>
        </is>
      </c>
      <c r="B302" s="30" t="inlineStr">
        <is>
          <t>Tribhovandas Bhimji Zaveri Limited</t>
        </is>
      </c>
      <c r="C302" s="30" t="inlineStr">
        <is>
          <t>consumer discretionary</t>
        </is>
      </c>
      <c r="D302" s="30" t="inlineStr">
        <is>
          <t>diamond cutting / jewellery</t>
        </is>
      </c>
      <c r="E302" s="30" t="inlineStr">
        <is>
          <t>smallcap</t>
        </is>
      </c>
      <c r="F302" s="30" t="n">
        <v>1815.74</v>
      </c>
      <c r="G302" s="30" t="n">
        <v>271</v>
      </c>
      <c r="H302" s="30" t="n">
        <v>-0.4</v>
      </c>
      <c r="I302" s="30" t="n">
        <v>926057</v>
      </c>
      <c r="J302" s="30" t="inlineStr">
        <is>
          <t>534369</t>
        </is>
      </c>
    </row>
    <row r="303">
      <c r="A303" s="30" t="inlineStr">
        <is>
          <t>NIVABUPA</t>
        </is>
      </c>
      <c r="B303" s="30" t="inlineStr">
        <is>
          <t>Niva Bupa Health Insurance Company Ltd</t>
        </is>
      </c>
      <c r="C303" s="30" t="inlineStr">
        <is>
          <t>financials</t>
        </is>
      </c>
      <c r="D303" s="30" t="inlineStr">
        <is>
          <t>finance &amp; investments</t>
        </is>
      </c>
      <c r="E303" s="30" t="inlineStr">
        <is>
          <t>midcap</t>
        </is>
      </c>
      <c r="F303" s="30" t="n">
        <v>16188.19</v>
      </c>
      <c r="G303" s="30" t="n">
        <v>87.18000000000001</v>
      </c>
      <c r="H303" s="30" t="n">
        <v>-0.41</v>
      </c>
      <c r="I303" s="30" t="n">
        <v>540098</v>
      </c>
      <c r="J303" s="30" t="n"/>
    </row>
    <row r="304">
      <c r="A304" s="30" t="inlineStr">
        <is>
          <t>VIYASH</t>
        </is>
      </c>
      <c r="B304" s="30" t="inlineStr">
        <is>
          <t>Viyash Scientific Ltd</t>
        </is>
      </c>
      <c r="C304" s="30" t="inlineStr">
        <is>
          <t>healthcare</t>
        </is>
      </c>
      <c r="D304" s="30" t="inlineStr">
        <is>
          <t>pharmaceuticals - indian - bulk drugs &amp; formln</t>
        </is>
      </c>
      <c r="E304" s="30" t="inlineStr">
        <is>
          <t>midcap</t>
        </is>
      </c>
      <c r="F304" s="30" t="n">
        <v>11961.65</v>
      </c>
      <c r="G304" s="30" t="n">
        <v>272.65</v>
      </c>
      <c r="H304" s="30" t="n">
        <v>-0.42</v>
      </c>
      <c r="I304" s="30" t="n">
        <v>1336576</v>
      </c>
      <c r="J304" s="30" t="inlineStr">
        <is>
          <t>512529</t>
        </is>
      </c>
    </row>
    <row r="305">
      <c r="A305" s="30" t="inlineStr">
        <is>
          <t>GOCLCORP</t>
        </is>
      </c>
      <c r="B305" s="30" t="inlineStr">
        <is>
          <t>Gocl Corporation Limited</t>
        </is>
      </c>
      <c r="C305" s="30" t="inlineStr">
        <is>
          <t>miscellaneous</t>
        </is>
      </c>
      <c r="D305" s="30" t="inlineStr">
        <is>
          <t>diversified - medium / small</t>
        </is>
      </c>
      <c r="E305" s="30" t="inlineStr">
        <is>
          <t>smallcap</t>
        </is>
      </c>
      <c r="F305" s="30" t="n">
        <v>2044.12</v>
      </c>
      <c r="G305" s="30" t="n">
        <v>410.55</v>
      </c>
      <c r="H305" s="30" t="n">
        <v>-0.44</v>
      </c>
      <c r="I305" s="30" t="n">
        <v>22997</v>
      </c>
      <c r="J305" s="30" t="inlineStr">
        <is>
          <t>506480</t>
        </is>
      </c>
    </row>
    <row r="306">
      <c r="A306" s="30" t="inlineStr">
        <is>
          <t>DIVISLAB</t>
        </is>
      </c>
      <c r="B306" s="30" t="inlineStr">
        <is>
          <t>Divi's Laboratories Limited</t>
        </is>
      </c>
      <c r="C306" s="30" t="inlineStr">
        <is>
          <t>healthcare</t>
        </is>
      </c>
      <c r="D306" s="30" t="inlineStr">
        <is>
          <t>pharmaceuticals - indian - bulk drugs</t>
        </is>
      </c>
      <c r="E306" s="30" t="inlineStr">
        <is>
          <t>largecap</t>
        </is>
      </c>
      <c r="F306" s="30" t="n">
        <v>222675.04</v>
      </c>
      <c r="G306" s="30" t="n">
        <v>8349</v>
      </c>
      <c r="H306" s="30" t="n">
        <v>-0.46</v>
      </c>
      <c r="I306" s="30" t="n">
        <v>644679</v>
      </c>
      <c r="J306" s="30" t="inlineStr">
        <is>
          <t>532488</t>
        </is>
      </c>
    </row>
    <row r="307">
      <c r="A307" s="30" t="inlineStr">
        <is>
          <t>GANDHITUBE</t>
        </is>
      </c>
      <c r="B307" s="30" t="inlineStr">
        <is>
          <t>Gandhi Special Tubes Limited</t>
        </is>
      </c>
      <c r="C307" s="30" t="inlineStr">
        <is>
          <t>metals &amp; mining</t>
        </is>
      </c>
      <c r="D307" s="30" t="inlineStr">
        <is>
          <t>steel - medium / small</t>
        </is>
      </c>
      <c r="E307" s="30" t="inlineStr">
        <is>
          <t>smallcap</t>
        </is>
      </c>
      <c r="F307" s="30" t="n">
        <v>1089.97</v>
      </c>
      <c r="G307" s="30" t="n">
        <v>892.8</v>
      </c>
      <c r="H307" s="30" t="n">
        <v>-0.46</v>
      </c>
      <c r="I307" s="30" t="n">
        <v>5888</v>
      </c>
      <c r="J307" s="30" t="inlineStr">
        <is>
          <t>513108</t>
        </is>
      </c>
    </row>
    <row r="308">
      <c r="A308" s="30" t="inlineStr">
        <is>
          <t>BLSE</t>
        </is>
      </c>
      <c r="B308" s="30" t="inlineStr">
        <is>
          <t>BLS E-Services Ltd</t>
        </is>
      </c>
      <c r="C308" s="30" t="inlineStr">
        <is>
          <t>i.t</t>
        </is>
      </c>
      <c r="D308" s="30" t="inlineStr">
        <is>
          <t>computers - software - medium / small</t>
        </is>
      </c>
      <c r="E308" s="30" t="inlineStr">
        <is>
          <t>smallcap</t>
        </is>
      </c>
      <c r="F308" s="30" t="n">
        <v>2899.68</v>
      </c>
      <c r="G308" s="30" t="n">
        <v>317.65</v>
      </c>
      <c r="H308" s="30" t="n">
        <v>-0.47</v>
      </c>
      <c r="I308" s="30" t="n">
        <v>637591</v>
      </c>
      <c r="J308" s="30" t="inlineStr">
        <is>
          <t>544107</t>
        </is>
      </c>
    </row>
    <row r="309">
      <c r="A309" s="30" t="inlineStr">
        <is>
          <t>INDIAGLYCO</t>
        </is>
      </c>
      <c r="B309" s="30" t="inlineStr">
        <is>
          <t>India Glycols Limited</t>
        </is>
      </c>
      <c r="C309" s="30" t="inlineStr">
        <is>
          <t>fmcg</t>
        </is>
      </c>
      <c r="D309" s="30" t="inlineStr">
        <is>
          <t>breweries &amp; distilleries</t>
        </is>
      </c>
      <c r="E309" s="30" t="inlineStr">
        <is>
          <t>midcap</t>
        </is>
      </c>
      <c r="F309" s="30" t="n">
        <v>7743.6</v>
      </c>
      <c r="G309" s="30" t="n">
        <v>1149.5</v>
      </c>
      <c r="H309" s="30" t="n">
        <v>-0.5</v>
      </c>
      <c r="I309" s="30" t="n">
        <v>64880</v>
      </c>
      <c r="J309" s="30" t="inlineStr">
        <is>
          <t>500201</t>
        </is>
      </c>
    </row>
    <row r="310">
      <c r="A310" s="30" t="inlineStr">
        <is>
          <t>360ONE</t>
        </is>
      </c>
      <c r="B310" s="30" t="inlineStr">
        <is>
          <t>360 ONE WAM Ltd</t>
        </is>
      </c>
      <c r="C310" s="30" t="inlineStr">
        <is>
          <t>financials</t>
        </is>
      </c>
      <c r="D310" s="30" t="inlineStr">
        <is>
          <t>finance &amp; investments</t>
        </is>
      </c>
      <c r="E310" s="30" t="inlineStr">
        <is>
          <t>largecap</t>
        </is>
      </c>
      <c r="F310" s="30" t="n">
        <v>48476.85</v>
      </c>
      <c r="G310" s="30" t="n">
        <v>1186</v>
      </c>
      <c r="H310" s="30" t="n">
        <v>-0.5</v>
      </c>
      <c r="I310" s="30" t="n">
        <v>1904112</v>
      </c>
      <c r="J310" s="30" t="inlineStr">
        <is>
          <t>542772</t>
        </is>
      </c>
    </row>
    <row r="311">
      <c r="A311" s="30" t="inlineStr">
        <is>
          <t>ASTERDM</t>
        </is>
      </c>
      <c r="B311" s="30" t="inlineStr">
        <is>
          <t>Aster DM Healthcare Ltd</t>
        </is>
      </c>
      <c r="C311" s="30" t="inlineStr">
        <is>
          <t>healthcare</t>
        </is>
      </c>
      <c r="D311" s="30" t="inlineStr">
        <is>
          <t>healthcare</t>
        </is>
      </c>
      <c r="E311" s="30" t="inlineStr">
        <is>
          <t>largecap</t>
        </is>
      </c>
      <c r="F311" s="30" t="n">
        <v>73403.53999999999</v>
      </c>
      <c r="G311" s="30" t="n">
        <v>837.6</v>
      </c>
      <c r="H311" s="30" t="n">
        <v>-0.53</v>
      </c>
      <c r="I311" s="30" t="n">
        <v>2438796</v>
      </c>
      <c r="J311" s="30" t="inlineStr">
        <is>
          <t>540975</t>
        </is>
      </c>
    </row>
    <row r="312">
      <c r="A312" s="30" t="inlineStr">
        <is>
          <t>ENDURANCE</t>
        </is>
      </c>
      <c r="B312" s="30" t="inlineStr">
        <is>
          <t>Endurance Technologies Limited</t>
        </is>
      </c>
      <c r="C312" s="30" t="inlineStr">
        <is>
          <t>auto</t>
        </is>
      </c>
      <c r="D312" s="30" t="inlineStr">
        <is>
          <t>auto ancillaries</t>
        </is>
      </c>
      <c r="E312" s="30" t="inlineStr">
        <is>
          <t>largecap</t>
        </is>
      </c>
      <c r="F312" s="30" t="n">
        <v>40699.39</v>
      </c>
      <c r="G312" s="30" t="n">
        <v>2877.7</v>
      </c>
      <c r="H312" s="30" t="n">
        <v>-0.54</v>
      </c>
      <c r="I312" s="30" t="n">
        <v>143187</v>
      </c>
      <c r="J312" s="30" t="inlineStr">
        <is>
          <t>540153</t>
        </is>
      </c>
    </row>
    <row r="313">
      <c r="A313" s="30" t="inlineStr">
        <is>
          <t>LTF</t>
        </is>
      </c>
      <c r="B313" s="30" t="inlineStr">
        <is>
          <t>L&amp;T Finance Ltd</t>
        </is>
      </c>
      <c r="C313" s="30" t="inlineStr">
        <is>
          <t>financials</t>
        </is>
      </c>
      <c r="D313" s="30" t="inlineStr">
        <is>
          <t>finance &amp; investments</t>
        </is>
      </c>
      <c r="E313" s="30" t="inlineStr">
        <is>
          <t>largecap</t>
        </is>
      </c>
      <c r="F313" s="30" t="n">
        <v>79775.32000000001</v>
      </c>
      <c r="G313" s="30" t="n">
        <v>316.65</v>
      </c>
      <c r="H313" s="30" t="n">
        <v>-0.55</v>
      </c>
      <c r="I313" s="30" t="n">
        <v>3565321</v>
      </c>
      <c r="J313" s="30" t="inlineStr">
        <is>
          <t>533519</t>
        </is>
      </c>
    </row>
    <row r="314">
      <c r="A314" s="30" t="inlineStr">
        <is>
          <t>63MOONS</t>
        </is>
      </c>
      <c r="B314" s="30" t="inlineStr">
        <is>
          <t>63 Moons Technologies Ltd</t>
        </is>
      </c>
      <c r="C314" s="30" t="inlineStr">
        <is>
          <t>i.t</t>
        </is>
      </c>
      <c r="D314" s="30" t="inlineStr">
        <is>
          <t>computers - software - medium / small</t>
        </is>
      </c>
      <c r="E314" s="30" t="inlineStr">
        <is>
          <t>smallcap</t>
        </is>
      </c>
      <c r="F314" s="30" t="n">
        <v>3976.35</v>
      </c>
      <c r="G314" s="30" t="n">
        <v>858.2</v>
      </c>
      <c r="H314" s="30" t="n">
        <v>-0.55</v>
      </c>
      <c r="I314" s="30" t="n">
        <v>223129</v>
      </c>
      <c r="J314" s="30" t="inlineStr">
        <is>
          <t>526881</t>
        </is>
      </c>
    </row>
    <row r="315">
      <c r="A315" s="30" t="inlineStr">
        <is>
          <t>UNIMECH</t>
        </is>
      </c>
      <c r="B315" s="30" t="inlineStr">
        <is>
          <t>Unimech Aerospace and Manufacturing Ltd</t>
        </is>
      </c>
      <c r="C315" s="30" t="inlineStr">
        <is>
          <t>aerospace &amp; defence</t>
        </is>
      </c>
      <c r="D315" s="30" t="inlineStr">
        <is>
          <t>engineering</t>
        </is>
      </c>
      <c r="E315" s="30" t="inlineStr">
        <is>
          <t>midcap</t>
        </is>
      </c>
      <c r="F315" s="30" t="n">
        <v>6838.73</v>
      </c>
      <c r="G315" s="30" t="n">
        <v>1336.5</v>
      </c>
      <c r="H315" s="30" t="n">
        <v>-0.61</v>
      </c>
      <c r="I315" s="30" t="n">
        <v>282034</v>
      </c>
      <c r="J315" s="30" t="inlineStr">
        <is>
          <t>544322</t>
        </is>
      </c>
    </row>
    <row r="316">
      <c r="A316" s="30" t="inlineStr">
        <is>
          <t>ARMANFIN</t>
        </is>
      </c>
      <c r="B316" s="30" t="inlineStr">
        <is>
          <t>Arman Financial Services Limited</t>
        </is>
      </c>
      <c r="C316" s="30" t="inlineStr">
        <is>
          <t>financials</t>
        </is>
      </c>
      <c r="D316" s="30" t="inlineStr">
        <is>
          <t>finance &amp; investments</t>
        </is>
      </c>
      <c r="E316" s="30" t="inlineStr">
        <is>
          <t>smallcap</t>
        </is>
      </c>
      <c r="F316" s="30" t="n">
        <v>2155.32</v>
      </c>
      <c r="G316" s="30" t="n">
        <v>2037.1</v>
      </c>
      <c r="H316" s="30" t="n">
        <v>-0.62</v>
      </c>
      <c r="I316" s="30" t="n">
        <v>32572</v>
      </c>
      <c r="J316" s="30" t="inlineStr">
        <is>
          <t>531179</t>
        </is>
      </c>
    </row>
    <row r="317">
      <c r="A317" s="30" t="inlineStr">
        <is>
          <t>RAYMONDREL</t>
        </is>
      </c>
      <c r="B317" s="30" t="inlineStr">
        <is>
          <t>Raymond Realty Ltd</t>
        </is>
      </c>
      <c r="C317" s="30" t="inlineStr">
        <is>
          <t>realty</t>
        </is>
      </c>
      <c r="D317" s="30" t="inlineStr">
        <is>
          <t>construction</t>
        </is>
      </c>
      <c r="E317" s="30" t="inlineStr">
        <is>
          <t>smallcap</t>
        </is>
      </c>
      <c r="F317" s="30" t="n">
        <v>4610.56</v>
      </c>
      <c r="G317" s="30" t="n">
        <v>688.2</v>
      </c>
      <c r="H317" s="30" t="n">
        <v>-0.63</v>
      </c>
      <c r="I317" s="30" t="n">
        <v>273345</v>
      </c>
      <c r="J317" s="30" t="inlineStr">
        <is>
          <t>544420</t>
        </is>
      </c>
    </row>
    <row r="318">
      <c r="A318" s="30" t="inlineStr">
        <is>
          <t>SBCL</t>
        </is>
      </c>
      <c r="B318" s="30" t="inlineStr">
        <is>
          <t>Shivalik Bimetal Controls Ltd</t>
        </is>
      </c>
      <c r="C318" s="30" t="inlineStr">
        <is>
          <t>metals &amp; mining</t>
        </is>
      </c>
      <c r="D318" s="30" t="inlineStr">
        <is>
          <t>mining / minerals / metals</t>
        </is>
      </c>
      <c r="E318" s="30" t="inlineStr">
        <is>
          <t>smallcap</t>
        </is>
      </c>
      <c r="F318" s="30" t="n">
        <v>4449.64</v>
      </c>
      <c r="G318" s="30" t="n">
        <v>767.45</v>
      </c>
      <c r="H318" s="30" t="n">
        <v>-0.65</v>
      </c>
      <c r="I318" s="30" t="n">
        <v>489680</v>
      </c>
      <c r="J318" s="30" t="inlineStr">
        <is>
          <t>513097</t>
        </is>
      </c>
    </row>
    <row r="319">
      <c r="A319" s="30" t="inlineStr">
        <is>
          <t>MARKSANS</t>
        </is>
      </c>
      <c r="B319" s="30" t="inlineStr">
        <is>
          <t>Marksans Pharma Limited</t>
        </is>
      </c>
      <c r="C319" s="30" t="inlineStr">
        <is>
          <t>healthcare</t>
        </is>
      </c>
      <c r="D319" s="30" t="inlineStr">
        <is>
          <t>pharmaceuticals - indian - formulations</t>
        </is>
      </c>
      <c r="E319" s="30" t="inlineStr">
        <is>
          <t>midcap</t>
        </is>
      </c>
      <c r="F319" s="30" t="n">
        <v>12264.88</v>
      </c>
      <c r="G319" s="30" t="n">
        <v>268.9</v>
      </c>
      <c r="H319" s="30" t="n">
        <v>-0.65</v>
      </c>
      <c r="I319" s="30" t="n">
        <v>1245329</v>
      </c>
      <c r="J319" s="30" t="inlineStr">
        <is>
          <t>524404</t>
        </is>
      </c>
    </row>
    <row r="320">
      <c r="A320" s="30" t="inlineStr">
        <is>
          <t>JAGSNPHARM</t>
        </is>
      </c>
      <c r="B320" s="30" t="inlineStr">
        <is>
          <t>Jagsonpal Pharmaceuticals Limited</t>
        </is>
      </c>
      <c r="C320" s="30" t="inlineStr">
        <is>
          <t>healthcare</t>
        </is>
      </c>
      <c r="D320" s="30" t="inlineStr">
        <is>
          <t>pharmaceuticals - indian - bulk drugs &amp; formln</t>
        </is>
      </c>
      <c r="E320" s="30" t="inlineStr">
        <is>
          <t>smallcap</t>
        </is>
      </c>
      <c r="F320" s="30" t="n">
        <v>1577.55</v>
      </c>
      <c r="G320" s="30" t="n">
        <v>238.05</v>
      </c>
      <c r="H320" s="30" t="n">
        <v>-0.66</v>
      </c>
      <c r="I320" s="30" t="n">
        <v>173712</v>
      </c>
      <c r="J320" s="30" t="inlineStr">
        <is>
          <t>507789</t>
        </is>
      </c>
    </row>
    <row r="321">
      <c r="A321" s="30" t="inlineStr">
        <is>
          <t>BLISSGVS</t>
        </is>
      </c>
      <c r="B321" s="30" t="inlineStr">
        <is>
          <t>Bliss Gvs Pharma Limited</t>
        </is>
      </c>
      <c r="C321" s="30" t="inlineStr">
        <is>
          <t>healthcare</t>
        </is>
      </c>
      <c r="D321" s="30" t="inlineStr">
        <is>
          <t>pharmaceuticals - indian - formulations</t>
        </is>
      </c>
      <c r="E321" s="30" t="inlineStr">
        <is>
          <t>midcap</t>
        </is>
      </c>
      <c r="F321" s="30" t="n">
        <v>5270.99</v>
      </c>
      <c r="G321" s="30" t="n">
        <v>493.65</v>
      </c>
      <c r="H321" s="30" t="n">
        <v>-0.67</v>
      </c>
      <c r="I321" s="30" t="n">
        <v>192402</v>
      </c>
      <c r="J321" s="30" t="inlineStr">
        <is>
          <t>506197</t>
        </is>
      </c>
    </row>
    <row r="322">
      <c r="A322" s="30" t="inlineStr">
        <is>
          <t>PRICOLLTD</t>
        </is>
      </c>
      <c r="B322" s="30" t="inlineStr">
        <is>
          <t>Pricol Ltd.</t>
        </is>
      </c>
      <c r="C322" s="30" t="inlineStr">
        <is>
          <t>auto</t>
        </is>
      </c>
      <c r="D322" s="30" t="inlineStr">
        <is>
          <t>auto ancillaries</t>
        </is>
      </c>
      <c r="E322" s="30" t="inlineStr">
        <is>
          <t>midcap</t>
        </is>
      </c>
      <c r="F322" s="30" t="n">
        <v>9344.65</v>
      </c>
      <c r="G322" s="30" t="n">
        <v>761.45</v>
      </c>
      <c r="H322" s="30" t="n">
        <v>-0.68</v>
      </c>
      <c r="I322" s="30" t="n">
        <v>361195</v>
      </c>
      <c r="J322" s="30" t="inlineStr">
        <is>
          <t>540293</t>
        </is>
      </c>
    </row>
    <row r="323">
      <c r="A323" s="30" t="inlineStr">
        <is>
          <t>SIEMENS</t>
        </is>
      </c>
      <c r="B323" s="30" t="inlineStr">
        <is>
          <t>Siemens Limited</t>
        </is>
      </c>
      <c r="C323" s="30" t="inlineStr">
        <is>
          <t>industrials</t>
        </is>
      </c>
      <c r="D323" s="30" t="inlineStr">
        <is>
          <t>electric equipment</t>
        </is>
      </c>
      <c r="E323" s="30" t="inlineStr">
        <is>
          <t>largecap</t>
        </is>
      </c>
      <c r="F323" s="30" t="n">
        <v>141735.96</v>
      </c>
      <c r="G323" s="30" t="n">
        <v>3952</v>
      </c>
      <c r="H323" s="30" t="n">
        <v>-0.7</v>
      </c>
      <c r="I323" s="30" t="n">
        <v>420756</v>
      </c>
      <c r="J323" s="30" t="inlineStr">
        <is>
          <t>500550</t>
        </is>
      </c>
    </row>
    <row r="324">
      <c r="A324" s="30" t="inlineStr">
        <is>
          <t>TRENT</t>
        </is>
      </c>
      <c r="B324" s="30" t="inlineStr">
        <is>
          <t>Trent Limited</t>
        </is>
      </c>
      <c r="C324" s="30" t="inlineStr">
        <is>
          <t>consumer discretionary</t>
        </is>
      </c>
      <c r="D324" s="30" t="inlineStr">
        <is>
          <t>trading</t>
        </is>
      </c>
      <c r="E324" s="30" t="inlineStr">
        <is>
          <t>largecap</t>
        </is>
      </c>
      <c r="F324" s="30" t="n">
        <v>166848.39</v>
      </c>
      <c r="G324" s="30" t="n">
        <v>3107.1</v>
      </c>
      <c r="H324" s="30" t="n">
        <v>-0.7</v>
      </c>
      <c r="I324" s="30" t="n">
        <v>8772979</v>
      </c>
      <c r="J324" s="30" t="inlineStr">
        <is>
          <t>500251</t>
        </is>
      </c>
    </row>
    <row r="325">
      <c r="A325" s="30" t="inlineStr">
        <is>
          <t>SCPL</t>
        </is>
      </c>
      <c r="B325" s="30" t="inlineStr">
        <is>
          <t>Sheetal Cool Products Ltd</t>
        </is>
      </c>
      <c r="C325" s="30" t="inlineStr">
        <is>
          <t>fmcg</t>
        </is>
      </c>
      <c r="D325" s="30" t="inlineStr">
        <is>
          <t>food - processing - indian</t>
        </is>
      </c>
      <c r="E325" s="30" t="inlineStr">
        <is>
          <t>smallcap</t>
        </is>
      </c>
      <c r="F325" s="30" t="n">
        <v>676.99</v>
      </c>
      <c r="G325" s="30" t="n">
        <v>640.25</v>
      </c>
      <c r="H325" s="30" t="n">
        <v>-0.7</v>
      </c>
      <c r="I325" s="30" t="n">
        <v>37169</v>
      </c>
      <c r="J325" s="30" t="inlineStr">
        <is>
          <t>540757</t>
        </is>
      </c>
    </row>
    <row r="326">
      <c r="A326" s="30" t="inlineStr">
        <is>
          <t>ALIVUS</t>
        </is>
      </c>
      <c r="B326" s="30" t="inlineStr">
        <is>
          <t>Alivus Life Sciences Ltd</t>
        </is>
      </c>
      <c r="C326" s="30" t="inlineStr">
        <is>
          <t>healthcare</t>
        </is>
      </c>
      <c r="D326" s="30" t="inlineStr">
        <is>
          <t>pharmaceuticals - indian - bulk drugs &amp; formln</t>
        </is>
      </c>
      <c r="E326" s="30" t="inlineStr">
        <is>
          <t>midcap</t>
        </is>
      </c>
      <c r="F326" s="30" t="n">
        <v>16336.21</v>
      </c>
      <c r="G326" s="30" t="n">
        <v>1321.5</v>
      </c>
      <c r="H326" s="30" t="n">
        <v>-0.71</v>
      </c>
      <c r="I326" s="30" t="n">
        <v>167654</v>
      </c>
      <c r="J326" s="30" t="inlineStr">
        <is>
          <t>543322</t>
        </is>
      </c>
    </row>
    <row r="327">
      <c r="A327" s="30" t="inlineStr">
        <is>
          <t>JINDRILL</t>
        </is>
      </c>
      <c r="B327" s="30" t="inlineStr">
        <is>
          <t>Jindal Drilling And Industries Limited</t>
        </is>
      </c>
      <c r="C327" s="30" t="inlineStr">
        <is>
          <t>energy</t>
        </is>
      </c>
      <c r="D327" s="30" t="inlineStr">
        <is>
          <t>oil drilling / allied services</t>
        </is>
      </c>
      <c r="E327" s="30" t="inlineStr">
        <is>
          <t>smallcap</t>
        </is>
      </c>
      <c r="F327" s="30" t="n">
        <v>1797.84</v>
      </c>
      <c r="G327" s="30" t="n">
        <v>615.85</v>
      </c>
      <c r="H327" s="30" t="n">
        <v>-0.73</v>
      </c>
      <c r="I327" s="30" t="n">
        <v>203271</v>
      </c>
      <c r="J327" s="30" t="inlineStr">
        <is>
          <t>511034</t>
        </is>
      </c>
    </row>
    <row r="328">
      <c r="A328" s="30" t="inlineStr">
        <is>
          <t>FIEMIND</t>
        </is>
      </c>
      <c r="B328" s="30" t="inlineStr">
        <is>
          <t>Fiem Industries Limited</t>
        </is>
      </c>
      <c r="C328" s="30" t="inlineStr">
        <is>
          <t>auto</t>
        </is>
      </c>
      <c r="D328" s="30" t="inlineStr">
        <is>
          <t>auto ancillaries</t>
        </is>
      </c>
      <c r="E328" s="30" t="inlineStr">
        <is>
          <t>midcap</t>
        </is>
      </c>
      <c r="F328" s="30" t="n">
        <v>6574.65</v>
      </c>
      <c r="G328" s="30" t="n">
        <v>2479.5</v>
      </c>
      <c r="H328" s="30" t="n">
        <v>-0.74</v>
      </c>
      <c r="I328" s="30" t="n">
        <v>94559</v>
      </c>
      <c r="J328" s="30" t="inlineStr">
        <is>
          <t>532768</t>
        </is>
      </c>
    </row>
    <row r="329">
      <c r="A329" s="30" t="inlineStr">
        <is>
          <t>ABCAPITAL</t>
        </is>
      </c>
      <c r="B329" s="30" t="inlineStr">
        <is>
          <t>Aditya Birla Capital Ltd</t>
        </is>
      </c>
      <c r="C329" s="30" t="inlineStr">
        <is>
          <t>financials</t>
        </is>
      </c>
      <c r="D329" s="30" t="inlineStr">
        <is>
          <t>finance &amp; investments</t>
        </is>
      </c>
      <c r="E329" s="30" t="inlineStr">
        <is>
          <t>largecap</t>
        </is>
      </c>
      <c r="F329" s="30" t="n">
        <v>116121.74</v>
      </c>
      <c r="G329" s="30" t="n">
        <v>421.5</v>
      </c>
      <c r="H329" s="30" t="n">
        <v>-0.75</v>
      </c>
      <c r="I329" s="30" t="n">
        <v>4241250</v>
      </c>
      <c r="J329" s="30" t="inlineStr">
        <is>
          <t>540691</t>
        </is>
      </c>
    </row>
    <row r="330">
      <c r="A330" s="30" t="inlineStr">
        <is>
          <t>CCAVENUE</t>
        </is>
      </c>
      <c r="B330" s="30" t="inlineStr">
        <is>
          <t>AvenuesAI Ltd</t>
        </is>
      </c>
      <c r="C330" s="30" t="inlineStr">
        <is>
          <t>i.t</t>
        </is>
      </c>
      <c r="D330" s="30" t="inlineStr">
        <is>
          <t>miscellaneous</t>
        </is>
      </c>
      <c r="E330" s="30" t="inlineStr">
        <is>
          <t>midcap</t>
        </is>
      </c>
      <c r="F330" s="30" t="n">
        <v>6034.82</v>
      </c>
      <c r="G330" s="30" t="n">
        <v>17.13</v>
      </c>
      <c r="H330" s="30" t="n">
        <v>-0.75</v>
      </c>
      <c r="I330" s="30" t="n">
        <v>16128672</v>
      </c>
      <c r="J330" s="30" t="inlineStr">
        <is>
          <t>539807</t>
        </is>
      </c>
    </row>
    <row r="331">
      <c r="A331" s="30" t="inlineStr">
        <is>
          <t>MARUTI</t>
        </is>
      </c>
      <c r="B331" s="30" t="inlineStr">
        <is>
          <t>Maruti Suzuki India Limited</t>
        </is>
      </c>
      <c r="C331" s="30" t="inlineStr">
        <is>
          <t>auto</t>
        </is>
      </c>
      <c r="D331" s="30" t="inlineStr">
        <is>
          <t>automobiles - passenger cars</t>
        </is>
      </c>
      <c r="E331" s="30" t="inlineStr">
        <is>
          <t>largecap</t>
        </is>
      </c>
      <c r="F331" s="30" t="n">
        <v>446137.25</v>
      </c>
      <c r="G331" s="30" t="n">
        <v>14080</v>
      </c>
      <c r="H331" s="30" t="n">
        <v>-0.78</v>
      </c>
      <c r="I331" s="30" t="n">
        <v>642819</v>
      </c>
      <c r="J331" s="30" t="inlineStr">
        <is>
          <t>532500</t>
        </is>
      </c>
    </row>
    <row r="332">
      <c r="A332" s="30" t="inlineStr">
        <is>
          <t>BPCL</t>
        </is>
      </c>
      <c r="B332" s="30" t="inlineStr">
        <is>
          <t>Bharat Petroleum Corporation Limited</t>
        </is>
      </c>
      <c r="C332" s="30" t="inlineStr">
        <is>
          <t>energy</t>
        </is>
      </c>
      <c r="D332" s="30" t="inlineStr">
        <is>
          <t>refineries</t>
        </is>
      </c>
      <c r="E332" s="30" t="inlineStr">
        <is>
          <t>largecap</t>
        </is>
      </c>
      <c r="F332" s="30" t="n">
        <v>141543.74</v>
      </c>
      <c r="G332" s="30" t="n">
        <v>323.7</v>
      </c>
      <c r="H332" s="30" t="n">
        <v>-0.78</v>
      </c>
      <c r="I332" s="30" t="n">
        <v>7101920</v>
      </c>
      <c r="J332" s="30" t="inlineStr">
        <is>
          <t>500547</t>
        </is>
      </c>
    </row>
    <row r="333">
      <c r="A333" s="30" t="inlineStr">
        <is>
          <t>UNIVCABLES</t>
        </is>
      </c>
      <c r="B333" s="30" t="inlineStr">
        <is>
          <t>Universal Cables Limited</t>
        </is>
      </c>
      <c r="C333" s="30" t="inlineStr">
        <is>
          <t>industrials</t>
        </is>
      </c>
      <c r="D333" s="30" t="inlineStr">
        <is>
          <t>cables - power</t>
        </is>
      </c>
      <c r="E333" s="30" t="inlineStr">
        <is>
          <t>smallcap</t>
        </is>
      </c>
      <c r="F333" s="30" t="n">
        <v>4953.11</v>
      </c>
      <c r="G333" s="30" t="n">
        <v>1416.3</v>
      </c>
      <c r="H333" s="30" t="n">
        <v>-0.79</v>
      </c>
      <c r="I333" s="30" t="n">
        <v>137452</v>
      </c>
      <c r="J333" s="30" t="inlineStr">
        <is>
          <t>504212</t>
        </is>
      </c>
    </row>
    <row r="334">
      <c r="A334" s="30" t="inlineStr">
        <is>
          <t>TRAVELFOOD</t>
        </is>
      </c>
      <c r="B334" s="30" t="inlineStr">
        <is>
          <t>Travel Food Services Ltd</t>
        </is>
      </c>
      <c r="C334" s="30" t="inlineStr">
        <is>
          <t>consumer discretionary</t>
        </is>
      </c>
      <c r="D334" s="30" t="inlineStr">
        <is>
          <t>hotels</t>
        </is>
      </c>
      <c r="E334" s="30" t="inlineStr">
        <is>
          <t>midcap</t>
        </is>
      </c>
      <c r="F334" s="30" t="n">
        <v>17750.39</v>
      </c>
      <c r="G334" s="30" t="n">
        <v>1337.2</v>
      </c>
      <c r="H334" s="30" t="n">
        <v>-0.8</v>
      </c>
      <c r="I334" s="30" t="n">
        <v>80631</v>
      </c>
      <c r="J334" s="30" t="inlineStr">
        <is>
          <t>544443</t>
        </is>
      </c>
    </row>
    <row r="335">
      <c r="A335" s="30" t="inlineStr">
        <is>
          <t>DHAMPURSUG</t>
        </is>
      </c>
      <c r="B335" s="30" t="inlineStr">
        <is>
          <t>Dhampur Sugar Mills Limited</t>
        </is>
      </c>
      <c r="C335" s="30" t="inlineStr">
        <is>
          <t>fmcg</t>
        </is>
      </c>
      <c r="D335" s="30" t="inlineStr">
        <is>
          <t>sugar</t>
        </is>
      </c>
      <c r="E335" s="30" t="inlineStr">
        <is>
          <t>smallcap</t>
        </is>
      </c>
      <c r="F335" s="30" t="n">
        <v>960.1</v>
      </c>
      <c r="G335" s="30" t="n">
        <v>148.1</v>
      </c>
      <c r="H335" s="30" t="n">
        <v>-0.8</v>
      </c>
      <c r="I335" s="30" t="n">
        <v>252333</v>
      </c>
      <c r="J335" s="30" t="inlineStr">
        <is>
          <t>500119</t>
        </is>
      </c>
    </row>
    <row r="336">
      <c r="A336" s="30" t="inlineStr">
        <is>
          <t>FEDERALBNK</t>
        </is>
      </c>
      <c r="B336" s="30" t="inlineStr">
        <is>
          <t>The Federal Bank  Limited</t>
        </is>
      </c>
      <c r="C336" s="30" t="inlineStr">
        <is>
          <t>bank</t>
        </is>
      </c>
      <c r="D336" s="30" t="inlineStr">
        <is>
          <t>banks - private sector</t>
        </is>
      </c>
      <c r="E336" s="30" t="inlineStr">
        <is>
          <t>largecap</t>
        </is>
      </c>
      <c r="F336" s="30" t="n">
        <v>87973.25</v>
      </c>
      <c r="G336" s="30" t="n">
        <v>353.55</v>
      </c>
      <c r="H336" s="30" t="n">
        <v>-0.8100000000000001</v>
      </c>
      <c r="I336" s="30" t="n">
        <v>7177161</v>
      </c>
      <c r="J336" s="30" t="inlineStr">
        <is>
          <t>500469</t>
        </is>
      </c>
    </row>
    <row r="337">
      <c r="A337" s="30" t="inlineStr">
        <is>
          <t>MONARCH</t>
        </is>
      </c>
      <c r="B337" s="30" t="inlineStr">
        <is>
          <t>Monarch Networth Capital Ltd</t>
        </is>
      </c>
      <c r="C337" s="30" t="inlineStr">
        <is>
          <t>financials</t>
        </is>
      </c>
      <c r="D337" s="30" t="inlineStr">
        <is>
          <t>finance &amp; investments</t>
        </is>
      </c>
      <c r="E337" s="30" t="inlineStr">
        <is>
          <t>smallcap</t>
        </is>
      </c>
      <c r="F337" s="30" t="n">
        <v>3097.39</v>
      </c>
      <c r="G337" s="30" t="n">
        <v>387.3</v>
      </c>
      <c r="H337" s="30" t="n">
        <v>-0.83</v>
      </c>
      <c r="I337" s="30" t="n">
        <v>62307</v>
      </c>
      <c r="J337" s="30" t="inlineStr">
        <is>
          <t>511551</t>
        </is>
      </c>
    </row>
    <row r="338">
      <c r="A338" s="30" t="inlineStr">
        <is>
          <t>RKFORGE</t>
        </is>
      </c>
      <c r="B338" s="30" t="inlineStr">
        <is>
          <t>Ramkrishna Forgings Limited</t>
        </is>
      </c>
      <c r="C338" s="30" t="inlineStr">
        <is>
          <t>industrials</t>
        </is>
      </c>
      <c r="D338" s="30" t="inlineStr">
        <is>
          <t>castings &amp; forgings</t>
        </is>
      </c>
      <c r="E338" s="30" t="inlineStr">
        <is>
          <t>midcap</t>
        </is>
      </c>
      <c r="F338" s="30" t="n">
        <v>12869.4</v>
      </c>
      <c r="G338" s="30" t="n">
        <v>700.5</v>
      </c>
      <c r="H338" s="30" t="n">
        <v>-0.84</v>
      </c>
      <c r="I338" s="30" t="n">
        <v>1444907</v>
      </c>
      <c r="J338" s="30" t="inlineStr">
        <is>
          <t>532527</t>
        </is>
      </c>
    </row>
    <row r="339">
      <c r="A339" s="30" t="inlineStr">
        <is>
          <t>MINDACORP</t>
        </is>
      </c>
      <c r="B339" s="30" t="inlineStr">
        <is>
          <t>Minda Corporation Limited</t>
        </is>
      </c>
      <c r="C339" s="30" t="inlineStr">
        <is>
          <t>auto</t>
        </is>
      </c>
      <c r="D339" s="30" t="inlineStr">
        <is>
          <t>auto ancillaries</t>
        </is>
      </c>
      <c r="E339" s="30" t="inlineStr">
        <is>
          <t>midcap</t>
        </is>
      </c>
      <c r="F339" s="30" t="n">
        <v>17285.44</v>
      </c>
      <c r="G339" s="30" t="n">
        <v>716.9</v>
      </c>
      <c r="H339" s="30" t="n">
        <v>-0.84</v>
      </c>
      <c r="I339" s="30" t="n">
        <v>155958</v>
      </c>
      <c r="J339" s="30" t="inlineStr">
        <is>
          <t>538962</t>
        </is>
      </c>
    </row>
    <row r="340">
      <c r="A340" s="30" t="inlineStr">
        <is>
          <t>CONCOR</t>
        </is>
      </c>
      <c r="B340" s="30" t="inlineStr">
        <is>
          <t>Container Corporation Of India Limited</t>
        </is>
      </c>
      <c r="C340" s="30" t="inlineStr">
        <is>
          <t>transportation</t>
        </is>
      </c>
      <c r="D340" s="30" t="inlineStr">
        <is>
          <t>miscellaneous</t>
        </is>
      </c>
      <c r="E340" s="30" t="inlineStr">
        <is>
          <t>largecap</t>
        </is>
      </c>
      <c r="F340" s="30" t="n">
        <v>39326.14</v>
      </c>
      <c r="G340" s="30" t="n">
        <v>512</v>
      </c>
      <c r="H340" s="30" t="n">
        <v>-0.84</v>
      </c>
      <c r="I340" s="30" t="n">
        <v>1561053</v>
      </c>
      <c r="J340" s="30" t="inlineStr">
        <is>
          <t>531344</t>
        </is>
      </c>
    </row>
    <row r="341">
      <c r="A341" s="30" t="inlineStr">
        <is>
          <t>USHAMART</t>
        </is>
      </c>
      <c r="B341" s="30" t="inlineStr">
        <is>
          <t>Usha Martin Limited</t>
        </is>
      </c>
      <c r="C341" s="30" t="inlineStr">
        <is>
          <t>metals &amp; mining</t>
        </is>
      </c>
      <c r="D341" s="30" t="inlineStr">
        <is>
          <t>steel - medium / small</t>
        </is>
      </c>
      <c r="E341" s="30" t="inlineStr">
        <is>
          <t>midcap</t>
        </is>
      </c>
      <c r="F341" s="30" t="n">
        <v>15854.2</v>
      </c>
      <c r="G341" s="30" t="n">
        <v>515.65</v>
      </c>
      <c r="H341" s="30" t="n">
        <v>-0.88</v>
      </c>
      <c r="I341" s="30" t="n">
        <v>444244</v>
      </c>
      <c r="J341" s="30" t="inlineStr">
        <is>
          <t>517146</t>
        </is>
      </c>
    </row>
    <row r="342">
      <c r="A342" s="30" t="inlineStr">
        <is>
          <t>CHENNPETRO</t>
        </is>
      </c>
      <c r="B342" s="30" t="inlineStr">
        <is>
          <t>Chennai Petroleum Corporation Limited</t>
        </is>
      </c>
      <c r="C342" s="30" t="inlineStr">
        <is>
          <t>energy</t>
        </is>
      </c>
      <c r="D342" s="30" t="inlineStr">
        <is>
          <t>refineries</t>
        </is>
      </c>
      <c r="E342" s="30" t="inlineStr">
        <is>
          <t>midcap</t>
        </is>
      </c>
      <c r="F342" s="30" t="n">
        <v>19416.56</v>
      </c>
      <c r="G342" s="30" t="n">
        <v>1292.3</v>
      </c>
      <c r="H342" s="30" t="n">
        <v>-0.89</v>
      </c>
      <c r="I342" s="30" t="n">
        <v>1365189</v>
      </c>
      <c r="J342" s="30" t="inlineStr">
        <is>
          <t>500110</t>
        </is>
      </c>
    </row>
    <row r="343">
      <c r="A343" s="30" t="inlineStr">
        <is>
          <t>KMEW</t>
        </is>
      </c>
      <c r="B343" s="30" t="inlineStr">
        <is>
          <t>Knowledge Marine &amp; Engineering Works Ltd</t>
        </is>
      </c>
      <c r="C343" s="30" t="inlineStr">
        <is>
          <t>transportation</t>
        </is>
      </c>
      <c r="D343" s="30" t="inlineStr">
        <is>
          <t>miscellaneous</t>
        </is>
      </c>
      <c r="E343" s="30" t="inlineStr">
        <is>
          <t>midcap</t>
        </is>
      </c>
      <c r="F343" s="30" t="n">
        <v>6214.18</v>
      </c>
      <c r="G343" s="30" t="n">
        <v>2519.2</v>
      </c>
      <c r="H343" s="30" t="n">
        <v>-0.9</v>
      </c>
      <c r="I343" s="30" t="n">
        <v>49820</v>
      </c>
      <c r="J343" s="30" t="inlineStr">
        <is>
          <t>543273</t>
        </is>
      </c>
    </row>
    <row r="344">
      <c r="A344" s="30" t="inlineStr">
        <is>
          <t>ALKYLAMINE</t>
        </is>
      </c>
      <c r="B344" s="30" t="inlineStr">
        <is>
          <t>Alkyl Amines Chemicals Limited</t>
        </is>
      </c>
      <c r="C344" s="30" t="inlineStr">
        <is>
          <t>chemicals</t>
        </is>
      </c>
      <c r="D344" s="30" t="inlineStr">
        <is>
          <t>chemicals</t>
        </is>
      </c>
      <c r="E344" s="30" t="inlineStr">
        <is>
          <t>midcap</t>
        </is>
      </c>
      <c r="F344" s="30" t="n">
        <v>9921.34</v>
      </c>
      <c r="G344" s="30" t="n">
        <v>1921.9</v>
      </c>
      <c r="H344" s="30" t="n">
        <v>-0.92</v>
      </c>
      <c r="I344" s="30" t="n">
        <v>91905</v>
      </c>
      <c r="J344" s="30" t="inlineStr">
        <is>
          <t>506767</t>
        </is>
      </c>
    </row>
    <row r="345">
      <c r="A345" s="30" t="inlineStr">
        <is>
          <t>ULTRACEMCO</t>
        </is>
      </c>
      <c r="B345" s="30" t="inlineStr">
        <is>
          <t>Ultratech Cement Limited</t>
        </is>
      </c>
      <c r="C345" s="30" t="inlineStr">
        <is>
          <t>building materials</t>
        </is>
      </c>
      <c r="D345" s="30" t="inlineStr">
        <is>
          <t>cement - north india</t>
        </is>
      </c>
      <c r="E345" s="30" t="inlineStr">
        <is>
          <t>largecap</t>
        </is>
      </c>
      <c r="F345" s="30" t="n">
        <v>359213.91</v>
      </c>
      <c r="G345" s="30" t="n">
        <v>12075</v>
      </c>
      <c r="H345" s="30" t="n">
        <v>-0.9399999999999999</v>
      </c>
      <c r="I345" s="30" t="n">
        <v>406872</v>
      </c>
      <c r="J345" s="30" t="inlineStr">
        <is>
          <t>532538</t>
        </is>
      </c>
    </row>
    <row r="346">
      <c r="A346" s="30" t="inlineStr">
        <is>
          <t>IGIL</t>
        </is>
      </c>
      <c r="B346" s="30" t="inlineStr">
        <is>
          <t>International Gemmological Institute (India) Ltd</t>
        </is>
      </c>
      <c r="C346" s="30" t="inlineStr">
        <is>
          <t>miscellaneous</t>
        </is>
      </c>
      <c r="D346" s="30" t="inlineStr">
        <is>
          <t>miscellaneous</t>
        </is>
      </c>
      <c r="E346" s="30" t="inlineStr">
        <is>
          <t>midcap</t>
        </is>
      </c>
      <c r="F346" s="30" t="n">
        <v>15724.13</v>
      </c>
      <c r="G346" s="30" t="n">
        <v>360.35</v>
      </c>
      <c r="H346" s="30" t="n">
        <v>-0.96</v>
      </c>
      <c r="I346" s="30" t="n">
        <v>713810</v>
      </c>
      <c r="J346" s="30" t="inlineStr">
        <is>
          <t>544311</t>
        </is>
      </c>
    </row>
    <row r="347">
      <c r="A347" s="30" t="inlineStr">
        <is>
          <t>GRWRHITECH</t>
        </is>
      </c>
      <c r="B347" s="30" t="inlineStr">
        <is>
          <t>Garware Hi Tech Films Ltd</t>
        </is>
      </c>
      <c r="C347" s="30" t="inlineStr">
        <is>
          <t>industrials</t>
        </is>
      </c>
      <c r="D347" s="30" t="inlineStr">
        <is>
          <t>packaging</t>
        </is>
      </c>
      <c r="E347" s="30" t="inlineStr">
        <is>
          <t>midcap</t>
        </is>
      </c>
      <c r="F347" s="30" t="n">
        <v>17214.04</v>
      </c>
      <c r="G347" s="30" t="n">
        <v>7338.5</v>
      </c>
      <c r="H347" s="30" t="n">
        <v>-0.96</v>
      </c>
      <c r="I347" s="30" t="n">
        <v>566993</v>
      </c>
      <c r="J347" s="30" t="inlineStr">
        <is>
          <t>500655</t>
        </is>
      </c>
    </row>
    <row r="348">
      <c r="A348" s="30" t="inlineStr">
        <is>
          <t>BALRAMCHIN</t>
        </is>
      </c>
      <c r="B348" s="30" t="inlineStr">
        <is>
          <t>Balrampur Chini Mills Limited</t>
        </is>
      </c>
      <c r="C348" s="30" t="inlineStr">
        <is>
          <t>fmcg</t>
        </is>
      </c>
      <c r="D348" s="30" t="inlineStr">
        <is>
          <t>sugar</t>
        </is>
      </c>
      <c r="E348" s="30" t="inlineStr">
        <is>
          <t>midcap</t>
        </is>
      </c>
      <c r="F348" s="30" t="n">
        <v>13427.09</v>
      </c>
      <c r="G348" s="30" t="n">
        <v>629.3</v>
      </c>
      <c r="H348" s="30" t="n">
        <v>-0.98</v>
      </c>
      <c r="I348" s="30" t="n">
        <v>436959</v>
      </c>
      <c r="J348" s="30" t="inlineStr">
        <is>
          <t>500038</t>
        </is>
      </c>
    </row>
    <row r="349">
      <c r="A349" s="30" t="inlineStr">
        <is>
          <t>FMGOETZE</t>
        </is>
      </c>
      <c r="B349" s="30" t="inlineStr">
        <is>
          <t>Federal-mogul Goetze (india) Limited.</t>
        </is>
      </c>
      <c r="C349" s="30" t="inlineStr">
        <is>
          <t>auto</t>
        </is>
      </c>
      <c r="D349" s="30" t="inlineStr">
        <is>
          <t>auto ancillaries</t>
        </is>
      </c>
      <c r="E349" s="30" t="inlineStr">
        <is>
          <t>smallcap</t>
        </is>
      </c>
      <c r="F349" s="30" t="n">
        <v>2707.89</v>
      </c>
      <c r="G349" s="30" t="n">
        <v>482</v>
      </c>
      <c r="H349" s="30" t="n">
        <v>-0.98</v>
      </c>
      <c r="I349" s="30" t="n">
        <v>51348</v>
      </c>
      <c r="J349" s="30" t="inlineStr">
        <is>
          <t>505744</t>
        </is>
      </c>
    </row>
    <row r="350">
      <c r="A350" s="30" t="inlineStr">
        <is>
          <t>NYKAA</t>
        </is>
      </c>
      <c r="B350" s="30" t="inlineStr">
        <is>
          <t>FSN E-Commerce Ventures Ltd</t>
        </is>
      </c>
      <c r="C350" s="30" t="inlineStr">
        <is>
          <t>i.t</t>
        </is>
      </c>
      <c r="D350" s="30" t="inlineStr">
        <is>
          <t>trading</t>
        </is>
      </c>
      <c r="E350" s="30" t="inlineStr">
        <is>
          <t>largecap</t>
        </is>
      </c>
      <c r="F350" s="30" t="n">
        <v>96038.34</v>
      </c>
      <c r="G350" s="30" t="n">
        <v>331.95</v>
      </c>
      <c r="H350" s="30" t="n">
        <v>-1.01</v>
      </c>
      <c r="I350" s="30" t="n">
        <v>11987442</v>
      </c>
      <c r="J350" s="30" t="inlineStr">
        <is>
          <t>543384</t>
        </is>
      </c>
    </row>
    <row r="351">
      <c r="A351" s="30" t="inlineStr">
        <is>
          <t>RRKABEL</t>
        </is>
      </c>
      <c r="B351" s="30" t="inlineStr">
        <is>
          <t>R R Kabel Ltd</t>
        </is>
      </c>
      <c r="C351" s="30" t="inlineStr">
        <is>
          <t>industrials</t>
        </is>
      </c>
      <c r="D351" s="30" t="inlineStr">
        <is>
          <t>cables - power</t>
        </is>
      </c>
      <c r="E351" s="30" t="inlineStr">
        <is>
          <t>largecap</t>
        </is>
      </c>
      <c r="F351" s="30" t="n">
        <v>31590.37</v>
      </c>
      <c r="G351" s="30" t="n">
        <v>2764.4</v>
      </c>
      <c r="H351" s="30" t="n">
        <v>-1.02</v>
      </c>
      <c r="I351" s="30" t="n">
        <v>427544</v>
      </c>
      <c r="J351" s="30" t="inlineStr">
        <is>
          <t>543981</t>
        </is>
      </c>
    </row>
    <row r="352">
      <c r="A352" s="30" t="inlineStr">
        <is>
          <t>AVADHSUGAR</t>
        </is>
      </c>
      <c r="B352" s="30" t="inlineStr">
        <is>
          <t>Avadh Sugar &amp; Energy</t>
        </is>
      </c>
      <c r="C352" s="30" t="inlineStr">
        <is>
          <t>fmcg</t>
        </is>
      </c>
      <c r="D352" s="30" t="inlineStr">
        <is>
          <t>sugar</t>
        </is>
      </c>
      <c r="E352" s="30" t="inlineStr">
        <is>
          <t>smallcap</t>
        </is>
      </c>
      <c r="F352" s="30" t="n">
        <v>1219.62</v>
      </c>
      <c r="G352" s="30" t="n">
        <v>603</v>
      </c>
      <c r="H352" s="30" t="n">
        <v>-1.03</v>
      </c>
      <c r="I352" s="30" t="n">
        <v>100930</v>
      </c>
      <c r="J352" s="30" t="inlineStr">
        <is>
          <t>540649</t>
        </is>
      </c>
    </row>
    <row r="353">
      <c r="A353" s="30" t="inlineStr">
        <is>
          <t>VENKEYS</t>
        </is>
      </c>
      <c r="B353" s="30" t="inlineStr">
        <is>
          <t>Venky's (india) Limited</t>
        </is>
      </c>
      <c r="C353" s="30" t="inlineStr">
        <is>
          <t>fmcg</t>
        </is>
      </c>
      <c r="D353" s="30" t="inlineStr">
        <is>
          <t>miscellaneous</t>
        </is>
      </c>
      <c r="E353" s="30" t="inlineStr">
        <is>
          <t>smallcap</t>
        </is>
      </c>
      <c r="F353" s="30" t="n">
        <v>2228.48</v>
      </c>
      <c r="G353" s="30" t="n">
        <v>1565.1</v>
      </c>
      <c r="H353" s="30" t="n">
        <v>-1.06</v>
      </c>
      <c r="I353" s="30" t="n">
        <v>19180</v>
      </c>
      <c r="J353" s="30" t="inlineStr">
        <is>
          <t>523261</t>
        </is>
      </c>
    </row>
    <row r="354">
      <c r="A354" s="30" t="inlineStr">
        <is>
          <t>NITINSPIN</t>
        </is>
      </c>
      <c r="B354" s="30" t="inlineStr">
        <is>
          <t>Nitin Spinners Limited</t>
        </is>
      </c>
      <c r="C354" s="30" t="inlineStr">
        <is>
          <t>textiles</t>
        </is>
      </c>
      <c r="D354" s="30" t="inlineStr">
        <is>
          <t>textiles - cotton/blended</t>
        </is>
      </c>
      <c r="E354" s="30" t="inlineStr">
        <is>
          <t>smallcap</t>
        </is>
      </c>
      <c r="F354" s="30" t="n">
        <v>3252.61</v>
      </c>
      <c r="G354" s="30" t="n">
        <v>572.35</v>
      </c>
      <c r="H354" s="30" t="n">
        <v>-1.07</v>
      </c>
      <c r="I354" s="30" t="n">
        <v>77582</v>
      </c>
      <c r="J354" s="30" t="inlineStr">
        <is>
          <t>532698</t>
        </is>
      </c>
    </row>
    <row r="355">
      <c r="A355" s="30" t="inlineStr">
        <is>
          <t>TECHM</t>
        </is>
      </c>
      <c r="B355" s="30" t="inlineStr">
        <is>
          <t>Tech Mahindra Limited</t>
        </is>
      </c>
      <c r="C355" s="30" t="inlineStr">
        <is>
          <t>i.t</t>
        </is>
      </c>
      <c r="D355" s="30" t="inlineStr">
        <is>
          <t>computers - software - large</t>
        </is>
      </c>
      <c r="E355" s="30" t="inlineStr">
        <is>
          <t>largecap</t>
        </is>
      </c>
      <c r="F355" s="30" t="n">
        <v>161709.56</v>
      </c>
      <c r="G355" s="30" t="n">
        <v>1632.2</v>
      </c>
      <c r="H355" s="30" t="n">
        <v>-1.08</v>
      </c>
      <c r="I355" s="30" t="n">
        <v>6936973</v>
      </c>
      <c r="J355" s="30" t="inlineStr">
        <is>
          <t>532755</t>
        </is>
      </c>
    </row>
    <row r="356">
      <c r="A356" s="30" t="inlineStr">
        <is>
          <t>CARERATING</t>
        </is>
      </c>
      <c r="B356" s="30" t="inlineStr">
        <is>
          <t>CARE Ratings Ltd</t>
        </is>
      </c>
      <c r="C356" s="30" t="inlineStr">
        <is>
          <t>financials</t>
        </is>
      </c>
      <c r="D356" s="30" t="inlineStr">
        <is>
          <t>miscellaneous</t>
        </is>
      </c>
      <c r="E356" s="30" t="inlineStr">
        <is>
          <t>midcap</t>
        </is>
      </c>
      <c r="F356" s="30" t="n">
        <v>5257.87</v>
      </c>
      <c r="G356" s="30" t="n">
        <v>1730.1</v>
      </c>
      <c r="H356" s="30" t="n">
        <v>-1.09</v>
      </c>
      <c r="I356" s="30" t="n">
        <v>50498</v>
      </c>
      <c r="J356" s="30" t="inlineStr">
        <is>
          <t>534804</t>
        </is>
      </c>
    </row>
    <row r="357">
      <c r="A357" s="30" t="inlineStr">
        <is>
          <t>PERSISTENT</t>
        </is>
      </c>
      <c r="B357" s="30" t="inlineStr">
        <is>
          <t>Persistent Systems Limited</t>
        </is>
      </c>
      <c r="C357" s="30" t="inlineStr">
        <is>
          <t>i.t</t>
        </is>
      </c>
      <c r="D357" s="30" t="inlineStr">
        <is>
          <t>computers - software - large</t>
        </is>
      </c>
      <c r="E357" s="30" t="inlineStr">
        <is>
          <t>largecap</t>
        </is>
      </c>
      <c r="F357" s="30" t="n">
        <v>87078</v>
      </c>
      <c r="G357" s="30" t="n">
        <v>5459.5</v>
      </c>
      <c r="H357" s="30" t="n">
        <v>-1.1</v>
      </c>
      <c r="I357" s="30" t="n">
        <v>466174</v>
      </c>
      <c r="J357" s="30" t="inlineStr">
        <is>
          <t>533179</t>
        </is>
      </c>
    </row>
    <row r="358">
      <c r="A358" s="30" t="inlineStr">
        <is>
          <t>SYRMA</t>
        </is>
      </c>
      <c r="B358" s="30" t="inlineStr">
        <is>
          <t>Syrma SGS Technology Ltd</t>
        </is>
      </c>
      <c r="C358" s="30" t="inlineStr">
        <is>
          <t>consumer discretionary</t>
        </is>
      </c>
      <c r="D358" s="30" t="inlineStr">
        <is>
          <t>electronics - components</t>
        </is>
      </c>
      <c r="E358" s="30" t="inlineStr">
        <is>
          <t>largecap</t>
        </is>
      </c>
      <c r="F358" s="30" t="n">
        <v>27653.82</v>
      </c>
      <c r="G358" s="30" t="n">
        <v>1418</v>
      </c>
      <c r="H358" s="30" t="n">
        <v>-1.12</v>
      </c>
      <c r="I358" s="30" t="n">
        <v>1123975</v>
      </c>
      <c r="J358" s="30" t="inlineStr">
        <is>
          <t>543573</t>
        </is>
      </c>
    </row>
    <row r="359">
      <c r="A359" s="30" t="inlineStr">
        <is>
          <t>NELCO</t>
        </is>
      </c>
      <c r="B359" s="30" t="inlineStr">
        <is>
          <t>Nelco Limited</t>
        </is>
      </c>
      <c r="C359" s="30" t="inlineStr">
        <is>
          <t>telecom</t>
        </is>
      </c>
      <c r="D359" s="30" t="inlineStr">
        <is>
          <t>telecommunications - service provider</t>
        </is>
      </c>
      <c r="E359" s="30" t="inlineStr">
        <is>
          <t>smallcap</t>
        </is>
      </c>
      <c r="F359" s="30" t="n">
        <v>2270.66</v>
      </c>
      <c r="G359" s="30" t="n">
        <v>983.8</v>
      </c>
      <c r="H359" s="30" t="n">
        <v>-1.14</v>
      </c>
      <c r="I359" s="30" t="n">
        <v>168096</v>
      </c>
      <c r="J359" s="30" t="inlineStr">
        <is>
          <t>504112</t>
        </is>
      </c>
    </row>
    <row r="360">
      <c r="A360" s="30" t="inlineStr">
        <is>
          <t>AYMSYNTEX</t>
        </is>
      </c>
      <c r="B360" s="30" t="inlineStr">
        <is>
          <t>Aym Syntex Limited</t>
        </is>
      </c>
      <c r="C360" s="30" t="inlineStr">
        <is>
          <t>textiles</t>
        </is>
      </c>
      <c r="D360" s="30" t="inlineStr">
        <is>
          <t>textiles - processing</t>
        </is>
      </c>
      <c r="E360" s="30" t="inlineStr">
        <is>
          <t>smallcap</t>
        </is>
      </c>
      <c r="F360" s="30" t="n">
        <v>1495.08</v>
      </c>
      <c r="G360" s="30" t="n">
        <v>251.65</v>
      </c>
      <c r="H360" s="30" t="n">
        <v>-1.14</v>
      </c>
      <c r="I360" s="30" t="n">
        <v>17701</v>
      </c>
      <c r="J360" s="30" t="inlineStr">
        <is>
          <t>508933</t>
        </is>
      </c>
    </row>
    <row r="361">
      <c r="A361" s="30" t="inlineStr">
        <is>
          <t>EMCURE</t>
        </is>
      </c>
      <c r="B361" s="30" t="inlineStr">
        <is>
          <t>Emcure Pharmaceuticals Ltd</t>
        </is>
      </c>
      <c r="C361" s="30" t="inlineStr">
        <is>
          <t>healthcare</t>
        </is>
      </c>
      <c r="D361" s="30" t="inlineStr">
        <is>
          <t>pharmaceuticals - indian - bulk drugs &amp; formln</t>
        </is>
      </c>
      <c r="E361" s="30" t="inlineStr">
        <is>
          <t>largecap</t>
        </is>
      </c>
      <c r="F361" s="30" t="n">
        <v>37158.34</v>
      </c>
      <c r="G361" s="30" t="n">
        <v>1936.7</v>
      </c>
      <c r="H361" s="30" t="n">
        <v>-1.14</v>
      </c>
      <c r="I361" s="30" t="n">
        <v>270632</v>
      </c>
      <c r="J361" s="30" t="inlineStr">
        <is>
          <t>544210</t>
        </is>
      </c>
    </row>
    <row r="362">
      <c r="A362" s="30" t="inlineStr">
        <is>
          <t>BLUSPRING</t>
        </is>
      </c>
      <c r="B362" s="30" t="inlineStr">
        <is>
          <t>Bluspring Enterprises Ltd</t>
        </is>
      </c>
      <c r="C362" s="30" t="inlineStr">
        <is>
          <t>miscellaneous</t>
        </is>
      </c>
      <c r="D362" s="30" t="inlineStr">
        <is>
          <t>diversified - large</t>
        </is>
      </c>
      <c r="E362" s="30" t="inlineStr">
        <is>
          <t>smallcap</t>
        </is>
      </c>
      <c r="F362" s="30" t="n">
        <v>1737.1</v>
      </c>
      <c r="G362" s="30" t="n">
        <v>114.9</v>
      </c>
      <c r="H362" s="30" t="n">
        <v>-1.15</v>
      </c>
      <c r="I362" s="30" t="n">
        <v>237587</v>
      </c>
      <c r="J362" s="30" t="inlineStr">
        <is>
          <t>544414</t>
        </is>
      </c>
    </row>
    <row r="363">
      <c r="A363" s="30" t="inlineStr">
        <is>
          <t>HINDZINC</t>
        </is>
      </c>
      <c r="B363" s="30" t="inlineStr">
        <is>
          <t>Hindustan Zinc Limited</t>
        </is>
      </c>
      <c r="C363" s="30" t="inlineStr">
        <is>
          <t>metals &amp; mining</t>
        </is>
      </c>
      <c r="D363" s="30" t="inlineStr">
        <is>
          <t>mining / minerals / metals</t>
        </is>
      </c>
      <c r="E363" s="30" t="inlineStr">
        <is>
          <t>largecap</t>
        </is>
      </c>
      <c r="F363" s="30" t="n">
        <v>252230.42</v>
      </c>
      <c r="G363" s="30" t="n">
        <v>590</v>
      </c>
      <c r="H363" s="30" t="n">
        <v>-1.16</v>
      </c>
      <c r="I363" s="30" t="n">
        <v>13115378</v>
      </c>
      <c r="J363" s="30" t="inlineStr">
        <is>
          <t>500188</t>
        </is>
      </c>
    </row>
    <row r="364">
      <c r="A364" s="30" t="inlineStr">
        <is>
          <t>DBOL</t>
        </is>
      </c>
      <c r="B364" s="30" t="inlineStr">
        <is>
          <t>Dhampur Bio Organics Ltd</t>
        </is>
      </c>
      <c r="C364" s="30" t="inlineStr">
        <is>
          <t>fmcg</t>
        </is>
      </c>
      <c r="D364" s="30" t="inlineStr">
        <is>
          <t>sugar</t>
        </is>
      </c>
      <c r="E364" s="30" t="inlineStr">
        <is>
          <t>smallcap</t>
        </is>
      </c>
      <c r="F364" s="30" t="n">
        <v>745.33</v>
      </c>
      <c r="G364" s="30" t="n">
        <v>110.92</v>
      </c>
      <c r="H364" s="30" t="n">
        <v>-1.2</v>
      </c>
      <c r="I364" s="30" t="n">
        <v>133305</v>
      </c>
      <c r="J364" s="30" t="inlineStr">
        <is>
          <t>543593</t>
        </is>
      </c>
    </row>
    <row r="365">
      <c r="A365" s="30" t="inlineStr">
        <is>
          <t>ATHERENERG</t>
        </is>
      </c>
      <c r="B365" s="30" t="inlineStr">
        <is>
          <t>Ather Energy Ltd</t>
        </is>
      </c>
      <c r="C365" s="30" t="inlineStr">
        <is>
          <t>auto</t>
        </is>
      </c>
      <c r="D365" s="30" t="inlineStr">
        <is>
          <t>automobiles - scooters and 3 - wheelers</t>
        </is>
      </c>
      <c r="E365" s="30" t="inlineStr">
        <is>
          <t>largecap</t>
        </is>
      </c>
      <c r="F365" s="30" t="n">
        <v>57967.95</v>
      </c>
      <c r="G365" s="30" t="n">
        <v>1453.2</v>
      </c>
      <c r="H365" s="30" t="n">
        <v>-1.2</v>
      </c>
      <c r="I365" s="30" t="n">
        <v>4844411</v>
      </c>
      <c r="J365" s="30" t="inlineStr">
        <is>
          <t>544397</t>
        </is>
      </c>
    </row>
    <row r="366">
      <c r="A366" s="30" t="inlineStr">
        <is>
          <t>KECL</t>
        </is>
      </c>
      <c r="B366" s="30" t="inlineStr">
        <is>
          <t>Kirloskar Electric Company Limited</t>
        </is>
      </c>
      <c r="C366" s="30" t="inlineStr">
        <is>
          <t>industrials</t>
        </is>
      </c>
      <c r="D366" s="30" t="inlineStr">
        <is>
          <t>electric equipment</t>
        </is>
      </c>
      <c r="E366" s="30" t="inlineStr">
        <is>
          <t>smallcap</t>
        </is>
      </c>
      <c r="F366" s="30" t="n">
        <v>997.61</v>
      </c>
      <c r="G366" s="30" t="n">
        <v>148.39</v>
      </c>
      <c r="H366" s="30" t="n">
        <v>-1.21</v>
      </c>
      <c r="I366" s="30" t="n">
        <v>905050</v>
      </c>
      <c r="J366" s="30" t="inlineStr">
        <is>
          <t>533193</t>
        </is>
      </c>
    </row>
    <row r="367">
      <c r="A367" s="30" t="inlineStr">
        <is>
          <t>BAJFINANCE</t>
        </is>
      </c>
      <c r="B367" s="30" t="inlineStr">
        <is>
          <t>Bajaj Finance Limited</t>
        </is>
      </c>
      <c r="C367" s="30" t="inlineStr">
        <is>
          <t>financials</t>
        </is>
      </c>
      <c r="D367" s="30" t="inlineStr">
        <is>
          <t>finance &amp; investments</t>
        </is>
      </c>
      <c r="E367" s="30" t="inlineStr">
        <is>
          <t>largecap</t>
        </is>
      </c>
      <c r="F367" s="30" t="n">
        <v>721463.58</v>
      </c>
      <c r="G367" s="30" t="n">
        <v>1144.8</v>
      </c>
      <c r="H367" s="30" t="n">
        <v>-1.21</v>
      </c>
      <c r="I367" s="30" t="n">
        <v>12508542</v>
      </c>
      <c r="J367" s="30" t="inlineStr">
        <is>
          <t>500034</t>
        </is>
      </c>
    </row>
    <row r="368">
      <c r="A368" s="30" t="inlineStr">
        <is>
          <t>ARE&amp;M</t>
        </is>
      </c>
      <c r="B368" s="30" t="inlineStr">
        <is>
          <t>Amara Raja Energy &amp; Mobility Ltd</t>
        </is>
      </c>
      <c r="C368" s="30" t="inlineStr">
        <is>
          <t>auto</t>
        </is>
      </c>
      <c r="D368" s="30" t="inlineStr">
        <is>
          <t>auto ancillaries</t>
        </is>
      </c>
      <c r="E368" s="30" t="inlineStr">
        <is>
          <t>midcap</t>
        </is>
      </c>
      <c r="F368" s="30" t="n">
        <v>17183.34</v>
      </c>
      <c r="G368" s="30" t="n">
        <v>927.45</v>
      </c>
      <c r="H368" s="30" t="n">
        <v>-1.21</v>
      </c>
      <c r="I368" s="30" t="n">
        <v>494562</v>
      </c>
      <c r="J368" s="30" t="inlineStr">
        <is>
          <t>500008</t>
        </is>
      </c>
    </row>
    <row r="369">
      <c r="A369" s="30" t="inlineStr">
        <is>
          <t>SETL</t>
        </is>
      </c>
      <c r="B369" s="30" t="inlineStr">
        <is>
          <t>Standard Enginnering Technology Ltd</t>
        </is>
      </c>
      <c r="C369" s="30" t="inlineStr">
        <is>
          <t>industrials</t>
        </is>
      </c>
      <c r="D369" s="30" t="inlineStr">
        <is>
          <t>engineering</t>
        </is>
      </c>
      <c r="E369" s="30" t="inlineStr">
        <is>
          <t>midcap</t>
        </is>
      </c>
      <c r="F369" s="30" t="n">
        <v>5545.87</v>
      </c>
      <c r="G369" s="30" t="n">
        <v>274.65</v>
      </c>
      <c r="H369" s="30" t="n">
        <v>-1.21</v>
      </c>
      <c r="I369" s="30" t="n">
        <v>826134</v>
      </c>
      <c r="J369" s="30" t="inlineStr">
        <is>
          <t>544333</t>
        </is>
      </c>
    </row>
    <row r="370">
      <c r="A370" s="30" t="inlineStr">
        <is>
          <t>NAM-INDIA</t>
        </is>
      </c>
      <c r="B370" s="30" t="inlineStr">
        <is>
          <t>Nippon Life India Asset Management Ltd</t>
        </is>
      </c>
      <c r="C370" s="30" t="inlineStr">
        <is>
          <t>financials</t>
        </is>
      </c>
      <c r="D370" s="30" t="inlineStr">
        <is>
          <t>finance &amp; investments</t>
        </is>
      </c>
      <c r="E370" s="30" t="inlineStr">
        <is>
          <t>largecap</t>
        </is>
      </c>
      <c r="F370" s="30" t="n">
        <v>77674.45</v>
      </c>
      <c r="G370" s="30" t="n">
        <v>1200</v>
      </c>
      <c r="H370" s="30" t="n">
        <v>-1.23</v>
      </c>
      <c r="I370" s="30" t="n">
        <v>994555</v>
      </c>
      <c r="J370" s="30" t="inlineStr">
        <is>
          <t>540767</t>
        </is>
      </c>
    </row>
    <row r="371">
      <c r="A371" s="30" t="inlineStr">
        <is>
          <t>MUFIN</t>
        </is>
      </c>
      <c r="B371" s="30" t="inlineStr">
        <is>
          <t>Mufin Green Finance Ltd</t>
        </is>
      </c>
      <c r="C371" s="30" t="inlineStr">
        <is>
          <t>financials</t>
        </is>
      </c>
      <c r="D371" s="30" t="inlineStr">
        <is>
          <t>finance &amp; investments</t>
        </is>
      </c>
      <c r="E371" s="30" t="inlineStr">
        <is>
          <t>smallcap</t>
        </is>
      </c>
      <c r="F371" s="30" t="n">
        <v>2664.29</v>
      </c>
      <c r="G371" s="30" t="n">
        <v>132.8</v>
      </c>
      <c r="H371" s="30" t="n">
        <v>-1.23</v>
      </c>
      <c r="I371" s="30" t="n">
        <v>871081</v>
      </c>
      <c r="J371" s="30" t="inlineStr">
        <is>
          <t>542774</t>
        </is>
      </c>
    </row>
    <row r="372">
      <c r="A372" s="30" t="inlineStr">
        <is>
          <t>HINDALCO</t>
        </is>
      </c>
      <c r="B372" s="30" t="inlineStr">
        <is>
          <t>Hindalco Industries Limited</t>
        </is>
      </c>
      <c r="C372" s="30" t="inlineStr">
        <is>
          <t>metals &amp; mining</t>
        </is>
      </c>
      <c r="D372" s="30" t="inlineStr">
        <is>
          <t>aluminium and aluminium products</t>
        </is>
      </c>
      <c r="E372" s="30" t="inlineStr">
        <is>
          <t>largecap</t>
        </is>
      </c>
      <c r="F372" s="30" t="n">
        <v>233711.56</v>
      </c>
      <c r="G372" s="30" t="n">
        <v>1027</v>
      </c>
      <c r="H372" s="30" t="n">
        <v>-1.25</v>
      </c>
      <c r="I372" s="30" t="n">
        <v>12489002</v>
      </c>
      <c r="J372" s="30" t="inlineStr">
        <is>
          <t>500440</t>
        </is>
      </c>
    </row>
    <row r="373">
      <c r="A373" s="30" t="inlineStr">
        <is>
          <t>KIRLOSBROS</t>
        </is>
      </c>
      <c r="B373" s="30" t="inlineStr">
        <is>
          <t>Kirloskar Brothers Limited</t>
        </is>
      </c>
      <c r="C373" s="30" t="inlineStr">
        <is>
          <t>industrials</t>
        </is>
      </c>
      <c r="D373" s="30" t="inlineStr">
        <is>
          <t>pumps</t>
        </is>
      </c>
      <c r="E373" s="30" t="inlineStr">
        <is>
          <t>midcap</t>
        </is>
      </c>
      <c r="F373" s="30" t="n">
        <v>15761.88</v>
      </c>
      <c r="G373" s="30" t="n">
        <v>1959.4</v>
      </c>
      <c r="H373" s="30" t="n">
        <v>-1.28</v>
      </c>
      <c r="I373" s="30" t="n">
        <v>73000</v>
      </c>
      <c r="J373" s="30" t="inlineStr">
        <is>
          <t>500241</t>
        </is>
      </c>
    </row>
    <row r="374">
      <c r="A374" s="30" t="inlineStr">
        <is>
          <t>APOLLOPIPE</t>
        </is>
      </c>
      <c r="B374" s="30" t="inlineStr">
        <is>
          <t>Apollo Pipes Ltd</t>
        </is>
      </c>
      <c r="C374" s="30" t="inlineStr">
        <is>
          <t>plastic products</t>
        </is>
      </c>
      <c r="D374" s="30" t="inlineStr">
        <is>
          <t>plastics products</t>
        </is>
      </c>
      <c r="E374" s="30" t="inlineStr">
        <is>
          <t>smallcap</t>
        </is>
      </c>
      <c r="F374" s="30" t="n">
        <v>2352.83</v>
      </c>
      <c r="G374" s="30" t="n">
        <v>527.25</v>
      </c>
      <c r="H374" s="30" t="n">
        <v>-1.29</v>
      </c>
      <c r="I374" s="30" t="n">
        <v>829417</v>
      </c>
      <c r="J374" s="30" t="inlineStr">
        <is>
          <t>531761</t>
        </is>
      </c>
    </row>
    <row r="375">
      <c r="A375" s="30" t="inlineStr">
        <is>
          <t>SEAMECLTD</t>
        </is>
      </c>
      <c r="B375" s="30" t="inlineStr">
        <is>
          <t>Seamec Limited</t>
        </is>
      </c>
      <c r="C375" s="30" t="inlineStr">
        <is>
          <t>miscellaneous</t>
        </is>
      </c>
      <c r="D375" s="30" t="inlineStr">
        <is>
          <t>miscellaneous</t>
        </is>
      </c>
      <c r="E375" s="30" t="inlineStr">
        <is>
          <t>smallcap</t>
        </is>
      </c>
      <c r="F375" s="30" t="n">
        <v>3838.41</v>
      </c>
      <c r="G375" s="30" t="n">
        <v>1490</v>
      </c>
      <c r="H375" s="30" t="n">
        <v>-1.3</v>
      </c>
      <c r="I375" s="30" t="n">
        <v>20330</v>
      </c>
      <c r="J375" s="30" t="inlineStr">
        <is>
          <t>526807</t>
        </is>
      </c>
    </row>
    <row r="376">
      <c r="A376" s="30" t="inlineStr">
        <is>
          <t>GOKULAGRO</t>
        </is>
      </c>
      <c r="B376" s="30" t="inlineStr">
        <is>
          <t>Gokul Agro Resources Limited</t>
        </is>
      </c>
      <c r="C376" s="30" t="inlineStr">
        <is>
          <t>fmcg</t>
        </is>
      </c>
      <c r="D376" s="30" t="inlineStr">
        <is>
          <t>solvent extraction</t>
        </is>
      </c>
      <c r="E376" s="30" t="inlineStr">
        <is>
          <t>midcap</t>
        </is>
      </c>
      <c r="F376" s="30" t="n">
        <v>6714.11</v>
      </c>
      <c r="G376" s="30" t="n">
        <v>224.53</v>
      </c>
      <c r="H376" s="30" t="n">
        <v>-1.32</v>
      </c>
      <c r="I376" s="30" t="n">
        <v>175123</v>
      </c>
      <c r="J376" s="30" t="inlineStr">
        <is>
          <t>539725</t>
        </is>
      </c>
    </row>
    <row r="377">
      <c r="A377" s="30" t="inlineStr">
        <is>
          <t>LLOYDSME</t>
        </is>
      </c>
      <c r="B377" s="30" t="inlineStr">
        <is>
          <t>Lloyds Metals &amp; Energy Ltd</t>
        </is>
      </c>
      <c r="C377" s="30" t="inlineStr">
        <is>
          <t>metals &amp; mining</t>
        </is>
      </c>
      <c r="D377" s="30" t="inlineStr">
        <is>
          <t>mining / minerals / metals</t>
        </is>
      </c>
      <c r="E377" s="30" t="inlineStr">
        <is>
          <t>largecap</t>
        </is>
      </c>
      <c r="F377" s="30" t="n">
        <v>117484.31</v>
      </c>
      <c r="G377" s="30" t="n">
        <v>2059</v>
      </c>
      <c r="H377" s="30" t="n">
        <v>-1.35</v>
      </c>
      <c r="I377" s="30" t="n">
        <v>345881</v>
      </c>
      <c r="J377" s="30" t="inlineStr">
        <is>
          <t>512455</t>
        </is>
      </c>
    </row>
    <row r="378">
      <c r="A378" s="30" t="inlineStr">
        <is>
          <t>DIVGIITTS</t>
        </is>
      </c>
      <c r="B378" s="30" t="inlineStr">
        <is>
          <t>Divgi Torqtransfer Systems Ltd</t>
        </is>
      </c>
      <c r="C378" s="30" t="inlineStr">
        <is>
          <t>auto</t>
        </is>
      </c>
      <c r="D378" s="30" t="inlineStr">
        <is>
          <t>auto ancillaries</t>
        </is>
      </c>
      <c r="E378" s="30" t="inlineStr">
        <is>
          <t>smallcap</t>
        </is>
      </c>
      <c r="F378" s="30" t="n">
        <v>3065.02</v>
      </c>
      <c r="G378" s="30" t="n">
        <v>988.6</v>
      </c>
      <c r="H378" s="30" t="n">
        <v>-1.36</v>
      </c>
      <c r="I378" s="30" t="n">
        <v>40463</v>
      </c>
      <c r="J378" s="30" t="inlineStr">
        <is>
          <t>543812</t>
        </is>
      </c>
    </row>
    <row r="379">
      <c r="A379" s="30" t="inlineStr">
        <is>
          <t>NILKAMAL</t>
        </is>
      </c>
      <c r="B379" s="30" t="inlineStr">
        <is>
          <t>Nilkamal Limited</t>
        </is>
      </c>
      <c r="C379" s="30" t="inlineStr">
        <is>
          <t>plastic products</t>
        </is>
      </c>
      <c r="D379" s="30" t="inlineStr">
        <is>
          <t>plastics products</t>
        </is>
      </c>
      <c r="E379" s="30" t="inlineStr">
        <is>
          <t>smallcap</t>
        </is>
      </c>
      <c r="F379" s="30" t="n">
        <v>2687.99</v>
      </c>
      <c r="G379" s="30" t="n">
        <v>1776.7</v>
      </c>
      <c r="H379" s="30" t="n">
        <v>-1.37</v>
      </c>
      <c r="I379" s="30" t="n">
        <v>31568</v>
      </c>
      <c r="J379" s="30" t="inlineStr">
        <is>
          <t>523385</t>
        </is>
      </c>
    </row>
    <row r="380">
      <c r="A380" s="30" t="inlineStr">
        <is>
          <t>ASAHIINDIA</t>
        </is>
      </c>
      <c r="B380" s="30" t="inlineStr">
        <is>
          <t>Asahi India Glass Limited</t>
        </is>
      </c>
      <c r="C380" s="30" t="inlineStr">
        <is>
          <t>building materials</t>
        </is>
      </c>
      <c r="D380" s="30" t="inlineStr">
        <is>
          <t>glass &amp; glass products</t>
        </is>
      </c>
      <c r="E380" s="30" t="inlineStr">
        <is>
          <t>largecap</t>
        </is>
      </c>
      <c r="F380" s="30" t="n">
        <v>23624.1</v>
      </c>
      <c r="G380" s="30" t="n">
        <v>913.95</v>
      </c>
      <c r="H380" s="30" t="n">
        <v>-1.38</v>
      </c>
      <c r="I380" s="30" t="n">
        <v>588303</v>
      </c>
      <c r="J380" s="30" t="inlineStr">
        <is>
          <t>515030</t>
        </is>
      </c>
    </row>
    <row r="381">
      <c r="A381" s="30" t="inlineStr">
        <is>
          <t>GANESHBE</t>
        </is>
      </c>
      <c r="B381" s="30" t="inlineStr">
        <is>
          <t>Ganesh Benzoplast Ltd</t>
        </is>
      </c>
      <c r="C381" s="30" t="inlineStr">
        <is>
          <t>miscellaneous</t>
        </is>
      </c>
      <c r="D381" s="30" t="inlineStr">
        <is>
          <t>miscellaneous</t>
        </is>
      </c>
      <c r="E381" s="30" t="inlineStr">
        <is>
          <t>smallcap</t>
        </is>
      </c>
      <c r="F381" s="30" t="n">
        <v>870.9299999999999</v>
      </c>
      <c r="G381" s="30" t="n">
        <v>119.3</v>
      </c>
      <c r="H381" s="30" t="n">
        <v>-1.39</v>
      </c>
      <c r="I381" s="30" t="n">
        <v>144168</v>
      </c>
      <c r="J381" s="30" t="inlineStr">
        <is>
          <t>500153</t>
        </is>
      </c>
    </row>
    <row r="382">
      <c r="A382" s="30" t="inlineStr">
        <is>
          <t>BERGEPAINT</t>
        </is>
      </c>
      <c r="B382" s="30" t="inlineStr">
        <is>
          <t>Berger Paints (i) Limited</t>
        </is>
      </c>
      <c r="C382" s="30" t="inlineStr">
        <is>
          <t>building materials</t>
        </is>
      </c>
      <c r="D382" s="30" t="inlineStr">
        <is>
          <t>paints / varnishes</t>
        </is>
      </c>
      <c r="E382" s="30" t="inlineStr">
        <is>
          <t>largecap</t>
        </is>
      </c>
      <c r="F382" s="30" t="n">
        <v>63570.47</v>
      </c>
      <c r="G382" s="30" t="n">
        <v>537.6</v>
      </c>
      <c r="H382" s="30" t="n">
        <v>-1.39</v>
      </c>
      <c r="I382" s="30" t="n">
        <v>1078895</v>
      </c>
      <c r="J382" s="30" t="inlineStr">
        <is>
          <t>509480</t>
        </is>
      </c>
    </row>
    <row r="383">
      <c r="A383" s="30" t="inlineStr">
        <is>
          <t>AEROENTER</t>
        </is>
      </c>
      <c r="B383" s="30" t="inlineStr">
        <is>
          <t>Aeroflex Enterprises Ltd</t>
        </is>
      </c>
      <c r="C383" s="30" t="inlineStr">
        <is>
          <t>metals &amp; mining</t>
        </is>
      </c>
      <c r="D383" s="30" t="inlineStr">
        <is>
          <t>steel - medium / small</t>
        </is>
      </c>
      <c r="E383" s="30" t="inlineStr">
        <is>
          <t>smallcap</t>
        </is>
      </c>
      <c r="F383" s="30" t="n">
        <v>1495.35</v>
      </c>
      <c r="G383" s="30" t="n">
        <v>130.3</v>
      </c>
      <c r="H383" s="30" t="n">
        <v>-1.39</v>
      </c>
      <c r="I383" s="30" t="n">
        <v>367932</v>
      </c>
      <c r="J383" s="30" t="inlineStr">
        <is>
          <t>511076</t>
        </is>
      </c>
    </row>
    <row r="384">
      <c r="A384" s="30" t="inlineStr">
        <is>
          <t>NGLFINE</t>
        </is>
      </c>
      <c r="B384" s="30" t="inlineStr">
        <is>
          <t>NGL Fine Chem Ltd</t>
        </is>
      </c>
      <c r="C384" s="30" t="inlineStr">
        <is>
          <t>healthcare</t>
        </is>
      </c>
      <c r="D384" s="30" t="inlineStr">
        <is>
          <t>pharmaceuticals - indian - bulk drugs</t>
        </is>
      </c>
      <c r="E384" s="30" t="inlineStr">
        <is>
          <t>smallcap</t>
        </is>
      </c>
      <c r="F384" s="30" t="n">
        <v>2117.95</v>
      </c>
      <c r="G384" s="30" t="n">
        <v>3380</v>
      </c>
      <c r="H384" s="30" t="n">
        <v>-1.41</v>
      </c>
      <c r="I384" s="30" t="n">
        <v>14598</v>
      </c>
      <c r="J384" s="30" t="inlineStr">
        <is>
          <t>524774</t>
        </is>
      </c>
    </row>
    <row r="385">
      <c r="A385" s="30" t="inlineStr">
        <is>
          <t>APCOTEXIND</t>
        </is>
      </c>
      <c r="B385" s="30" t="inlineStr">
        <is>
          <t>Apcotex Industries Limited</t>
        </is>
      </c>
      <c r="C385" s="30" t="inlineStr">
        <is>
          <t>chemicals</t>
        </is>
      </c>
      <c r="D385" s="30" t="inlineStr">
        <is>
          <t>miscellaneous</t>
        </is>
      </c>
      <c r="E385" s="30" t="inlineStr">
        <is>
          <t>smallcap</t>
        </is>
      </c>
      <c r="F385" s="30" t="n">
        <v>3263.64</v>
      </c>
      <c r="G385" s="30" t="n">
        <v>620.6</v>
      </c>
      <c r="H385" s="30" t="n">
        <v>-1.41</v>
      </c>
      <c r="I385" s="30" t="n">
        <v>192334</v>
      </c>
      <c r="J385" s="30" t="inlineStr">
        <is>
          <t>523694</t>
        </is>
      </c>
    </row>
    <row r="386">
      <c r="A386" s="30" t="inlineStr">
        <is>
          <t>DMCC</t>
        </is>
      </c>
      <c r="B386" s="30" t="inlineStr">
        <is>
          <t>DMCC Speciality Chemicals Ltd</t>
        </is>
      </c>
      <c r="C386" s="30" t="inlineStr">
        <is>
          <t>chemicals</t>
        </is>
      </c>
      <c r="D386" s="30" t="inlineStr">
        <is>
          <t>chemicals</t>
        </is>
      </c>
      <c r="E386" s="30" t="inlineStr">
        <is>
          <t>smallcap</t>
        </is>
      </c>
      <c r="F386" s="30" t="n">
        <v>709.54</v>
      </c>
      <c r="G386" s="30" t="n">
        <v>280.5</v>
      </c>
      <c r="H386" s="30" t="n">
        <v>-1.41</v>
      </c>
      <c r="I386" s="30" t="n">
        <v>135103</v>
      </c>
      <c r="J386" s="30" t="inlineStr">
        <is>
          <t>506405</t>
        </is>
      </c>
    </row>
    <row r="387">
      <c r="A387" s="30" t="inlineStr">
        <is>
          <t>VISAKAIND</t>
        </is>
      </c>
      <c r="B387" s="30" t="inlineStr">
        <is>
          <t>Visaka Industries Limited</t>
        </is>
      </c>
      <c r="C387" s="30" t="inlineStr">
        <is>
          <t>building materials</t>
        </is>
      </c>
      <c r="D387" s="30" t="inlineStr">
        <is>
          <t>cement products</t>
        </is>
      </c>
      <c r="E387" s="30" t="inlineStr">
        <is>
          <t>smallcap</t>
        </is>
      </c>
      <c r="F387" s="30" t="n">
        <v>751.2</v>
      </c>
      <c r="G387" s="30" t="n">
        <v>85.70999999999999</v>
      </c>
      <c r="H387" s="30" t="n">
        <v>-1.41</v>
      </c>
      <c r="I387" s="30" t="n">
        <v>598626</v>
      </c>
      <c r="J387" s="30" t="inlineStr">
        <is>
          <t>509055</t>
        </is>
      </c>
    </row>
    <row r="388">
      <c r="A388" s="30" t="inlineStr">
        <is>
          <t>M&amp;M</t>
        </is>
      </c>
      <c r="B388" s="30" t="inlineStr">
        <is>
          <t>Mahindra &amp; Mahindra Limited</t>
        </is>
      </c>
      <c r="C388" s="30" t="inlineStr">
        <is>
          <t>auto</t>
        </is>
      </c>
      <c r="D388" s="30" t="inlineStr">
        <is>
          <t>automobiles - passenger cars</t>
        </is>
      </c>
      <c r="E388" s="30" t="inlineStr">
        <is>
          <t>largecap</t>
        </is>
      </c>
      <c r="F388" s="30" t="n">
        <v>429688.95</v>
      </c>
      <c r="G388" s="30" t="n">
        <v>3406</v>
      </c>
      <c r="H388" s="30" t="n">
        <v>-1.43</v>
      </c>
      <c r="I388" s="30" t="n">
        <v>3159858</v>
      </c>
      <c r="J388" s="30" t="inlineStr">
        <is>
          <t>500520</t>
        </is>
      </c>
    </row>
    <row r="389">
      <c r="A389" s="30" t="inlineStr">
        <is>
          <t>MENONBE</t>
        </is>
      </c>
      <c r="B389" s="30" t="inlineStr">
        <is>
          <t>Menon Bearings Limited</t>
        </is>
      </c>
      <c r="C389" s="30" t="inlineStr">
        <is>
          <t>auto</t>
        </is>
      </c>
      <c r="D389" s="30" t="inlineStr">
        <is>
          <t>auto ancillaries</t>
        </is>
      </c>
      <c r="E389" s="30" t="inlineStr">
        <is>
          <t>smallcap</t>
        </is>
      </c>
      <c r="F389" s="30" t="n">
        <v>1304.95</v>
      </c>
      <c r="G389" s="30" t="n">
        <v>229.5</v>
      </c>
      <c r="H389" s="30" t="n">
        <v>-1.44</v>
      </c>
      <c r="I389" s="30" t="n">
        <v>25687</v>
      </c>
      <c r="J389" s="30" t="inlineStr">
        <is>
          <t>523828</t>
        </is>
      </c>
    </row>
    <row r="390">
      <c r="A390" s="30" t="inlineStr">
        <is>
          <t>BALKRISIND</t>
        </is>
      </c>
      <c r="B390" s="30" t="inlineStr">
        <is>
          <t>Balkrishna Industries Limited</t>
        </is>
      </c>
      <c r="C390" s="30" t="inlineStr">
        <is>
          <t>auto</t>
        </is>
      </c>
      <c r="D390" s="30" t="inlineStr">
        <is>
          <t>tyres</t>
        </is>
      </c>
      <c r="E390" s="30" t="inlineStr">
        <is>
          <t>largecap</t>
        </is>
      </c>
      <c r="F390" s="30" t="n">
        <v>48360.23</v>
      </c>
      <c r="G390" s="30" t="n">
        <v>2465.7</v>
      </c>
      <c r="H390" s="30" t="n">
        <v>-1.44</v>
      </c>
      <c r="I390" s="30" t="n">
        <v>126653</v>
      </c>
      <c r="J390" s="30" t="inlineStr">
        <is>
          <t>502355</t>
        </is>
      </c>
    </row>
    <row r="391">
      <c r="A391" s="30" t="inlineStr">
        <is>
          <t>INDIGO</t>
        </is>
      </c>
      <c r="B391" s="30" t="inlineStr">
        <is>
          <t>Interglobe Aviation Limited</t>
        </is>
      </c>
      <c r="C391" s="30" t="inlineStr">
        <is>
          <t>transportation</t>
        </is>
      </c>
      <c r="D391" s="30" t="inlineStr">
        <is>
          <t>transport - airlines</t>
        </is>
      </c>
      <c r="E391" s="30" t="inlineStr">
        <is>
          <t>largecap</t>
        </is>
      </c>
      <c r="F391" s="30" t="n">
        <v>208795.05</v>
      </c>
      <c r="G391" s="30" t="n">
        <v>5318.5</v>
      </c>
      <c r="H391" s="30" t="n">
        <v>-1.51</v>
      </c>
      <c r="I391" s="30" t="n">
        <v>951032</v>
      </c>
      <c r="J391" s="30" t="inlineStr">
        <is>
          <t>539448</t>
        </is>
      </c>
    </row>
    <row r="392">
      <c r="A392" s="30" t="inlineStr">
        <is>
          <t>ANTELOPUS</t>
        </is>
      </c>
      <c r="B392" s="30" t="inlineStr">
        <is>
          <t>Antelopus Selan Energy Ltd</t>
        </is>
      </c>
      <c r="C392" s="30" t="inlineStr">
        <is>
          <t>energy</t>
        </is>
      </c>
      <c r="D392" s="30" t="inlineStr">
        <is>
          <t>oil drilling / allied services</t>
        </is>
      </c>
      <c r="E392" s="30" t="inlineStr">
        <is>
          <t>smallcap</t>
        </is>
      </c>
      <c r="F392" s="30" t="n">
        <v>3071.96</v>
      </c>
      <c r="G392" s="30" t="n">
        <v>860.4</v>
      </c>
      <c r="H392" s="30" t="n">
        <v>-1.52</v>
      </c>
      <c r="I392" s="30" t="n">
        <v>138558</v>
      </c>
      <c r="J392" s="30" t="inlineStr">
        <is>
          <t>530075</t>
        </is>
      </c>
    </row>
    <row r="393">
      <c r="A393" s="30" t="inlineStr">
        <is>
          <t>AUROPHARMA</t>
        </is>
      </c>
      <c r="B393" s="30" t="inlineStr">
        <is>
          <t>Aurobindo Pharma Limited</t>
        </is>
      </c>
      <c r="C393" s="30" t="inlineStr">
        <is>
          <t>healthcare</t>
        </is>
      </c>
      <c r="D393" s="30" t="inlineStr">
        <is>
          <t>pharmaceuticals - indian - bulk drugs &amp; formln</t>
        </is>
      </c>
      <c r="E393" s="30" t="inlineStr">
        <is>
          <t>largecap</t>
        </is>
      </c>
      <c r="F393" s="30" t="n">
        <v>92831.47</v>
      </c>
      <c r="G393" s="30" t="n">
        <v>1588.9</v>
      </c>
      <c r="H393" s="30" t="n">
        <v>-1.52</v>
      </c>
      <c r="I393" s="30" t="n">
        <v>2569589</v>
      </c>
      <c r="J393" s="30" t="inlineStr">
        <is>
          <t>524804</t>
        </is>
      </c>
    </row>
    <row r="394">
      <c r="A394" s="30" t="inlineStr">
        <is>
          <t>CAMS</t>
        </is>
      </c>
      <c r="B394" s="30" t="inlineStr">
        <is>
          <t>Computer Age Management Services Ltd</t>
        </is>
      </c>
      <c r="C394" s="30" t="inlineStr">
        <is>
          <t>financials</t>
        </is>
      </c>
      <c r="D394" s="30" t="inlineStr">
        <is>
          <t>miscellaneous</t>
        </is>
      </c>
      <c r="E394" s="30" t="inlineStr">
        <is>
          <t>largecap</t>
        </is>
      </c>
      <c r="F394" s="30" t="n">
        <v>20150.5</v>
      </c>
      <c r="G394" s="30" t="n">
        <v>799.45</v>
      </c>
      <c r="H394" s="30" t="n">
        <v>-1.53</v>
      </c>
      <c r="I394" s="30" t="n">
        <v>1603141</v>
      </c>
      <c r="J394" s="30" t="inlineStr">
        <is>
          <t>543232</t>
        </is>
      </c>
    </row>
    <row r="395">
      <c r="A395" s="30" t="inlineStr">
        <is>
          <t>BAJAJ-AUTO</t>
        </is>
      </c>
      <c r="B395" s="30" t="inlineStr">
        <is>
          <t>Bajaj Auto Limited</t>
        </is>
      </c>
      <c r="C395" s="30" t="inlineStr">
        <is>
          <t>auto</t>
        </is>
      </c>
      <c r="D395" s="30" t="inlineStr">
        <is>
          <t>automobiles - scooters and 3 - wheelers</t>
        </is>
      </c>
      <c r="E395" s="30" t="inlineStr">
        <is>
          <t>largecap</t>
        </is>
      </c>
      <c r="F395" s="30" t="n">
        <v>329807.45</v>
      </c>
      <c r="G395" s="30" t="n">
        <v>11620</v>
      </c>
      <c r="H395" s="30" t="n">
        <v>-1.53</v>
      </c>
      <c r="I395" s="30" t="n">
        <v>489253</v>
      </c>
      <c r="J395" s="30" t="inlineStr">
        <is>
          <t>532977</t>
        </is>
      </c>
    </row>
    <row r="396">
      <c r="A396" s="30" t="inlineStr">
        <is>
          <t>WOCKPHARMA</t>
        </is>
      </c>
      <c r="B396" s="30" t="inlineStr">
        <is>
          <t>Wockhardt Limited</t>
        </is>
      </c>
      <c r="C396" s="30" t="inlineStr">
        <is>
          <t>healthcare</t>
        </is>
      </c>
      <c r="D396" s="30" t="inlineStr">
        <is>
          <t>pharmaceuticals - indian - bulk drugs &amp; formln</t>
        </is>
      </c>
      <c r="E396" s="30" t="inlineStr">
        <is>
          <t>largecap</t>
        </is>
      </c>
      <c r="F396" s="30" t="n">
        <v>32597.55</v>
      </c>
      <c r="G396" s="30" t="n">
        <v>1975</v>
      </c>
      <c r="H396" s="30" t="n">
        <v>-1.55</v>
      </c>
      <c r="I396" s="30" t="n">
        <v>578447</v>
      </c>
      <c r="J396" s="30" t="inlineStr">
        <is>
          <t>532300</t>
        </is>
      </c>
    </row>
    <row r="397">
      <c r="A397" s="30" t="inlineStr">
        <is>
          <t>ADOR</t>
        </is>
      </c>
      <c r="B397" s="30" t="inlineStr">
        <is>
          <t>Ador Welding Ltd</t>
        </is>
      </c>
      <c r="C397" s="30" t="inlineStr">
        <is>
          <t>industrials</t>
        </is>
      </c>
      <c r="D397" s="30" t="inlineStr">
        <is>
          <t>electrodes - welding equipment</t>
        </is>
      </c>
      <c r="E397" s="30" t="inlineStr">
        <is>
          <t>smallcap</t>
        </is>
      </c>
      <c r="F397" s="30" t="n">
        <v>2624.52</v>
      </c>
      <c r="G397" s="30" t="n">
        <v>1484.8</v>
      </c>
      <c r="H397" s="30" t="n">
        <v>-1.55</v>
      </c>
      <c r="I397" s="30" t="n">
        <v>22287</v>
      </c>
      <c r="J397" s="30" t="inlineStr">
        <is>
          <t>517041</t>
        </is>
      </c>
    </row>
    <row r="398">
      <c r="A398" s="30" t="inlineStr">
        <is>
          <t>RAINBOW</t>
        </is>
      </c>
      <c r="B398" s="30" t="inlineStr">
        <is>
          <t>Rainbow Childrens Medicare Ltd</t>
        </is>
      </c>
      <c r="C398" s="30" t="inlineStr">
        <is>
          <t>healthcare</t>
        </is>
      </c>
      <c r="D398" s="30" t="inlineStr">
        <is>
          <t>healthcare</t>
        </is>
      </c>
      <c r="E398" s="30" t="inlineStr">
        <is>
          <t>midcap</t>
        </is>
      </c>
      <c r="F398" s="30" t="n">
        <v>16235.25</v>
      </c>
      <c r="G398" s="30" t="n">
        <v>1573.2</v>
      </c>
      <c r="H398" s="30" t="n">
        <v>-1.59</v>
      </c>
      <c r="I398" s="30" t="n">
        <v>100916</v>
      </c>
      <c r="J398" s="30" t="inlineStr">
        <is>
          <t>543524</t>
        </is>
      </c>
    </row>
    <row r="399">
      <c r="A399" s="30" t="inlineStr">
        <is>
          <t>NETWEB</t>
        </is>
      </c>
      <c r="B399" s="30" t="inlineStr">
        <is>
          <t>Netweb Technologies India Ltd</t>
        </is>
      </c>
      <c r="C399" s="30" t="inlineStr">
        <is>
          <t>i.t</t>
        </is>
      </c>
      <c r="D399" s="30" t="inlineStr">
        <is>
          <t>computers - hardware</t>
        </is>
      </c>
      <c r="E399" s="30" t="inlineStr">
        <is>
          <t>largecap</t>
        </is>
      </c>
      <c r="F399" s="30" t="n">
        <v>27865.63</v>
      </c>
      <c r="G399" s="30" t="n">
        <v>4816</v>
      </c>
      <c r="H399" s="30" t="n">
        <v>-1.59</v>
      </c>
      <c r="I399" s="30" t="n">
        <v>1117471</v>
      </c>
      <c r="J399" s="30" t="inlineStr">
        <is>
          <t>543945</t>
        </is>
      </c>
    </row>
    <row r="400">
      <c r="A400" s="30" t="inlineStr">
        <is>
          <t>JGCHEM</t>
        </is>
      </c>
      <c r="B400" s="30" t="inlineStr">
        <is>
          <t>J.G.Chemicals Ltd</t>
        </is>
      </c>
      <c r="C400" s="30" t="inlineStr">
        <is>
          <t>chemicals</t>
        </is>
      </c>
      <c r="D400" s="30" t="inlineStr">
        <is>
          <t>chemicals</t>
        </is>
      </c>
      <c r="E400" s="30" t="inlineStr">
        <is>
          <t>smallcap</t>
        </is>
      </c>
      <c r="F400" s="30" t="n">
        <v>2148.38</v>
      </c>
      <c r="G400" s="30" t="n">
        <v>539.5</v>
      </c>
      <c r="H400" s="30" t="n">
        <v>-1.6</v>
      </c>
      <c r="I400" s="30" t="n">
        <v>455971</v>
      </c>
      <c r="J400" s="30" t="n"/>
    </row>
    <row r="401">
      <c r="A401" s="30" t="inlineStr">
        <is>
          <t>JSWSTEEL</t>
        </is>
      </c>
      <c r="B401" s="30" t="inlineStr">
        <is>
          <t>Jsw Steel Limited</t>
        </is>
      </c>
      <c r="C401" s="30" t="inlineStr">
        <is>
          <t>metals &amp; mining</t>
        </is>
      </c>
      <c r="D401" s="30" t="inlineStr">
        <is>
          <t>steel - large</t>
        </is>
      </c>
      <c r="E401" s="30" t="inlineStr">
        <is>
          <t>largecap</t>
        </is>
      </c>
      <c r="F401" s="30" t="n">
        <v>325245.38</v>
      </c>
      <c r="G401" s="30" t="n">
        <v>1307.9</v>
      </c>
      <c r="H401" s="30" t="n">
        <v>-1.66</v>
      </c>
      <c r="I401" s="30" t="n">
        <v>4499180</v>
      </c>
      <c r="J401" s="30" t="inlineStr">
        <is>
          <t>500228</t>
        </is>
      </c>
    </row>
    <row r="402">
      <c r="A402" s="30" t="inlineStr">
        <is>
          <t>JINDWORLD</t>
        </is>
      </c>
      <c r="B402" s="30" t="inlineStr">
        <is>
          <t>Jindal Worldwide Limited</t>
        </is>
      </c>
      <c r="C402" s="30" t="inlineStr">
        <is>
          <t>textiles</t>
        </is>
      </c>
      <c r="D402" s="30" t="inlineStr">
        <is>
          <t>textiles - products</t>
        </is>
      </c>
      <c r="E402" s="30" t="inlineStr">
        <is>
          <t>smallcap</t>
        </is>
      </c>
      <c r="F402" s="30" t="n">
        <v>3925.19</v>
      </c>
      <c r="G402" s="30" t="n">
        <v>38.5</v>
      </c>
      <c r="H402" s="30" t="n">
        <v>-1.66</v>
      </c>
      <c r="I402" s="30" t="n">
        <v>5231452</v>
      </c>
      <c r="J402" s="30" t="inlineStr">
        <is>
          <t>531543</t>
        </is>
      </c>
    </row>
    <row r="403">
      <c r="A403" s="30" t="inlineStr">
        <is>
          <t>CENTENKA</t>
        </is>
      </c>
      <c r="B403" s="30" t="inlineStr">
        <is>
          <t>Century Enka Limited</t>
        </is>
      </c>
      <c r="C403" s="30" t="inlineStr">
        <is>
          <t>textiles</t>
        </is>
      </c>
      <c r="D403" s="30" t="inlineStr">
        <is>
          <t>textiles - manmade</t>
        </is>
      </c>
      <c r="E403" s="30" t="inlineStr">
        <is>
          <t>smallcap</t>
        </is>
      </c>
      <c r="F403" s="30" t="n">
        <v>1339.33</v>
      </c>
      <c r="G403" s="30" t="n">
        <v>602.7</v>
      </c>
      <c r="H403" s="30" t="n">
        <v>-1.67</v>
      </c>
      <c r="I403" s="30" t="n">
        <v>68935</v>
      </c>
      <c r="J403" s="30" t="inlineStr">
        <is>
          <t>500280</t>
        </is>
      </c>
    </row>
    <row r="404">
      <c r="A404" s="30" t="inlineStr">
        <is>
          <t>ANANTRAJ</t>
        </is>
      </c>
      <c r="B404" s="30" t="inlineStr">
        <is>
          <t>Anant Raj Limited</t>
        </is>
      </c>
      <c r="C404" s="30" t="inlineStr">
        <is>
          <t>realty</t>
        </is>
      </c>
      <c r="D404" s="30" t="inlineStr">
        <is>
          <t>construction</t>
        </is>
      </c>
      <c r="E404" s="30" t="inlineStr">
        <is>
          <t>largecap</t>
        </is>
      </c>
      <c r="F404" s="30" t="n">
        <v>22607.47</v>
      </c>
      <c r="G404" s="30" t="n">
        <v>617.4</v>
      </c>
      <c r="H404" s="30" t="n">
        <v>-1.72</v>
      </c>
      <c r="I404" s="30" t="n">
        <v>1198644</v>
      </c>
      <c r="J404" s="30" t="inlineStr">
        <is>
          <t>515055</t>
        </is>
      </c>
    </row>
    <row r="405">
      <c r="A405" s="30" t="inlineStr">
        <is>
          <t>RADICO</t>
        </is>
      </c>
      <c r="B405" s="30" t="inlineStr">
        <is>
          <t>Radico Khaitan Limited</t>
        </is>
      </c>
      <c r="C405" s="30" t="inlineStr">
        <is>
          <t>fmcg</t>
        </is>
      </c>
      <c r="D405" s="30" t="inlineStr">
        <is>
          <t>breweries &amp; distilleries</t>
        </is>
      </c>
      <c r="E405" s="30" t="inlineStr">
        <is>
          <t>largecap</t>
        </is>
      </c>
      <c r="F405" s="30" t="n">
        <v>60938.76</v>
      </c>
      <c r="G405" s="30" t="n">
        <v>4470</v>
      </c>
      <c r="H405" s="30" t="n">
        <v>-1.76</v>
      </c>
      <c r="I405" s="30" t="n">
        <v>836356</v>
      </c>
      <c r="J405" s="30" t="inlineStr">
        <is>
          <t>532497</t>
        </is>
      </c>
    </row>
    <row r="406">
      <c r="A406" s="30" t="inlineStr">
        <is>
          <t>SIGMAADV</t>
        </is>
      </c>
      <c r="B406" s="30" t="inlineStr">
        <is>
          <t>Sigma Advanced System Ltd</t>
        </is>
      </c>
      <c r="C406" s="30" t="inlineStr">
        <is>
          <t>aerospace &amp; defence</t>
        </is>
      </c>
      <c r="D406" s="30" t="inlineStr">
        <is>
          <t>electronics - components</t>
        </is>
      </c>
      <c r="E406" s="30" t="inlineStr">
        <is>
          <t>midcap</t>
        </is>
      </c>
      <c r="F406" s="30" t="n">
        <v>13350.01</v>
      </c>
      <c r="G406" s="30" t="n">
        <v>692.05</v>
      </c>
      <c r="H406" s="30" t="n">
        <v>-1.77</v>
      </c>
      <c r="I406" s="30" t="n">
        <v>302489</v>
      </c>
      <c r="J406" s="30" t="inlineStr">
        <is>
          <t>532408</t>
        </is>
      </c>
    </row>
    <row r="407">
      <c r="A407" s="30" t="inlineStr">
        <is>
          <t>TVSMOTOR</t>
        </is>
      </c>
      <c r="B407" s="30" t="inlineStr">
        <is>
          <t>Tvs Motor Company Limited</t>
        </is>
      </c>
      <c r="C407" s="30" t="inlineStr">
        <is>
          <t>auto</t>
        </is>
      </c>
      <c r="D407" s="30" t="inlineStr">
        <is>
          <t>automobiles - motorcycles / mopeds</t>
        </is>
      </c>
      <c r="E407" s="30" t="inlineStr">
        <is>
          <t>largecap</t>
        </is>
      </c>
      <c r="F407" s="30" t="n">
        <v>211660.81</v>
      </c>
      <c r="G407" s="30" t="n">
        <v>4375</v>
      </c>
      <c r="H407" s="30" t="n">
        <v>-1.8</v>
      </c>
      <c r="I407" s="30" t="n">
        <v>2240960</v>
      </c>
      <c r="J407" s="30" t="inlineStr">
        <is>
          <t>532343</t>
        </is>
      </c>
    </row>
    <row r="408">
      <c r="A408" s="30" t="inlineStr">
        <is>
          <t>SENCO</t>
        </is>
      </c>
      <c r="B408" s="30" t="inlineStr">
        <is>
          <t>Senco Gold Ltd</t>
        </is>
      </c>
      <c r="C408" s="30" t="inlineStr">
        <is>
          <t>consumer discretionary</t>
        </is>
      </c>
      <c r="D408" s="30" t="inlineStr">
        <is>
          <t>diamond cutting / jewellery</t>
        </is>
      </c>
      <c r="E408" s="30" t="inlineStr">
        <is>
          <t>midcap</t>
        </is>
      </c>
      <c r="F408" s="30" t="n">
        <v>6537.98</v>
      </c>
      <c r="G408" s="30" t="n">
        <v>391.6</v>
      </c>
      <c r="H408" s="30" t="n">
        <v>-1.87</v>
      </c>
      <c r="I408" s="30" t="n">
        <v>1362727</v>
      </c>
      <c r="J408" s="30" t="inlineStr">
        <is>
          <t>543936</t>
        </is>
      </c>
    </row>
    <row r="409">
      <c r="A409" s="30" t="inlineStr">
        <is>
          <t>RGL</t>
        </is>
      </c>
      <c r="B409" s="30" t="inlineStr">
        <is>
          <t>Renaissance Global Ltd</t>
        </is>
      </c>
      <c r="C409" s="30" t="inlineStr">
        <is>
          <t>consumer discretionary</t>
        </is>
      </c>
      <c r="D409" s="30" t="inlineStr">
        <is>
          <t>diamond cutting / jewellery</t>
        </is>
      </c>
      <c r="E409" s="30" t="inlineStr">
        <is>
          <t>smallcap</t>
        </is>
      </c>
      <c r="F409" s="30" t="n">
        <v>1341.57</v>
      </c>
      <c r="G409" s="30" t="n">
        <v>122.48</v>
      </c>
      <c r="H409" s="30" t="n">
        <v>-1.98</v>
      </c>
      <c r="I409" s="30" t="n">
        <v>519950</v>
      </c>
      <c r="J409" s="30" t="inlineStr">
        <is>
          <t>532923</t>
        </is>
      </c>
    </row>
    <row r="410">
      <c r="A410" s="30" t="inlineStr">
        <is>
          <t>KAPSTON</t>
        </is>
      </c>
      <c r="B410" s="30" t="inlineStr">
        <is>
          <t>Kapston Services Ltd</t>
        </is>
      </c>
      <c r="C410" s="30" t="inlineStr">
        <is>
          <t>miscellaneous</t>
        </is>
      </c>
      <c r="D410" s="30" t="inlineStr">
        <is>
          <t>miscellaneous</t>
        </is>
      </c>
      <c r="E410" s="30" t="inlineStr">
        <is>
          <t>smallcap</t>
        </is>
      </c>
      <c r="F410" s="30" t="n">
        <v>1621.58</v>
      </c>
      <c r="G410" s="30" t="n">
        <v>522.15</v>
      </c>
      <c r="H410" s="30" t="n">
        <v>-2.01</v>
      </c>
      <c r="I410" s="30" t="n">
        <v>80051</v>
      </c>
      <c r="J410" s="30" t="inlineStr">
        <is>
          <t>535064</t>
        </is>
      </c>
    </row>
    <row r="411">
      <c r="A411" s="30" t="inlineStr">
        <is>
          <t>DPABHUSHAN</t>
        </is>
      </c>
      <c r="B411" s="30" t="inlineStr">
        <is>
          <t>D.P. Abhushan Ltd</t>
        </is>
      </c>
      <c r="C411" s="30" t="inlineStr">
        <is>
          <t>consumer discretionary</t>
        </is>
      </c>
      <c r="D411" s="30" t="inlineStr">
        <is>
          <t>diamond cutting / jewellery</t>
        </is>
      </c>
      <c r="E411" s="30" t="inlineStr">
        <is>
          <t>smallcap</t>
        </is>
      </c>
      <c r="F411" s="30" t="n">
        <v>3413.23</v>
      </c>
      <c r="G411" s="30" t="n">
        <v>1465</v>
      </c>
      <c r="H411" s="30" t="n">
        <v>-2.02</v>
      </c>
      <c r="I411" s="30" t="n">
        <v>18504</v>
      </c>
      <c r="J411" s="30" t="inlineStr">
        <is>
          <t>535026</t>
        </is>
      </c>
    </row>
    <row r="412">
      <c r="A412" s="30" t="inlineStr">
        <is>
          <t>JSFB</t>
        </is>
      </c>
      <c r="B412" s="30" t="inlineStr">
        <is>
          <t>Jana Small Finance Bank Ltd</t>
        </is>
      </c>
      <c r="C412" s="30" t="inlineStr">
        <is>
          <t>bank</t>
        </is>
      </c>
      <c r="D412" s="30" t="inlineStr">
        <is>
          <t>banks - private sector</t>
        </is>
      </c>
      <c r="E412" s="30" t="inlineStr">
        <is>
          <t>midcap</t>
        </is>
      </c>
      <c r="F412" s="30" t="n">
        <v>6031.3</v>
      </c>
      <c r="G412" s="30" t="n">
        <v>560.95</v>
      </c>
      <c r="H412" s="30" t="n">
        <v>-2.03</v>
      </c>
      <c r="I412" s="30" t="n">
        <v>486438</v>
      </c>
      <c r="J412" s="30" t="n"/>
    </row>
    <row r="413">
      <c r="A413" s="30" t="inlineStr">
        <is>
          <t>ACE</t>
        </is>
      </c>
      <c r="B413" s="30" t="inlineStr">
        <is>
          <t>Action Construction Equipment Limited</t>
        </is>
      </c>
      <c r="C413" s="30" t="inlineStr">
        <is>
          <t>industrials</t>
        </is>
      </c>
      <c r="D413" s="30" t="inlineStr">
        <is>
          <t>engineering</t>
        </is>
      </c>
      <c r="E413" s="30" t="inlineStr">
        <is>
          <t>midcap</t>
        </is>
      </c>
      <c r="F413" s="30" t="n">
        <v>13549.29</v>
      </c>
      <c r="G413" s="30" t="n">
        <v>1113.7</v>
      </c>
      <c r="H413" s="30" t="n">
        <v>-2.12</v>
      </c>
      <c r="I413" s="30" t="n">
        <v>246747</v>
      </c>
      <c r="J413" s="30" t="inlineStr">
        <is>
          <t>532762</t>
        </is>
      </c>
    </row>
    <row r="414">
      <c r="A414" s="30" t="inlineStr">
        <is>
          <t>BOSCHLTD</t>
        </is>
      </c>
      <c r="B414" s="30" t="inlineStr">
        <is>
          <t>Bosch Limited</t>
        </is>
      </c>
      <c r="C414" s="30" t="inlineStr">
        <is>
          <t>auto</t>
        </is>
      </c>
      <c r="D414" s="30" t="inlineStr">
        <is>
          <t>auto ancillaries</t>
        </is>
      </c>
      <c r="E414" s="30" t="inlineStr">
        <is>
          <t>largecap</t>
        </is>
      </c>
      <c r="F414" s="30" t="n">
        <v>126597.26</v>
      </c>
      <c r="G414" s="30" t="n">
        <v>42000</v>
      </c>
      <c r="H414" s="30" t="n">
        <v>-2.14</v>
      </c>
      <c r="I414" s="30" t="n">
        <v>60476</v>
      </c>
      <c r="J414" s="30" t="inlineStr">
        <is>
          <t>500530</t>
        </is>
      </c>
    </row>
    <row r="415">
      <c r="A415" s="30" t="inlineStr">
        <is>
          <t>RICOAUTO</t>
        </is>
      </c>
      <c r="B415" s="30" t="inlineStr">
        <is>
          <t>Rico Auto Industries Limited</t>
        </is>
      </c>
      <c r="C415" s="30" t="inlineStr">
        <is>
          <t>auto</t>
        </is>
      </c>
      <c r="D415" s="30" t="inlineStr">
        <is>
          <t>auto ancillaries</t>
        </is>
      </c>
      <c r="E415" s="30" t="inlineStr">
        <is>
          <t>smallcap</t>
        </is>
      </c>
      <c r="F415" s="30" t="n">
        <v>2107.88</v>
      </c>
      <c r="G415" s="30" t="n">
        <v>152.38</v>
      </c>
      <c r="H415" s="30" t="n">
        <v>-2.2</v>
      </c>
      <c r="I415" s="30" t="n">
        <v>2844996</v>
      </c>
      <c r="J415" s="30" t="inlineStr">
        <is>
          <t>520008</t>
        </is>
      </c>
    </row>
    <row r="416">
      <c r="A416" s="30" t="inlineStr">
        <is>
          <t>IGPL</t>
        </is>
      </c>
      <c r="B416" s="30" t="inlineStr">
        <is>
          <t>Ig Petrochemicals Limited</t>
        </is>
      </c>
      <c r="C416" s="30" t="inlineStr">
        <is>
          <t>chemicals</t>
        </is>
      </c>
      <c r="D416" s="30" t="inlineStr">
        <is>
          <t>chemicals</t>
        </is>
      </c>
      <c r="E416" s="30" t="inlineStr">
        <is>
          <t>smallcap</t>
        </is>
      </c>
      <c r="F416" s="30" t="n">
        <v>1584.24</v>
      </c>
      <c r="G416" s="30" t="n">
        <v>503</v>
      </c>
      <c r="H416" s="30" t="n">
        <v>-2.23</v>
      </c>
      <c r="I416" s="30" t="n">
        <v>373464</v>
      </c>
      <c r="J416" s="30" t="inlineStr">
        <is>
          <t>500199</t>
        </is>
      </c>
    </row>
    <row r="417">
      <c r="A417" s="30" t="inlineStr">
        <is>
          <t>CONSOFINVT</t>
        </is>
      </c>
      <c r="B417" s="30" t="inlineStr">
        <is>
          <t>Consolidated Finvest &amp; Holdings Limited</t>
        </is>
      </c>
      <c r="C417" s="30" t="inlineStr">
        <is>
          <t>financials</t>
        </is>
      </c>
      <c r="D417" s="30" t="inlineStr">
        <is>
          <t>finance &amp; investments</t>
        </is>
      </c>
      <c r="E417" s="30" t="inlineStr">
        <is>
          <t>smallcap</t>
        </is>
      </c>
      <c r="F417" s="30" t="n">
        <v>1008.74</v>
      </c>
      <c r="G417" s="30" t="n">
        <v>305</v>
      </c>
      <c r="H417" s="30" t="n">
        <v>-2.26</v>
      </c>
      <c r="I417" s="30" t="n">
        <v>5642</v>
      </c>
      <c r="J417" s="30" t="inlineStr">
        <is>
          <t>500226</t>
        </is>
      </c>
    </row>
    <row r="418">
      <c r="A418" s="30" t="inlineStr">
        <is>
          <t>PICCADIL</t>
        </is>
      </c>
      <c r="B418" s="30" t="inlineStr">
        <is>
          <t>Piccadily Agro Industries Ltd</t>
        </is>
      </c>
      <c r="C418" s="30" t="inlineStr">
        <is>
          <t>fmcg</t>
        </is>
      </c>
      <c r="D418" s="30" t="inlineStr">
        <is>
          <t>breweries &amp; distilleries</t>
        </is>
      </c>
      <c r="E418" s="30" t="inlineStr">
        <is>
          <t>midcap</t>
        </is>
      </c>
      <c r="F418" s="30" t="n">
        <v>7532.88</v>
      </c>
      <c r="G418" s="30" t="n">
        <v>746.2</v>
      </c>
      <c r="H418" s="30" t="n">
        <v>-2.36</v>
      </c>
      <c r="I418" s="30" t="n">
        <v>167474</v>
      </c>
      <c r="J418" s="30" t="inlineStr">
        <is>
          <t>530305</t>
        </is>
      </c>
    </row>
    <row r="419">
      <c r="A419" s="30" t="inlineStr">
        <is>
          <t>TINNARUBR</t>
        </is>
      </c>
      <c r="B419" s="30" t="inlineStr">
        <is>
          <t>Tinna Rubber &amp; Infrastructure Ltd</t>
        </is>
      </c>
      <c r="C419" s="30" t="inlineStr">
        <is>
          <t>fmcg</t>
        </is>
      </c>
      <c r="D419" s="30" t="inlineStr">
        <is>
          <t>miscellaneous</t>
        </is>
      </c>
      <c r="E419" s="30" t="inlineStr">
        <is>
          <t>smallcap</t>
        </is>
      </c>
      <c r="F419" s="30" t="n">
        <v>2031.82</v>
      </c>
      <c r="G419" s="30" t="n">
        <v>1100.6</v>
      </c>
      <c r="H419" s="30" t="n">
        <v>-2.41</v>
      </c>
      <c r="I419" s="30" t="n">
        <v>53795</v>
      </c>
      <c r="J419" s="30" t="inlineStr">
        <is>
          <t>530475</t>
        </is>
      </c>
    </row>
    <row r="420">
      <c r="A420" s="30" t="inlineStr">
        <is>
          <t>M&amp;MFIN</t>
        </is>
      </c>
      <c r="B420" s="30" t="inlineStr">
        <is>
          <t>Mahindra &amp; Mahindra Financial Services Limited</t>
        </is>
      </c>
      <c r="C420" s="30" t="inlineStr">
        <is>
          <t>financials</t>
        </is>
      </c>
      <c r="D420" s="30" t="inlineStr">
        <is>
          <t>finance &amp; investments</t>
        </is>
      </c>
      <c r="E420" s="30" t="inlineStr">
        <is>
          <t>largecap</t>
        </is>
      </c>
      <c r="F420" s="30" t="n">
        <v>55376.45</v>
      </c>
      <c r="G420" s="30" t="n">
        <v>388.8</v>
      </c>
      <c r="H420" s="30" t="n">
        <v>-2.41</v>
      </c>
      <c r="I420" s="30" t="n">
        <v>1785952</v>
      </c>
      <c r="J420" s="30" t="inlineStr">
        <is>
          <t>532720</t>
        </is>
      </c>
    </row>
    <row r="421">
      <c r="A421" s="30" t="inlineStr">
        <is>
          <t>HEROMOTOCO</t>
        </is>
      </c>
      <c r="B421" s="30" t="inlineStr">
        <is>
          <t>Hero Motocorp Limited</t>
        </is>
      </c>
      <c r="C421" s="30" t="inlineStr">
        <is>
          <t>auto</t>
        </is>
      </c>
      <c r="D421" s="30" t="inlineStr">
        <is>
          <t>automobiles - motorcycles / mopeds</t>
        </is>
      </c>
      <c r="E421" s="30" t="inlineStr">
        <is>
          <t>largecap</t>
        </is>
      </c>
      <c r="F421" s="30" t="n">
        <v>113852.88</v>
      </c>
      <c r="G421" s="30" t="n">
        <v>5550.5</v>
      </c>
      <c r="H421" s="30" t="n">
        <v>-2.45</v>
      </c>
      <c r="I421" s="30" t="n">
        <v>1042637</v>
      </c>
      <c r="J421" s="30" t="inlineStr">
        <is>
          <t>500182</t>
        </is>
      </c>
    </row>
    <row r="422">
      <c r="A422" s="30" t="inlineStr">
        <is>
          <t>TI</t>
        </is>
      </c>
      <c r="B422" s="30" t="inlineStr">
        <is>
          <t>Tilaknagar Industries Limited</t>
        </is>
      </c>
      <c r="C422" s="30" t="inlineStr">
        <is>
          <t>fmcg</t>
        </is>
      </c>
      <c r="D422" s="30" t="inlineStr">
        <is>
          <t>breweries &amp; distilleries</t>
        </is>
      </c>
      <c r="E422" s="30" t="inlineStr">
        <is>
          <t>midcap</t>
        </is>
      </c>
      <c r="F422" s="30" t="n">
        <v>12397.2</v>
      </c>
      <c r="G422" s="30" t="n">
        <v>488.45</v>
      </c>
      <c r="H422" s="30" t="n">
        <v>-2.5</v>
      </c>
      <c r="I422" s="30" t="n">
        <v>1100172</v>
      </c>
      <c r="J422" s="30" t="inlineStr">
        <is>
          <t>507205</t>
        </is>
      </c>
    </row>
    <row r="423">
      <c r="A423" s="30" t="inlineStr">
        <is>
          <t>HIRECT</t>
        </is>
      </c>
      <c r="B423" s="30" t="inlineStr">
        <is>
          <t>Hind Rectifiers Limited</t>
        </is>
      </c>
      <c r="C423" s="30" t="inlineStr">
        <is>
          <t>consumer discretionary</t>
        </is>
      </c>
      <c r="D423" s="30" t="inlineStr">
        <is>
          <t>electronics - components</t>
        </is>
      </c>
      <c r="E423" s="30" t="inlineStr">
        <is>
          <t>smallcap</t>
        </is>
      </c>
      <c r="F423" s="30" t="n">
        <v>4717.41</v>
      </c>
      <c r="G423" s="30" t="n">
        <v>1297.2</v>
      </c>
      <c r="H423" s="30" t="n">
        <v>-2.5</v>
      </c>
      <c r="I423" s="30" t="n">
        <v>88624</v>
      </c>
      <c r="J423" s="30" t="inlineStr">
        <is>
          <t>504036</t>
        </is>
      </c>
    </row>
    <row r="424">
      <c r="A424" s="30" t="inlineStr">
        <is>
          <t>UNIPARTS</t>
        </is>
      </c>
      <c r="B424" s="30" t="inlineStr">
        <is>
          <t>Uniparts India Ltd</t>
        </is>
      </c>
      <c r="C424" s="30" t="inlineStr">
        <is>
          <t>industrials</t>
        </is>
      </c>
      <c r="D424" s="30" t="inlineStr">
        <is>
          <t>engineering</t>
        </is>
      </c>
      <c r="E424" s="30" t="inlineStr">
        <is>
          <t>smallcap</t>
        </is>
      </c>
      <c r="F424" s="30" t="n">
        <v>3618.9</v>
      </c>
      <c r="G424" s="30" t="n">
        <v>781.5</v>
      </c>
      <c r="H424" s="30" t="n">
        <v>-2.51</v>
      </c>
      <c r="I424" s="30" t="n">
        <v>283602</v>
      </c>
      <c r="J424" s="30" t="inlineStr">
        <is>
          <t>543689</t>
        </is>
      </c>
    </row>
    <row r="425">
      <c r="A425" s="30" t="inlineStr">
        <is>
          <t>ASIANENE</t>
        </is>
      </c>
      <c r="B425" s="30" t="inlineStr">
        <is>
          <t>Asian Energy Services Ltd</t>
        </is>
      </c>
      <c r="C425" s="30" t="inlineStr">
        <is>
          <t>energy</t>
        </is>
      </c>
      <c r="D425" s="30" t="inlineStr">
        <is>
          <t>oil drilling / allied services</t>
        </is>
      </c>
      <c r="E425" s="30" t="inlineStr">
        <is>
          <t>smallcap</t>
        </is>
      </c>
      <c r="F425" s="30" t="n">
        <v>1954.91</v>
      </c>
      <c r="G425" s="30" t="n">
        <v>391.65</v>
      </c>
      <c r="H425" s="30" t="n">
        <v>-2.57</v>
      </c>
      <c r="I425" s="30" t="n">
        <v>259676</v>
      </c>
      <c r="J425" s="30" t="inlineStr">
        <is>
          <t>530355</t>
        </is>
      </c>
    </row>
    <row r="426">
      <c r="A426" s="30" t="inlineStr">
        <is>
          <t>DEEPINDS</t>
        </is>
      </c>
      <c r="B426" s="30" t="inlineStr">
        <is>
          <t>Deep Industries Ltd</t>
        </is>
      </c>
      <c r="C426" s="30" t="inlineStr">
        <is>
          <t>energy</t>
        </is>
      </c>
      <c r="D426" s="30" t="inlineStr">
        <is>
          <t>oil drilling / allied services</t>
        </is>
      </c>
      <c r="E426" s="30" t="inlineStr">
        <is>
          <t>smallcap</t>
        </is>
      </c>
      <c r="F426" s="30" t="n">
        <v>4119.04</v>
      </c>
      <c r="G426" s="30" t="n">
        <v>627</v>
      </c>
      <c r="H426" s="30" t="n">
        <v>-2.58</v>
      </c>
      <c r="I426" s="30" t="n">
        <v>526380</v>
      </c>
      <c r="J426" s="30" t="inlineStr">
        <is>
          <t>543288</t>
        </is>
      </c>
    </row>
    <row r="427">
      <c r="A427" s="30" t="inlineStr">
        <is>
          <t>NRBBEARING</t>
        </is>
      </c>
      <c r="B427" s="30" t="inlineStr">
        <is>
          <t>Nrb Bearing Limited</t>
        </is>
      </c>
      <c r="C427" s="30" t="inlineStr">
        <is>
          <t>industrials</t>
        </is>
      </c>
      <c r="D427" s="30" t="inlineStr">
        <is>
          <t>bearings</t>
        </is>
      </c>
      <c r="E427" s="30" t="inlineStr">
        <is>
          <t>smallcap</t>
        </is>
      </c>
      <c r="F427" s="30" t="n">
        <v>4436.15</v>
      </c>
      <c r="G427" s="30" t="n">
        <v>445.6</v>
      </c>
      <c r="H427" s="30" t="n">
        <v>-2.64</v>
      </c>
      <c r="I427" s="30" t="n">
        <v>715909</v>
      </c>
      <c r="J427" s="30" t="inlineStr">
        <is>
          <t>530367</t>
        </is>
      </c>
    </row>
    <row r="428">
      <c r="A428" s="30" t="inlineStr">
        <is>
          <t>TBOTEK</t>
        </is>
      </c>
      <c r="B428" s="30" t="inlineStr">
        <is>
          <t>TBO Tek Ltd</t>
        </is>
      </c>
      <c r="C428" s="30" t="inlineStr">
        <is>
          <t>i.t</t>
        </is>
      </c>
      <c r="D428" s="30" t="inlineStr">
        <is>
          <t>travel agencies</t>
        </is>
      </c>
      <c r="E428" s="30" t="inlineStr">
        <is>
          <t>midcap</t>
        </is>
      </c>
      <c r="F428" s="30" t="n">
        <v>18107.01</v>
      </c>
      <c r="G428" s="30" t="n">
        <v>1623.1</v>
      </c>
      <c r="H428" s="30" t="n">
        <v>-2.66</v>
      </c>
      <c r="I428" s="30" t="n">
        <v>110389</v>
      </c>
      <c r="J428" s="30" t="inlineStr">
        <is>
          <t>544174</t>
        </is>
      </c>
    </row>
    <row r="429">
      <c r="A429" s="30" t="inlineStr">
        <is>
          <t>PVRINOX</t>
        </is>
      </c>
      <c r="B429" s="30" t="inlineStr">
        <is>
          <t>PVR Inox Ltd</t>
        </is>
      </c>
      <c r="C429" s="30" t="inlineStr">
        <is>
          <t>media</t>
        </is>
      </c>
      <c r="D429" s="30" t="inlineStr">
        <is>
          <t>entertainment / electronic media software</t>
        </is>
      </c>
      <c r="E429" s="30" t="inlineStr">
        <is>
          <t>midcap</t>
        </is>
      </c>
      <c r="F429" s="30" t="n">
        <v>11409.85</v>
      </c>
      <c r="G429" s="30" t="n">
        <v>1131</v>
      </c>
      <c r="H429" s="30" t="n">
        <v>-2.66</v>
      </c>
      <c r="I429" s="30" t="n">
        <v>157049</v>
      </c>
      <c r="J429" s="30" t="inlineStr">
        <is>
          <t>532689</t>
        </is>
      </c>
    </row>
    <row r="430">
      <c r="A430" s="30" t="inlineStr">
        <is>
          <t>RAJRATAN</t>
        </is>
      </c>
      <c r="B430" s="30" t="inlineStr">
        <is>
          <t>Rajratan Global Wire Ltd</t>
        </is>
      </c>
      <c r="C430" s="30" t="inlineStr">
        <is>
          <t>metals &amp; mining</t>
        </is>
      </c>
      <c r="D430" s="30" t="inlineStr">
        <is>
          <t>steel - medium / small</t>
        </is>
      </c>
      <c r="E430" s="30" t="inlineStr">
        <is>
          <t>smallcap</t>
        </is>
      </c>
      <c r="F430" s="30" t="n">
        <v>2724.88</v>
      </c>
      <c r="G430" s="30" t="n">
        <v>521.95</v>
      </c>
      <c r="H430" s="30" t="n">
        <v>-2.75</v>
      </c>
      <c r="I430" s="30" t="n">
        <v>168860</v>
      </c>
      <c r="J430" s="30" t="inlineStr">
        <is>
          <t>517522</t>
        </is>
      </c>
    </row>
    <row r="431">
      <c r="A431" s="30" t="inlineStr">
        <is>
          <t>SONACOMS</t>
        </is>
      </c>
      <c r="B431" s="30" t="inlineStr">
        <is>
          <t>Sona BLW Precision Forgings Ltd</t>
        </is>
      </c>
      <c r="C431" s="30" t="inlineStr">
        <is>
          <t>auto</t>
        </is>
      </c>
      <c r="D431" s="30" t="inlineStr">
        <is>
          <t>auto ancillaries</t>
        </is>
      </c>
      <c r="E431" s="30" t="inlineStr">
        <is>
          <t>largecap</t>
        </is>
      </c>
      <c r="F431" s="30" t="n">
        <v>50670.96</v>
      </c>
      <c r="G431" s="30" t="n">
        <v>792</v>
      </c>
      <c r="H431" s="30" t="n">
        <v>-2.77</v>
      </c>
      <c r="I431" s="30" t="n">
        <v>5297789</v>
      </c>
      <c r="J431" s="30" t="inlineStr">
        <is>
          <t>543300</t>
        </is>
      </c>
    </row>
    <row r="432">
      <c r="A432" s="30" t="inlineStr">
        <is>
          <t>LODHA</t>
        </is>
      </c>
      <c r="B432" s="30" t="inlineStr">
        <is>
          <t>Lodha Developers Ltd</t>
        </is>
      </c>
      <c r="C432" s="30" t="inlineStr">
        <is>
          <t>realty</t>
        </is>
      </c>
      <c r="D432" s="30" t="inlineStr">
        <is>
          <t>construction</t>
        </is>
      </c>
      <c r="E432" s="30" t="inlineStr">
        <is>
          <t>largecap</t>
        </is>
      </c>
      <c r="F432" s="30" t="n">
        <v>124886.8</v>
      </c>
      <c r="G432" s="30" t="n">
        <v>1214</v>
      </c>
      <c r="H432" s="30" t="n">
        <v>-2.88</v>
      </c>
      <c r="I432" s="30" t="n">
        <v>2514555</v>
      </c>
      <c r="J432" s="30" t="inlineStr">
        <is>
          <t>543287</t>
        </is>
      </c>
    </row>
    <row r="433">
      <c r="A433" s="30" t="inlineStr">
        <is>
          <t>SJS</t>
        </is>
      </c>
      <c r="B433" s="30" t="inlineStr">
        <is>
          <t>S J S Enterprises Ltd</t>
        </is>
      </c>
      <c r="C433" s="30" t="inlineStr">
        <is>
          <t>auto</t>
        </is>
      </c>
      <c r="D433" s="30" t="inlineStr">
        <is>
          <t>plastics products</t>
        </is>
      </c>
      <c r="E433" s="30" t="inlineStr">
        <is>
          <t>midcap</t>
        </is>
      </c>
      <c r="F433" s="30" t="n">
        <v>8034.25</v>
      </c>
      <c r="G433" s="30" t="n">
        <v>2437.7</v>
      </c>
      <c r="H433" s="30" t="n">
        <v>-2.89</v>
      </c>
      <c r="I433" s="30" t="n">
        <v>375740</v>
      </c>
      <c r="J433" s="30" t="inlineStr">
        <is>
          <t>543387</t>
        </is>
      </c>
    </row>
    <row r="434">
      <c r="A434" s="30" t="inlineStr">
        <is>
          <t>CONFIPET</t>
        </is>
      </c>
      <c r="B434" s="30" t="inlineStr">
        <is>
          <t>Confidence Petroleum India Ltd</t>
        </is>
      </c>
      <c r="C434" s="30" t="inlineStr">
        <is>
          <t>miscellaneous</t>
        </is>
      </c>
      <c r="D434" s="30" t="inlineStr">
        <is>
          <t>miscellaneous</t>
        </is>
      </c>
      <c r="E434" s="30" t="inlineStr">
        <is>
          <t>smallcap</t>
        </is>
      </c>
      <c r="F434" s="30" t="n">
        <v>2717.73</v>
      </c>
      <c r="G434" s="30" t="n">
        <v>79.39</v>
      </c>
      <c r="H434" s="30" t="n">
        <v>-2.95</v>
      </c>
      <c r="I434" s="30" t="n">
        <v>1931883</v>
      </c>
      <c r="J434" s="30" t="inlineStr">
        <is>
          <t>526829</t>
        </is>
      </c>
    </row>
    <row r="435">
      <c r="A435" s="30" t="inlineStr">
        <is>
          <t>VINDHYATEL</t>
        </is>
      </c>
      <c r="B435" s="30" t="inlineStr">
        <is>
          <t>Vindhya Telelinks Limited</t>
        </is>
      </c>
      <c r="C435" s="30" t="inlineStr">
        <is>
          <t>realty</t>
        </is>
      </c>
      <c r="D435" s="30" t="inlineStr">
        <is>
          <t>construction</t>
        </is>
      </c>
      <c r="E435" s="30" t="inlineStr">
        <is>
          <t>smallcap</t>
        </is>
      </c>
      <c r="F435" s="30" t="n">
        <v>2793.84</v>
      </c>
      <c r="G435" s="30" t="n">
        <v>2286.9</v>
      </c>
      <c r="H435" s="30" t="n">
        <v>-2.99</v>
      </c>
      <c r="I435" s="30" t="n">
        <v>95470</v>
      </c>
      <c r="J435" s="30" t="inlineStr">
        <is>
          <t>517015</t>
        </is>
      </c>
    </row>
    <row r="436">
      <c r="A436" s="30" t="inlineStr">
        <is>
          <t>PRUDENT</t>
        </is>
      </c>
      <c r="B436" s="30" t="inlineStr">
        <is>
          <t>Prudent Corporate Advisory Services Ltd</t>
        </is>
      </c>
      <c r="C436" s="30" t="inlineStr">
        <is>
          <t>financials</t>
        </is>
      </c>
      <c r="D436" s="30" t="inlineStr">
        <is>
          <t>finance &amp; investments</t>
        </is>
      </c>
      <c r="E436" s="30" t="inlineStr">
        <is>
          <t>midcap</t>
        </is>
      </c>
      <c r="F436" s="30" t="n">
        <v>13811.61</v>
      </c>
      <c r="G436" s="30" t="n">
        <v>3232.5</v>
      </c>
      <c r="H436" s="30" t="n">
        <v>-3.09</v>
      </c>
      <c r="I436" s="30" t="n">
        <v>9579</v>
      </c>
      <c r="J436" s="30" t="inlineStr">
        <is>
          <t>543527</t>
        </is>
      </c>
    </row>
    <row r="437">
      <c r="A437" s="30" t="inlineStr">
        <is>
          <t>ONMOBILE</t>
        </is>
      </c>
      <c r="B437" s="30" t="inlineStr">
        <is>
          <t>Onmobile Global Limited</t>
        </is>
      </c>
      <c r="C437" s="30" t="inlineStr">
        <is>
          <t>telecom-service</t>
        </is>
      </c>
      <c r="D437" s="30" t="inlineStr">
        <is>
          <t>telecommunications - service provider</t>
        </is>
      </c>
      <c r="E437" s="30" t="inlineStr">
        <is>
          <t>smallcap</t>
        </is>
      </c>
      <c r="F437" s="30" t="n">
        <v>780.29</v>
      </c>
      <c r="G437" s="30" t="n">
        <v>71.09</v>
      </c>
      <c r="H437" s="30" t="n">
        <v>-3.13</v>
      </c>
      <c r="I437" s="30" t="n">
        <v>168784</v>
      </c>
      <c r="J437" s="30" t="inlineStr">
        <is>
          <t>532944</t>
        </is>
      </c>
    </row>
    <row r="438">
      <c r="A438" s="30" t="inlineStr">
        <is>
          <t>RITCO</t>
        </is>
      </c>
      <c r="B438" s="30" t="inlineStr">
        <is>
          <t>Ritco Logistics Ltd</t>
        </is>
      </c>
      <c r="C438" s="30" t="inlineStr">
        <is>
          <t>transportation</t>
        </is>
      </c>
      <c r="D438" s="30" t="inlineStr">
        <is>
          <t>miscellaneous</t>
        </is>
      </c>
      <c r="E438" s="30" t="inlineStr">
        <is>
          <t>smallcap</t>
        </is>
      </c>
      <c r="F438" s="30" t="n">
        <v>893.3200000000001</v>
      </c>
      <c r="G438" s="30" t="n">
        <v>302.3</v>
      </c>
      <c r="H438" s="30" t="n">
        <v>-3.14</v>
      </c>
      <c r="I438" s="30" t="n">
        <v>162063</v>
      </c>
      <c r="J438" s="30" t="inlineStr">
        <is>
          <t>542383</t>
        </is>
      </c>
    </row>
    <row r="439">
      <c r="A439" s="30" t="inlineStr">
        <is>
          <t>TARSONS</t>
        </is>
      </c>
      <c r="B439" s="30" t="inlineStr">
        <is>
          <t>Tarsons Products Ltd</t>
        </is>
      </c>
      <c r="C439" s="30" t="inlineStr">
        <is>
          <t>healthcare</t>
        </is>
      </c>
      <c r="D439" s="30" t="inlineStr">
        <is>
          <t>miscellaneous</t>
        </is>
      </c>
      <c r="E439" s="30" t="inlineStr">
        <is>
          <t>smallcap</t>
        </is>
      </c>
      <c r="F439" s="30" t="n">
        <v>1745.43</v>
      </c>
      <c r="G439" s="30" t="n">
        <v>317.5</v>
      </c>
      <c r="H439" s="30" t="n">
        <v>-3.22</v>
      </c>
      <c r="I439" s="30" t="n">
        <v>127925</v>
      </c>
      <c r="J439" s="30" t="inlineStr">
        <is>
          <t>543399</t>
        </is>
      </c>
    </row>
    <row r="440">
      <c r="A440" s="30" t="inlineStr">
        <is>
          <t>ARTEMISMED</t>
        </is>
      </c>
      <c r="B440" s="30" t="inlineStr">
        <is>
          <t>Artemis Medicare Services Ltd</t>
        </is>
      </c>
      <c r="C440" s="30" t="inlineStr">
        <is>
          <t>healthcare</t>
        </is>
      </c>
      <c r="D440" s="30" t="inlineStr">
        <is>
          <t>healthcare</t>
        </is>
      </c>
      <c r="E440" s="30" t="inlineStr">
        <is>
          <t>midcap</t>
        </is>
      </c>
      <c r="F440" s="30" t="n">
        <v>5099.84</v>
      </c>
      <c r="G440" s="30" t="n">
        <v>311.7</v>
      </c>
      <c r="H440" s="30" t="n">
        <v>-3.24</v>
      </c>
      <c r="I440" s="30" t="n">
        <v>457583</v>
      </c>
      <c r="J440" s="30" t="inlineStr">
        <is>
          <t>542919</t>
        </is>
      </c>
    </row>
    <row r="441">
      <c r="A441" s="30" t="inlineStr">
        <is>
          <t>SSWL</t>
        </is>
      </c>
      <c r="B441" s="30" t="inlineStr">
        <is>
          <t>Steel Strips Wheels Limited</t>
        </is>
      </c>
      <c r="C441" s="30" t="inlineStr">
        <is>
          <t>auto</t>
        </is>
      </c>
      <c r="D441" s="30" t="inlineStr">
        <is>
          <t>auto ancillaries</t>
        </is>
      </c>
      <c r="E441" s="30" t="inlineStr">
        <is>
          <t>midcap</t>
        </is>
      </c>
      <c r="F441" s="30" t="n">
        <v>5028.99</v>
      </c>
      <c r="G441" s="30" t="n">
        <v>309.2</v>
      </c>
      <c r="H441" s="30" t="n">
        <v>-3.36</v>
      </c>
      <c r="I441" s="30" t="n">
        <v>722236</v>
      </c>
      <c r="J441" s="30" t="inlineStr">
        <is>
          <t>513262</t>
        </is>
      </c>
    </row>
    <row r="442">
      <c r="A442" s="30" t="inlineStr">
        <is>
          <t>RATEGAIN</t>
        </is>
      </c>
      <c r="B442" s="30" t="inlineStr">
        <is>
          <t>Rategain Travel Technologies Ltd</t>
        </is>
      </c>
      <c r="C442" s="30" t="inlineStr">
        <is>
          <t>i.t</t>
        </is>
      </c>
      <c r="D442" s="30" t="inlineStr">
        <is>
          <t>computers - software - medium / small</t>
        </is>
      </c>
      <c r="E442" s="30" t="inlineStr">
        <is>
          <t>midcap</t>
        </is>
      </c>
      <c r="F442" s="30" t="n">
        <v>11586.76</v>
      </c>
      <c r="G442" s="30" t="n">
        <v>944.95</v>
      </c>
      <c r="H442" s="30" t="n">
        <v>-3.42</v>
      </c>
      <c r="I442" s="30" t="n">
        <v>4578350</v>
      </c>
      <c r="J442" s="30" t="inlineStr">
        <is>
          <t>543417</t>
        </is>
      </c>
    </row>
    <row r="443">
      <c r="A443" s="30" t="inlineStr">
        <is>
          <t>CHEVIOT</t>
        </is>
      </c>
      <c r="B443" s="30" t="inlineStr">
        <is>
          <t>Cheviot Company Ltd</t>
        </is>
      </c>
      <c r="C443" s="30" t="inlineStr">
        <is>
          <t>textiles</t>
        </is>
      </c>
      <c r="D443" s="30" t="inlineStr">
        <is>
          <t>textiles - jute - yarn / products</t>
        </is>
      </c>
      <c r="E443" s="30" t="inlineStr">
        <is>
          <t>smallcap</t>
        </is>
      </c>
      <c r="F443" s="30" t="n">
        <v>713.64</v>
      </c>
      <c r="G443" s="30" t="n">
        <v>1179.4</v>
      </c>
      <c r="H443" s="30" t="n">
        <v>-3.45</v>
      </c>
      <c r="I443" s="30" t="n">
        <v>14523</v>
      </c>
      <c r="J443" s="30" t="inlineStr">
        <is>
          <t>526817</t>
        </is>
      </c>
    </row>
    <row r="444">
      <c r="A444" s="30" t="inlineStr">
        <is>
          <t>GABRIEL</t>
        </is>
      </c>
      <c r="B444" s="30" t="inlineStr">
        <is>
          <t>Gabriel India Limited</t>
        </is>
      </c>
      <c r="C444" s="30" t="inlineStr">
        <is>
          <t>auto</t>
        </is>
      </c>
      <c r="D444" s="30" t="inlineStr">
        <is>
          <t>auto ancillaries</t>
        </is>
      </c>
      <c r="E444" s="30" t="inlineStr">
        <is>
          <t>largecap</t>
        </is>
      </c>
      <c r="F444" s="30" t="n">
        <v>28138.81</v>
      </c>
      <c r="G444" s="30" t="n">
        <v>1531.8</v>
      </c>
      <c r="H444" s="30" t="n">
        <v>-3.52</v>
      </c>
      <c r="I444" s="30" t="n">
        <v>354385</v>
      </c>
      <c r="J444" s="30" t="inlineStr">
        <is>
          <t>505714</t>
        </is>
      </c>
    </row>
    <row r="445">
      <c r="A445" s="30" t="inlineStr">
        <is>
          <t>MPSLTD</t>
        </is>
      </c>
      <c r="B445" s="30" t="inlineStr">
        <is>
          <t>Mps Limited</t>
        </is>
      </c>
      <c r="C445" s="30" t="inlineStr">
        <is>
          <t>i.t</t>
        </is>
      </c>
      <c r="D445" s="30" t="inlineStr">
        <is>
          <t>computers - software - medium / small</t>
        </is>
      </c>
      <c r="E445" s="30" t="inlineStr">
        <is>
          <t>smallcap</t>
        </is>
      </c>
      <c r="F445" s="30" t="n">
        <v>4915.7</v>
      </c>
      <c r="G445" s="30" t="n">
        <v>2763.9</v>
      </c>
      <c r="H445" s="30" t="n">
        <v>-3.82</v>
      </c>
      <c r="I445" s="30" t="n">
        <v>56267</v>
      </c>
      <c r="J445" s="30" t="inlineStr">
        <is>
          <t>532440</t>
        </is>
      </c>
    </row>
    <row r="446">
      <c r="A446" s="30" t="inlineStr">
        <is>
          <t>INDORAMA</t>
        </is>
      </c>
      <c r="B446" s="30" t="inlineStr">
        <is>
          <t>Indo Rama Synthetics (india) Limited</t>
        </is>
      </c>
      <c r="C446" s="30" t="inlineStr">
        <is>
          <t>textiles</t>
        </is>
      </c>
      <c r="D446" s="30" t="inlineStr">
        <is>
          <t>textiles - manmade</t>
        </is>
      </c>
      <c r="E446" s="30" t="inlineStr">
        <is>
          <t>smallcap</t>
        </is>
      </c>
      <c r="F446" s="30" t="n">
        <v>1640.84</v>
      </c>
      <c r="G446" s="30" t="n">
        <v>60.37</v>
      </c>
      <c r="H446" s="30" t="n">
        <v>-3.93</v>
      </c>
      <c r="I446" s="30" t="n">
        <v>399500</v>
      </c>
      <c r="J446" s="30" t="inlineStr">
        <is>
          <t>500207</t>
        </is>
      </c>
    </row>
    <row r="447">
      <c r="A447" s="30" t="inlineStr">
        <is>
          <t>UNIVASTU</t>
        </is>
      </c>
      <c r="B447" s="30" t="inlineStr">
        <is>
          <t>Univastu India Ltd</t>
        </is>
      </c>
      <c r="C447" s="30" t="inlineStr">
        <is>
          <t>realty</t>
        </is>
      </c>
      <c r="D447" s="30" t="inlineStr">
        <is>
          <t>construction</t>
        </is>
      </c>
      <c r="E447" s="30" t="inlineStr">
        <is>
          <t>smallcap</t>
        </is>
      </c>
      <c r="F447" s="30" t="n">
        <v>528.75</v>
      </c>
      <c r="G447" s="30" t="n">
        <v>140.99</v>
      </c>
      <c r="H447" s="30" t="n">
        <v>-4.04</v>
      </c>
      <c r="I447" s="30" t="n">
        <v>229065</v>
      </c>
      <c r="J447" s="30" t="inlineStr">
        <is>
          <t>538442</t>
        </is>
      </c>
    </row>
    <row r="448">
      <c r="A448" s="30" t="inlineStr">
        <is>
          <t>RPTECH</t>
        </is>
      </c>
      <c r="B448" s="30" t="inlineStr">
        <is>
          <t>Rashi Peripherals Ltd</t>
        </is>
      </c>
      <c r="C448" s="30" t="inlineStr">
        <is>
          <t>services</t>
        </is>
      </c>
      <c r="D448" s="30" t="inlineStr">
        <is>
          <t>trading</t>
        </is>
      </c>
      <c r="E448" s="30" t="inlineStr">
        <is>
          <t>midcap</t>
        </is>
      </c>
      <c r="F448" s="30" t="n">
        <v>5949.75</v>
      </c>
      <c r="G448" s="30" t="n">
        <v>865.55</v>
      </c>
      <c r="H448" s="30" t="n">
        <v>-4.13</v>
      </c>
      <c r="I448" s="30" t="n">
        <v>585237</v>
      </c>
      <c r="J448" s="30" t="n"/>
    </row>
    <row r="449">
      <c r="A449" s="30" t="inlineStr">
        <is>
          <t>SMLMAH</t>
        </is>
      </c>
      <c r="B449" s="30" t="inlineStr">
        <is>
          <t>SML Mahindra Ltd</t>
        </is>
      </c>
      <c r="C449" s="30" t="inlineStr">
        <is>
          <t>auto</t>
        </is>
      </c>
      <c r="D449" s="30" t="inlineStr">
        <is>
          <t>automobiles - lcvs / hcvs</t>
        </is>
      </c>
      <c r="E449" s="30" t="inlineStr">
        <is>
          <t>midcap</t>
        </is>
      </c>
      <c r="F449" s="30" t="n">
        <v>8563.6</v>
      </c>
      <c r="G449" s="30" t="n">
        <v>5672.5</v>
      </c>
      <c r="H449" s="30" t="n">
        <v>-4.14</v>
      </c>
      <c r="I449" s="30" t="n">
        <v>188084</v>
      </c>
      <c r="J449" s="30" t="inlineStr">
        <is>
          <t>505192</t>
        </is>
      </c>
    </row>
    <row r="450">
      <c r="A450" s="30" t="inlineStr">
        <is>
          <t>KKCL</t>
        </is>
      </c>
      <c r="B450" s="30" t="inlineStr">
        <is>
          <t>Kewal Kiran Clothing Limited</t>
        </is>
      </c>
      <c r="C450" s="30" t="inlineStr">
        <is>
          <t>consumer discretionary</t>
        </is>
      </c>
      <c r="D450" s="30" t="inlineStr">
        <is>
          <t>textiles - products</t>
        </is>
      </c>
      <c r="E450" s="30" t="inlineStr">
        <is>
          <t>smallcap</t>
        </is>
      </c>
      <c r="F450" s="30" t="n">
        <v>3367.82</v>
      </c>
      <c r="G450" s="30" t="n">
        <v>522.5</v>
      </c>
      <c r="H450" s="30" t="n">
        <v>-4.39</v>
      </c>
      <c r="I450" s="30" t="n">
        <v>95236</v>
      </c>
      <c r="J450" s="30" t="inlineStr">
        <is>
          <t>532732</t>
        </is>
      </c>
    </row>
    <row r="451">
      <c r="A451" s="30" t="inlineStr">
        <is>
          <t>KERNEX</t>
        </is>
      </c>
      <c r="B451" s="30" t="inlineStr">
        <is>
          <t>Kernex Microsystems (india) Limited</t>
        </is>
      </c>
      <c r="C451" s="30" t="inlineStr">
        <is>
          <t>consumer discretionary</t>
        </is>
      </c>
      <c r="D451" s="30" t="inlineStr">
        <is>
          <t>electronics - components</t>
        </is>
      </c>
      <c r="E451" s="30" t="inlineStr">
        <is>
          <t>smallcap</t>
        </is>
      </c>
      <c r="F451" s="30" t="n">
        <v>4283.58</v>
      </c>
      <c r="G451" s="30" t="n">
        <v>2432.5</v>
      </c>
      <c r="H451" s="30" t="n">
        <v>-4.58</v>
      </c>
      <c r="I451" s="30" t="n">
        <v>227314</v>
      </c>
      <c r="J451" s="30" t="inlineStr">
        <is>
          <t>532686</t>
        </is>
      </c>
    </row>
    <row r="452">
      <c r="A452" s="30" t="inlineStr">
        <is>
          <t>BODALCHEM</t>
        </is>
      </c>
      <c r="B452" s="30" t="inlineStr">
        <is>
          <t>Bodal Chemicals Limited</t>
        </is>
      </c>
      <c r="C452" s="30" t="inlineStr">
        <is>
          <t>chemicals</t>
        </is>
      </c>
      <c r="D452" s="30" t="inlineStr">
        <is>
          <t>dyes and pigments</t>
        </is>
      </c>
      <c r="E452" s="30" t="inlineStr">
        <is>
          <t>smallcap</t>
        </is>
      </c>
      <c r="F452" s="30" t="n">
        <v>946.97</v>
      </c>
      <c r="G452" s="30" t="n">
        <v>71.44</v>
      </c>
      <c r="H452" s="30" t="n">
        <v>-4.99</v>
      </c>
      <c r="I452" s="30" t="n">
        <v>604607</v>
      </c>
      <c r="J452" s="30" t="inlineStr">
        <is>
          <t>524370</t>
        </is>
      </c>
    </row>
    <row r="453">
      <c r="A453" s="30" t="inlineStr">
        <is>
          <t>OCCLLTD</t>
        </is>
      </c>
      <c r="B453" s="30" t="inlineStr">
        <is>
          <t>OCCL Ltd</t>
        </is>
      </c>
      <c r="C453" s="30" t="inlineStr">
        <is>
          <t>chemicals</t>
        </is>
      </c>
      <c r="D453" s="30" t="inlineStr">
        <is>
          <t>chemicals</t>
        </is>
      </c>
      <c r="E453" s="30" t="inlineStr">
        <is>
          <t>smallcap</t>
        </is>
      </c>
      <c r="F453" s="30" t="n">
        <v>855.95</v>
      </c>
      <c r="G453" s="30" t="n">
        <v>162.8</v>
      </c>
      <c r="H453" s="30" t="n">
        <v>-5</v>
      </c>
      <c r="I453" s="30" t="n">
        <v>293461</v>
      </c>
      <c r="J453" s="30" t="inlineStr">
        <is>
          <t>544278</t>
        </is>
      </c>
    </row>
    <row r="454">
      <c r="A454" s="30" t="inlineStr">
        <is>
          <t>MAHASTEEL</t>
        </is>
      </c>
      <c r="B454" s="30" t="inlineStr">
        <is>
          <t>Mahamaya Steel Industries Limited</t>
        </is>
      </c>
      <c r="C454" s="30" t="inlineStr">
        <is>
          <t>metals &amp; mining</t>
        </is>
      </c>
      <c r="D454" s="30" t="inlineStr">
        <is>
          <t>steel - medium / small</t>
        </is>
      </c>
      <c r="E454" s="30" t="inlineStr">
        <is>
          <t>smallcap</t>
        </is>
      </c>
      <c r="F454" s="30" t="n">
        <v>1769.82</v>
      </c>
      <c r="G454" s="30" t="n">
        <v>1022.2</v>
      </c>
      <c r="H454" s="30" t="n">
        <v>-5.08</v>
      </c>
      <c r="I454" s="30" t="n">
        <v>7047</v>
      </c>
      <c r="J454" s="30" t="inlineStr">
        <is>
          <t>513554</t>
        </is>
      </c>
    </row>
    <row r="455">
      <c r="A455" s="30" t="inlineStr">
        <is>
          <t>SAREGAMA</t>
        </is>
      </c>
      <c r="B455" s="30" t="inlineStr">
        <is>
          <t>Saregama India Limited</t>
        </is>
      </c>
      <c r="C455" s="30" t="inlineStr">
        <is>
          <t>media</t>
        </is>
      </c>
      <c r="D455" s="30" t="inlineStr">
        <is>
          <t>entertainment / electronic media software</t>
        </is>
      </c>
      <c r="E455" s="30" t="inlineStr">
        <is>
          <t>midcap</t>
        </is>
      </c>
      <c r="F455" s="30" t="n">
        <v>10744.31</v>
      </c>
      <c r="G455" s="30" t="n">
        <v>528</v>
      </c>
      <c r="H455" s="30" t="n">
        <v>-5.25</v>
      </c>
      <c r="I455" s="30" t="n">
        <v>1169148</v>
      </c>
      <c r="J455" s="30" t="inlineStr">
        <is>
          <t>532163</t>
        </is>
      </c>
    </row>
    <row r="456">
      <c r="A456" s="30" t="inlineStr">
        <is>
          <t>NAHARSPING</t>
        </is>
      </c>
      <c r="B456" s="30" t="inlineStr">
        <is>
          <t>Nahar Spinning Mills Limited</t>
        </is>
      </c>
      <c r="C456" s="30" t="inlineStr">
        <is>
          <t>textiles</t>
        </is>
      </c>
      <c r="D456" s="30" t="inlineStr">
        <is>
          <t>textiles - cotton/blended</t>
        </is>
      </c>
      <c r="E456" s="30" t="inlineStr">
        <is>
          <t>smallcap</t>
        </is>
      </c>
      <c r="F456" s="30" t="n">
        <v>1186.37</v>
      </c>
      <c r="G456" s="30" t="n">
        <v>309.8</v>
      </c>
      <c r="H456" s="30" t="n">
        <v>-5.82</v>
      </c>
      <c r="I456" s="30" t="n">
        <v>342549</v>
      </c>
      <c r="J456" s="30" t="inlineStr">
        <is>
          <t>500296</t>
        </is>
      </c>
    </row>
    <row r="457">
      <c r="A457" s="30" t="inlineStr">
        <is>
          <t>HTMEDIA</t>
        </is>
      </c>
      <c r="B457" s="30" t="inlineStr">
        <is>
          <t>Ht Media Limited</t>
        </is>
      </c>
      <c r="C457" s="30" t="inlineStr">
        <is>
          <t>media</t>
        </is>
      </c>
      <c r="D457" s="30" t="inlineStr">
        <is>
          <t>entertainment / electronic media software</t>
        </is>
      </c>
      <c r="E457" s="30" t="inlineStr">
        <is>
          <t>smallcap</t>
        </is>
      </c>
      <c r="F457" s="30" t="n">
        <v>667.13</v>
      </c>
      <c r="G457" s="30" t="n">
        <v>26.91</v>
      </c>
      <c r="H457" s="30" t="n">
        <v>-6.11</v>
      </c>
      <c r="I457" s="30" t="n">
        <v>771627</v>
      </c>
      <c r="J457" s="30" t="inlineStr">
        <is>
          <t>532662</t>
        </is>
      </c>
    </row>
  </sheetData>
  <autoFilter ref="A1:J4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SJS</t>
        </is>
      </c>
      <c r="E2" s="30" t="inlineStr">
        <is>
          <t>S J S Enterprises Ltd</t>
        </is>
      </c>
      <c r="F2" s="30" t="inlineStr">
        <is>
          <t>Auto Ancillaries - Diversified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24</v>
      </c>
      <c r="K2" s="30" t="n">
        <v>29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CUPID</t>
        </is>
      </c>
      <c r="E3" s="30" t="inlineStr">
        <is>
          <t>Cupid Limited</t>
        </is>
      </c>
      <c r="F3" s="30" t="inlineStr">
        <is>
          <t>Contraceptives/Protectives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20</v>
      </c>
      <c r="K3" s="30" t="n">
        <v>30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GRWRHITECH</t>
        </is>
      </c>
      <c r="E4" s="30" t="inlineStr">
        <is>
          <t>Garware Hi Tech Films Ltd</t>
        </is>
      </c>
      <c r="F4" s="30" t="inlineStr">
        <is>
          <t>Packaging - Films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22</v>
      </c>
      <c r="K4" s="30" t="n">
        <v>28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AETHER</t>
        </is>
      </c>
      <c r="E5" s="30" t="inlineStr">
        <is>
          <t>Aether Industries Ltd</t>
        </is>
      </c>
      <c r="F5" s="30" t="inlineStr">
        <is>
          <t>Speciality Chemicals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20</v>
      </c>
      <c r="K5" s="30" t="n">
        <v>25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KERNEX</t>
        </is>
      </c>
      <c r="E6" s="30" t="inlineStr">
        <is>
          <t>Kernex Microsystems (india) Limited</t>
        </is>
      </c>
      <c r="F6" s="30" t="inlineStr">
        <is>
          <t>Railways - Kavach/Springs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19</v>
      </c>
      <c r="K6" s="30" t="n">
        <v>28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SIGMAADV</t>
        </is>
      </c>
      <c r="E7" s="30" t="inlineStr">
        <is>
          <t>Sigma Advanced System Ltd</t>
        </is>
      </c>
      <c r="F7" s="30" t="inlineStr">
        <is>
          <t>Aerospace &amp; Defence - Equipments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20</v>
      </c>
      <c r="K7" s="30" t="n">
        <v>24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DIACABS</t>
        </is>
      </c>
      <c r="E8" s="30" t="inlineStr">
        <is>
          <t>Diamond Power Infrastructure Ltd</t>
        </is>
      </c>
      <c r="F8" s="30" t="inlineStr">
        <is>
          <t>Cables - Power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19</v>
      </c>
      <c r="K8" s="30" t="n">
        <v>28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PAYTM</t>
        </is>
      </c>
      <c r="E9" s="30" t="inlineStr">
        <is>
          <t>One 97 Communications Ltd</t>
        </is>
      </c>
      <c r="F9" s="30" t="inlineStr">
        <is>
          <t>E-Commerce - Platform - Utility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21</v>
      </c>
      <c r="K9" s="30" t="n">
        <v>16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UEL</t>
        </is>
      </c>
      <c r="E10" s="30" t="inlineStr">
        <is>
          <t>Ujaas Energy Ltd</t>
        </is>
      </c>
      <c r="F10" s="30" t="inlineStr">
        <is>
          <t>Capital Goods - Transformers</t>
        </is>
      </c>
      <c r="G10" s="30" t="n">
        <v>3</v>
      </c>
      <c r="H10" s="30" t="inlineStr">
        <is>
          <t>52W Breakout</t>
        </is>
      </c>
      <c r="I10" s="30" t="inlineStr">
        <is>
          <t>Yes</t>
        </is>
      </c>
      <c r="J10" s="30" t="n">
        <v>21</v>
      </c>
      <c r="K10" s="30" t="n">
        <v>4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NAVINFLUOR</t>
        </is>
      </c>
      <c r="E11" s="30" t="inlineStr">
        <is>
          <t>Navin Fluorine International Limited</t>
        </is>
      </c>
      <c r="F11" s="30" t="inlineStr">
        <is>
          <t>Chemicals - Flourine</t>
        </is>
      </c>
      <c r="G11" s="30" t="n">
        <v>3</v>
      </c>
      <c r="H11" s="30" t="inlineStr">
        <is>
          <t>52W Breakout</t>
        </is>
      </c>
      <c r="I11" s="30" t="inlineStr">
        <is>
          <t>Yes</t>
        </is>
      </c>
      <c r="J11" s="30" t="n">
        <v>25</v>
      </c>
      <c r="K11" s="30" t="n">
        <v>19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IBULLSLTD</t>
        </is>
      </c>
      <c r="E12" s="30" t="inlineStr">
        <is>
          <t>Indiabulls Limited</t>
        </is>
      </c>
      <c r="F12" s="30" t="inlineStr">
        <is>
          <t>Diversified</t>
        </is>
      </c>
      <c r="G12" s="30" t="n">
        <v>2</v>
      </c>
      <c r="H12" s="30" t="inlineStr">
        <is>
          <t>No</t>
        </is>
      </c>
      <c r="I12" s="30" t="inlineStr">
        <is>
          <t>Yes</t>
        </is>
      </c>
      <c r="J12" s="30" t="n">
        <v>19</v>
      </c>
      <c r="K12" s="30" t="n">
        <v>25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E2E</t>
        </is>
      </c>
      <c r="E13" s="30" t="inlineStr">
        <is>
          <t>E2E Networks Ltd</t>
        </is>
      </c>
      <c r="F13" s="30" t="inlineStr">
        <is>
          <t>Data Centre</t>
        </is>
      </c>
      <c r="G13" s="30" t="n">
        <v>2</v>
      </c>
      <c r="H13" s="30" t="inlineStr">
        <is>
          <t>No</t>
        </is>
      </c>
      <c r="I13" s="30" t="inlineStr">
        <is>
          <t>Yes</t>
        </is>
      </c>
      <c r="J13" s="30" t="n">
        <v>22</v>
      </c>
      <c r="K13" s="30" t="n">
        <v>13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AEGISLOG</t>
        </is>
      </c>
      <c r="E14" s="30" t="inlineStr">
        <is>
          <t>Aegis Logistics Ltd</t>
        </is>
      </c>
      <c r="F14" s="30" t="inlineStr">
        <is>
          <t>Logistics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23</v>
      </c>
      <c r="K14" s="30" t="n">
        <v>27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MENONBE</t>
        </is>
      </c>
      <c r="E15" s="30" t="inlineStr">
        <is>
          <t>Menon Bearings Limited</t>
        </is>
      </c>
      <c r="F15" s="30" t="inlineStr">
        <is>
          <t>Auto Ancillaries - Bearings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20</v>
      </c>
      <c r="K15" s="30" t="n">
        <v>26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SAKAR</t>
        </is>
      </c>
      <c r="E16" s="30" t="inlineStr">
        <is>
          <t>Sakar Healthcare Ltd</t>
        </is>
      </c>
      <c r="F16" s="30" t="inlineStr">
        <is>
          <t>Hospitals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23</v>
      </c>
      <c r="K16" s="30" t="n">
        <v>22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UJJIVANSFB</t>
        </is>
      </c>
      <c r="E17" s="30" t="inlineStr">
        <is>
          <t>Ujjivan Small Finance Bank Ltd</t>
        </is>
      </c>
      <c r="F17" s="30" t="inlineStr">
        <is>
          <t>Banks - Small Finance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24</v>
      </c>
      <c r="K17" s="30" t="n">
        <v>21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RBLBANK</t>
        </is>
      </c>
      <c r="E18" s="30" t="inlineStr">
        <is>
          <t>Rbl Bank Limited</t>
        </is>
      </c>
      <c r="F18" s="30" t="inlineStr">
        <is>
          <t>Banks - Private</t>
        </is>
      </c>
      <c r="G18" s="30" t="n">
        <v>2</v>
      </c>
      <c r="H18" s="30" t="inlineStr">
        <is>
          <t>52W Breakout</t>
        </is>
      </c>
      <c r="I18" s="30" t="inlineStr">
        <is>
          <t>Yes</t>
        </is>
      </c>
      <c r="J18" s="30" t="n">
        <v>9</v>
      </c>
      <c r="K18" s="30" t="n">
        <v>21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RPTECH</t>
        </is>
      </c>
      <c r="E19" s="30" t="inlineStr">
        <is>
          <t>Rashi Peripherals Ltd</t>
        </is>
      </c>
      <c r="F19" s="30" t="inlineStr">
        <is>
          <t>Trading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25</v>
      </c>
      <c r="K19" s="30" t="n">
        <v>28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ATHERENERG</t>
        </is>
      </c>
      <c r="E20" s="30" t="inlineStr">
        <is>
          <t>Ather Energy Ltd</t>
        </is>
      </c>
      <c r="F20" s="30" t="inlineStr">
        <is>
          <t>Auto - 2 &amp; 3 Wheelers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22</v>
      </c>
      <c r="K20" s="30" t="n">
        <v>22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REDINGTON</t>
        </is>
      </c>
      <c r="E21" s="30" t="inlineStr">
        <is>
          <t>Redington (india) Limited</t>
        </is>
      </c>
      <c r="F21" s="30" t="inlineStr">
        <is>
          <t>Computer - Hardware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23</v>
      </c>
      <c r="K21" s="30" t="n">
        <v>18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PGIL</t>
        </is>
      </c>
      <c r="E22" s="30" t="inlineStr">
        <is>
          <t>Pearl Global Industries Limited</t>
        </is>
      </c>
      <c r="F22" s="30" t="inlineStr">
        <is>
          <t>Textiles - Readymade Apparel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26</v>
      </c>
      <c r="K22" s="30" t="n">
        <v>23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TFCILTD</t>
        </is>
      </c>
      <c r="E23" s="30" t="inlineStr">
        <is>
          <t>Tourism Finance Corporation Of India Limited</t>
        </is>
      </c>
      <c r="F23" s="30" t="inlineStr">
        <is>
          <t>Finance - PSU Lending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25</v>
      </c>
      <c r="K23" s="30" t="n">
        <v>20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ESAFSFB</t>
        </is>
      </c>
      <c r="E24" s="30" t="inlineStr">
        <is>
          <t>ESAF Small Finance Bank Ltd</t>
        </is>
      </c>
      <c r="F24" s="30" t="inlineStr">
        <is>
          <t>Banks - Small Finance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24</v>
      </c>
      <c r="K24" s="30" t="n">
        <v>26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NEULANDLAB</t>
        </is>
      </c>
      <c r="E25" s="30" t="inlineStr">
        <is>
          <t>Neuland Laboratories Limited</t>
        </is>
      </c>
      <c r="F25" s="30" t="inlineStr">
        <is>
          <t>Pharma - API &amp; CRAMS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26</v>
      </c>
      <c r="K25" s="30" t="n">
        <v>26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STOVEKRAFT</t>
        </is>
      </c>
      <c r="E26" s="30" t="inlineStr">
        <is>
          <t>Stove Kraft Ltd</t>
        </is>
      </c>
      <c r="F26" s="30" t="inlineStr">
        <is>
          <t>Domestic Appliances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19</v>
      </c>
      <c r="K26" s="30" t="n">
        <v>26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SANGHVIMOV</t>
        </is>
      </c>
      <c r="E27" s="30" t="inlineStr">
        <is>
          <t>Sanghvi Movers Limited</t>
        </is>
      </c>
      <c r="F27" s="30" t="inlineStr">
        <is>
          <t>Capital Goods - EPC/Cranes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21</v>
      </c>
      <c r="K27" s="30" t="n">
        <v>22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THYROCARE</t>
        </is>
      </c>
      <c r="E28" s="30" t="inlineStr">
        <is>
          <t>Thyrocare Technologies Limited</t>
        </is>
      </c>
      <c r="F28" s="30" t="inlineStr">
        <is>
          <t>Diagnostics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21</v>
      </c>
      <c r="K28" s="30" t="n">
        <v>26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HUHTAMAKI</t>
        </is>
      </c>
      <c r="E29" s="30" t="inlineStr">
        <is>
          <t>Huhtamaki India Ltd</t>
        </is>
      </c>
      <c r="F29" s="30" t="inlineStr">
        <is>
          <t>Packaging - FMCG/Consumers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20</v>
      </c>
      <c r="K29" s="30" t="n">
        <v>13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AUBANK</t>
        </is>
      </c>
      <c r="E30" s="30" t="inlineStr">
        <is>
          <t>AU Small Finance Bank Ltd</t>
        </is>
      </c>
      <c r="F30" s="30" t="inlineStr">
        <is>
          <t>Banks - Small Finance</t>
        </is>
      </c>
      <c r="G30" s="30" t="n">
        <v>2</v>
      </c>
      <c r="H30" s="30" t="inlineStr">
        <is>
          <t>52W Breakout</t>
        </is>
      </c>
      <c r="I30" s="30" t="inlineStr">
        <is>
          <t>Yes</t>
        </is>
      </c>
      <c r="J30" s="30" t="n">
        <v>16</v>
      </c>
      <c r="K30" s="30" t="n">
        <v>18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UNIPARTS</t>
        </is>
      </c>
      <c r="E31" s="30" t="inlineStr">
        <is>
          <t>Uniparts India Ltd</t>
        </is>
      </c>
      <c r="F31" s="30" t="inlineStr">
        <is>
          <t>Castings, Forgings &amp; Fastners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27</v>
      </c>
      <c r="K31" s="30" t="n">
        <v>29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CENTENKA</t>
        </is>
      </c>
      <c r="E32" s="30" t="inlineStr">
        <is>
          <t>Century Enka Limited</t>
        </is>
      </c>
      <c r="F32" s="30" t="inlineStr">
        <is>
          <t>Textiles - Manmade Fibre - PFY/PSF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24</v>
      </c>
      <c r="K32" s="30" t="n">
        <v>29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RRKABEL</t>
        </is>
      </c>
      <c r="E33" s="30" t="inlineStr">
        <is>
          <t>R R Kabel Ltd</t>
        </is>
      </c>
      <c r="F33" s="30" t="inlineStr">
        <is>
          <t>Cables - Power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25</v>
      </c>
      <c r="K33" s="30" t="n">
        <v>29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KDDL</t>
        </is>
      </c>
      <c r="E34" s="30" t="inlineStr">
        <is>
          <t>Kddl Limited</t>
        </is>
      </c>
      <c r="F34" s="30" t="inlineStr">
        <is>
          <t>Watches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19</v>
      </c>
      <c r="K34" s="30" t="n">
        <v>24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FILATEX</t>
        </is>
      </c>
      <c r="E35" s="30" t="inlineStr">
        <is>
          <t>Filatex India Limited</t>
        </is>
      </c>
      <c r="F35" s="30" t="inlineStr">
        <is>
          <t>Textiles - Manmade Fibre - PFY/PSF</t>
        </is>
      </c>
      <c r="G35" s="30" t="n">
        <v>2</v>
      </c>
      <c r="H35" s="30" t="inlineStr">
        <is>
          <t>52W Breakout</t>
        </is>
      </c>
      <c r="I35" s="30" t="inlineStr">
        <is>
          <t>Yes</t>
        </is>
      </c>
      <c r="J35" s="30" t="n">
        <v>16</v>
      </c>
      <c r="K35" s="30" t="n">
        <v>22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MONARCH</t>
        </is>
      </c>
      <c r="E36" s="30" t="inlineStr">
        <is>
          <t>Monarch Networth Capital Ltd</t>
        </is>
      </c>
      <c r="F36" s="30" t="inlineStr">
        <is>
          <t>Finance - Capital Markets - Brokers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21</v>
      </c>
      <c r="K36" s="30" t="n">
        <v>26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TMB</t>
        </is>
      </c>
      <c r="E37" s="30" t="inlineStr">
        <is>
          <t>Tamilnad Mercantile Bank Ltd</t>
        </is>
      </c>
      <c r="F37" s="30" t="inlineStr">
        <is>
          <t>Banks - Private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20</v>
      </c>
      <c r="K37" s="30" t="n">
        <v>25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SHILPAMED</t>
        </is>
      </c>
      <c r="E38" s="30" t="inlineStr">
        <is>
          <t>Shilpa Medicare Limited</t>
        </is>
      </c>
      <c r="F38" s="30" t="inlineStr">
        <is>
          <t>Pharma - API &amp; CRAMS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26</v>
      </c>
      <c r="K38" s="30" t="n">
        <v>25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GHCLTEXTIL</t>
        </is>
      </c>
      <c r="E39" s="30" t="inlineStr">
        <is>
          <t>GHCL Textiles Ltd</t>
        </is>
      </c>
      <c r="F39" s="30" t="inlineStr">
        <is>
          <t>Textiles - General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24</v>
      </c>
      <c r="K39" s="30" t="n">
        <v>17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UFBL</t>
        </is>
      </c>
      <c r="E40" s="30" t="inlineStr">
        <is>
          <t>United Foodbrands Ltd</t>
        </is>
      </c>
      <c r="F40" s="30" t="inlineStr">
        <is>
          <t>Quick Service Restaurant - QSR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20</v>
      </c>
      <c r="K40" s="30" t="n">
        <v>24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THELEELA</t>
        </is>
      </c>
      <c r="E41" s="30" t="inlineStr">
        <is>
          <t>Leela Palaces Hotels &amp; Resorts Ltd</t>
        </is>
      </c>
      <c r="F41" s="30" t="inlineStr">
        <is>
          <t>Hotels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22</v>
      </c>
      <c r="K41" s="30" t="n">
        <v>22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RATEGAIN</t>
        </is>
      </c>
      <c r="E42" s="30" t="inlineStr">
        <is>
          <t>Rategain Travel Technologies Ltd</t>
        </is>
      </c>
      <c r="F42" s="30" t="inlineStr">
        <is>
          <t>IT Product Companies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24</v>
      </c>
      <c r="K42" s="30" t="n">
        <v>23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MPSLTD</t>
        </is>
      </c>
      <c r="E43" s="30" t="inlineStr">
        <is>
          <t>Mps Limited</t>
        </is>
      </c>
      <c r="F43" s="30" t="inlineStr">
        <is>
          <t>E-Commerce - Platform - Utility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24</v>
      </c>
      <c r="K43" s="30" t="n">
        <v>11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FIEMIND</t>
        </is>
      </c>
      <c r="E44" s="30" t="inlineStr">
        <is>
          <t>Fiem Industries Limited</t>
        </is>
      </c>
      <c r="F44" s="30" t="inlineStr">
        <is>
          <t>Auto Ancillaries - 2&amp;3 Wheelers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21</v>
      </c>
      <c r="K44" s="30" t="n">
        <v>14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SHAILY</t>
        </is>
      </c>
      <c r="E45" s="30" t="inlineStr">
        <is>
          <t>Shaily Engineering Plastics Ltd</t>
        </is>
      </c>
      <c r="F45" s="30" t="inlineStr">
        <is>
          <t>Plastics - Plastic &amp; Plastic Products</t>
        </is>
      </c>
      <c r="G45" s="30" t="n">
        <v>2</v>
      </c>
      <c r="H45" s="30" t="inlineStr">
        <is>
          <t>52W Breakout</t>
        </is>
      </c>
      <c r="I45" s="30" t="inlineStr">
        <is>
          <t>Yes</t>
        </is>
      </c>
      <c r="J45" s="30" t="n">
        <v>18</v>
      </c>
      <c r="K45" s="30" t="n">
        <v>17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SANSERA</t>
        </is>
      </c>
      <c r="E46" s="30" t="inlineStr">
        <is>
          <t>Sansera Engineering Ltd</t>
        </is>
      </c>
      <c r="F46" s="30" t="inlineStr">
        <is>
          <t>Auto Ancillaries - Diversified</t>
        </is>
      </c>
      <c r="G46" s="30" t="n">
        <v>2</v>
      </c>
      <c r="H46" s="30" t="inlineStr">
        <is>
          <t>52W Breakout</t>
        </is>
      </c>
      <c r="I46" s="30" t="inlineStr">
        <is>
          <t>Yes</t>
        </is>
      </c>
      <c r="J46" s="30" t="n">
        <v>16</v>
      </c>
      <c r="K46" s="30" t="n">
        <v>26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OFSS</t>
        </is>
      </c>
      <c r="E47" s="30" t="inlineStr">
        <is>
          <t>Oracle Financial Services Software Limited</t>
        </is>
      </c>
      <c r="F47" s="30" t="inlineStr">
        <is>
          <t>IT Product Companies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20</v>
      </c>
      <c r="K47" s="30" t="n">
        <v>15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LAURUSLABS</t>
        </is>
      </c>
      <c r="E48" s="30" t="inlineStr">
        <is>
          <t>Laurus Labs Limited</t>
        </is>
      </c>
      <c r="F48" s="30" t="inlineStr">
        <is>
          <t>Pharma - API &amp; CRAMS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22</v>
      </c>
      <c r="K48" s="30" t="n">
        <v>30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CRAFTSMAN</t>
        </is>
      </c>
      <c r="E49" s="30" t="inlineStr">
        <is>
          <t>Craftsman Automation Ltd</t>
        </is>
      </c>
      <c r="F49" s="30" t="inlineStr">
        <is>
          <t>Auto &amp; Auto Ancl - CV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24</v>
      </c>
      <c r="K49" s="30" t="n">
        <v>25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SOTL</t>
        </is>
      </c>
      <c r="E50" s="30" t="inlineStr">
        <is>
          <t>Savita Oil Technologies Limited</t>
        </is>
      </c>
      <c r="F50" s="30" t="inlineStr">
        <is>
          <t>Petrochem - Others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31</v>
      </c>
      <c r="K50" s="30" t="n">
        <v>23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RAIN</t>
        </is>
      </c>
      <c r="E51" s="30" t="inlineStr">
        <is>
          <t>Rain Industries Limited</t>
        </is>
      </c>
      <c r="F51" s="30" t="inlineStr">
        <is>
          <t>Cement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19</v>
      </c>
      <c r="K51" s="30" t="n">
        <v>24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SWANDEF</t>
        </is>
      </c>
      <c r="E52" s="30" t="inlineStr">
        <is>
          <t>Swan Defence and Heavy Industries Ltd</t>
        </is>
      </c>
      <c r="F52" s="30" t="inlineStr">
        <is>
          <t>Ship - Docks/Breaking/Repairs</t>
        </is>
      </c>
      <c r="G52" s="30" t="n">
        <v>2</v>
      </c>
      <c r="H52" s="30" t="inlineStr">
        <is>
          <t>52W Breakout</t>
        </is>
      </c>
      <c r="I52" s="30" t="inlineStr">
        <is>
          <t>Yes</t>
        </is>
      </c>
      <c r="J52" s="30" t="n">
        <v>13</v>
      </c>
      <c r="K52" s="30" t="n">
        <v>27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PIDILITIND</t>
        </is>
      </c>
      <c r="E53" s="30" t="inlineStr">
        <is>
          <t>Pidilite Industries Limited</t>
        </is>
      </c>
      <c r="F53" s="30" t="inlineStr">
        <is>
          <t>Speciality Chemicals</t>
        </is>
      </c>
      <c r="G53" s="30" t="n">
        <v>2</v>
      </c>
      <c r="H53" s="30" t="inlineStr">
        <is>
          <t>52W Breakout</t>
        </is>
      </c>
      <c r="I53" s="30" t="inlineStr">
        <is>
          <t>Yes</t>
        </is>
      </c>
      <c r="J53" s="30" t="n">
        <v>12</v>
      </c>
      <c r="K53" s="30" t="n">
        <v>27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DIVISLAB</t>
        </is>
      </c>
      <c r="E54" s="30" t="inlineStr">
        <is>
          <t>Divi's Laboratories Limited</t>
        </is>
      </c>
      <c r="F54" s="30" t="inlineStr">
        <is>
          <t>Pharma - API &amp; CRAMS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19</v>
      </c>
      <c r="K54" s="30" t="n">
        <v>18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IGPL</t>
        </is>
      </c>
      <c r="E55" s="30" t="inlineStr">
        <is>
          <t>Ig Petrochemicals Limited</t>
        </is>
      </c>
      <c r="F55" s="30" t="inlineStr">
        <is>
          <t>Chemicals - Organic - Maleic Anhydride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20</v>
      </c>
      <c r="K55" s="30" t="n">
        <v>17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CHENNPETRO</t>
        </is>
      </c>
      <c r="E56" s="30" t="inlineStr">
        <is>
          <t>Chennai Petroleum Corporation Limited</t>
        </is>
      </c>
      <c r="F56" s="30" t="inlineStr">
        <is>
          <t>Refineries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24</v>
      </c>
      <c r="K56" s="30" t="n">
        <v>19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KRISHANA</t>
        </is>
      </c>
      <c r="E57" s="30" t="inlineStr">
        <is>
          <t>Krishana Phoschem Ltd</t>
        </is>
      </c>
      <c r="F57" s="30" t="inlineStr">
        <is>
          <t>Fertilisers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22</v>
      </c>
      <c r="K57" s="30" t="n">
        <v>18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DPABHUSHAN</t>
        </is>
      </c>
      <c r="E58" s="30" t="inlineStr">
        <is>
          <t>D.P. Abhushan Ltd</t>
        </is>
      </c>
      <c r="F58" s="30" t="inlineStr">
        <is>
          <t>Diamond, Gems &amp; Jewellery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21</v>
      </c>
      <c r="K58" s="30" t="n">
        <v>9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ASTERDM</t>
        </is>
      </c>
      <c r="E59" s="30" t="inlineStr">
        <is>
          <t>Aster DM Healthcare Ltd</t>
        </is>
      </c>
      <c r="F59" s="30" t="inlineStr">
        <is>
          <t>Hospitals</t>
        </is>
      </c>
      <c r="G59" s="30" t="n">
        <v>2</v>
      </c>
      <c r="H59" s="30" t="inlineStr">
        <is>
          <t>52W Breakout</t>
        </is>
      </c>
      <c r="I59" s="30" t="inlineStr">
        <is>
          <t>Yes</t>
        </is>
      </c>
      <c r="J59" s="30" t="n">
        <v>11</v>
      </c>
      <c r="K59" s="30" t="n">
        <v>19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YASHO</t>
        </is>
      </c>
      <c r="E60" s="30" t="inlineStr">
        <is>
          <t>Yasho Industries Ltd</t>
        </is>
      </c>
      <c r="F60" s="30" t="inlineStr">
        <is>
          <t>Speciality Chemicals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25</v>
      </c>
      <c r="K60" s="30" t="n">
        <v>30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SHRIRAMFIN</t>
        </is>
      </c>
      <c r="E61" s="30" t="inlineStr">
        <is>
          <t>Shriram Finance Ltd</t>
        </is>
      </c>
      <c r="F61" s="30" t="inlineStr">
        <is>
          <t>Finance &amp; Investments - CV Finance</t>
        </is>
      </c>
      <c r="G61" s="30" t="n">
        <v>2</v>
      </c>
      <c r="H61" s="30" t="inlineStr">
        <is>
          <t>52W Breakout</t>
        </is>
      </c>
      <c r="I61" s="30" t="inlineStr">
        <is>
          <t>Yes</t>
        </is>
      </c>
      <c r="J61" s="30" t="n">
        <v>18</v>
      </c>
      <c r="K61" s="30" t="n">
        <v>19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IRISDOREME</t>
        </is>
      </c>
      <c r="E62" s="30" t="inlineStr">
        <is>
          <t>Iris Clothings Ltd</t>
        </is>
      </c>
      <c r="F62" s="30" t="inlineStr">
        <is>
          <t>Textiles - Readymade Apparel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22</v>
      </c>
      <c r="K62" s="30" t="n">
        <v>27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MOREPENLAB</t>
        </is>
      </c>
      <c r="E63" s="30" t="inlineStr">
        <is>
          <t>Morepen Laboratories Limited</t>
        </is>
      </c>
      <c r="F63" s="30" t="inlineStr">
        <is>
          <t>Pharma - API &amp; CRAMS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25</v>
      </c>
      <c r="K63" s="30" t="n">
        <v>8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GANDHAR</t>
        </is>
      </c>
      <c r="E64" s="30" t="inlineStr">
        <is>
          <t>Gandhar Oil Refinery (India) Ltd</t>
        </is>
      </c>
      <c r="F64" s="30" t="inlineStr">
        <is>
          <t>Refineries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19</v>
      </c>
      <c r="K64" s="30" t="n">
        <v>19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KABRAEXTRU</t>
        </is>
      </c>
      <c r="E65" s="30" t="inlineStr">
        <is>
          <t>Kabra Extrusion Technik Limited</t>
        </is>
      </c>
      <c r="F65" s="30" t="inlineStr">
        <is>
          <t>Capital Goods - Engineering Heavy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23</v>
      </c>
      <c r="K65" s="30" t="n">
        <v>15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LALPATHLAB</t>
        </is>
      </c>
      <c r="E66" s="30" t="inlineStr">
        <is>
          <t>Dr. Lal Path Labs Ltd.</t>
        </is>
      </c>
      <c r="F66" s="30" t="inlineStr">
        <is>
          <t>Diagnostics</t>
        </is>
      </c>
      <c r="G66" s="30" t="n">
        <v>2</v>
      </c>
      <c r="H66" s="30" t="inlineStr">
        <is>
          <t>52W Breakout</t>
        </is>
      </c>
      <c r="I66" s="30" t="inlineStr">
        <is>
          <t>Yes</t>
        </is>
      </c>
      <c r="J66" s="30" t="n">
        <v>15</v>
      </c>
      <c r="K66" s="30" t="n">
        <v>25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INDOTECH</t>
        </is>
      </c>
      <c r="E67" s="30" t="inlineStr">
        <is>
          <t>Indo Tech Transformers Limited</t>
        </is>
      </c>
      <c r="F67" s="30" t="inlineStr">
        <is>
          <t>Capital Goods - Transformers</t>
        </is>
      </c>
      <c r="G67" s="30" t="n">
        <v>2</v>
      </c>
      <c r="H67" s="30" t="inlineStr">
        <is>
          <t>52W Breakout</t>
        </is>
      </c>
      <c r="I67" s="30" t="inlineStr">
        <is>
          <t>Yes</t>
        </is>
      </c>
      <c r="J67" s="30" t="n">
        <v>16</v>
      </c>
      <c r="K67" s="30" t="n">
        <v>24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COFORGE</t>
        </is>
      </c>
      <c r="E68" s="30" t="inlineStr">
        <is>
          <t>Coforge (Niit Tech) Ltd</t>
        </is>
      </c>
      <c r="F68" s="30" t="inlineStr">
        <is>
          <t>IT - Software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20</v>
      </c>
      <c r="K68" s="30" t="n">
        <v>7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MAHLIFE</t>
        </is>
      </c>
      <c r="E69" s="30" t="inlineStr">
        <is>
          <t>Mahindra Lifespace Developers Limited</t>
        </is>
      </c>
      <c r="F69" s="30" t="inlineStr">
        <is>
          <t>Construction &amp; Contracting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23</v>
      </c>
      <c r="K69" s="30" t="n">
        <v>21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LODHA</t>
        </is>
      </c>
      <c r="E70" s="30" t="inlineStr">
        <is>
          <t>Lodha Developers Ltd</t>
        </is>
      </c>
      <c r="F70" s="30" t="inlineStr">
        <is>
          <t>Realty - National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19</v>
      </c>
      <c r="K70" s="30" t="n">
        <v>10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POONAWALLA</t>
        </is>
      </c>
      <c r="E71" s="30" t="inlineStr">
        <is>
          <t>Poonawalla Fincorp Ltd</t>
        </is>
      </c>
      <c r="F71" s="30" t="inlineStr">
        <is>
          <t>Conglomerate Backed NBFC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19</v>
      </c>
      <c r="K71" s="30" t="n">
        <v>10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RBA</t>
        </is>
      </c>
      <c r="E72" s="30" t="inlineStr">
        <is>
          <t>Restaurant Brands Asia Ltd</t>
        </is>
      </c>
      <c r="F72" s="30" t="inlineStr">
        <is>
          <t>Quick Service Restaurant - QSR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20</v>
      </c>
      <c r="K72" s="30" t="n">
        <v>13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ASKAUTOLTD</t>
        </is>
      </c>
      <c r="E73" s="30" t="inlineStr">
        <is>
          <t>ASK Automotive Ltd</t>
        </is>
      </c>
      <c r="F73" s="30" t="inlineStr">
        <is>
          <t>Auto Ancillaries - 2 Wheelers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24</v>
      </c>
      <c r="K73" s="30" t="n">
        <v>18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SKYGOLD</t>
        </is>
      </c>
      <c r="E74" s="30" t="inlineStr">
        <is>
          <t>Sky Gold Ltd</t>
        </is>
      </c>
      <c r="F74" s="30" t="inlineStr">
        <is>
          <t>Diamond, Gems &amp; Jewellery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26</v>
      </c>
      <c r="K74" s="30" t="n">
        <v>20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ANTELOPUS</t>
        </is>
      </c>
      <c r="E75" s="30" t="inlineStr">
        <is>
          <t>Antelopus Selan Energy Ltd</t>
        </is>
      </c>
      <c r="F75" s="30" t="inlineStr">
        <is>
          <t>Oil Drilling &amp; Exploration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21</v>
      </c>
      <c r="K75" s="30" t="n">
        <v>12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ROSSTECH</t>
        </is>
      </c>
      <c r="E76" s="30" t="inlineStr">
        <is>
          <t>Rossell Techsys Ltd</t>
        </is>
      </c>
      <c r="F76" s="30" t="inlineStr">
        <is>
          <t>Aerospace &amp; Defence - Equipments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22</v>
      </c>
      <c r="K76" s="30" t="n">
        <v>7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INDNIPPON</t>
        </is>
      </c>
      <c r="E77" s="30" t="inlineStr">
        <is>
          <t>India Nippon Electricals Limited</t>
        </is>
      </c>
      <c r="F77" s="30" t="inlineStr">
        <is>
          <t>Auto Ancillaries - Engine Parts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19</v>
      </c>
      <c r="K77" s="30" t="n">
        <v>27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CHOLAFIN</t>
        </is>
      </c>
      <c r="E78" s="30" t="inlineStr">
        <is>
          <t>Cholamandalam Investment And Finance Company Limited</t>
        </is>
      </c>
      <c r="F78" s="30" t="inlineStr">
        <is>
          <t>Conglomerate Backed NBFC</t>
        </is>
      </c>
      <c r="G78" s="30" t="n">
        <v>2</v>
      </c>
      <c r="H78" s="30" t="inlineStr">
        <is>
          <t>52W Breakout</t>
        </is>
      </c>
      <c r="I78" s="30" t="inlineStr">
        <is>
          <t>Yes</t>
        </is>
      </c>
      <c r="J78" s="30" t="n">
        <v>18</v>
      </c>
      <c r="K78" s="30" t="n">
        <v>20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ETHOSLTD</t>
        </is>
      </c>
      <c r="E79" s="30" t="inlineStr">
        <is>
          <t>Ethos Ltd</t>
        </is>
      </c>
      <c r="F79" s="30" t="inlineStr">
        <is>
          <t>Watches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21</v>
      </c>
      <c r="K79" s="30" t="n">
        <v>7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DEEPINDS</t>
        </is>
      </c>
      <c r="E80" s="30" t="inlineStr">
        <is>
          <t>Deep Industries Ltd</t>
        </is>
      </c>
      <c r="F80" s="30" t="inlineStr">
        <is>
          <t>Oil Drilling &amp; Exploration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23</v>
      </c>
      <c r="K80" s="30" t="n">
        <v>10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RAMRAT</t>
        </is>
      </c>
      <c r="E81" s="30" t="inlineStr">
        <is>
          <t>Ram Ratna Wires Ltd</t>
        </is>
      </c>
      <c r="F81" s="30" t="inlineStr">
        <is>
          <t>Copper Wires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20</v>
      </c>
      <c r="K81" s="30" t="n">
        <v>10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KALYANKJIL</t>
        </is>
      </c>
      <c r="E82" s="30" t="inlineStr">
        <is>
          <t>Kalyan Jewellers India Ltd</t>
        </is>
      </c>
      <c r="F82" s="30" t="inlineStr">
        <is>
          <t>Diamond, Gems &amp; Jewellery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22</v>
      </c>
      <c r="K82" s="30" t="n">
        <v>13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CGCL</t>
        </is>
      </c>
      <c r="E83" s="30" t="inlineStr">
        <is>
          <t>Capri Global Capital Limited</t>
        </is>
      </c>
      <c r="F83" s="30" t="inlineStr">
        <is>
          <t>Finance &amp; Investments - Gold Loan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19</v>
      </c>
      <c r="K83" s="30" t="n">
        <v>23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APCOTEXIND</t>
        </is>
      </c>
      <c r="E84" s="30" t="inlineStr">
        <is>
          <t>Apcotex Industries Limited</t>
        </is>
      </c>
      <c r="F84" s="30" t="inlineStr">
        <is>
          <t>Rubber Processing/Rubber Products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22</v>
      </c>
      <c r="K84" s="30" t="n">
        <v>25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RKFORGE</t>
        </is>
      </c>
      <c r="E85" s="30" t="inlineStr">
        <is>
          <t>Ramkrishna Forgings Limited</t>
        </is>
      </c>
      <c r="F85" s="30" t="inlineStr">
        <is>
          <t>Castings, Forgings &amp; Fastners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19</v>
      </c>
      <c r="K85" s="30" t="n">
        <v>16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IMFA</t>
        </is>
      </c>
      <c r="E86" s="30" t="inlineStr">
        <is>
          <t>Indian Metals &amp; Ferro Alloys Limited</t>
        </is>
      </c>
      <c r="F86" s="30" t="inlineStr">
        <is>
          <t>Mining/Minerals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21</v>
      </c>
      <c r="K86" s="30" t="n">
        <v>5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PRICOLLTD</t>
        </is>
      </c>
      <c r="E87" s="30" t="inlineStr">
        <is>
          <t>Pricol Ltd.</t>
        </is>
      </c>
      <c r="F87" s="30" t="inlineStr">
        <is>
          <t>Auto Ancillaries - 2 Wheelers</t>
        </is>
      </c>
      <c r="G87" s="30" t="n">
        <v>2</v>
      </c>
      <c r="H87" s="30" t="inlineStr">
        <is>
          <t>No</t>
        </is>
      </c>
      <c r="I87" s="30" t="inlineStr">
        <is>
          <t>Yes</t>
        </is>
      </c>
      <c r="J87" s="30" t="n">
        <v>26</v>
      </c>
      <c r="K87" s="30" t="n">
        <v>18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KAPSTON</t>
        </is>
      </c>
      <c r="E88" s="30" t="inlineStr">
        <is>
          <t>Kapston Services Ltd</t>
        </is>
      </c>
      <c r="F88" s="30" t="inlineStr">
        <is>
          <t>unknown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0</v>
      </c>
      <c r="K88" s="30" t="n">
        <v>27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GOODLUCK</t>
        </is>
      </c>
      <c r="E89" s="30" t="inlineStr">
        <is>
          <t>Goodluck India Limited</t>
        </is>
      </c>
      <c r="F89" s="30" t="inlineStr">
        <is>
          <t>unknown</t>
        </is>
      </c>
      <c r="G89" s="30" t="n">
        <v>2</v>
      </c>
      <c r="H89" s="30" t="inlineStr">
        <is>
          <t>No</t>
        </is>
      </c>
      <c r="I89" s="30" t="inlineStr">
        <is>
          <t>Yes</t>
        </is>
      </c>
      <c r="J89" s="30" t="n">
        <v>0</v>
      </c>
      <c r="K89" s="30" t="n">
        <v>16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LLOYDSME</t>
        </is>
      </c>
      <c r="E90" s="30" t="inlineStr">
        <is>
          <t>Lloyds Metals &amp; Energy Ltd</t>
        </is>
      </c>
      <c r="F90" s="30" t="inlineStr">
        <is>
          <t>Mining/Minerals - Iron Ore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20</v>
      </c>
      <c r="K90" s="30" t="n">
        <v>17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GAEL</t>
        </is>
      </c>
      <c r="E91" s="30" t="inlineStr">
        <is>
          <t>Gujarat Ambuja Exports Limited</t>
        </is>
      </c>
      <c r="F91" s="30" t="inlineStr">
        <is>
          <t>Agricultural Processing - Maize</t>
        </is>
      </c>
      <c r="G91" s="30" t="n">
        <v>2</v>
      </c>
      <c r="H91" s="30" t="inlineStr">
        <is>
          <t>No</t>
        </is>
      </c>
      <c r="I91" s="30" t="inlineStr">
        <is>
          <t>Yes</t>
        </is>
      </c>
      <c r="J91" s="30" t="n">
        <v>28</v>
      </c>
      <c r="K91" s="30" t="n">
        <v>13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MACPOWER</t>
        </is>
      </c>
      <c r="E92" s="30" t="inlineStr">
        <is>
          <t>Macpower CNC Machines Ltd</t>
        </is>
      </c>
      <c r="F92" s="30" t="inlineStr">
        <is>
          <t>CNC - Machines</t>
        </is>
      </c>
      <c r="G92" s="30" t="n">
        <v>2</v>
      </c>
      <c r="H92" s="30" t="inlineStr">
        <is>
          <t>No</t>
        </is>
      </c>
      <c r="I92" s="30" t="inlineStr">
        <is>
          <t>Yes</t>
        </is>
      </c>
      <c r="J92" s="30" t="n">
        <v>27</v>
      </c>
      <c r="K92" s="30" t="n">
        <v>20</v>
      </c>
    </row>
  </sheetData>
  <autoFilter ref="A1:K92"/>
  <conditionalFormatting sqref="G2:G9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2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40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IF(B2=0,"",RANK(B2,$B$2:$B$405,0))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SCPL</t>
        </is>
      </c>
      <c r="D2" s="30" t="inlineStr">
        <is>
          <t>Sheetal Cool Products Ltd</t>
        </is>
      </c>
      <c r="E2" s="30" t="inlineStr">
        <is>
          <t>fmcg</t>
        </is>
      </c>
      <c r="F2" s="30" t="inlineStr">
        <is>
          <t>food - processing - indian</t>
        </is>
      </c>
      <c r="G2" s="30" t="inlineStr">
        <is>
          <t>smallcap</t>
        </is>
      </c>
      <c r="H2" s="31" t="n">
        <v>676.99</v>
      </c>
      <c r="I2" s="31" t="n">
        <v>640.25</v>
      </c>
      <c r="J2" s="31" t="n">
        <v>-0.7</v>
      </c>
      <c r="K2" s="31" t="n">
        <v>37169</v>
      </c>
      <c r="L2" s="30" t="n">
        <v>96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73.73</v>
      </c>
      <c r="P2" s="31" t="n">
        <v>58.87</v>
      </c>
      <c r="Q2" s="31" t="n">
        <v>453.14</v>
      </c>
      <c r="R2" s="30" t="inlineStr">
        <is>
          <t>Near 52W High Breakout</t>
        </is>
      </c>
      <c r="S2" s="30" t="inlineStr">
        <is>
          <t>Nifty FMCG</t>
        </is>
      </c>
      <c r="T2" s="31" t="n">
        <v>-9.75</v>
      </c>
      <c r="U2" s="31" t="n">
        <v>117.94</v>
      </c>
      <c r="V2" s="31" t="n">
        <v>141.48</v>
      </c>
      <c r="W2" s="31" t="n">
        <v>42.53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IF(B3=0,"",RANK(B3,$B$2:$B$405,0))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IBULLSLTD</t>
        </is>
      </c>
      <c r="D3" s="30" t="inlineStr">
        <is>
          <t>Indiabulls Limited</t>
        </is>
      </c>
      <c r="E3" s="30" t="inlineStr">
        <is>
          <t>miscellaneous</t>
        </is>
      </c>
      <c r="F3" s="30" t="inlineStr">
        <is>
          <t>diversified - medium / small</t>
        </is>
      </c>
      <c r="G3" s="30" t="inlineStr">
        <is>
          <t>midcap</t>
        </is>
      </c>
      <c r="H3" s="31" t="n">
        <v>6767.32</v>
      </c>
      <c r="I3" s="31" t="n">
        <v>30.5</v>
      </c>
      <c r="J3" s="31" t="n">
        <v>4.99</v>
      </c>
      <c r="K3" s="31" t="n">
        <v>4589410</v>
      </c>
      <c r="L3" s="30" t="n">
        <v>94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70.56</v>
      </c>
      <c r="P3" s="31" t="n">
        <v>46.36</v>
      </c>
      <c r="Q3" s="31" t="n">
        <v>21.26</v>
      </c>
      <c r="R3" s="30" t="inlineStr">
        <is>
          <t>Near 52W High Breakout</t>
        </is>
      </c>
      <c r="S3" s="30" t="inlineStr">
        <is>
          <t>Nifty 50</t>
        </is>
      </c>
      <c r="T3" s="31" t="n">
        <v>1.09</v>
      </c>
      <c r="U3" s="31" t="n">
        <v>83.40000000000001</v>
      </c>
      <c r="V3" s="31" t="n">
        <v>81.43000000000001</v>
      </c>
      <c r="W3" s="31" t="n">
        <v>34.15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IF(B4=0,"",RANK(B4,$B$2:$B$405,0))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TINNARUBR</t>
        </is>
      </c>
      <c r="D4" s="30" t="inlineStr">
        <is>
          <t>Tinna Rubber &amp; Infrastructure Ltd</t>
        </is>
      </c>
      <c r="E4" s="30" t="inlineStr">
        <is>
          <t>fmcg</t>
        </is>
      </c>
      <c r="F4" s="30" t="inlineStr">
        <is>
          <t>miscellaneous</t>
        </is>
      </c>
      <c r="G4" s="30" t="inlineStr">
        <is>
          <t>smallcap</t>
        </is>
      </c>
      <c r="H4" s="31" t="n">
        <v>2031.82</v>
      </c>
      <c r="I4" s="31" t="n">
        <v>1100.6</v>
      </c>
      <c r="J4" s="31" t="n">
        <v>-2.41</v>
      </c>
      <c r="K4" s="31" t="n">
        <v>53795</v>
      </c>
      <c r="L4" s="30" t="n">
        <v>78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69.39</v>
      </c>
      <c r="P4" s="31" t="n">
        <v>40.53</v>
      </c>
      <c r="Q4" s="31" t="n">
        <v>793.1900000000001</v>
      </c>
      <c r="R4" s="30" t="inlineStr">
        <is>
          <t>Near 52W High Breakout</t>
        </is>
      </c>
      <c r="S4" s="30" t="inlineStr">
        <is>
          <t>Nifty FMCG</t>
        </is>
      </c>
      <c r="T4" s="31" t="n">
        <v>-9.75</v>
      </c>
      <c r="U4" s="31" t="n">
        <v>21.5</v>
      </c>
      <c r="V4" s="31" t="n">
        <v>34.62</v>
      </c>
      <c r="W4" s="31" t="n">
        <v>19.85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B2C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Annuity, Lower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IF(B5=0,"",RANK(B5,$B$2:$B$405,0))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E2E</t>
        </is>
      </c>
      <c r="D5" s="30" t="inlineStr">
        <is>
          <t>E2E Networks Ltd</t>
        </is>
      </c>
      <c r="E5" s="30" t="inlineStr">
        <is>
          <t>i.t</t>
        </is>
      </c>
      <c r="F5" s="30" t="inlineStr">
        <is>
          <t>computers - software - medium / small</t>
        </is>
      </c>
      <c r="G5" s="30" t="inlineStr">
        <is>
          <t>midcap</t>
        </is>
      </c>
      <c r="H5" s="31" t="n">
        <v>12306.14</v>
      </c>
      <c r="I5" s="31" t="n">
        <v>605.7</v>
      </c>
      <c r="J5" s="31" t="n">
        <v>1.18</v>
      </c>
      <c r="K5" s="31" t="n">
        <v>3029968</v>
      </c>
      <c r="L5" s="30" t="n">
        <v>97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74.90000000000001</v>
      </c>
      <c r="P5" s="31" t="n">
        <v>46.94</v>
      </c>
      <c r="Q5" s="31" t="n">
        <v>435.92</v>
      </c>
      <c r="R5" s="30" t="inlineStr">
        <is>
          <t>Near 52W High Breakout</t>
        </is>
      </c>
      <c r="S5" s="30" t="inlineStr">
        <is>
          <t>Nifty IT</t>
        </is>
      </c>
      <c r="T5" s="31" t="n">
        <v>-9.289999999999999</v>
      </c>
      <c r="U5" s="31" t="n">
        <v>204</v>
      </c>
      <c r="V5" s="31" t="n">
        <v>235.13</v>
      </c>
      <c r="W5" s="31" t="n">
        <v>45.86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Above 2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IF(B6=0,"",RANK(B6,$B$2:$B$405,0))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FCL</t>
        </is>
      </c>
      <c r="D6" s="30" t="inlineStr">
        <is>
          <t>Fineotex Chemical Limited</t>
        </is>
      </c>
      <c r="E6" s="30" t="inlineStr">
        <is>
          <t>chemicals</t>
        </is>
      </c>
      <c r="F6" s="30" t="inlineStr">
        <is>
          <t>chemicals</t>
        </is>
      </c>
      <c r="G6" s="30" t="inlineStr">
        <is>
          <t>smallcap</t>
        </is>
      </c>
      <c r="H6" s="31" t="n">
        <v>4500.8</v>
      </c>
      <c r="I6" s="31" t="n">
        <v>41.75</v>
      </c>
      <c r="J6" s="31" t="n">
        <v>8.02</v>
      </c>
      <c r="K6" s="31" t="n">
        <v>25029802</v>
      </c>
      <c r="L6" s="30" t="n">
        <v>85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65.89</v>
      </c>
      <c r="P6" s="31" t="n">
        <v>49.8</v>
      </c>
      <c r="Q6" s="31" t="n">
        <v>31.02</v>
      </c>
      <c r="R6" s="30" t="inlineStr">
        <is>
          <t>Near 52W High Breakout</t>
        </is>
      </c>
      <c r="S6" s="30" t="inlineStr">
        <is>
          <t>Nifty 50</t>
        </is>
      </c>
      <c r="T6" s="31" t="n">
        <v>1.09</v>
      </c>
      <c r="U6" s="31" t="n">
        <v>79.69</v>
      </c>
      <c r="V6" s="31" t="n">
        <v>77.76000000000001</v>
      </c>
      <c r="W6" s="31" t="n">
        <v>24.34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IF(B7=0,"",RANK(B7,$B$2:$B$405,0))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RACLGEAR</t>
        </is>
      </c>
      <c r="D7" s="30" t="inlineStr">
        <is>
          <t>RACL Geartech Ltd</t>
        </is>
      </c>
      <c r="E7" s="30" t="inlineStr">
        <is>
          <t>auto</t>
        </is>
      </c>
      <c r="F7" s="30" t="inlineStr">
        <is>
          <t>auto ancillaries</t>
        </is>
      </c>
      <c r="G7" s="30" t="inlineStr">
        <is>
          <t>smallcap</t>
        </is>
      </c>
      <c r="H7" s="31" t="n">
        <v>1642.2</v>
      </c>
      <c r="I7" s="31" t="n">
        <v>1475</v>
      </c>
      <c r="J7" s="31" t="n">
        <v>5.88</v>
      </c>
      <c r="K7" s="31" t="n">
        <v>195869</v>
      </c>
      <c r="L7" s="30" t="n">
        <v>60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60.15</v>
      </c>
      <c r="P7" s="31" t="n">
        <v>49.53</v>
      </c>
      <c r="Q7" s="31" t="n">
        <v>1012.73</v>
      </c>
      <c r="R7" s="30" t="inlineStr">
        <is>
          <t>Volume Spike &amp; Near 52W High Breakout</t>
        </is>
      </c>
      <c r="S7" s="30" t="inlineStr">
        <is>
          <t>Nifty Auto</t>
        </is>
      </c>
      <c r="T7" s="31" t="n">
        <v>22.44</v>
      </c>
      <c r="U7" s="31" t="n">
        <v>48.17</v>
      </c>
      <c r="V7" s="31" t="n">
        <v>21.02</v>
      </c>
      <c r="W7" s="31" t="n">
        <v>13.42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IF(B8=0,"",RANK(B8,$B$2:$B$405,0))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ICIL</t>
        </is>
      </c>
      <c r="D8" s="30" t="inlineStr">
        <is>
          <t>Indo Count Industries Limited</t>
        </is>
      </c>
      <c r="E8" s="30" t="inlineStr">
        <is>
          <t>textiles</t>
        </is>
      </c>
      <c r="F8" s="30" t="inlineStr">
        <is>
          <t>textiles - cotton/blended</t>
        </is>
      </c>
      <c r="G8" s="30" t="inlineStr">
        <is>
          <t>midcap</t>
        </is>
      </c>
      <c r="H8" s="31" t="n">
        <v>8291.540000000001</v>
      </c>
      <c r="I8" s="31" t="n">
        <v>421.55</v>
      </c>
      <c r="J8" s="31" t="n">
        <v>0.6899999999999999</v>
      </c>
      <c r="K8" s="31" t="n">
        <v>314508</v>
      </c>
      <c r="L8" s="30" t="n">
        <v>80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68.5</v>
      </c>
      <c r="P8" s="31" t="n">
        <v>52.9</v>
      </c>
      <c r="Q8" s="31" t="n">
        <v>319.39</v>
      </c>
      <c r="R8" s="30" t="inlineStr">
        <is>
          <t>Near 52W High Breakout</t>
        </is>
      </c>
      <c r="S8" s="30" t="inlineStr">
        <is>
          <t>Nifty 50</t>
        </is>
      </c>
      <c r="T8" s="31" t="n">
        <v>1.09</v>
      </c>
      <c r="U8" s="31" t="n">
        <v>81.72</v>
      </c>
      <c r="V8" s="31" t="n">
        <v>79.77</v>
      </c>
      <c r="W8" s="31" t="n">
        <v>20.97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Yes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IF(B9=0,"",RANK(B9,$B$2:$B$405,0))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AEGISLOG</t>
        </is>
      </c>
      <c r="D9" s="30" t="inlineStr">
        <is>
          <t>Aegis Logistics Ltd</t>
        </is>
      </c>
      <c r="E9" s="30" t="inlineStr">
        <is>
          <t>services</t>
        </is>
      </c>
      <c r="F9" s="30" t="inlineStr">
        <is>
          <t>trading</t>
        </is>
      </c>
      <c r="G9" s="30" t="inlineStr">
        <is>
          <t>largecap</t>
        </is>
      </c>
      <c r="H9" s="31" t="n">
        <v>48992.58</v>
      </c>
      <c r="I9" s="31" t="n">
        <v>1400</v>
      </c>
      <c r="J9" s="31" t="n">
        <v>0.3</v>
      </c>
      <c r="K9" s="31" t="n">
        <v>3282416</v>
      </c>
      <c r="L9" s="30" t="n">
        <v>96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77.43000000000001</v>
      </c>
      <c r="P9" s="31" t="n">
        <v>49.23</v>
      </c>
      <c r="Q9" s="31" t="n">
        <v>1057.32</v>
      </c>
      <c r="R9" s="30" t="inlineStr">
        <is>
          <t>Near 52W High Breakout</t>
        </is>
      </c>
      <c r="S9" s="30" t="inlineStr">
        <is>
          <t>Nifty 50</t>
        </is>
      </c>
      <c r="T9" s="31" t="n">
        <v>1.09</v>
      </c>
      <c r="U9" s="31" t="n">
        <v>100.02</v>
      </c>
      <c r="V9" s="31" t="n">
        <v>97.87</v>
      </c>
      <c r="W9" s="31" t="n">
        <v>39.49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Yes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IF(B10=0,"",RANK(B10,$B$2:$B$405,0))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MENONBE</t>
        </is>
      </c>
      <c r="D10" s="30" t="inlineStr">
        <is>
          <t>Menon Bearings Limited</t>
        </is>
      </c>
      <c r="E10" s="30" t="inlineStr">
        <is>
          <t>auto</t>
        </is>
      </c>
      <c r="F10" s="30" t="inlineStr">
        <is>
          <t>auto ancillaries</t>
        </is>
      </c>
      <c r="G10" s="30" t="inlineStr">
        <is>
          <t>smallcap</t>
        </is>
      </c>
      <c r="H10" s="31" t="n">
        <v>1304.95</v>
      </c>
      <c r="I10" s="31" t="n">
        <v>229.5</v>
      </c>
      <c r="J10" s="31" t="n">
        <v>-1.44</v>
      </c>
      <c r="K10" s="31" t="n">
        <v>25687</v>
      </c>
      <c r="L10" s="30" t="n">
        <v>94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79.92</v>
      </c>
      <c r="P10" s="31" t="n">
        <v>51.95</v>
      </c>
      <c r="Q10" s="31" t="n">
        <v>175.03</v>
      </c>
      <c r="R10" s="30" t="inlineStr">
        <is>
          <t>Near 52W High Breakout</t>
        </is>
      </c>
      <c r="S10" s="30" t="inlineStr">
        <is>
          <t>Nifty Auto</t>
        </is>
      </c>
      <c r="T10" s="31" t="n">
        <v>22.44</v>
      </c>
      <c r="U10" s="31" t="n">
        <v>81.76000000000001</v>
      </c>
      <c r="V10" s="31" t="n">
        <v>48.45</v>
      </c>
      <c r="W10" s="31" t="n">
        <v>37.02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IF(B11=0,"",RANK(B11,$B$2:$B$405,0))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SJS</t>
        </is>
      </c>
      <c r="D11" s="30" t="inlineStr">
        <is>
          <t>S J S Enterprises Ltd</t>
        </is>
      </c>
      <c r="E11" s="30" t="inlineStr">
        <is>
          <t>auto</t>
        </is>
      </c>
      <c r="F11" s="30" t="inlineStr">
        <is>
          <t>plastics products</t>
        </is>
      </c>
      <c r="G11" s="30" t="inlineStr">
        <is>
          <t>midcap</t>
        </is>
      </c>
      <c r="H11" s="31" t="n">
        <v>8034.25</v>
      </c>
      <c r="I11" s="31" t="n">
        <v>2437.7</v>
      </c>
      <c r="J11" s="31" t="n">
        <v>-2.89</v>
      </c>
      <c r="K11" s="31" t="n">
        <v>375740</v>
      </c>
      <c r="L11" s="30" t="n">
        <v>89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74.34</v>
      </c>
      <c r="P11" s="31" t="n">
        <v>42.12</v>
      </c>
      <c r="Q11" s="31" t="n">
        <v>2079.39</v>
      </c>
      <c r="R11" s="30" t="inlineStr">
        <is>
          <t>Volume Spike &amp; Near 52W High Breakout</t>
        </is>
      </c>
      <c r="S11" s="30" t="inlineStr">
        <is>
          <t>Nifty Auto</t>
        </is>
      </c>
      <c r="T11" s="31" t="n">
        <v>22.44</v>
      </c>
      <c r="U11" s="31" t="n">
        <v>105.2</v>
      </c>
      <c r="V11" s="31" t="n">
        <v>67.59999999999999</v>
      </c>
      <c r="W11" s="31" t="n">
        <v>28.99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IF(B12=0,"",RANK(B12,$B$2:$B$405,0))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CONFIPET</t>
        </is>
      </c>
      <c r="D12" s="30" t="inlineStr">
        <is>
          <t>Confidence Petroleum India Ltd</t>
        </is>
      </c>
      <c r="E12" s="30" t="inlineStr">
        <is>
          <t>miscellaneous</t>
        </is>
      </c>
      <c r="F12" s="30" t="inlineStr">
        <is>
          <t>miscellaneous</t>
        </is>
      </c>
      <c r="G12" s="30" t="inlineStr">
        <is>
          <t>smallcap</t>
        </is>
      </c>
      <c r="H12" s="31" t="n">
        <v>2717.73</v>
      </c>
      <c r="I12" s="31" t="n">
        <v>79.39</v>
      </c>
      <c r="J12" s="31" t="n">
        <v>-2.95</v>
      </c>
      <c r="K12" s="31" t="n">
        <v>1931883</v>
      </c>
      <c r="L12" s="30" t="n">
        <v>86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72.43000000000001</v>
      </c>
      <c r="P12" s="31" t="n">
        <v>67.89</v>
      </c>
      <c r="Q12" s="31" t="n">
        <v>56.61</v>
      </c>
      <c r="R12" s="30" t="inlineStr">
        <is>
          <t>Near 52W High Breakout</t>
        </is>
      </c>
      <c r="S12" s="30" t="inlineStr">
        <is>
          <t>Nifty 50</t>
        </is>
      </c>
      <c r="T12" s="31" t="n">
        <v>1.09</v>
      </c>
      <c r="U12" s="31" t="n">
        <v>66.05</v>
      </c>
      <c r="V12" s="31" t="n">
        <v>64.26000000000001</v>
      </c>
      <c r="W12" s="31" t="n">
        <v>26.21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Close to 52 week high or retracement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IF(B13=0,"",RANK(B13,$B$2:$B$405,0))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SAKAR</t>
        </is>
      </c>
      <c r="D13" s="30" t="inlineStr">
        <is>
          <t>Sakar Healthcare Ltd</t>
        </is>
      </c>
      <c r="E13" s="30" t="inlineStr">
        <is>
          <t>healthcare</t>
        </is>
      </c>
      <c r="F13" s="30" t="inlineStr">
        <is>
          <t>pharmaceuticals - indian - bulk drugs &amp; formln</t>
        </is>
      </c>
      <c r="G13" s="30" t="inlineStr">
        <is>
          <t>smallcap</t>
        </is>
      </c>
      <c r="H13" s="31" t="n">
        <v>1981.8</v>
      </c>
      <c r="I13" s="31" t="n">
        <v>919.7</v>
      </c>
      <c r="J13" s="31" t="n">
        <v>3.26</v>
      </c>
      <c r="K13" s="31" t="n">
        <v>132062</v>
      </c>
      <c r="L13" s="30" t="n">
        <v>95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71.42</v>
      </c>
      <c r="P13" s="31" t="n">
        <v>54.08</v>
      </c>
      <c r="Q13" s="31" t="n">
        <v>655.09</v>
      </c>
      <c r="R13" s="30" t="inlineStr">
        <is>
          <t>Near 52W High Breakout</t>
        </is>
      </c>
      <c r="S13" s="30" t="inlineStr">
        <is>
          <t>Nifty Pharma</t>
        </is>
      </c>
      <c r="T13" s="31" t="n">
        <v>24.42</v>
      </c>
      <c r="U13" s="31" t="n">
        <v>180.77</v>
      </c>
      <c r="V13" s="31" t="n">
        <v>125.67</v>
      </c>
      <c r="W13" s="31" t="n">
        <v>38.76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Yes</t>
        </is>
      </c>
      <c r="BS13" s="30">
        <f>IF(BR13="NO",5,0)</f>
        <v/>
      </c>
      <c r="BT13" s="30" t="inlineStr">
        <is>
          <t>Above 2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IF(B14=0,"",RANK(B14,$B$2:$B$405,0))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AJANTPHARM</t>
        </is>
      </c>
      <c r="D14" s="30" t="inlineStr">
        <is>
          <t>Ajanta Pharma Limited</t>
        </is>
      </c>
      <c r="E14" s="30" t="inlineStr">
        <is>
          <t>healthcare</t>
        </is>
      </c>
      <c r="F14" s="30" t="inlineStr">
        <is>
          <t>pharmaceuticals - indian - formulations</t>
        </is>
      </c>
      <c r="G14" s="30" t="inlineStr">
        <is>
          <t>largecap</t>
        </is>
      </c>
      <c r="H14" s="31" t="n">
        <v>42946.62</v>
      </c>
      <c r="I14" s="31" t="n">
        <v>3470.4</v>
      </c>
      <c r="J14" s="31" t="n">
        <v>0.96</v>
      </c>
      <c r="K14" s="31" t="n">
        <v>49287</v>
      </c>
      <c r="L14" s="30" t="n">
        <v>45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70.23</v>
      </c>
      <c r="P14" s="31" t="n">
        <v>45</v>
      </c>
      <c r="Q14" s="31" t="n">
        <v>2893.9</v>
      </c>
      <c r="R14" s="30" t="inlineStr">
        <is>
          <t>Near 52W High Breakout</t>
        </is>
      </c>
      <c r="S14" s="30" t="inlineStr">
        <is>
          <t>Nifty Pharma</t>
        </is>
      </c>
      <c r="T14" s="31" t="n">
        <v>24.42</v>
      </c>
      <c r="U14" s="31" t="n">
        <v>36.07</v>
      </c>
      <c r="V14" s="31" t="n">
        <v>9.359999999999999</v>
      </c>
      <c r="W14" s="31" t="n">
        <v>9.720000000000001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IF(B15=0,"",RANK(B15,$B$2:$B$405,0))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INDIAGLYCO</t>
        </is>
      </c>
      <c r="D15" s="30" t="inlineStr">
        <is>
          <t>India Glycols Limited</t>
        </is>
      </c>
      <c r="E15" s="30" t="inlineStr">
        <is>
          <t>fmcg</t>
        </is>
      </c>
      <c r="F15" s="30" t="inlineStr">
        <is>
          <t>breweries &amp; distilleries</t>
        </is>
      </c>
      <c r="G15" s="30" t="inlineStr">
        <is>
          <t>midcap</t>
        </is>
      </c>
      <c r="H15" s="31" t="n">
        <v>7743.6</v>
      </c>
      <c r="I15" s="31" t="n">
        <v>1149.5</v>
      </c>
      <c r="J15" s="31" t="n">
        <v>-0.5</v>
      </c>
      <c r="K15" s="31" t="n">
        <v>64880</v>
      </c>
      <c r="L15" s="30" t="n">
        <v>51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63.29</v>
      </c>
      <c r="P15" s="31" t="n">
        <v>27.81</v>
      </c>
      <c r="Q15" s="31" t="n">
        <v>916.02</v>
      </c>
      <c r="R15" s="30" t="inlineStr">
        <is>
          <t>Near 52W High Breakout</t>
        </is>
      </c>
      <c r="S15" s="30" t="inlineStr">
        <is>
          <t>Nifty FMCG</t>
        </is>
      </c>
      <c r="T15" s="31" t="n">
        <v>-9.75</v>
      </c>
      <c r="U15" s="31" t="n">
        <v>35.29</v>
      </c>
      <c r="V15" s="31" t="n">
        <v>49.9</v>
      </c>
      <c r="W15" s="31" t="n">
        <v>11.03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IF(B16=0,"",RANK(B16,$B$2:$B$405,0))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AUROPHARMA</t>
        </is>
      </c>
      <c r="D16" s="30" t="inlineStr">
        <is>
          <t>Aurobindo Pharma Limited</t>
        </is>
      </c>
      <c r="E16" s="30" t="inlineStr">
        <is>
          <t>healthcare</t>
        </is>
      </c>
      <c r="F16" s="30" t="inlineStr">
        <is>
          <t>pharmaceuticals - indian - bulk drugs &amp; formln</t>
        </is>
      </c>
      <c r="G16" s="30" t="inlineStr">
        <is>
          <t>largecap</t>
        </is>
      </c>
      <c r="H16" s="31" t="n">
        <v>92831.47</v>
      </c>
      <c r="I16" s="31" t="n">
        <v>1588.9</v>
      </c>
      <c r="J16" s="31" t="n">
        <v>-1.52</v>
      </c>
      <c r="K16" s="31" t="n">
        <v>2569589</v>
      </c>
      <c r="L16" s="30" t="n">
        <v>50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68.78</v>
      </c>
      <c r="P16" s="31" t="n">
        <v>43.43</v>
      </c>
      <c r="Q16" s="31" t="n">
        <v>1379.1</v>
      </c>
      <c r="R16" s="30" t="inlineStr">
        <is>
          <t>Near 52W High Breakout</t>
        </is>
      </c>
      <c r="S16" s="30" t="inlineStr">
        <is>
          <t>Nifty Pharma</t>
        </is>
      </c>
      <c r="T16" s="31" t="n">
        <v>24.42</v>
      </c>
      <c r="U16" s="31" t="n">
        <v>53.83</v>
      </c>
      <c r="V16" s="31" t="n">
        <v>23.64</v>
      </c>
      <c r="W16" s="31" t="n">
        <v>10.85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IF(B17=0,"",RANK(B17,$B$2:$B$405,0))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PGIL</t>
        </is>
      </c>
      <c r="D17" s="30" t="inlineStr">
        <is>
          <t>Pearl Global Industries Limited</t>
        </is>
      </c>
      <c r="E17" s="30" t="inlineStr">
        <is>
          <t>consumer discretionary</t>
        </is>
      </c>
      <c r="F17" s="30" t="inlineStr">
        <is>
          <t>textiles - products</t>
        </is>
      </c>
      <c r="G17" s="30" t="inlineStr">
        <is>
          <t>midcap</t>
        </is>
      </c>
      <c r="H17" s="31" t="n">
        <v>9719.450000000001</v>
      </c>
      <c r="I17" s="31" t="n">
        <v>2221.5</v>
      </c>
      <c r="J17" s="31" t="n">
        <v>5.56</v>
      </c>
      <c r="K17" s="31" t="n">
        <v>642556</v>
      </c>
      <c r="L17" s="30" t="n">
        <v>79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70.59</v>
      </c>
      <c r="P17" s="31" t="n">
        <v>50.17</v>
      </c>
      <c r="Q17" s="31" t="n">
        <v>1709.5</v>
      </c>
      <c r="R17" s="30" t="inlineStr">
        <is>
          <t>Near 52W High Breakout</t>
        </is>
      </c>
      <c r="S17" s="30" t="inlineStr">
        <is>
          <t>Nifty 50</t>
        </is>
      </c>
      <c r="T17" s="31" t="n">
        <v>1.09</v>
      </c>
      <c r="U17" s="31" t="n">
        <v>67.55</v>
      </c>
      <c r="V17" s="31" t="n">
        <v>65.73999999999999</v>
      </c>
      <c r="W17" s="31" t="n">
        <v>20.42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Between 1.5 to 2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IF(B18=0,"",RANK(B18,$B$2:$B$405,0))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STYLAMIND</t>
        </is>
      </c>
      <c r="D18" s="30" t="inlineStr">
        <is>
          <t>Stylam Industries Ltd</t>
        </is>
      </c>
      <c r="E18" s="30" t="inlineStr">
        <is>
          <t>building materials</t>
        </is>
      </c>
      <c r="F18" s="30" t="inlineStr">
        <is>
          <t>miscellaneous</t>
        </is>
      </c>
      <c r="G18" s="30" t="inlineStr">
        <is>
          <t>midcap</t>
        </is>
      </c>
      <c r="H18" s="31" t="n">
        <v>5874.03</v>
      </c>
      <c r="I18" s="31" t="n">
        <v>3594.3</v>
      </c>
      <c r="J18" s="31" t="n">
        <v>3.7</v>
      </c>
      <c r="K18" s="31" t="n">
        <v>60953</v>
      </c>
      <c r="L18" s="30" t="n">
        <v>88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84</v>
      </c>
      <c r="P18" s="31" t="n">
        <v>73.81</v>
      </c>
      <c r="Q18" s="31" t="n">
        <v>2906.84</v>
      </c>
      <c r="R18" s="30" t="inlineStr">
        <is>
          <t>Near 52W High Breakout</t>
        </is>
      </c>
      <c r="S18" s="30" t="inlineStr">
        <is>
          <t>Nifty Infra</t>
        </is>
      </c>
      <c r="T18" s="31" t="n">
        <v>4.3</v>
      </c>
      <c r="U18" s="31" t="n">
        <v>93.51000000000001</v>
      </c>
      <c r="V18" s="31" t="n">
        <v>85.54000000000001</v>
      </c>
      <c r="W18" s="31" t="n">
        <v>28.79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IF(B19=0,"",RANK(B19,$B$2:$B$405,0))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REDINGTON</t>
        </is>
      </c>
      <c r="D19" s="30" t="inlineStr">
        <is>
          <t>Redington (india) Limited</t>
        </is>
      </c>
      <c r="E19" s="30" t="inlineStr">
        <is>
          <t>services</t>
        </is>
      </c>
      <c r="F19" s="30" t="inlineStr">
        <is>
          <t>trading</t>
        </is>
      </c>
      <c r="G19" s="30" t="inlineStr">
        <is>
          <t>largecap</t>
        </is>
      </c>
      <c r="H19" s="31" t="n">
        <v>27194.02</v>
      </c>
      <c r="I19" s="31" t="n">
        <v>350.75</v>
      </c>
      <c r="J19" s="31" t="n">
        <v>0.83</v>
      </c>
      <c r="K19" s="31" t="n">
        <v>4480468</v>
      </c>
      <c r="L19" s="30" t="n">
        <v>84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72.31999999999999</v>
      </c>
      <c r="P19" s="31" t="n">
        <v>27.91</v>
      </c>
      <c r="Q19" s="31" t="n">
        <v>270.16</v>
      </c>
      <c r="R19" s="30" t="inlineStr">
        <is>
          <t>Volume Spike &amp; Near 52W High Breakout</t>
        </is>
      </c>
      <c r="S19" s="30" t="inlineStr">
        <is>
          <t>Nifty 50</t>
        </is>
      </c>
      <c r="T19" s="31" t="n">
        <v>1.09</v>
      </c>
      <c r="U19" s="31" t="n">
        <v>48.76</v>
      </c>
      <c r="V19" s="31" t="n">
        <v>47.16</v>
      </c>
      <c r="W19" s="31" t="n">
        <v>23.55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20 to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IF(B20=0,"",RANK(B20,$B$2:$B$405,0))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QUESS</t>
        </is>
      </c>
      <c r="D20" s="30" t="inlineStr">
        <is>
          <t>Quess Corp Limited</t>
        </is>
      </c>
      <c r="E20" s="30" t="inlineStr">
        <is>
          <t>miscellaneous</t>
        </is>
      </c>
      <c r="F20" s="30" t="inlineStr">
        <is>
          <t>diversified - large</t>
        </is>
      </c>
      <c r="G20" s="30" t="inlineStr">
        <is>
          <t>smallcap</t>
        </is>
      </c>
      <c r="H20" s="31" t="n">
        <v>4697.37</v>
      </c>
      <c r="I20" s="31" t="n">
        <v>315.25</v>
      </c>
      <c r="J20" s="31" t="n">
        <v>0.24</v>
      </c>
      <c r="K20" s="31" t="n">
        <v>341665</v>
      </c>
      <c r="L20" s="30" t="n">
        <v>63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72.02</v>
      </c>
      <c r="P20" s="31" t="n">
        <v>46.38</v>
      </c>
      <c r="Q20" s="31" t="n">
        <v>260.43</v>
      </c>
      <c r="R20" s="30" t="inlineStr">
        <is>
          <t>Near 52W High Breakout</t>
        </is>
      </c>
      <c r="S20" s="30" t="inlineStr">
        <is>
          <t>Nifty 50</t>
        </is>
      </c>
      <c r="T20" s="31" t="n">
        <v>1.09</v>
      </c>
      <c r="U20" s="31" t="n">
        <v>23.09</v>
      </c>
      <c r="V20" s="31" t="n">
        <v>21.77</v>
      </c>
      <c r="W20" s="31" t="n">
        <v>14.25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IF(B21=0,"",RANK(B21,$B$2:$B$405,0))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ATHERENERG</t>
        </is>
      </c>
      <c r="D21" s="30" t="inlineStr">
        <is>
          <t>Ather Energy Ltd</t>
        </is>
      </c>
      <c r="E21" s="30" t="inlineStr">
        <is>
          <t>auto</t>
        </is>
      </c>
      <c r="F21" s="30" t="inlineStr">
        <is>
          <t>automobiles - scooters and 3 - wheelers</t>
        </is>
      </c>
      <c r="G21" s="30" t="inlineStr">
        <is>
          <t>largecap</t>
        </is>
      </c>
      <c r="H21" s="31" t="n">
        <v>57967.95</v>
      </c>
      <c r="I21" s="31" t="n">
        <v>1453.2</v>
      </c>
      <c r="J21" s="31" t="n">
        <v>-1.2</v>
      </c>
      <c r="K21" s="31" t="n">
        <v>4844411</v>
      </c>
      <c r="L21" s="30" t="n">
        <v>98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79.51000000000001</v>
      </c>
      <c r="P21" s="31" t="n">
        <v>58.55</v>
      </c>
      <c r="Q21" s="31" t="n">
        <v>1119.09</v>
      </c>
      <c r="R21" s="30" t="inlineStr">
        <is>
          <t>Volume Spike &amp; Near 52W High Breakout</t>
        </is>
      </c>
      <c r="S21" s="30" t="inlineStr">
        <is>
          <t>Nifty Auto</t>
        </is>
      </c>
      <c r="T21" s="31" t="n">
        <v>22.44</v>
      </c>
      <c r="U21" s="31" t="n">
        <v>335.96</v>
      </c>
      <c r="V21" s="31" t="n">
        <v>256.07</v>
      </c>
      <c r="W21" s="31" t="n">
        <v>54.29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IF(B22=0,"",RANK(B22,$B$2:$B$405,0))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RPTECH</t>
        </is>
      </c>
      <c r="D22" s="30" t="inlineStr">
        <is>
          <t>Rashi Peripherals Ltd</t>
        </is>
      </c>
      <c r="E22" s="30" t="inlineStr">
        <is>
          <t>services</t>
        </is>
      </c>
      <c r="F22" s="30" t="inlineStr">
        <is>
          <t>trading</t>
        </is>
      </c>
      <c r="G22" s="30" t="inlineStr">
        <is>
          <t>midcap</t>
        </is>
      </c>
      <c r="H22" s="31" t="n">
        <v>5949.75</v>
      </c>
      <c r="I22" s="31" t="n">
        <v>865.55</v>
      </c>
      <c r="J22" s="31" t="n">
        <v>-4.13</v>
      </c>
      <c r="K22" s="31" t="n">
        <v>585237</v>
      </c>
      <c r="L22" s="30" t="n">
        <v>96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81.92</v>
      </c>
      <c r="P22" s="31" t="n">
        <v>77.53</v>
      </c>
      <c r="Q22" s="31" t="n">
        <v>661.71</v>
      </c>
      <c r="R22" s="30" t="inlineStr">
        <is>
          <t>Near 52W High Breakout</t>
        </is>
      </c>
      <c r="S22" s="30" t="inlineStr">
        <is>
          <t>Nifty 50</t>
        </is>
      </c>
      <c r="T22" s="31" t="n">
        <v>1.09</v>
      </c>
      <c r="U22" s="31" t="n">
        <v>211.34</v>
      </c>
      <c r="V22" s="31" t="n">
        <v>207.99</v>
      </c>
      <c r="W22" s="31" t="n">
        <v>39.97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Less than 50%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IF(B23=0,"",RANK(B23,$B$2:$B$405,0))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NEULANDLAB</t>
        </is>
      </c>
      <c r="D23" s="30" t="inlineStr">
        <is>
          <t>Neuland Laboratories Limited</t>
        </is>
      </c>
      <c r="E23" s="30" t="inlineStr">
        <is>
          <t>healthcare</t>
        </is>
      </c>
      <c r="F23" s="30" t="inlineStr">
        <is>
          <t>pharmaceuticals - indian - bulk drugs</t>
        </is>
      </c>
      <c r="G23" s="30" t="inlineStr">
        <is>
          <t>largecap</t>
        </is>
      </c>
      <c r="H23" s="31" t="n">
        <v>25603.33</v>
      </c>
      <c r="I23" s="31" t="n">
        <v>21543</v>
      </c>
      <c r="J23" s="31" t="n">
        <v>7.95</v>
      </c>
      <c r="K23" s="31" t="n">
        <v>929534</v>
      </c>
      <c r="L23" s="30" t="n">
        <v>74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73.87</v>
      </c>
      <c r="P23" s="31" t="n">
        <v>50.05</v>
      </c>
      <c r="Q23" s="31" t="n">
        <v>17235.24</v>
      </c>
      <c r="R23" s="30" t="inlineStr">
        <is>
          <t>Volume Spike &amp; Near 52W High Breakout</t>
        </is>
      </c>
      <c r="S23" s="30" t="inlineStr">
        <is>
          <t>Nifty Pharma</t>
        </is>
      </c>
      <c r="T23" s="31" t="n">
        <v>24.42</v>
      </c>
      <c r="U23" s="31" t="n">
        <v>65.29000000000001</v>
      </c>
      <c r="V23" s="31" t="n">
        <v>32.85</v>
      </c>
      <c r="W23" s="31" t="n">
        <v>17.99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IF(B24=0,"",RANK(B24,$B$2:$B$405,0))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DALMIASUG</t>
        </is>
      </c>
      <c r="D24" s="30" t="inlineStr">
        <is>
          <t>Dalmia Bharat Sugar And Industries Limited</t>
        </is>
      </c>
      <c r="E24" s="30" t="inlineStr">
        <is>
          <t>fmcg</t>
        </is>
      </c>
      <c r="F24" s="30" t="inlineStr">
        <is>
          <t>sugar</t>
        </is>
      </c>
      <c r="G24" s="30" t="inlineStr">
        <is>
          <t>smallcap</t>
        </is>
      </c>
      <c r="H24" s="31" t="n">
        <v>3183.34</v>
      </c>
      <c r="I24" s="31" t="n">
        <v>395.8</v>
      </c>
      <c r="J24" s="31" t="n">
        <v>0.64</v>
      </c>
      <c r="K24" s="31" t="n">
        <v>300087</v>
      </c>
      <c r="L24" s="30" t="n">
        <v>24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64.22</v>
      </c>
      <c r="P24" s="31" t="n">
        <v>23.23</v>
      </c>
      <c r="Q24" s="31" t="n">
        <v>302.41</v>
      </c>
      <c r="R24" s="30" t="inlineStr">
        <is>
          <t>Volume Spike &amp; Near 52W High Breakout</t>
        </is>
      </c>
      <c r="S24" s="30" t="inlineStr">
        <is>
          <t>Nifty FMCG</t>
        </is>
      </c>
      <c r="T24" s="31" t="n">
        <v>-9.75</v>
      </c>
      <c r="U24" s="31" t="n">
        <v>7.88</v>
      </c>
      <c r="V24" s="31" t="n">
        <v>19.53</v>
      </c>
      <c r="W24" s="31" t="n">
        <v>4.78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B2C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IF(B25=0,"",RANK(B25,$B$2:$B$405,0))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MARKSANS</t>
        </is>
      </c>
      <c r="D25" s="30" t="inlineStr">
        <is>
          <t>Marksans Pharma Limited</t>
        </is>
      </c>
      <c r="E25" s="30" t="inlineStr">
        <is>
          <t>healthcare</t>
        </is>
      </c>
      <c r="F25" s="30" t="inlineStr">
        <is>
          <t>pharmaceuticals - indian - formulations</t>
        </is>
      </c>
      <c r="G25" s="30" t="inlineStr">
        <is>
          <t>midcap</t>
        </is>
      </c>
      <c r="H25" s="31" t="n">
        <v>12264.88</v>
      </c>
      <c r="I25" s="31" t="n">
        <v>268.9</v>
      </c>
      <c r="J25" s="31" t="n">
        <v>-0.65</v>
      </c>
      <c r="K25" s="31" t="n">
        <v>1245329</v>
      </c>
      <c r="L25" s="30" t="n">
        <v>62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67.68000000000001</v>
      </c>
      <c r="P25" s="31" t="n">
        <v>52.36</v>
      </c>
      <c r="Q25" s="31" t="n">
        <v>210.62</v>
      </c>
      <c r="R25" s="30" t="inlineStr">
        <is>
          <t>Near 52W High Breakout</t>
        </is>
      </c>
      <c r="S25" s="30" t="inlineStr">
        <is>
          <t>Nifty Pharma</t>
        </is>
      </c>
      <c r="T25" s="31" t="n">
        <v>24.42</v>
      </c>
      <c r="U25" s="31" t="n">
        <v>29.22</v>
      </c>
      <c r="V25" s="31" t="n">
        <v>3.86</v>
      </c>
      <c r="W25" s="31" t="n">
        <v>14.17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IF(B26=0,"",RANK(B26,$B$2:$B$405,0))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EMCURE</t>
        </is>
      </c>
      <c r="D26" s="30" t="inlineStr">
        <is>
          <t>Emcure Pharmaceuticals Ltd</t>
        </is>
      </c>
      <c r="E26" s="30" t="inlineStr">
        <is>
          <t>healthcare</t>
        </is>
      </c>
      <c r="F26" s="30" t="inlineStr">
        <is>
          <t>pharmaceuticals - indian - bulk drugs &amp; formln</t>
        </is>
      </c>
      <c r="G26" s="30" t="inlineStr">
        <is>
          <t>largecap</t>
        </is>
      </c>
      <c r="H26" s="31" t="n">
        <v>37158.34</v>
      </c>
      <c r="I26" s="31" t="n">
        <v>1936.7</v>
      </c>
      <c r="J26" s="31" t="n">
        <v>-1.14</v>
      </c>
      <c r="K26" s="31" t="n">
        <v>270632</v>
      </c>
      <c r="L26" s="30" t="n">
        <v>51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69.58</v>
      </c>
      <c r="P26" s="31" t="n">
        <v>60.66</v>
      </c>
      <c r="Q26" s="31" t="n">
        <v>1576.17</v>
      </c>
      <c r="R26" s="30" t="inlineStr">
        <is>
          <t>Near 52W High Breakout</t>
        </is>
      </c>
      <c r="S26" s="30" t="inlineStr">
        <is>
          <t>Nifty Pharma</t>
        </is>
      </c>
      <c r="T26" s="31" t="n">
        <v>24.42</v>
      </c>
      <c r="U26" s="31" t="n">
        <v>40.46</v>
      </c>
      <c r="V26" s="31" t="n">
        <v>12.9</v>
      </c>
      <c r="W26" s="31" t="n">
        <v>10.92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Between 50% to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IF(B27=0,"",RANK(B27,$B$2:$B$405,0))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RADICO</t>
        </is>
      </c>
      <c r="D27" s="30" t="inlineStr">
        <is>
          <t>Radico Khaitan Limited</t>
        </is>
      </c>
      <c r="E27" s="30" t="inlineStr">
        <is>
          <t>fmcg</t>
        </is>
      </c>
      <c r="F27" s="30" t="inlineStr">
        <is>
          <t>breweries &amp; distilleries</t>
        </is>
      </c>
      <c r="G27" s="30" t="inlineStr">
        <is>
          <t>largecap</t>
        </is>
      </c>
      <c r="H27" s="31" t="n">
        <v>60938.76</v>
      </c>
      <c r="I27" s="31" t="n">
        <v>4470</v>
      </c>
      <c r="J27" s="31" t="n">
        <v>-1.76</v>
      </c>
      <c r="K27" s="31" t="n">
        <v>836356</v>
      </c>
      <c r="L27" s="30" t="n">
        <v>78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85.12</v>
      </c>
      <c r="P27" s="31" t="n">
        <v>60.43</v>
      </c>
      <c r="Q27" s="31" t="n">
        <v>3795.31</v>
      </c>
      <c r="R27" s="30" t="inlineStr">
        <is>
          <t>Near 52W High Breakout</t>
        </is>
      </c>
      <c r="S27" s="30" t="inlineStr">
        <is>
          <t>Nifty FMCG</t>
        </is>
      </c>
      <c r="T27" s="31" t="n">
        <v>-9.75</v>
      </c>
      <c r="U27" s="31" t="n">
        <v>65.65000000000001</v>
      </c>
      <c r="V27" s="31" t="n">
        <v>83.54000000000001</v>
      </c>
      <c r="W27" s="31" t="n">
        <v>19.93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B2C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IF(B28=0,"",RANK(B28,$B$2:$B$405,0))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SAREGAMA</t>
        </is>
      </c>
      <c r="D28" s="30" t="inlineStr">
        <is>
          <t>Saregama India Limited</t>
        </is>
      </c>
      <c r="E28" s="30" t="inlineStr">
        <is>
          <t>media</t>
        </is>
      </c>
      <c r="F28" s="30" t="inlineStr">
        <is>
          <t>entertainment / electronic media software</t>
        </is>
      </c>
      <c r="G28" s="30" t="inlineStr">
        <is>
          <t>midcap</t>
        </is>
      </c>
      <c r="H28" s="31" t="n">
        <v>10744.31</v>
      </c>
      <c r="I28" s="31" t="n">
        <v>528</v>
      </c>
      <c r="J28" s="31" t="n">
        <v>-5.25</v>
      </c>
      <c r="K28" s="31" t="n">
        <v>1169148</v>
      </c>
      <c r="L28" s="30" t="n">
        <v>61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75</v>
      </c>
      <c r="P28" s="31" t="n">
        <v>48.13</v>
      </c>
      <c r="Q28" s="31" t="n">
        <v>410.33</v>
      </c>
      <c r="R28" s="30" t="inlineStr">
        <is>
          <t>Near 52W High Breakout</t>
        </is>
      </c>
      <c r="S28" s="30" t="inlineStr">
        <is>
          <t>Nifty IT</t>
        </is>
      </c>
      <c r="T28" s="31" t="n">
        <v>-9.289999999999999</v>
      </c>
      <c r="U28" s="31" t="n">
        <v>8.449999999999999</v>
      </c>
      <c r="V28" s="31" t="n">
        <v>19.55</v>
      </c>
      <c r="W28" s="31" t="n">
        <v>13.69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IF(B29=0,"",RANK(B29,$B$2:$B$405,0))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STOVEKRAFT</t>
        </is>
      </c>
      <c r="D29" s="30" t="inlineStr">
        <is>
          <t>Stove Kraft Ltd</t>
        </is>
      </c>
      <c r="E29" s="30" t="inlineStr">
        <is>
          <t>consumer discretionary</t>
        </is>
      </c>
      <c r="F29" s="30" t="inlineStr">
        <is>
          <t>domestic appliances</t>
        </is>
      </c>
      <c r="G29" s="30" t="inlineStr">
        <is>
          <t>smallcap</t>
        </is>
      </c>
      <c r="H29" s="31" t="n">
        <v>2502.91</v>
      </c>
      <c r="I29" s="31" t="n">
        <v>800.2</v>
      </c>
      <c r="J29" s="31" t="n">
        <v>5.85</v>
      </c>
      <c r="K29" s="31" t="n">
        <v>3348885</v>
      </c>
      <c r="L29" s="30" t="n">
        <v>72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74.26000000000001</v>
      </c>
      <c r="P29" s="31" t="n">
        <v>46.75</v>
      </c>
      <c r="Q29" s="31" t="n">
        <v>618.54</v>
      </c>
      <c r="R29" s="30" t="inlineStr">
        <is>
          <t>Volume Spike &amp; Near 52W High Breakout</t>
        </is>
      </c>
      <c r="S29" s="30" t="inlineStr">
        <is>
          <t>Nifty 50</t>
        </is>
      </c>
      <c r="T29" s="31" t="n">
        <v>1.09</v>
      </c>
      <c r="U29" s="31" t="n">
        <v>33.34</v>
      </c>
      <c r="V29" s="31" t="n">
        <v>31.91</v>
      </c>
      <c r="W29" s="31" t="n">
        <v>17.61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IF(B30=0,"",RANK(B30,$B$2:$B$405,0))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APARINDS</t>
        </is>
      </c>
      <c r="D30" s="30" t="inlineStr">
        <is>
          <t>Apar Industries Limited</t>
        </is>
      </c>
      <c r="E30" s="30" t="inlineStr">
        <is>
          <t>industrials</t>
        </is>
      </c>
      <c r="F30" s="30" t="inlineStr">
        <is>
          <t>electric equipment</t>
        </is>
      </c>
      <c r="G30" s="30" t="inlineStr">
        <is>
          <t>largecap</t>
        </is>
      </c>
      <c r="H30" s="31" t="n">
        <v>62936.96</v>
      </c>
      <c r="I30" s="31" t="n">
        <v>16126</v>
      </c>
      <c r="J30" s="31" t="n">
        <v>2.94</v>
      </c>
      <c r="K30" s="31" t="n">
        <v>207442</v>
      </c>
      <c r="L30" s="30" t="n">
        <v>76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69.65000000000001</v>
      </c>
      <c r="P30" s="31" t="n">
        <v>41.9</v>
      </c>
      <c r="Q30" s="31" t="n">
        <v>12392.8</v>
      </c>
      <c r="R30" s="30" t="inlineStr">
        <is>
          <t>Near 52W High Breakout</t>
        </is>
      </c>
      <c r="S30" s="30" t="inlineStr">
        <is>
          <t>Nifty 50</t>
        </is>
      </c>
      <c r="T30" s="31" t="n">
        <v>1.09</v>
      </c>
      <c r="U30" s="31" t="n">
        <v>85.11</v>
      </c>
      <c r="V30" s="31" t="n">
        <v>83.12</v>
      </c>
      <c r="W30" s="31" t="n">
        <v>19.23</v>
      </c>
      <c r="X30" s="30" t="inlineStr">
        <is>
          <t>Cyclical in an Upturn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IF(B31=0,"",RANK(B31,$B$2:$B$405,0))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PRECOT</t>
        </is>
      </c>
      <c r="D31" s="30" t="inlineStr">
        <is>
          <t>Precot Meridian Limited</t>
        </is>
      </c>
      <c r="E31" s="30" t="inlineStr">
        <is>
          <t>textiles</t>
        </is>
      </c>
      <c r="F31" s="30" t="inlineStr">
        <is>
          <t>textiles - cotton/blended</t>
        </is>
      </c>
      <c r="G31" s="30" t="inlineStr">
        <is>
          <t>smallcap</t>
        </is>
      </c>
      <c r="H31" s="31" t="n">
        <v>992.22</v>
      </c>
      <c r="I31" s="31" t="n">
        <v>851</v>
      </c>
      <c r="J31" s="31" t="n">
        <v>2.92</v>
      </c>
      <c r="K31" s="31" t="n">
        <v>14750</v>
      </c>
      <c r="L31" s="30" t="n">
        <v>77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67.23999999999999</v>
      </c>
      <c r="P31" s="31" t="n">
        <v>45.39</v>
      </c>
      <c r="Q31" s="31" t="n">
        <v>593.38</v>
      </c>
      <c r="R31" s="30" t="inlineStr">
        <is>
          <t>Near 52W High Breakout</t>
        </is>
      </c>
      <c r="S31" s="30" t="inlineStr">
        <is>
          <t>Nifty 50</t>
        </is>
      </c>
      <c r="T31" s="31" t="n">
        <v>1.09</v>
      </c>
      <c r="U31" s="31" t="n">
        <v>73.64</v>
      </c>
      <c r="V31" s="31" t="n">
        <v>71.77</v>
      </c>
      <c r="W31" s="31" t="n">
        <v>19.7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Between 0.7 to 1.2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IF(B32=0,"",RANK(B32,$B$2:$B$405,0))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AMBIKCO</t>
        </is>
      </c>
      <c r="D32" s="30" t="inlineStr">
        <is>
          <t>Ambika Cotton Mills Limited</t>
        </is>
      </c>
      <c r="E32" s="30" t="inlineStr">
        <is>
          <t>textiles</t>
        </is>
      </c>
      <c r="F32" s="30" t="inlineStr">
        <is>
          <t>textiles - cotton/blended</t>
        </is>
      </c>
      <c r="G32" s="30" t="inlineStr">
        <is>
          <t>smallcap</t>
        </is>
      </c>
      <c r="H32" s="31" t="n">
        <v>1031.82</v>
      </c>
      <c r="I32" s="31" t="n">
        <v>1835</v>
      </c>
      <c r="J32" s="31" t="n">
        <v>1.81</v>
      </c>
      <c r="K32" s="31" t="n">
        <v>41789</v>
      </c>
      <c r="L32" s="30" t="n">
        <v>43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71.76000000000001</v>
      </c>
      <c r="P32" s="31" t="n">
        <v>38.81</v>
      </c>
      <c r="Q32" s="31" t="n">
        <v>1494.46</v>
      </c>
      <c r="R32" s="30" t="inlineStr">
        <is>
          <t>Near 52W High Breakout</t>
        </is>
      </c>
      <c r="S32" s="30" t="inlineStr">
        <is>
          <t>Nifty 50</t>
        </is>
      </c>
      <c r="T32" s="31" t="n">
        <v>1.09</v>
      </c>
      <c r="U32" s="31" t="n">
        <v>35.29</v>
      </c>
      <c r="V32" s="31" t="n">
        <v>33.84</v>
      </c>
      <c r="W32" s="31" t="n">
        <v>9.25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IF(B33=0,"",RANK(B33,$B$2:$B$405,0))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HSCL</t>
        </is>
      </c>
      <c r="D33" s="30" t="inlineStr">
        <is>
          <t>Himadri Speciality Chemical Limited</t>
        </is>
      </c>
      <c r="E33" s="30" t="inlineStr">
        <is>
          <t>chemicals</t>
        </is>
      </c>
      <c r="F33" s="30" t="inlineStr">
        <is>
          <t>chemicals</t>
        </is>
      </c>
      <c r="G33" s="30" t="inlineStr">
        <is>
          <t>largecap</t>
        </is>
      </c>
      <c r="H33" s="31" t="n">
        <v>37787.64</v>
      </c>
      <c r="I33" s="31" t="n">
        <v>761</v>
      </c>
      <c r="J33" s="31" t="n">
        <v>1.61</v>
      </c>
      <c r="K33" s="31" t="n">
        <v>2555878</v>
      </c>
      <c r="L33" s="30" t="n">
        <v>67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69.97</v>
      </c>
      <c r="P33" s="31" t="n">
        <v>44.17</v>
      </c>
      <c r="Q33" s="31" t="n">
        <v>618.86</v>
      </c>
      <c r="R33" s="30" t="inlineStr">
        <is>
          <t>Near 52W High Breakout</t>
        </is>
      </c>
      <c r="S33" s="30" t="inlineStr">
        <is>
          <t>Nifty 50</t>
        </is>
      </c>
      <c r="T33" s="31" t="n">
        <v>1.09</v>
      </c>
      <c r="U33" s="31" t="n">
        <v>67.40000000000001</v>
      </c>
      <c r="V33" s="31" t="n">
        <v>65.59999999999999</v>
      </c>
      <c r="W33" s="31" t="n">
        <v>15.46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Between 1.5 to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IF(B34=0,"",RANK(B34,$B$2:$B$405,0))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SANGHVIMOV</t>
        </is>
      </c>
      <c r="D34" s="30" t="inlineStr">
        <is>
          <t>Sanghvi Movers Limited</t>
        </is>
      </c>
      <c r="E34" s="30" t="inlineStr">
        <is>
          <t>miscellaneous</t>
        </is>
      </c>
      <c r="F34" s="30" t="inlineStr">
        <is>
          <t>miscellaneous</t>
        </is>
      </c>
      <c r="G34" s="30" t="inlineStr">
        <is>
          <t>smallcap</t>
        </is>
      </c>
      <c r="H34" s="31" t="n">
        <v>4105.43</v>
      </c>
      <c r="I34" s="31" t="n">
        <v>481.55</v>
      </c>
      <c r="J34" s="31" t="n">
        <v>1.55</v>
      </c>
      <c r="K34" s="31" t="n">
        <v>645352</v>
      </c>
      <c r="L34" s="30" t="n">
        <v>77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67.31999999999999</v>
      </c>
      <c r="P34" s="31" t="n">
        <v>38.42</v>
      </c>
      <c r="Q34" s="31" t="n">
        <v>353.2</v>
      </c>
      <c r="R34" s="30" t="inlineStr">
        <is>
          <t>Volume Spike &amp; Near 52W High Breakout</t>
        </is>
      </c>
      <c r="S34" s="30" t="inlineStr">
        <is>
          <t>Nifty 50</t>
        </is>
      </c>
      <c r="T34" s="31" t="n">
        <v>1.09</v>
      </c>
      <c r="U34" s="31" t="n">
        <v>56.98</v>
      </c>
      <c r="V34" s="31" t="n">
        <v>55.29</v>
      </c>
      <c r="W34" s="31" t="n">
        <v>19.58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IF(B35=0,"",RANK(B35,$B$2:$B$405,0))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WSTCSTPAPR</t>
        </is>
      </c>
      <c r="D35" s="30" t="inlineStr">
        <is>
          <t>West Coast Paper Mills Limited</t>
        </is>
      </c>
      <c r="E35" s="30" t="inlineStr">
        <is>
          <t>building materials</t>
        </is>
      </c>
      <c r="F35" s="30" t="inlineStr">
        <is>
          <t>paper</t>
        </is>
      </c>
      <c r="G35" s="30" t="inlineStr">
        <is>
          <t>smallcap</t>
        </is>
      </c>
      <c r="H35" s="31" t="n">
        <v>3899.53</v>
      </c>
      <c r="I35" s="31" t="n">
        <v>595.15</v>
      </c>
      <c r="J35" s="31" t="n">
        <v>0.8</v>
      </c>
      <c r="K35" s="31" t="n">
        <v>130485</v>
      </c>
      <c r="L35" s="30" t="n">
        <v>39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67.92</v>
      </c>
      <c r="P35" s="31" t="n">
        <v>40.43</v>
      </c>
      <c r="Q35" s="31" t="n">
        <v>468.35</v>
      </c>
      <c r="R35" s="30" t="inlineStr">
        <is>
          <t>Near 52W High Breakout</t>
        </is>
      </c>
      <c r="S35" s="30" t="inlineStr">
        <is>
          <t>Nifty Infra</t>
        </is>
      </c>
      <c r="T35" s="31" t="n">
        <v>4.3</v>
      </c>
      <c r="U35" s="31" t="n">
        <v>10.4</v>
      </c>
      <c r="V35" s="31" t="n">
        <v>5.85</v>
      </c>
      <c r="W35" s="31" t="n">
        <v>7.94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Between 12 to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IF(B36=0,"",RANK(B36,$B$2:$B$405,0))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JAMNAAUTO</t>
        </is>
      </c>
      <c r="D36" s="30" t="inlineStr">
        <is>
          <t>Jamna Auto Industries Limited</t>
        </is>
      </c>
      <c r="E36" s="30" t="inlineStr">
        <is>
          <t>auto</t>
        </is>
      </c>
      <c r="F36" s="30" t="inlineStr">
        <is>
          <t>auto ancillaries</t>
        </is>
      </c>
      <c r="G36" s="30" t="inlineStr">
        <is>
          <t>midcap</t>
        </is>
      </c>
      <c r="H36" s="31" t="n">
        <v>5727.74</v>
      </c>
      <c r="I36" s="31" t="n">
        <v>143.97</v>
      </c>
      <c r="J36" s="31" t="n">
        <v>0.49</v>
      </c>
      <c r="K36" s="31" t="n">
        <v>2153995</v>
      </c>
      <c r="L36" s="30" t="n">
        <v>60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61.6</v>
      </c>
      <c r="P36" s="31" t="n">
        <v>27.4</v>
      </c>
      <c r="Q36" s="31" t="n">
        <v>111.49</v>
      </c>
      <c r="R36" s="30" t="inlineStr">
        <is>
          <t>Near 52W High Breakout</t>
        </is>
      </c>
      <c r="S36" s="30" t="inlineStr">
        <is>
          <t>Nifty Auto</t>
        </is>
      </c>
      <c r="T36" s="31" t="n">
        <v>22.44</v>
      </c>
      <c r="U36" s="31" t="n">
        <v>57.56</v>
      </c>
      <c r="V36" s="31" t="n">
        <v>28.69</v>
      </c>
      <c r="W36" s="31" t="n">
        <v>13.38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IF(B37=0,"",RANK(B37,$B$2:$B$405,0))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SANGAMIND</t>
        </is>
      </c>
      <c r="D37" s="30" t="inlineStr">
        <is>
          <t>Sangam (india) Limited</t>
        </is>
      </c>
      <c r="E37" s="30" t="inlineStr">
        <is>
          <t>textiles</t>
        </is>
      </c>
      <c r="F37" s="30" t="inlineStr">
        <is>
          <t>textiles - spinning - synthetic / blended</t>
        </is>
      </c>
      <c r="G37" s="30" t="inlineStr">
        <is>
          <t>smallcap</t>
        </is>
      </c>
      <c r="H37" s="31" t="n">
        <v>3077.85</v>
      </c>
      <c r="I37" s="31" t="n">
        <v>612.85</v>
      </c>
      <c r="J37" s="31" t="n">
        <v>0.05</v>
      </c>
      <c r="K37" s="31" t="n">
        <v>43277</v>
      </c>
      <c r="L37" s="30" t="n">
        <v>65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72.89</v>
      </c>
      <c r="P37" s="31" t="n">
        <v>47.84</v>
      </c>
      <c r="Q37" s="31" t="n">
        <v>503.16</v>
      </c>
      <c r="R37" s="30" t="inlineStr">
        <is>
          <t>Near 52W High Breakout</t>
        </is>
      </c>
      <c r="S37" s="30" t="inlineStr">
        <is>
          <t>Nifty 50</t>
        </is>
      </c>
      <c r="T37" s="31" t="n">
        <v>1.09</v>
      </c>
      <c r="U37" s="31" t="n">
        <v>68.22</v>
      </c>
      <c r="V37" s="31" t="n">
        <v>66.41</v>
      </c>
      <c r="W37" s="31" t="n">
        <v>15.21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Between 0.7 to 1.2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IF(B38=0,"",RANK(B38,$B$2:$B$405,0))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NITINSPIN</t>
        </is>
      </c>
      <c r="D38" s="30" t="inlineStr">
        <is>
          <t>Nitin Spinners Limited</t>
        </is>
      </c>
      <c r="E38" s="30" t="inlineStr">
        <is>
          <t>textiles</t>
        </is>
      </c>
      <c r="F38" s="30" t="inlineStr">
        <is>
          <t>textiles - cotton/blended</t>
        </is>
      </c>
      <c r="G38" s="30" t="inlineStr">
        <is>
          <t>smallcap</t>
        </is>
      </c>
      <c r="H38" s="31" t="n">
        <v>3252.61</v>
      </c>
      <c r="I38" s="31" t="n">
        <v>572.35</v>
      </c>
      <c r="J38" s="31" t="n">
        <v>-1.07</v>
      </c>
      <c r="K38" s="31" t="n">
        <v>77582</v>
      </c>
      <c r="L38" s="30" t="n">
        <v>70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70.73</v>
      </c>
      <c r="P38" s="31" t="n">
        <v>69.90000000000001</v>
      </c>
      <c r="Q38" s="31" t="n">
        <v>453.67</v>
      </c>
      <c r="R38" s="30" t="inlineStr">
        <is>
          <t>Near 52W High Breakout</t>
        </is>
      </c>
      <c r="S38" s="30" t="inlineStr">
        <is>
          <t>Nifty 50</t>
        </is>
      </c>
      <c r="T38" s="31" t="n">
        <v>1.09</v>
      </c>
      <c r="U38" s="31" t="n">
        <v>72.89</v>
      </c>
      <c r="V38" s="31" t="n">
        <v>71.03</v>
      </c>
      <c r="W38" s="31" t="n">
        <v>16.84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Between 0.7 to 1.2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IF(B39=0,"",RANK(B39,$B$2:$B$405,0))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BLUSPRING</t>
        </is>
      </c>
      <c r="D39" s="30" t="inlineStr">
        <is>
          <t>Bluspring Enterprises Ltd</t>
        </is>
      </c>
      <c r="E39" s="30" t="inlineStr">
        <is>
          <t>miscellaneous</t>
        </is>
      </c>
      <c r="F39" s="30" t="inlineStr">
        <is>
          <t>diversified - large</t>
        </is>
      </c>
      <c r="G39" s="30" t="inlineStr">
        <is>
          <t>smallcap</t>
        </is>
      </c>
      <c r="H39" s="31" t="n">
        <v>1737.1</v>
      </c>
      <c r="I39" s="31" t="n">
        <v>114.9</v>
      </c>
      <c r="J39" s="31" t="n">
        <v>-1.15</v>
      </c>
      <c r="K39" s="31" t="n">
        <v>237587</v>
      </c>
      <c r="L39" s="30" t="n">
        <v>85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67.93000000000001</v>
      </c>
      <c r="P39" s="31" t="n">
        <v>56.25</v>
      </c>
      <c r="Q39" s="31" t="n">
        <v>85.84999999999999</v>
      </c>
      <c r="R39" s="30" t="inlineStr">
        <is>
          <t>Earnings / Momentum Support</t>
        </is>
      </c>
      <c r="S39" s="30" t="inlineStr">
        <is>
          <t>Nifty 50</t>
        </is>
      </c>
      <c r="T39" s="31" t="n">
        <v>1.09</v>
      </c>
      <c r="U39" s="31" t="n">
        <v>41.47</v>
      </c>
      <c r="V39" s="31" t="n">
        <v>39.95</v>
      </c>
      <c r="W39" s="31" t="n">
        <v>24.56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No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IF(B40=0,"",RANK(B40,$B$2:$B$405,0))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BAJAJ-AUTO</t>
        </is>
      </c>
      <c r="D40" s="30" t="inlineStr">
        <is>
          <t>Bajaj Auto Limited</t>
        </is>
      </c>
      <c r="E40" s="30" t="inlineStr">
        <is>
          <t>auto</t>
        </is>
      </c>
      <c r="F40" s="30" t="inlineStr">
        <is>
          <t>automobiles - scooters and 3 - wheelers</t>
        </is>
      </c>
      <c r="G40" s="30" t="inlineStr">
        <is>
          <t>largecap</t>
        </is>
      </c>
      <c r="H40" s="31" t="n">
        <v>329807.45</v>
      </c>
      <c r="I40" s="31" t="n">
        <v>11620</v>
      </c>
      <c r="J40" s="31" t="n">
        <v>-1.53</v>
      </c>
      <c r="K40" s="31" t="n">
        <v>489253</v>
      </c>
      <c r="L40" s="30" t="n">
        <v>57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72.56</v>
      </c>
      <c r="P40" s="31" t="n">
        <v>22.7</v>
      </c>
      <c r="Q40" s="31" t="n">
        <v>10062.75</v>
      </c>
      <c r="R40" s="30" t="inlineStr">
        <is>
          <t>Near 52W High Breakout</t>
        </is>
      </c>
      <c r="S40" s="30" t="inlineStr">
        <is>
          <t>Nifty Auto</t>
        </is>
      </c>
      <c r="T40" s="31" t="n">
        <v>22.44</v>
      </c>
      <c r="U40" s="31" t="n">
        <v>45.75</v>
      </c>
      <c r="V40" s="31" t="n">
        <v>19.05</v>
      </c>
      <c r="W40" s="31" t="n">
        <v>12.73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IF(B41=0,"",RANK(B41,$B$2:$B$405,0))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NETWEB</t>
        </is>
      </c>
      <c r="D41" s="30" t="inlineStr">
        <is>
          <t>Netweb Technologies India Ltd</t>
        </is>
      </c>
      <c r="E41" s="30" t="inlineStr">
        <is>
          <t>i.t</t>
        </is>
      </c>
      <c r="F41" s="30" t="inlineStr">
        <is>
          <t>computers - hardware</t>
        </is>
      </c>
      <c r="G41" s="30" t="inlineStr">
        <is>
          <t>largecap</t>
        </is>
      </c>
      <c r="H41" s="31" t="n">
        <v>27865.63</v>
      </c>
      <c r="I41" s="31" t="n">
        <v>4816</v>
      </c>
      <c r="J41" s="31" t="n">
        <v>-1.59</v>
      </c>
      <c r="K41" s="31" t="n">
        <v>1117471</v>
      </c>
      <c r="L41" s="30" t="n">
        <v>83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62.26</v>
      </c>
      <c r="P41" s="31" t="n">
        <v>40.95</v>
      </c>
      <c r="Q41" s="31" t="n">
        <v>3718.25</v>
      </c>
      <c r="R41" s="30" t="inlineStr">
        <is>
          <t>Near 52W High Breakout</t>
        </is>
      </c>
      <c r="S41" s="30" t="inlineStr">
        <is>
          <t>Nifty IT</t>
        </is>
      </c>
      <c r="T41" s="31" t="n">
        <v>-9.289999999999999</v>
      </c>
      <c r="U41" s="31" t="n">
        <v>131.14</v>
      </c>
      <c r="V41" s="31" t="n">
        <v>154.82</v>
      </c>
      <c r="W41" s="31" t="n">
        <v>23.13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IF(B42=0,"",RANK(B42,$B$2:$B$405,0))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CUPID</t>
        </is>
      </c>
      <c r="D42" s="30" t="inlineStr">
        <is>
          <t>Cupid Limited</t>
        </is>
      </c>
      <c r="E42" s="30" t="inlineStr">
        <is>
          <t>fmcg</t>
        </is>
      </c>
      <c r="F42" s="30" t="inlineStr">
        <is>
          <t>personal care - indian</t>
        </is>
      </c>
      <c r="G42" s="30" t="inlineStr">
        <is>
          <t>largecap</t>
        </is>
      </c>
      <c r="H42" s="31" t="n">
        <v>33900.24</v>
      </c>
      <c r="I42" s="31" t="n">
        <v>262.61</v>
      </c>
      <c r="J42" s="31" t="n">
        <v>4.16</v>
      </c>
      <c r="K42" s="31" t="n">
        <v>38625283</v>
      </c>
      <c r="L42" s="30" t="n">
        <v>99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91.91</v>
      </c>
      <c r="P42" s="31" t="n">
        <v>69.40000000000001</v>
      </c>
      <c r="Q42" s="31" t="n">
        <v>210.44</v>
      </c>
      <c r="R42" s="30" t="inlineStr">
        <is>
          <t>Near 52W High Breakout</t>
        </is>
      </c>
      <c r="S42" s="30" t="inlineStr">
        <is>
          <t>Nifty FMCG</t>
        </is>
      </c>
      <c r="T42" s="31" t="n">
        <v>-9.75</v>
      </c>
      <c r="U42" s="31" t="n">
        <v>788.01</v>
      </c>
      <c r="V42" s="31" t="n">
        <v>883.9</v>
      </c>
      <c r="W42" s="31" t="n">
        <v>86.97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B2C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Annuity, Lower One Time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Less than 50%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IF(B43=0,"",RANK(B43,$B$2:$B$405,0))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GLAND</t>
        </is>
      </c>
      <c r="D43" s="30" t="inlineStr">
        <is>
          <t>Gland Pharma Ltd</t>
        </is>
      </c>
      <c r="E43" s="30" t="inlineStr">
        <is>
          <t>healthcare</t>
        </is>
      </c>
      <c r="F43" s="30" t="inlineStr">
        <is>
          <t>pharmaceuticals - indian - formulations</t>
        </is>
      </c>
      <c r="G43" s="30" t="inlineStr">
        <is>
          <t>largecap</t>
        </is>
      </c>
      <c r="H43" s="31" t="n">
        <v>41983.89</v>
      </c>
      <c r="I43" s="31" t="n">
        <v>2608.3</v>
      </c>
      <c r="J43" s="31" t="n">
        <v>2.48</v>
      </c>
      <c r="K43" s="31" t="n">
        <v>503698</v>
      </c>
      <c r="L43" s="30" t="n">
        <v>64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72.22</v>
      </c>
      <c r="P43" s="31" t="n">
        <v>56.42</v>
      </c>
      <c r="Q43" s="31" t="n">
        <v>2119.3</v>
      </c>
      <c r="R43" s="30" t="inlineStr">
        <is>
          <t>Near 52W High Breakout</t>
        </is>
      </c>
      <c r="S43" s="30" t="inlineStr">
        <is>
          <t>Nifty Pharma</t>
        </is>
      </c>
      <c r="T43" s="31" t="n">
        <v>24.42</v>
      </c>
      <c r="U43" s="31" t="n">
        <v>35.65</v>
      </c>
      <c r="V43" s="31" t="n">
        <v>9.02</v>
      </c>
      <c r="W43" s="31" t="n">
        <v>14.5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Annuity, Lower One Time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Between 50% to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IF(B44=0,"",RANK(B44,$B$2:$B$405,0))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NESTLEIND</t>
        </is>
      </c>
      <c r="D44" s="30" t="inlineStr">
        <is>
          <t>Nestle India Limited</t>
        </is>
      </c>
      <c r="E44" s="30" t="inlineStr">
        <is>
          <t>fmcg</t>
        </is>
      </c>
      <c r="F44" s="30" t="inlineStr">
        <is>
          <t>food - processing - mnc</t>
        </is>
      </c>
      <c r="G44" s="30" t="inlineStr">
        <is>
          <t>largecap</t>
        </is>
      </c>
      <c r="H44" s="31" t="n">
        <v>293103.78</v>
      </c>
      <c r="I44" s="31" t="n">
        <v>1535</v>
      </c>
      <c r="J44" s="31" t="n">
        <v>0.99</v>
      </c>
      <c r="K44" s="31" t="n">
        <v>3240347</v>
      </c>
      <c r="L44" s="30" t="n">
        <v>38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69.45</v>
      </c>
      <c r="P44" s="31" t="n">
        <v>34.84</v>
      </c>
      <c r="Q44" s="31" t="n">
        <v>1325.1</v>
      </c>
      <c r="R44" s="30" t="inlineStr">
        <is>
          <t>Near 52W High Breakout</t>
        </is>
      </c>
      <c r="S44" s="30" t="inlineStr">
        <is>
          <t>Nifty FMCG</t>
        </is>
      </c>
      <c r="T44" s="31" t="n">
        <v>-9.75</v>
      </c>
      <c r="U44" s="31" t="n">
        <v>35</v>
      </c>
      <c r="V44" s="31" t="n">
        <v>49.58</v>
      </c>
      <c r="W44" s="31" t="n">
        <v>7.8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B2C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Annuity, Lower One Time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Between 1.5 to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IF(B45=0,"",RANK(B45,$B$2:$B$405,0))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THYROCARE</t>
        </is>
      </c>
      <c r="D45" s="30" t="inlineStr">
        <is>
          <t>Thyrocare Technologies Limited</t>
        </is>
      </c>
      <c r="E45" s="30" t="inlineStr">
        <is>
          <t>healthcare</t>
        </is>
      </c>
      <c r="F45" s="30" t="inlineStr">
        <is>
          <t>healthcare</t>
        </is>
      </c>
      <c r="G45" s="30" t="inlineStr">
        <is>
          <t>midcap</t>
        </is>
      </c>
      <c r="H45" s="31" t="n">
        <v>9549.92</v>
      </c>
      <c r="I45" s="31" t="n">
        <v>603.8</v>
      </c>
      <c r="J45" s="31" t="n">
        <v>0.63</v>
      </c>
      <c r="K45" s="31" t="n">
        <v>179627</v>
      </c>
      <c r="L45" s="30" t="n">
        <v>55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70.52</v>
      </c>
      <c r="P45" s="31" t="n">
        <v>55.75</v>
      </c>
      <c r="Q45" s="31" t="n">
        <v>454.37</v>
      </c>
      <c r="R45" s="30" t="inlineStr">
        <is>
          <t>Near 52W High Breakout</t>
        </is>
      </c>
      <c r="S45" s="30" t="inlineStr">
        <is>
          <t>Nifty Pharma</t>
        </is>
      </c>
      <c r="T45" s="31" t="n">
        <v>24.42</v>
      </c>
      <c r="U45" s="31" t="n">
        <v>35.7</v>
      </c>
      <c r="V45" s="31" t="n">
        <v>9.07</v>
      </c>
      <c r="W45" s="31" t="n">
        <v>11.86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Annuity, Lower One Time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Between 1.5 to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IF(B46=0,"",RANK(B46,$B$2:$B$405,0))</f>
        <v/>
      </c>
      <c r="B46" s="31">
        <f>SUM(N46,Y46,AA46,AC46,AE46,AG46,AI46,AK46,AM46,AO46,AQ46,AS46,AU46,AW46,AY46,BA46,BC46,BE46,BG46,BI46,BK46,BM46,BO46,BQ46,BS46,BU46,BW46,BY46,CA46,CC46,CE46)</f>
        <v/>
      </c>
      <c r="C46" s="32" t="inlineStr">
        <is>
          <t>GPTHEALTH</t>
        </is>
      </c>
      <c r="D46" s="32" t="inlineStr">
        <is>
          <t>GPT Healthcare Ltd</t>
        </is>
      </c>
      <c r="E46" s="30" t="inlineStr">
        <is>
          <t>healthcare</t>
        </is>
      </c>
      <c r="F46" s="30" t="inlineStr">
        <is>
          <t>healthcare</t>
        </is>
      </c>
      <c r="G46" s="30" t="inlineStr">
        <is>
          <t>smallcap</t>
        </is>
      </c>
      <c r="H46" s="31" t="n">
        <v>1351.44</v>
      </c>
      <c r="I46" s="31" t="n">
        <v>165.03</v>
      </c>
      <c r="J46" s="31" t="n">
        <v>0.2</v>
      </c>
      <c r="K46" s="31" t="n">
        <v>121795</v>
      </c>
      <c r="L46" s="30" t="n">
        <v>26</v>
      </c>
      <c r="M46" s="30" t="inlineStr">
        <is>
          <t>Underperforming</t>
        </is>
      </c>
      <c r="N46" s="31">
        <f>IF(M46="Underperforming",-5,IF(L46&gt;=95,15,IF(L46&gt;=90,10,IF(L46&gt;=80,5,0))))</f>
        <v/>
      </c>
      <c r="O46" s="31" t="n">
        <v>69.34999999999999</v>
      </c>
      <c r="P46" s="31" t="n">
        <v>44.32</v>
      </c>
      <c r="Q46" s="31" t="n">
        <v>135.43</v>
      </c>
      <c r="R46" s="30" t="inlineStr">
        <is>
          <t>Volume Spike &amp; Near 52W High Breakout</t>
        </is>
      </c>
      <c r="S46" s="30" t="inlineStr">
        <is>
          <t>Nifty Pharma</t>
        </is>
      </c>
      <c r="T46" s="31" t="n">
        <v>24.42</v>
      </c>
      <c r="U46" s="31" t="n">
        <v>6.28</v>
      </c>
      <c r="V46" s="31" t="n">
        <v>-14.58</v>
      </c>
      <c r="W46" s="31" t="n">
        <v>4.99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Annuity, Lower One Time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IF(B47=0,"",RANK(B47,$B$2:$B$405,0))</f>
        <v/>
      </c>
      <c r="B47" s="31">
        <f>SUM(N47,Y47,AA47,AC47,AE47,AG47,AI47,AK47,AM47,AO47,AQ47,AS47,AU47,AW47,AY47,BA47,BC47,BE47,BG47,BI47,BK47,BM47,BO47,BQ47,BS47,BU47,BW47,BY47,CA47,CC47,CE47)</f>
        <v/>
      </c>
      <c r="C47" s="32" t="inlineStr">
        <is>
          <t>JAGSNPHARM</t>
        </is>
      </c>
      <c r="D47" s="32" t="inlineStr">
        <is>
          <t>Jagsonpal Pharmaceuticals Limited</t>
        </is>
      </c>
      <c r="E47" s="30" t="inlineStr">
        <is>
          <t>healthcare</t>
        </is>
      </c>
      <c r="F47" s="30" t="inlineStr">
        <is>
          <t>pharmaceuticals - indian - bulk drugs &amp; formln</t>
        </is>
      </c>
      <c r="G47" s="30" t="inlineStr">
        <is>
          <t>smallcap</t>
        </is>
      </c>
      <c r="H47" s="31" t="n">
        <v>1577.55</v>
      </c>
      <c r="I47" s="31" t="n">
        <v>238.05</v>
      </c>
      <c r="J47" s="31" t="n">
        <v>-0.66</v>
      </c>
      <c r="K47" s="31" t="n">
        <v>173712</v>
      </c>
      <c r="L47" s="30" t="n">
        <v>15</v>
      </c>
      <c r="M47" s="30" t="inlineStr">
        <is>
          <t>Underperforming</t>
        </is>
      </c>
      <c r="N47" s="31">
        <f>IF(M47="Underperforming",-5,IF(L47&gt;=95,15,IF(L47&gt;=90,10,IF(L47&gt;=80,5,0))))</f>
        <v/>
      </c>
      <c r="O47" s="31" t="n">
        <v>66.06999999999999</v>
      </c>
      <c r="P47" s="31" t="n">
        <v>40.99</v>
      </c>
      <c r="Q47" s="31" t="n">
        <v>182.56</v>
      </c>
      <c r="R47" s="30" t="inlineStr">
        <is>
          <t>Near 52W High Breakout</t>
        </is>
      </c>
      <c r="S47" s="30" t="inlineStr">
        <is>
          <t>Nifty Pharma</t>
        </is>
      </c>
      <c r="T47" s="31" t="n">
        <v>24.42</v>
      </c>
      <c r="U47" s="31" t="n">
        <v>-5.09</v>
      </c>
      <c r="V47" s="31" t="n">
        <v>-23.72</v>
      </c>
      <c r="W47" s="31" t="n">
        <v>2.67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Annuity, Lower One Time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IF(B48=0,"",RANK(B48,$B$2:$B$405,0))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MPSLTD</t>
        </is>
      </c>
      <c r="D48" s="30" t="inlineStr">
        <is>
          <t>Mps Limited</t>
        </is>
      </c>
      <c r="E48" s="30" t="inlineStr">
        <is>
          <t>i.t</t>
        </is>
      </c>
      <c r="F48" s="30" t="inlineStr">
        <is>
          <t>computers - software - medium / small</t>
        </is>
      </c>
      <c r="G48" s="30" t="inlineStr">
        <is>
          <t>smallcap</t>
        </is>
      </c>
      <c r="H48" s="31" t="n">
        <v>4915.7</v>
      </c>
      <c r="I48" s="31" t="n">
        <v>2763.9</v>
      </c>
      <c r="J48" s="31" t="n">
        <v>-3.82</v>
      </c>
      <c r="K48" s="31" t="n">
        <v>56267</v>
      </c>
      <c r="L48" s="30" t="n">
        <v>81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75.09</v>
      </c>
      <c r="P48" s="31" t="n">
        <v>30.66</v>
      </c>
      <c r="Q48" s="31" t="n">
        <v>2172.62</v>
      </c>
      <c r="R48" s="30" t="inlineStr">
        <is>
          <t>Near 52W High Breakout</t>
        </is>
      </c>
      <c r="S48" s="30" t="inlineStr">
        <is>
          <t>Nifty IT</t>
        </is>
      </c>
      <c r="T48" s="31" t="n">
        <v>-9.289999999999999</v>
      </c>
      <c r="U48" s="31" t="n">
        <v>25.44</v>
      </c>
      <c r="V48" s="31" t="n">
        <v>38.29</v>
      </c>
      <c r="W48" s="31" t="n">
        <v>21.1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IF(B49=0,"",RANK(B49,$B$2:$B$405,0))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HAPPYFORGE</t>
        </is>
      </c>
      <c r="D49" s="30" t="inlineStr">
        <is>
          <t>Happy Forgings Ltd</t>
        </is>
      </c>
      <c r="E49" s="30" t="inlineStr">
        <is>
          <t>industrials</t>
        </is>
      </c>
      <c r="F49" s="30" t="inlineStr">
        <is>
          <t>castings &amp; forgings</t>
        </is>
      </c>
      <c r="G49" s="30" t="inlineStr">
        <is>
          <t>midcap</t>
        </is>
      </c>
      <c r="H49" s="31" t="n">
        <v>17148.62</v>
      </c>
      <c r="I49" s="31" t="n">
        <v>1870</v>
      </c>
      <c r="J49" s="31" t="n">
        <v>2.92</v>
      </c>
      <c r="K49" s="31" t="n">
        <v>154891</v>
      </c>
      <c r="L49" s="30" t="n">
        <v>84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81.5</v>
      </c>
      <c r="P49" s="31" t="n">
        <v>50.62</v>
      </c>
      <c r="Q49" s="31" t="n">
        <v>1519.45</v>
      </c>
      <c r="R49" s="30" t="inlineStr">
        <is>
          <t>Volume Spike &amp; Near 52W High Breakout</t>
        </is>
      </c>
      <c r="S49" s="30" t="inlineStr">
        <is>
          <t>Nifty Infra</t>
        </is>
      </c>
      <c r="T49" s="31" t="n">
        <v>4.3</v>
      </c>
      <c r="U49" s="31" t="n">
        <v>94.98</v>
      </c>
      <c r="V49" s="31" t="n">
        <v>86.95</v>
      </c>
      <c r="W49" s="31" t="n">
        <v>23.82</v>
      </c>
      <c r="X49" s="30" t="inlineStr">
        <is>
          <t>Cyclical in an Upturn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IF(B50=0,"",RANK(B50,$B$2:$B$405,0))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SPECTRUM</t>
        </is>
      </c>
      <c r="D50" s="30" t="inlineStr">
        <is>
          <t>Spectrum Electrical Industries Ltd</t>
        </is>
      </c>
      <c r="E50" s="30" t="inlineStr">
        <is>
          <t>industrials</t>
        </is>
      </c>
      <c r="F50" s="30" t="inlineStr">
        <is>
          <t>electric equipment</t>
        </is>
      </c>
      <c r="G50" s="30" t="inlineStr">
        <is>
          <t>smallcap</t>
        </is>
      </c>
      <c r="H50" s="31" t="n">
        <v>3950.77</v>
      </c>
      <c r="I50" s="31" t="n">
        <v>2568</v>
      </c>
      <c r="J50" s="31" t="n">
        <v>2.14</v>
      </c>
      <c r="K50" s="31" t="n">
        <v>23515</v>
      </c>
      <c r="L50" s="30" t="n">
        <v>95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79.38</v>
      </c>
      <c r="P50" s="31" t="n">
        <v>53.17</v>
      </c>
      <c r="Q50" s="31" t="n">
        <v>1876.54</v>
      </c>
      <c r="R50" s="30" t="inlineStr">
        <is>
          <t>Near 52W High Breakout</t>
        </is>
      </c>
      <c r="S50" s="30" t="inlineStr">
        <is>
          <t>Nifty 50</t>
        </is>
      </c>
      <c r="T50" s="31" t="n">
        <v>1.09</v>
      </c>
      <c r="U50" s="31" t="n">
        <v>73.8</v>
      </c>
      <c r="V50" s="31" t="n">
        <v>71.93000000000001</v>
      </c>
      <c r="W50" s="31" t="n">
        <v>39.23</v>
      </c>
      <c r="X50" s="30" t="inlineStr">
        <is>
          <t>Cyclical in an Upturn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Between 0.7 to 1.2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IF(B51=0,"",RANK(B51,$B$2:$B$405,0))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WELCORP</t>
        </is>
      </c>
      <c r="D51" s="30" t="inlineStr">
        <is>
          <t>Welspun Corp Limited</t>
        </is>
      </c>
      <c r="E51" s="30" t="inlineStr">
        <is>
          <t>industrials</t>
        </is>
      </c>
      <c r="F51" s="30" t="inlineStr">
        <is>
          <t>steel - large</t>
        </is>
      </c>
      <c r="G51" s="30" t="inlineStr">
        <is>
          <t>largecap</t>
        </is>
      </c>
      <c r="H51" s="31" t="n">
        <v>47168.41</v>
      </c>
      <c r="I51" s="31" t="n">
        <v>1819.6</v>
      </c>
      <c r="J51" s="31" t="n">
        <v>1.76</v>
      </c>
      <c r="K51" s="31" t="n">
        <v>1493022</v>
      </c>
      <c r="L51" s="30" t="n">
        <v>91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88.14</v>
      </c>
      <c r="P51" s="31" t="n">
        <v>69.92</v>
      </c>
      <c r="Q51" s="31" t="n">
        <v>1508.74</v>
      </c>
      <c r="R51" s="30" t="inlineStr">
        <is>
          <t>Near 52W High Breakout</t>
        </is>
      </c>
      <c r="S51" s="30" t="inlineStr">
        <is>
          <t>Nifty Metal</t>
        </is>
      </c>
      <c r="T51" s="31" t="n">
        <v>39.44</v>
      </c>
      <c r="U51" s="31" t="n">
        <v>106.74</v>
      </c>
      <c r="V51" s="31" t="n">
        <v>48.26</v>
      </c>
      <c r="W51" s="31" t="n">
        <v>30.12</v>
      </c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IF(B52=0,"",RANK(B52,$B$2:$B$405,0))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JUBLINGREA</t>
        </is>
      </c>
      <c r="D52" s="30" t="inlineStr">
        <is>
          <t>Jubilant Ingrevia Ltd</t>
        </is>
      </c>
      <c r="E52" s="30" t="inlineStr">
        <is>
          <t>chemicals</t>
        </is>
      </c>
      <c r="F52" s="30" t="inlineStr">
        <is>
          <t>chemicals</t>
        </is>
      </c>
      <c r="G52" s="30" t="inlineStr">
        <is>
          <t>midcap</t>
        </is>
      </c>
      <c r="H52" s="31" t="n">
        <v>11883.97</v>
      </c>
      <c r="I52" s="31" t="n">
        <v>757</v>
      </c>
      <c r="J52" s="31" t="n">
        <v>1.46</v>
      </c>
      <c r="K52" s="31" t="n">
        <v>379357</v>
      </c>
      <c r="L52" s="30" t="n">
        <v>17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62.46</v>
      </c>
      <c r="P52" s="31" t="n">
        <v>20.31</v>
      </c>
      <c r="Q52" s="31" t="n">
        <v>598.12</v>
      </c>
      <c r="R52" s="30" t="inlineStr">
        <is>
          <t>Near 52W High Breakout</t>
        </is>
      </c>
      <c r="S52" s="30" t="inlineStr">
        <is>
          <t>Nifty 50</t>
        </is>
      </c>
      <c r="T52" s="31" t="n">
        <v>1.09</v>
      </c>
      <c r="U52" s="31" t="n">
        <v>10.01</v>
      </c>
      <c r="V52" s="31" t="n">
        <v>8.83</v>
      </c>
      <c r="W52" s="31" t="n">
        <v>3.1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IF(B53=0,"",RANK(B53,$B$2:$B$405,0))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CARYSIL</t>
        </is>
      </c>
      <c r="D53" s="30" t="inlineStr">
        <is>
          <t>Carysil Ltd</t>
        </is>
      </c>
      <c r="E53" s="30" t="inlineStr">
        <is>
          <t>consumer discretionary</t>
        </is>
      </c>
      <c r="F53" s="30" t="inlineStr">
        <is>
          <t>domestic appliances</t>
        </is>
      </c>
      <c r="G53" s="30" t="inlineStr">
        <is>
          <t>smallcap</t>
        </is>
      </c>
      <c r="H53" s="31" t="n">
        <v>3387.8</v>
      </c>
      <c r="I53" s="31" t="n">
        <v>1207.5</v>
      </c>
      <c r="J53" s="31" t="n">
        <v>1.38</v>
      </c>
      <c r="K53" s="31" t="n">
        <v>87856</v>
      </c>
      <c r="L53" s="30" t="n">
        <v>67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68.04000000000001</v>
      </c>
      <c r="P53" s="31" t="n">
        <v>32.94</v>
      </c>
      <c r="Q53" s="31" t="n">
        <v>926.84</v>
      </c>
      <c r="R53" s="30" t="inlineStr">
        <is>
          <t>Near 52W High Breakout</t>
        </is>
      </c>
      <c r="S53" s="30" t="inlineStr">
        <is>
          <t>Nifty 50</t>
        </is>
      </c>
      <c r="T53" s="31" t="n">
        <v>1.09</v>
      </c>
      <c r="U53" s="31" t="n">
        <v>55.36</v>
      </c>
      <c r="V53" s="31" t="n">
        <v>53.69</v>
      </c>
      <c r="W53" s="31" t="n">
        <v>15.4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Between 50% to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IF(B54=0,"",RANK(B54,$B$2:$B$405,0))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FILATEX</t>
        </is>
      </c>
      <c r="D54" s="30" t="inlineStr">
        <is>
          <t>Filatex India Limited</t>
        </is>
      </c>
      <c r="E54" s="30" t="inlineStr">
        <is>
          <t>textiles</t>
        </is>
      </c>
      <c r="F54" s="30" t="inlineStr">
        <is>
          <t>textiles - manmade</t>
        </is>
      </c>
      <c r="G54" s="30" t="inlineStr">
        <is>
          <t>smallcap</t>
        </is>
      </c>
      <c r="H54" s="31" t="n">
        <v>3612.86</v>
      </c>
      <c r="I54" s="31" t="n">
        <v>81.81</v>
      </c>
      <c r="J54" s="31" t="n">
        <v>0.55</v>
      </c>
      <c r="K54" s="31" t="n">
        <v>4659099</v>
      </c>
      <c r="L54" s="30" t="n">
        <v>92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75.95999999999999</v>
      </c>
      <c r="P54" s="31" t="n">
        <v>30.41</v>
      </c>
      <c r="Q54" s="31" t="n">
        <v>62.94</v>
      </c>
      <c r="R54" s="30" t="inlineStr">
        <is>
          <t>Near 52W High Breakout</t>
        </is>
      </c>
      <c r="S54" s="30" t="inlineStr">
        <is>
          <t>Nifty 50</t>
        </is>
      </c>
      <c r="T54" s="31" t="n">
        <v>1.09</v>
      </c>
      <c r="U54" s="31" t="n">
        <v>57.4</v>
      </c>
      <c r="V54" s="31" t="n">
        <v>55.71</v>
      </c>
      <c r="W54" s="31" t="n">
        <v>31.85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Between 12 to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IF(B55=0,"",RANK(B55,$B$2:$B$405,0))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MOTHERSON</t>
        </is>
      </c>
      <c r="D55" s="30" t="inlineStr">
        <is>
          <t>Samvardhana Motherson International Ltd</t>
        </is>
      </c>
      <c r="E55" s="30" t="inlineStr">
        <is>
          <t>auto</t>
        </is>
      </c>
      <c r="F55" s="30" t="inlineStr">
        <is>
          <t>auto ancillaries</t>
        </is>
      </c>
      <c r="G55" s="30" t="inlineStr">
        <is>
          <t>largecap</t>
        </is>
      </c>
      <c r="H55" s="31" t="n">
        <v>162907.82</v>
      </c>
      <c r="I55" s="31" t="n">
        <v>155</v>
      </c>
      <c r="J55" s="31" t="n">
        <v>0.42</v>
      </c>
      <c r="K55" s="31" t="n">
        <v>78423134</v>
      </c>
      <c r="L55" s="30" t="n">
        <v>62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68.09999999999999</v>
      </c>
      <c r="P55" s="31" t="n">
        <v>34.36</v>
      </c>
      <c r="Q55" s="31" t="n">
        <v>126.03</v>
      </c>
      <c r="R55" s="30" t="inlineStr">
        <is>
          <t>Near 52W High Breakout</t>
        </is>
      </c>
      <c r="S55" s="30" t="inlineStr">
        <is>
          <t>Nifty Auto</t>
        </is>
      </c>
      <c r="T55" s="31" t="n">
        <v>22.44</v>
      </c>
      <c r="U55" s="31" t="n">
        <v>54.22</v>
      </c>
      <c r="V55" s="31" t="n">
        <v>25.96</v>
      </c>
      <c r="W55" s="31" t="n">
        <v>13.94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IF(B56=0,"",RANK(B56,$B$2:$B$405,0))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VERANDA</t>
        </is>
      </c>
      <c r="D56" s="30" t="inlineStr">
        <is>
          <t>Veranda Learning Solutions Ltd</t>
        </is>
      </c>
      <c r="E56" s="30" t="inlineStr">
        <is>
          <t>services</t>
        </is>
      </c>
      <c r="F56" s="30" t="inlineStr">
        <is>
          <t>miscellaneous</t>
        </is>
      </c>
      <c r="G56" s="30" t="inlineStr">
        <is>
          <t>smallcap</t>
        </is>
      </c>
      <c r="H56" s="31" t="n">
        <v>2481.22</v>
      </c>
      <c r="I56" s="31" t="n">
        <v>258</v>
      </c>
      <c r="J56" s="31" t="n">
        <v>0.16</v>
      </c>
      <c r="K56" s="31" t="n">
        <v>270948</v>
      </c>
      <c r="L56" s="30" t="n">
        <v>37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64.65000000000001</v>
      </c>
      <c r="P56" s="31" t="n">
        <v>29.19</v>
      </c>
      <c r="Q56" s="31" t="n">
        <v>190.8</v>
      </c>
      <c r="R56" s="30" t="inlineStr">
        <is>
          <t>Near 52W High Breakout</t>
        </is>
      </c>
      <c r="S56" s="30" t="inlineStr">
        <is>
          <t>Nifty 50</t>
        </is>
      </c>
      <c r="T56" s="31" t="n">
        <v>1.09</v>
      </c>
      <c r="U56" s="31" t="n">
        <v>13.9</v>
      </c>
      <c r="V56" s="31" t="n">
        <v>12.67</v>
      </c>
      <c r="W56" s="31" t="n">
        <v>7.39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Less than 1.5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IF(B57=0,"",RANK(B57,$B$2:$B$405,0))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KDDL</t>
        </is>
      </c>
      <c r="D57" s="30" t="inlineStr">
        <is>
          <t>Kddl Limited</t>
        </is>
      </c>
      <c r="E57" s="30" t="inlineStr">
        <is>
          <t>consumer discretionary</t>
        </is>
      </c>
      <c r="F57" s="30" t="inlineStr">
        <is>
          <t>miscellaneous</t>
        </is>
      </c>
      <c r="G57" s="30" t="inlineStr">
        <is>
          <t>smallcap</t>
        </is>
      </c>
      <c r="H57" s="31" t="n">
        <v>4556.15</v>
      </c>
      <c r="I57" s="31" t="n">
        <v>3706.1</v>
      </c>
      <c r="J57" s="31" t="n">
        <v>0.05</v>
      </c>
      <c r="K57" s="31" t="n">
        <v>57663</v>
      </c>
      <c r="L57" s="30" t="n">
        <v>76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74.69</v>
      </c>
      <c r="P57" s="31" t="n">
        <v>36.34</v>
      </c>
      <c r="Q57" s="31" t="n">
        <v>2780.12</v>
      </c>
      <c r="R57" s="30" t="inlineStr">
        <is>
          <t>Volume Spike &amp; Near 52W High Breakout</t>
        </is>
      </c>
      <c r="S57" s="30" t="inlineStr">
        <is>
          <t>Nifty 50</t>
        </is>
      </c>
      <c r="T57" s="31" t="n">
        <v>1.09</v>
      </c>
      <c r="U57" s="31" t="n">
        <v>42.99</v>
      </c>
      <c r="V57" s="31" t="n">
        <v>41.45</v>
      </c>
      <c r="W57" s="31" t="n">
        <v>19.25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IF(B58=0,"",RANK(B58,$B$2:$B$405,0))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HITECHCORP</t>
        </is>
      </c>
      <c r="D58" s="30" t="inlineStr">
        <is>
          <t>Hitech Corporation</t>
        </is>
      </c>
      <c r="E58" s="30" t="inlineStr">
        <is>
          <t>industrials</t>
        </is>
      </c>
      <c r="F58" s="30" t="inlineStr">
        <is>
          <t>packaging</t>
        </is>
      </c>
      <c r="G58" s="30" t="inlineStr">
        <is>
          <t>smallcap</t>
        </is>
      </c>
      <c r="H58" s="31" t="n">
        <v>549.97</v>
      </c>
      <c r="I58" s="31" t="n">
        <v>320.1</v>
      </c>
      <c r="J58" s="31" t="n">
        <v>-0.03</v>
      </c>
      <c r="K58" s="31" t="n">
        <v>8212</v>
      </c>
      <c r="L58" s="30" t="n">
        <v>97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80.04000000000001</v>
      </c>
      <c r="P58" s="31" t="n">
        <v>54.86</v>
      </c>
      <c r="Q58" s="31" t="n">
        <v>259.42</v>
      </c>
      <c r="R58" s="30" t="inlineStr">
        <is>
          <t>Near 52W High Breakout</t>
        </is>
      </c>
      <c r="S58" s="30" t="inlineStr">
        <is>
          <t>Nifty 50</t>
        </is>
      </c>
      <c r="T58" s="31" t="n">
        <v>1.09</v>
      </c>
      <c r="U58" s="31" t="n">
        <v>77.98</v>
      </c>
      <c r="V58" s="31" t="n">
        <v>76.06999999999999</v>
      </c>
      <c r="W58" s="31" t="n">
        <v>47.09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Between 50% to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IF(B59=0,"",RANK(B59,$B$2:$B$405,0))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STLTECH</t>
        </is>
      </c>
      <c r="D59" s="30" t="inlineStr">
        <is>
          <t>Sterlite Technologies Limited</t>
        </is>
      </c>
      <c r="E59" s="30" t="inlineStr">
        <is>
          <t>industrials</t>
        </is>
      </c>
      <c r="F59" s="30" t="inlineStr">
        <is>
          <t>cables - telephone</t>
        </is>
      </c>
      <c r="G59" s="30" t="inlineStr">
        <is>
          <t>largecap</t>
        </is>
      </c>
      <c r="H59" s="31" t="n">
        <v>32614.42</v>
      </c>
      <c r="I59" s="31" t="n">
        <v>633.85</v>
      </c>
      <c r="J59" s="31" t="n">
        <v>-0.13</v>
      </c>
      <c r="K59" s="31" t="n">
        <v>4123473</v>
      </c>
      <c r="L59" s="30" t="n">
        <v>99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73.40000000000001</v>
      </c>
      <c r="P59" s="31" t="n">
        <v>81.48</v>
      </c>
      <c r="Q59" s="31" t="n">
        <v>453.68</v>
      </c>
      <c r="R59" s="30" t="inlineStr">
        <is>
          <t>Near 52W High Breakout</t>
        </is>
      </c>
      <c r="S59" s="30" t="inlineStr">
        <is>
          <t>Nifty Infra</t>
        </is>
      </c>
      <c r="T59" s="31" t="n">
        <v>4.3</v>
      </c>
      <c r="U59" s="31" t="n">
        <v>438.92</v>
      </c>
      <c r="V59" s="31" t="n">
        <v>416.71</v>
      </c>
      <c r="W59" s="31" t="n">
        <v>90.38</v>
      </c>
      <c r="X59" s="30" t="inlineStr">
        <is>
          <t>Cyclical in an Upturn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Between 0.7 to 1.2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IF(B60=0,"",RANK(B60,$B$2:$B$405,0))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ATULAUTO</t>
        </is>
      </c>
      <c r="D60" s="30" t="inlineStr">
        <is>
          <t>Atul Auto Limited</t>
        </is>
      </c>
      <c r="E60" s="30" t="inlineStr">
        <is>
          <t>auto</t>
        </is>
      </c>
      <c r="F60" s="30" t="inlineStr">
        <is>
          <t>automobiles - scooters and 3 - wheelers</t>
        </is>
      </c>
      <c r="G60" s="30" t="inlineStr">
        <is>
          <t>smallcap</t>
        </is>
      </c>
      <c r="H60" s="31" t="n">
        <v>1612.21</v>
      </c>
      <c r="I60" s="31" t="n">
        <v>579.55</v>
      </c>
      <c r="J60" s="31" t="n">
        <v>-0.24</v>
      </c>
      <c r="K60" s="31" t="n">
        <v>239269</v>
      </c>
      <c r="L60" s="30" t="n">
        <v>44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67.42</v>
      </c>
      <c r="P60" s="31" t="n">
        <v>28.23</v>
      </c>
      <c r="Q60" s="31" t="n">
        <v>448.23</v>
      </c>
      <c r="R60" s="30" t="inlineStr">
        <is>
          <t>Volume Spike &amp; Near 52W High Breakout</t>
        </is>
      </c>
      <c r="S60" s="30" t="inlineStr">
        <is>
          <t>Nifty Auto</t>
        </is>
      </c>
      <c r="T60" s="31" t="n">
        <v>22.44</v>
      </c>
      <c r="U60" s="31" t="n">
        <v>27.07</v>
      </c>
      <c r="V60" s="31" t="n">
        <v>3.78</v>
      </c>
      <c r="W60" s="31" t="n">
        <v>9.57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IF(B61=0,"",RANK(B61,$B$2:$B$405,0))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TALBROAUTO</t>
        </is>
      </c>
      <c r="D61" s="30" t="inlineStr">
        <is>
          <t>Talbros Automotive Components Limited</t>
        </is>
      </c>
      <c r="E61" s="30" t="inlineStr">
        <is>
          <t>auto</t>
        </is>
      </c>
      <c r="F61" s="30" t="inlineStr">
        <is>
          <t>auto ancillaries</t>
        </is>
      </c>
      <c r="G61" s="30" t="inlineStr">
        <is>
          <t>smallcap</t>
        </is>
      </c>
      <c r="H61" s="31" t="n">
        <v>2705.54</v>
      </c>
      <c r="I61" s="31" t="n">
        <v>437</v>
      </c>
      <c r="J61" s="31" t="n">
        <v>-0.3</v>
      </c>
      <c r="K61" s="31" t="n">
        <v>343827</v>
      </c>
      <c r="L61" s="30" t="n">
        <v>83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75.47</v>
      </c>
      <c r="P61" s="31" t="n">
        <v>42.93</v>
      </c>
      <c r="Q61" s="31" t="n">
        <v>335.56</v>
      </c>
      <c r="R61" s="30" t="inlineStr">
        <is>
          <t>Near 52W High Breakout</t>
        </is>
      </c>
      <c r="S61" s="30" t="inlineStr">
        <is>
          <t>Nifty Auto</t>
        </is>
      </c>
      <c r="T61" s="31" t="n">
        <v>22.44</v>
      </c>
      <c r="U61" s="31" t="n">
        <v>54.99</v>
      </c>
      <c r="V61" s="31" t="n">
        <v>26.59</v>
      </c>
      <c r="W61" s="31" t="n">
        <v>23.12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Between 12 to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Between 50% to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IF(B62=0,"",RANK(B62,$B$2:$B$405,0))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GRWRHITECH</t>
        </is>
      </c>
      <c r="D62" s="30" t="inlineStr">
        <is>
          <t>Garware Hi Tech Films Ltd</t>
        </is>
      </c>
      <c r="E62" s="30" t="inlineStr">
        <is>
          <t>industrials</t>
        </is>
      </c>
      <c r="F62" s="30" t="inlineStr">
        <is>
          <t>packaging</t>
        </is>
      </c>
      <c r="G62" s="30" t="inlineStr">
        <is>
          <t>midcap</t>
        </is>
      </c>
      <c r="H62" s="31" t="n">
        <v>17214.04</v>
      </c>
      <c r="I62" s="31" t="n">
        <v>7338.5</v>
      </c>
      <c r="J62" s="31" t="n">
        <v>-0.96</v>
      </c>
      <c r="K62" s="31" t="n">
        <v>566993</v>
      </c>
      <c r="L62" s="30" t="n">
        <v>92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82.20999999999999</v>
      </c>
      <c r="P62" s="31" t="n">
        <v>59.37</v>
      </c>
      <c r="Q62" s="31" t="n">
        <v>6176.81</v>
      </c>
      <c r="R62" s="30" t="inlineStr">
        <is>
          <t>Near 52W High Breakout</t>
        </is>
      </c>
      <c r="S62" s="30" t="inlineStr">
        <is>
          <t>Nifty 50</t>
        </is>
      </c>
      <c r="T62" s="31" t="n">
        <v>1.09</v>
      </c>
      <c r="U62" s="31" t="n">
        <v>149.4</v>
      </c>
      <c r="V62" s="31" t="n">
        <v>146.72</v>
      </c>
      <c r="W62" s="31" t="n">
        <v>30.99</v>
      </c>
      <c r="X62" s="30" t="inlineStr">
        <is>
          <t>Cyclical in an Upturn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Between 50% to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IF(B63=0,"",RANK(B63,$B$2:$B$405,0))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RRKABEL</t>
        </is>
      </c>
      <c r="D63" s="30" t="inlineStr">
        <is>
          <t>R R Kabel Ltd</t>
        </is>
      </c>
      <c r="E63" s="30" t="inlineStr">
        <is>
          <t>industrials</t>
        </is>
      </c>
      <c r="F63" s="30" t="inlineStr">
        <is>
          <t>cables - power</t>
        </is>
      </c>
      <c r="G63" s="30" t="inlineStr">
        <is>
          <t>largecap</t>
        </is>
      </c>
      <c r="H63" s="31" t="n">
        <v>31590.37</v>
      </c>
      <c r="I63" s="31" t="n">
        <v>2764.4</v>
      </c>
      <c r="J63" s="31" t="n">
        <v>-1.02</v>
      </c>
      <c r="K63" s="31" t="n">
        <v>427544</v>
      </c>
      <c r="L63" s="30" t="n">
        <v>95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77</v>
      </c>
      <c r="P63" s="31" t="n">
        <v>66.44</v>
      </c>
      <c r="Q63" s="31" t="n">
        <v>2176.75</v>
      </c>
      <c r="R63" s="30" t="inlineStr">
        <is>
          <t>Near 52W High Breakout</t>
        </is>
      </c>
      <c r="S63" s="30" t="inlineStr">
        <is>
          <t>Nifty Energy</t>
        </is>
      </c>
      <c r="T63" s="31" t="n">
        <v>9.720000000000001</v>
      </c>
      <c r="U63" s="31" t="n">
        <v>98.68000000000001</v>
      </c>
      <c r="V63" s="31" t="n">
        <v>81.09</v>
      </c>
      <c r="W63" s="31" t="n">
        <v>37.66</v>
      </c>
      <c r="X63" s="30" t="inlineStr">
        <is>
          <t>Cyclical in an Upturn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IF(B64=0,"",RANK(B64,$B$2:$B$405,0))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GANESHBE</t>
        </is>
      </c>
      <c r="D64" s="30" t="inlineStr">
        <is>
          <t>Ganesh Benzoplast Ltd</t>
        </is>
      </c>
      <c r="E64" s="30" t="inlineStr">
        <is>
          <t>miscellaneous</t>
        </is>
      </c>
      <c r="F64" s="30" t="inlineStr">
        <is>
          <t>miscellaneous</t>
        </is>
      </c>
      <c r="G64" s="30" t="inlineStr">
        <is>
          <t>smallcap</t>
        </is>
      </c>
      <c r="H64" s="31" t="n">
        <v>870.9299999999999</v>
      </c>
      <c r="I64" s="31" t="n">
        <v>119.3</v>
      </c>
      <c r="J64" s="31" t="n">
        <v>-1.39</v>
      </c>
      <c r="K64" s="31" t="n">
        <v>144168</v>
      </c>
      <c r="L64" s="30" t="n">
        <v>59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67.75</v>
      </c>
      <c r="P64" s="31" t="n">
        <v>28.62</v>
      </c>
      <c r="Q64" s="31" t="n">
        <v>86.34999999999999</v>
      </c>
      <c r="R64" s="30" t="inlineStr">
        <is>
          <t>Near 52W High Breakout</t>
        </is>
      </c>
      <c r="S64" s="30" t="inlineStr">
        <is>
          <t>Nifty 50</t>
        </is>
      </c>
      <c r="T64" s="31" t="n">
        <v>1.09</v>
      </c>
      <c r="U64" s="31" t="n">
        <v>38.19</v>
      </c>
      <c r="V64" s="31" t="n">
        <v>36.7</v>
      </c>
      <c r="W64" s="31" t="n">
        <v>13.04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IF(B65=0,"",RANK(B65,$B$2:$B$405,0))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ADOR</t>
        </is>
      </c>
      <c r="D65" s="30" t="inlineStr">
        <is>
          <t>Ador Welding Ltd</t>
        </is>
      </c>
      <c r="E65" s="30" t="inlineStr">
        <is>
          <t>industrials</t>
        </is>
      </c>
      <c r="F65" s="30" t="inlineStr">
        <is>
          <t>electrodes - welding equipment</t>
        </is>
      </c>
      <c r="G65" s="30" t="inlineStr">
        <is>
          <t>smallcap</t>
        </is>
      </c>
      <c r="H65" s="31" t="n">
        <v>2624.52</v>
      </c>
      <c r="I65" s="31" t="n">
        <v>1484.8</v>
      </c>
      <c r="J65" s="31" t="n">
        <v>-1.55</v>
      </c>
      <c r="K65" s="31" t="n">
        <v>22287</v>
      </c>
      <c r="L65" s="30" t="n">
        <v>79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80.01000000000001</v>
      </c>
      <c r="P65" s="31" t="n">
        <v>46.91</v>
      </c>
      <c r="Q65" s="31" t="n">
        <v>1208.1</v>
      </c>
      <c r="R65" s="30" t="inlineStr">
        <is>
          <t>Near 52W High Breakout</t>
        </is>
      </c>
      <c r="S65" s="30" t="inlineStr">
        <is>
          <t>Nifty Infra</t>
        </is>
      </c>
      <c r="T65" s="31" t="n">
        <v>4.3</v>
      </c>
      <c r="U65" s="31" t="n">
        <v>44.57</v>
      </c>
      <c r="V65" s="31" t="n">
        <v>38.62</v>
      </c>
      <c r="W65" s="31" t="n">
        <v>20.52</v>
      </c>
      <c r="X65" s="30" t="inlineStr">
        <is>
          <t>Cyclical in an Upturn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IF(B66=0,"",RANK(B66,$B$2:$B$405,0))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CENTENKA</t>
        </is>
      </c>
      <c r="D66" s="30" t="inlineStr">
        <is>
          <t>Century Enka Limited</t>
        </is>
      </c>
      <c r="E66" s="30" t="inlineStr">
        <is>
          <t>textiles</t>
        </is>
      </c>
      <c r="F66" s="30" t="inlineStr">
        <is>
          <t>textiles - manmade</t>
        </is>
      </c>
      <c r="G66" s="30" t="inlineStr">
        <is>
          <t>smallcap</t>
        </is>
      </c>
      <c r="H66" s="31" t="n">
        <v>1339.33</v>
      </c>
      <c r="I66" s="31" t="n">
        <v>602.7</v>
      </c>
      <c r="J66" s="31" t="n">
        <v>-1.67</v>
      </c>
      <c r="K66" s="31" t="n">
        <v>68935</v>
      </c>
      <c r="L66" s="30" t="n">
        <v>58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70.55</v>
      </c>
      <c r="P66" s="31" t="n">
        <v>60.76</v>
      </c>
      <c r="Q66" s="31" t="n">
        <v>463.78</v>
      </c>
      <c r="R66" s="30" t="inlineStr">
        <is>
          <t>Near 52W High Breakout</t>
        </is>
      </c>
      <c r="S66" s="30" t="inlineStr">
        <is>
          <t>Nifty 50</t>
        </is>
      </c>
      <c r="T66" s="31" t="n">
        <v>1.09</v>
      </c>
      <c r="U66" s="31" t="n">
        <v>22.42</v>
      </c>
      <c r="V66" s="31" t="n">
        <v>21.11</v>
      </c>
      <c r="W66" s="31" t="n">
        <v>12.78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IF(B67=0,"",RANK(B67,$B$2:$B$405,0))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UNIPARTS</t>
        </is>
      </c>
      <c r="D67" s="30" t="inlineStr">
        <is>
          <t>Uniparts India Ltd</t>
        </is>
      </c>
      <c r="E67" s="30" t="inlineStr">
        <is>
          <t>industrials</t>
        </is>
      </c>
      <c r="F67" s="30" t="inlineStr">
        <is>
          <t>engineering</t>
        </is>
      </c>
      <c r="G67" s="30" t="inlineStr">
        <is>
          <t>smallcap</t>
        </is>
      </c>
      <c r="H67" s="31" t="n">
        <v>3618.9</v>
      </c>
      <c r="I67" s="31" t="n">
        <v>781.5</v>
      </c>
      <c r="J67" s="31" t="n">
        <v>-2.51</v>
      </c>
      <c r="K67" s="31" t="n">
        <v>283602</v>
      </c>
      <c r="L67" s="30" t="n">
        <v>90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77.26000000000001</v>
      </c>
      <c r="P67" s="31" t="n">
        <v>59.62</v>
      </c>
      <c r="Q67" s="31" t="n">
        <v>620.83</v>
      </c>
      <c r="R67" s="30" t="inlineStr">
        <is>
          <t>Volume Spike &amp; Near 52W High Breakout</t>
        </is>
      </c>
      <c r="S67" s="30" t="inlineStr">
        <is>
          <t>Nifty 50</t>
        </is>
      </c>
      <c r="T67" s="31" t="n">
        <v>1.09</v>
      </c>
      <c r="U67" s="31" t="n">
        <v>150.45</v>
      </c>
      <c r="V67" s="31" t="n">
        <v>147.76</v>
      </c>
      <c r="W67" s="31" t="n">
        <v>29.7</v>
      </c>
      <c r="X67" s="30" t="inlineStr">
        <is>
          <t>Cyclical in an Upturn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IF(B68=0,"",RANK(B68,$B$2:$B$405,0))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NRBBEARING</t>
        </is>
      </c>
      <c r="D68" s="30" t="inlineStr">
        <is>
          <t>Nrb Bearing Limited</t>
        </is>
      </c>
      <c r="E68" s="30" t="inlineStr">
        <is>
          <t>industrials</t>
        </is>
      </c>
      <c r="F68" s="30" t="inlineStr">
        <is>
          <t>bearings</t>
        </is>
      </c>
      <c r="G68" s="30" t="inlineStr">
        <is>
          <t>smallcap</t>
        </is>
      </c>
      <c r="H68" s="31" t="n">
        <v>4436.15</v>
      </c>
      <c r="I68" s="31" t="n">
        <v>445.6</v>
      </c>
      <c r="J68" s="31" t="n">
        <v>-2.64</v>
      </c>
      <c r="K68" s="31" t="n">
        <v>715909</v>
      </c>
      <c r="L68" s="30" t="n">
        <v>79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73.7</v>
      </c>
      <c r="P68" s="31" t="n">
        <v>48.72</v>
      </c>
      <c r="Q68" s="31" t="n">
        <v>347.14</v>
      </c>
      <c r="R68" s="30" t="inlineStr">
        <is>
          <t>Near 52W High Breakout</t>
        </is>
      </c>
      <c r="S68" s="30" t="inlineStr">
        <is>
          <t>Nifty 50</t>
        </is>
      </c>
      <c r="T68" s="31" t="n">
        <v>1.09</v>
      </c>
      <c r="U68" s="31" t="n">
        <v>68.08</v>
      </c>
      <c r="V68" s="31" t="n">
        <v>66.27</v>
      </c>
      <c r="W68" s="31" t="n">
        <v>20.75</v>
      </c>
      <c r="X68" s="30" t="inlineStr">
        <is>
          <t>Cyclical in an Upturn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IF(B69=0,"",RANK(B69,$B$2:$B$405,0))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SONACOMS</t>
        </is>
      </c>
      <c r="D69" s="30" t="inlineStr">
        <is>
          <t>Sona BLW Precision Forgings Ltd</t>
        </is>
      </c>
      <c r="E69" s="30" t="inlineStr">
        <is>
          <t>auto</t>
        </is>
      </c>
      <c r="F69" s="30" t="inlineStr">
        <is>
          <t>auto ancillaries</t>
        </is>
      </c>
      <c r="G69" s="30" t="inlineStr">
        <is>
          <t>largecap</t>
        </is>
      </c>
      <c r="H69" s="31" t="n">
        <v>50670.96</v>
      </c>
      <c r="I69" s="31" t="n">
        <v>792</v>
      </c>
      <c r="J69" s="31" t="n">
        <v>-2.77</v>
      </c>
      <c r="K69" s="31" t="n">
        <v>5297789</v>
      </c>
      <c r="L69" s="30" t="n">
        <v>80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81.72</v>
      </c>
      <c r="P69" s="31" t="n">
        <v>46.85</v>
      </c>
      <c r="Q69" s="31" t="n">
        <v>673.1</v>
      </c>
      <c r="R69" s="30" t="inlineStr">
        <is>
          <t>Near 52W High Breakout</t>
        </is>
      </c>
      <c r="S69" s="30" t="inlineStr">
        <is>
          <t>Nifty Auto</t>
        </is>
      </c>
      <c r="T69" s="31" t="n">
        <v>22.44</v>
      </c>
      <c r="U69" s="31" t="n">
        <v>70.51000000000001</v>
      </c>
      <c r="V69" s="31" t="n">
        <v>39.26</v>
      </c>
      <c r="W69" s="31" t="n">
        <v>20.8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Between 1.5 to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IF(B70=0,"",RANK(B70,$B$2:$B$405,0))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CHEVIOT</t>
        </is>
      </c>
      <c r="D70" s="30" t="inlineStr">
        <is>
          <t>Cheviot Company Ltd</t>
        </is>
      </c>
      <c r="E70" s="30" t="inlineStr">
        <is>
          <t>textiles</t>
        </is>
      </c>
      <c r="F70" s="30" t="inlineStr">
        <is>
          <t>textiles - jute - yarn / products</t>
        </is>
      </c>
      <c r="G70" s="30" t="inlineStr">
        <is>
          <t>smallcap</t>
        </is>
      </c>
      <c r="H70" s="31" t="n">
        <v>713.64</v>
      </c>
      <c r="I70" s="31" t="n">
        <v>1179.4</v>
      </c>
      <c r="J70" s="31" t="n">
        <v>-3.45</v>
      </c>
      <c r="K70" s="31" t="n">
        <v>14523</v>
      </c>
      <c r="L70" s="30" t="n">
        <v>6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63.16</v>
      </c>
      <c r="P70" s="31" t="n">
        <v>26.87</v>
      </c>
      <c r="Q70" s="31" t="n">
        <v>1055.23</v>
      </c>
      <c r="R70" s="30" t="inlineStr">
        <is>
          <t>Volume Spike / Accumulation</t>
        </is>
      </c>
      <c r="S70" s="30" t="inlineStr">
        <is>
          <t>Nifty 50</t>
        </is>
      </c>
      <c r="T70" s="31" t="n">
        <v>1.09</v>
      </c>
      <c r="U70" s="31" t="n">
        <v>4.77</v>
      </c>
      <c r="V70" s="31" t="n">
        <v>3.64</v>
      </c>
      <c r="W70" s="31" t="n">
        <v>0.38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IF(B71=0,"",RANK(B71,$B$2:$B$405,0))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SHILPAMED</t>
        </is>
      </c>
      <c r="D71" s="30" t="inlineStr">
        <is>
          <t>Shilpa Medicare Limited</t>
        </is>
      </c>
      <c r="E71" s="30" t="inlineStr">
        <is>
          <t>healthcare</t>
        </is>
      </c>
      <c r="F71" s="30" t="inlineStr">
        <is>
          <t>pharmaceuticals - indian - formulations</t>
        </is>
      </c>
      <c r="G71" s="30" t="inlineStr">
        <is>
          <t>midcap</t>
        </is>
      </c>
      <c r="H71" s="31" t="n">
        <v>14116.12</v>
      </c>
      <c r="I71" s="31" t="n">
        <v>738.8</v>
      </c>
      <c r="J71" s="31" t="n">
        <v>2.36</v>
      </c>
      <c r="K71" s="31" t="n">
        <v>20729663</v>
      </c>
      <c r="L71" s="30" t="n">
        <v>92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86.42</v>
      </c>
      <c r="P71" s="31" t="n">
        <v>70.91</v>
      </c>
      <c r="Q71" s="31" t="n">
        <v>590.78</v>
      </c>
      <c r="R71" s="30" t="inlineStr">
        <is>
          <t>Volume Spike &amp; Near 52W High Breakout</t>
        </is>
      </c>
      <c r="S71" s="30" t="inlineStr">
        <is>
          <t>Nifty Pharma</t>
        </is>
      </c>
      <c r="T71" s="31" t="n">
        <v>24.42</v>
      </c>
      <c r="U71" s="31" t="n">
        <v>80.25</v>
      </c>
      <c r="V71" s="31" t="n">
        <v>44.88</v>
      </c>
      <c r="W71" s="31" t="n">
        <v>31.1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Annuity, Lower One Time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IF(B72=0,"",RANK(B72,$B$2:$B$405,0))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CLSEL</t>
        </is>
      </c>
      <c r="D72" s="30" t="inlineStr">
        <is>
          <t>Chamanlal Setia Exports Ltd</t>
        </is>
      </c>
      <c r="E72" s="30" t="inlineStr">
        <is>
          <t>fmcg</t>
        </is>
      </c>
      <c r="F72" s="30" t="inlineStr">
        <is>
          <t>food - processing - indian</t>
        </is>
      </c>
      <c r="G72" s="30" t="inlineStr">
        <is>
          <t>smallcap</t>
        </is>
      </c>
      <c r="H72" s="31" t="n">
        <v>1462.93</v>
      </c>
      <c r="I72" s="31" t="n">
        <v>297.85</v>
      </c>
      <c r="J72" s="31" t="n">
        <v>1.24</v>
      </c>
      <c r="K72" s="31" t="n">
        <v>220524</v>
      </c>
      <c r="L72" s="30" t="n">
        <v>9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56.79</v>
      </c>
      <c r="P72" s="31" t="n">
        <v>24.88</v>
      </c>
      <c r="Q72" s="31" t="n">
        <v>229.04</v>
      </c>
      <c r="R72" s="30" t="inlineStr">
        <is>
          <t>Near 52W High Breakout</t>
        </is>
      </c>
      <c r="S72" s="30" t="inlineStr">
        <is>
          <t>Nifty FMCG</t>
        </is>
      </c>
      <c r="T72" s="31" t="n">
        <v>-9.75</v>
      </c>
      <c r="U72" s="31" t="n">
        <v>-9.32</v>
      </c>
      <c r="V72" s="31" t="n">
        <v>0.47</v>
      </c>
      <c r="W72" s="31" t="n">
        <v>1.32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B2C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Annuity, Lower One Time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Less than 50%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IF(B73=0,"",RANK(B73,$B$2:$B$405,0))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HESTERBIO</t>
        </is>
      </c>
      <c r="D73" s="30" t="inlineStr">
        <is>
          <t>Hester Biosciences Limited</t>
        </is>
      </c>
      <c r="E73" s="30" t="inlineStr">
        <is>
          <t>healthcare</t>
        </is>
      </c>
      <c r="F73" s="30" t="inlineStr">
        <is>
          <t>pharmaceuticals - indian - formulations</t>
        </is>
      </c>
      <c r="G73" s="30" t="inlineStr">
        <is>
          <t>smallcap</t>
        </is>
      </c>
      <c r="H73" s="31" t="n">
        <v>2069.98</v>
      </c>
      <c r="I73" s="31" t="n">
        <v>2458.5</v>
      </c>
      <c r="J73" s="31" t="n">
        <v>1.04</v>
      </c>
      <c r="K73" s="31" t="n">
        <v>3170</v>
      </c>
      <c r="L73" s="30" t="n">
        <v>69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70.83</v>
      </c>
      <c r="P73" s="31" t="n">
        <v>56.73</v>
      </c>
      <c r="Q73" s="31" t="n">
        <v>1879.02</v>
      </c>
      <c r="R73" s="30" t="inlineStr">
        <is>
          <t>Near 52W High Breakout</t>
        </is>
      </c>
      <c r="S73" s="30" t="inlineStr">
        <is>
          <t>Nifty Pharma</t>
        </is>
      </c>
      <c r="T73" s="31" t="n">
        <v>24.42</v>
      </c>
      <c r="U73" s="31" t="n">
        <v>25.07</v>
      </c>
      <c r="V73" s="31" t="n">
        <v>0.53</v>
      </c>
      <c r="W73" s="31" t="n">
        <v>16.38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Yes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Annuity, Lower One Time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IF(B74=0,"",RANK(B74,$B$2:$B$405,0))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VENKEYS</t>
        </is>
      </c>
      <c r="D74" s="30" t="inlineStr">
        <is>
          <t>Venky's (india) Limited</t>
        </is>
      </c>
      <c r="E74" s="30" t="inlineStr">
        <is>
          <t>fmcg</t>
        </is>
      </c>
      <c r="F74" s="30" t="inlineStr">
        <is>
          <t>miscellaneous</t>
        </is>
      </c>
      <c r="G74" s="30" t="inlineStr">
        <is>
          <t>smallcap</t>
        </is>
      </c>
      <c r="H74" s="31" t="n">
        <v>2228.48</v>
      </c>
      <c r="I74" s="31" t="n">
        <v>1565.1</v>
      </c>
      <c r="J74" s="31" t="n">
        <v>-1.06</v>
      </c>
      <c r="K74" s="31" t="n">
        <v>19180</v>
      </c>
      <c r="L74" s="30" t="n">
        <v>10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58.2</v>
      </c>
      <c r="P74" s="31" t="n">
        <v>36.94</v>
      </c>
      <c r="Q74" s="31" t="n">
        <v>1301.29</v>
      </c>
      <c r="R74" s="30" t="inlineStr">
        <is>
          <t>Near 52W High Breakout</t>
        </is>
      </c>
      <c r="S74" s="30" t="inlineStr">
        <is>
          <t>Nifty FMCG</t>
        </is>
      </c>
      <c r="T74" s="31" t="n">
        <v>-9.75</v>
      </c>
      <c r="U74" s="31" t="n">
        <v>2.9</v>
      </c>
      <c r="V74" s="31" t="n">
        <v>14.01</v>
      </c>
      <c r="W74" s="31" t="n">
        <v>1.41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B2C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Annuity, Lower One Time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IF(B75=0,"",RANK(B75,$B$2:$B$405,0))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GOKULAGRO</t>
        </is>
      </c>
      <c r="D75" s="30" t="inlineStr">
        <is>
          <t>Gokul Agro Resources Limited</t>
        </is>
      </c>
      <c r="E75" s="30" t="inlineStr">
        <is>
          <t>fmcg</t>
        </is>
      </c>
      <c r="F75" s="30" t="inlineStr">
        <is>
          <t>solvent extraction</t>
        </is>
      </c>
      <c r="G75" s="30" t="inlineStr">
        <is>
          <t>midcap</t>
        </is>
      </c>
      <c r="H75" s="31" t="n">
        <v>6714.11</v>
      </c>
      <c r="I75" s="31" t="n">
        <v>224.53</v>
      </c>
      <c r="J75" s="31" t="n">
        <v>-1.32</v>
      </c>
      <c r="K75" s="31" t="n">
        <v>175123</v>
      </c>
      <c r="L75" s="30" t="n">
        <v>45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59.74</v>
      </c>
      <c r="P75" s="31" t="n">
        <v>29.11</v>
      </c>
      <c r="Q75" s="31" t="n">
        <v>184.34</v>
      </c>
      <c r="R75" s="30" t="inlineStr">
        <is>
          <t>Earnings / Momentum Support</t>
        </is>
      </c>
      <c r="S75" s="30" t="inlineStr">
        <is>
          <t>Nifty FMCG</t>
        </is>
      </c>
      <c r="T75" s="31" t="n">
        <v>-9.75</v>
      </c>
      <c r="U75" s="31" t="n">
        <v>47.31</v>
      </c>
      <c r="V75" s="31" t="n">
        <v>63.22</v>
      </c>
      <c r="W75" s="31" t="n">
        <v>9.66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B2C</t>
        </is>
      </c>
      <c r="AO75" s="30">
        <f>IF(AN75="B2C",10,IF(AN75="B2B",5,0))</f>
        <v/>
      </c>
      <c r="AP75" s="30" t="inlineStr">
        <is>
          <t>No</t>
        </is>
      </c>
      <c r="AQ75" s="30">
        <f>IF(AP75="Yes",10,0)</f>
        <v/>
      </c>
      <c r="AR75" s="30" t="inlineStr">
        <is>
          <t>Higher Annuity, Lower One Time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IF(B76=0,"",RANK(B76,$B$2:$B$405,0))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RATEGAIN</t>
        </is>
      </c>
      <c r="D76" s="30" t="inlineStr">
        <is>
          <t>Rategain Travel Technologies Ltd</t>
        </is>
      </c>
      <c r="E76" s="30" t="inlineStr">
        <is>
          <t>i.t</t>
        </is>
      </c>
      <c r="F76" s="30" t="inlineStr">
        <is>
          <t>computers - software - medium / small</t>
        </is>
      </c>
      <c r="G76" s="30" t="inlineStr">
        <is>
          <t>midcap</t>
        </is>
      </c>
      <c r="H76" s="31" t="n">
        <v>11586.76</v>
      </c>
      <c r="I76" s="31" t="n">
        <v>944.95</v>
      </c>
      <c r="J76" s="31" t="n">
        <v>-3.42</v>
      </c>
      <c r="K76" s="31" t="n">
        <v>4578350</v>
      </c>
      <c r="L76" s="30" t="n">
        <v>90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75.09</v>
      </c>
      <c r="P76" s="31" t="n">
        <v>41.38</v>
      </c>
      <c r="Q76" s="31" t="n">
        <v>770.8099999999999</v>
      </c>
      <c r="R76" s="30" t="inlineStr">
        <is>
          <t>Near 52W High Breakout</t>
        </is>
      </c>
      <c r="S76" s="30" t="inlineStr">
        <is>
          <t>Nifty IT</t>
        </is>
      </c>
      <c r="T76" s="31" t="n">
        <v>-9.289999999999999</v>
      </c>
      <c r="U76" s="31" t="n">
        <v>108.23</v>
      </c>
      <c r="V76" s="31" t="n">
        <v>129.55</v>
      </c>
      <c r="W76" s="31" t="n">
        <v>29.68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Annuity, Lower One Time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Between 50% to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IF(B77=0,"",RANK(B77,$B$2:$B$405,0))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SHAILY</t>
        </is>
      </c>
      <c r="D77" s="30" t="inlineStr">
        <is>
          <t>Shaily Engineering Plastics Ltd</t>
        </is>
      </c>
      <c r="E77" s="30" t="inlineStr">
        <is>
          <t>plastic products</t>
        </is>
      </c>
      <c r="F77" s="30" t="inlineStr">
        <is>
          <t>plastics products</t>
        </is>
      </c>
      <c r="G77" s="30" t="inlineStr">
        <is>
          <t>midcap</t>
        </is>
      </c>
      <c r="H77" s="31" t="n">
        <v>14609.01</v>
      </c>
      <c r="I77" s="31" t="n">
        <v>3366.3</v>
      </c>
      <c r="J77" s="31" t="n">
        <v>5.99</v>
      </c>
      <c r="K77" s="31" t="n">
        <v>644900</v>
      </c>
      <c r="L77" s="30" t="n">
        <v>85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70.94</v>
      </c>
      <c r="P77" s="31" t="n">
        <v>28.55</v>
      </c>
      <c r="Q77" s="31" t="n">
        <v>2574.04</v>
      </c>
      <c r="R77" s="30" t="inlineStr">
        <is>
          <t>Near 52W High Breakout</t>
        </is>
      </c>
      <c r="S77" s="30" t="inlineStr">
        <is>
          <t>Nifty 50</t>
        </is>
      </c>
      <c r="T77" s="31" t="n">
        <v>1.09</v>
      </c>
      <c r="U77" s="31" t="n">
        <v>112.97</v>
      </c>
      <c r="V77" s="31" t="n">
        <v>110.68</v>
      </c>
      <c r="W77" s="31" t="n">
        <v>24.7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IF(B78=0,"",RANK(B78,$B$2:$B$405,0))</f>
        <v/>
      </c>
      <c r="B78" s="31">
        <f>SUM(N78,Y78,AA78,AC78,AE78,AG78,AI78,AK78,AM78,AO78,AQ78,AS78,AU78,AW78,AY78,BA78,BC78,BE78,BG78,BI78,BK78,BM78,BO78,BQ78,BS78,BU78,BW78,BY78,CA78,CC78,CE78)</f>
        <v/>
      </c>
      <c r="C78" s="32" t="inlineStr">
        <is>
          <t>ROLEXRINGS</t>
        </is>
      </c>
      <c r="D78" s="32" t="inlineStr">
        <is>
          <t>Rolex Rings Ltd</t>
        </is>
      </c>
      <c r="E78" s="30" t="inlineStr">
        <is>
          <t>auto</t>
        </is>
      </c>
      <c r="F78" s="30" t="inlineStr">
        <is>
          <t>auto ancillaries</t>
        </is>
      </c>
      <c r="G78" s="30" t="inlineStr">
        <is>
          <t>smallcap</t>
        </is>
      </c>
      <c r="H78" s="31" t="n">
        <v>3943.93</v>
      </c>
      <c r="I78" s="31" t="n">
        <v>152.8</v>
      </c>
      <c r="J78" s="31" t="n">
        <v>5.51</v>
      </c>
      <c r="K78" s="31" t="n">
        <v>15721968</v>
      </c>
      <c r="L78" s="30" t="n">
        <v>9</v>
      </c>
      <c r="M78" s="30" t="inlineStr">
        <is>
          <t>Underperforming</t>
        </is>
      </c>
      <c r="N78" s="31">
        <f>IF(M78="Underperforming",-5,IF(L78&gt;=95,15,IF(L78&gt;=90,10,IF(L78&gt;=80,5,0))))</f>
        <v/>
      </c>
      <c r="O78" s="31" t="n">
        <v>56.88</v>
      </c>
      <c r="P78" s="31" t="n">
        <v>34.52</v>
      </c>
      <c r="Q78" s="31" t="n">
        <v>119.84</v>
      </c>
      <c r="R78" s="30" t="inlineStr">
        <is>
          <t>Volume Spike &amp; Near 52W High Breakout</t>
        </is>
      </c>
      <c r="S78" s="30" t="inlineStr">
        <is>
          <t>Nifty Auto</t>
        </is>
      </c>
      <c r="T78" s="31" t="n">
        <v>22.44</v>
      </c>
      <c r="U78" s="31" t="n">
        <v>3.57</v>
      </c>
      <c r="V78" s="31" t="n">
        <v>-15.41</v>
      </c>
      <c r="W78" s="31" t="n">
        <v>1.34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IF(B79=0,"",RANK(B79,$B$2:$B$405,0))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BIRLACABLE</t>
        </is>
      </c>
      <c r="D79" s="30" t="inlineStr">
        <is>
          <t>Birla Cable Limited</t>
        </is>
      </c>
      <c r="E79" s="30" t="inlineStr">
        <is>
          <t>industrials</t>
        </is>
      </c>
      <c r="F79" s="30" t="inlineStr">
        <is>
          <t>cables - telephone</t>
        </is>
      </c>
      <c r="G79" s="30" t="inlineStr">
        <is>
          <t>smallcap</t>
        </is>
      </c>
      <c r="H79" s="31" t="n">
        <v>707.79</v>
      </c>
      <c r="I79" s="31" t="n">
        <v>247.72</v>
      </c>
      <c r="J79" s="31" t="n">
        <v>5</v>
      </c>
      <c r="K79" s="31" t="n">
        <v>45852</v>
      </c>
      <c r="L79" s="30" t="n">
        <v>83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67.39</v>
      </c>
      <c r="P79" s="31" t="n">
        <v>43.4</v>
      </c>
      <c r="Q79" s="31" t="n">
        <v>175.89</v>
      </c>
      <c r="R79" s="30" t="inlineStr">
        <is>
          <t>Near 52W High Breakout</t>
        </is>
      </c>
      <c r="S79" s="30" t="inlineStr">
        <is>
          <t>Nifty Infra</t>
        </is>
      </c>
      <c r="T79" s="31" t="n">
        <v>4.3</v>
      </c>
      <c r="U79" s="31" t="n">
        <v>45.6</v>
      </c>
      <c r="V79" s="31" t="n">
        <v>39.6</v>
      </c>
      <c r="W79" s="31" t="n">
        <v>22.94</v>
      </c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IF(B80=0,"",RANK(B80,$B$2:$B$405,0))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GHCLTEXTIL</t>
        </is>
      </c>
      <c r="D80" s="30" t="inlineStr">
        <is>
          <t>GHCL Textiles Ltd</t>
        </is>
      </c>
      <c r="E80" s="30" t="inlineStr">
        <is>
          <t>textiles</t>
        </is>
      </c>
      <c r="F80" s="30" t="inlineStr">
        <is>
          <t>textiles - spinning - synthetic / blended</t>
        </is>
      </c>
      <c r="G80" s="30" t="inlineStr">
        <is>
          <t>smallcap</t>
        </is>
      </c>
      <c r="H80" s="31" t="n">
        <v>1098.85</v>
      </c>
      <c r="I80" s="31" t="n">
        <v>120</v>
      </c>
      <c r="J80" s="31" t="n">
        <v>4.38</v>
      </c>
      <c r="K80" s="31" t="n">
        <v>1855411</v>
      </c>
      <c r="L80" s="30" t="n">
        <v>67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72.26000000000001</v>
      </c>
      <c r="P80" s="31" t="n">
        <v>30.32</v>
      </c>
      <c r="Q80" s="31" t="n">
        <v>91.89</v>
      </c>
      <c r="R80" s="30" t="inlineStr">
        <is>
          <t>Near 52W High Breakout</t>
        </is>
      </c>
      <c r="S80" s="30" t="inlineStr">
        <is>
          <t>Nifty 50</t>
        </is>
      </c>
      <c r="T80" s="31" t="n">
        <v>1.09</v>
      </c>
      <c r="U80" s="31" t="n">
        <v>50.26</v>
      </c>
      <c r="V80" s="31" t="n">
        <v>48.65</v>
      </c>
      <c r="W80" s="31" t="n">
        <v>15.38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IF(B81=0,"",RANK(B81,$B$2:$B$405,0))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UFBL</t>
        </is>
      </c>
      <c r="D81" s="30" t="inlineStr">
        <is>
          <t>United Foodbrands Ltd</t>
        </is>
      </c>
      <c r="E81" s="30" t="inlineStr">
        <is>
          <t>consumer discretionary</t>
        </is>
      </c>
      <c r="F81" s="30" t="inlineStr">
        <is>
          <t>hotels</t>
        </is>
      </c>
      <c r="G81" s="30" t="inlineStr">
        <is>
          <t>smallcap</t>
        </is>
      </c>
      <c r="H81" s="31" t="n">
        <v>3016.88</v>
      </c>
      <c r="I81" s="31" t="n">
        <v>804.3</v>
      </c>
      <c r="J81" s="31" t="n">
        <v>4.2</v>
      </c>
      <c r="K81" s="31" t="n">
        <v>274867</v>
      </c>
      <c r="L81" s="30" t="n">
        <v>98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79.92</v>
      </c>
      <c r="P81" s="31" t="n">
        <v>55.97</v>
      </c>
      <c r="Q81" s="31" t="n">
        <v>606.83</v>
      </c>
      <c r="R81" s="30" t="inlineStr">
        <is>
          <t>Near 52W High Breakout</t>
        </is>
      </c>
      <c r="S81" s="30" t="inlineStr">
        <is>
          <t>Nifty 50</t>
        </is>
      </c>
      <c r="T81" s="31" t="n">
        <v>1.09</v>
      </c>
      <c r="U81" s="31" t="n">
        <v>220</v>
      </c>
      <c r="V81" s="31" t="n">
        <v>216.56</v>
      </c>
      <c r="W81" s="31" t="n">
        <v>56.01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Above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Between 1.5 to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More than 1.2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IF(B82=0,"",RANK(B82,$B$2:$B$405,0))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KINGFA</t>
        </is>
      </c>
      <c r="D82" s="30" t="inlineStr">
        <is>
          <t>Kingfa Science &amp; Technology (india) Limited</t>
        </is>
      </c>
      <c r="E82" s="30" t="inlineStr">
        <is>
          <t>plastic products</t>
        </is>
      </c>
      <c r="F82" s="30" t="inlineStr">
        <is>
          <t>plastics products</t>
        </is>
      </c>
      <c r="G82" s="30" t="inlineStr">
        <is>
          <t>midcap</t>
        </is>
      </c>
      <c r="H82" s="31" t="n">
        <v>6997.26</v>
      </c>
      <c r="I82" s="31" t="n">
        <v>5344</v>
      </c>
      <c r="J82" s="31" t="n">
        <v>3.5</v>
      </c>
      <c r="K82" s="31" t="n">
        <v>24760</v>
      </c>
      <c r="L82" s="30" t="n">
        <v>44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60.32</v>
      </c>
      <c r="P82" s="31" t="n">
        <v>29.49</v>
      </c>
      <c r="Q82" s="31" t="n">
        <v>4336.1</v>
      </c>
      <c r="R82" s="30" t="inlineStr">
        <is>
          <t>Near 52W High Breakout</t>
        </is>
      </c>
      <c r="S82" s="30" t="inlineStr">
        <is>
          <t>Nifty 50</t>
        </is>
      </c>
      <c r="T82" s="31" t="n">
        <v>1.09</v>
      </c>
      <c r="U82" s="31" t="n">
        <v>52.5</v>
      </c>
      <c r="V82" s="31" t="n">
        <v>50.86</v>
      </c>
      <c r="W82" s="31" t="n">
        <v>9.5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Less than 50%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IF(B83=0,"",RANK(B83,$B$2:$B$405,0))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KRONOX</t>
        </is>
      </c>
      <c r="D83" s="30" t="inlineStr">
        <is>
          <t>Kronox Lab Sciences Ltd</t>
        </is>
      </c>
      <c r="E83" s="30" t="inlineStr">
        <is>
          <t>chemicals</t>
        </is>
      </c>
      <c r="F83" s="30" t="inlineStr">
        <is>
          <t>chemicals</t>
        </is>
      </c>
      <c r="G83" s="30" t="inlineStr">
        <is>
          <t>smallcap</t>
        </is>
      </c>
      <c r="H83" s="31" t="n">
        <v>600.08</v>
      </c>
      <c r="I83" s="31" t="n">
        <v>166.78</v>
      </c>
      <c r="J83" s="31" t="n">
        <v>3.12</v>
      </c>
      <c r="K83" s="31" t="n">
        <v>306885</v>
      </c>
      <c r="L83" s="30" t="n">
        <v>25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65.87</v>
      </c>
      <c r="P83" s="31" t="n">
        <v>22.75</v>
      </c>
      <c r="Q83" s="31" t="n">
        <v>122.65</v>
      </c>
      <c r="R83" s="30" t="inlineStr">
        <is>
          <t>Near 52W High Breakout</t>
        </is>
      </c>
      <c r="S83" s="30" t="inlineStr">
        <is>
          <t>Nifty 50</t>
        </is>
      </c>
      <c r="T83" s="31" t="n">
        <v>1.09</v>
      </c>
      <c r="U83" s="31" t="n">
        <v>1.32</v>
      </c>
      <c r="V83" s="31" t="n">
        <v>0.23</v>
      </c>
      <c r="W83" s="31" t="n">
        <v>4.88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Between 50% to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IF(B84=0,"",RANK(B84,$B$2:$B$405,0))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THELEELA</t>
        </is>
      </c>
      <c r="D84" s="30" t="inlineStr">
        <is>
          <t>Leela Palaces Hotels &amp; Resorts Ltd</t>
        </is>
      </c>
      <c r="E84" s="30" t="inlineStr">
        <is>
          <t>services</t>
        </is>
      </c>
      <c r="F84" s="30" t="inlineStr">
        <is>
          <t>hotels</t>
        </is>
      </c>
      <c r="G84" s="30" t="inlineStr">
        <is>
          <t>midcap</t>
        </is>
      </c>
      <c r="H84" s="31" t="n">
        <v>16773.03</v>
      </c>
      <c r="I84" s="31" t="n">
        <v>511</v>
      </c>
      <c r="J84" s="31" t="n">
        <v>1.74</v>
      </c>
      <c r="K84" s="31" t="n">
        <v>1027540</v>
      </c>
      <c r="L84" s="30" t="n">
        <v>38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64.51000000000001</v>
      </c>
      <c r="P84" s="31" t="n">
        <v>23.48</v>
      </c>
      <c r="Q84" s="31" t="n">
        <v>415.77</v>
      </c>
      <c r="R84" s="30" t="inlineStr">
        <is>
          <t>Volume Spike &amp; Near 52W High Breakout</t>
        </is>
      </c>
      <c r="S84" s="30" t="inlineStr">
        <is>
          <t>Nifty 50</t>
        </is>
      </c>
      <c r="T84" s="31" t="n">
        <v>1.09</v>
      </c>
      <c r="U84" s="31" t="n">
        <v>18</v>
      </c>
      <c r="V84" s="31" t="n">
        <v>16.73</v>
      </c>
      <c r="W84" s="31" t="n">
        <v>7.93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IF(B85=0,"",RANK(B85,$B$2:$B$405,0))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KANORICHEM</t>
        </is>
      </c>
      <c r="D85" s="30" t="inlineStr">
        <is>
          <t>Kanoria Chemicals &amp; Industries Limited</t>
        </is>
      </c>
      <c r="E85" s="30" t="inlineStr">
        <is>
          <t>chemicals</t>
        </is>
      </c>
      <c r="F85" s="30" t="inlineStr">
        <is>
          <t>chemicals</t>
        </is>
      </c>
      <c r="G85" s="30" t="inlineStr">
        <is>
          <t>smallcap</t>
        </is>
      </c>
      <c r="H85" s="31" t="n">
        <v>653.3</v>
      </c>
      <c r="I85" s="31" t="n">
        <v>152</v>
      </c>
      <c r="J85" s="31" t="n">
        <v>1.66</v>
      </c>
      <c r="K85" s="31" t="n">
        <v>29050</v>
      </c>
      <c r="L85" s="30" t="n">
        <v>87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71.42</v>
      </c>
      <c r="P85" s="31" t="n">
        <v>53.41</v>
      </c>
      <c r="Q85" s="31" t="n">
        <v>119.84</v>
      </c>
      <c r="R85" s="30" t="inlineStr">
        <is>
          <t>Earnings / Momentum Support</t>
        </is>
      </c>
      <c r="S85" s="30" t="inlineStr">
        <is>
          <t>Nifty 50</t>
        </is>
      </c>
      <c r="T85" s="31" t="n">
        <v>1.09</v>
      </c>
      <c r="U85" s="31" t="n">
        <v>76.70999999999999</v>
      </c>
      <c r="V85" s="31" t="n">
        <v>74.81</v>
      </c>
      <c r="W85" s="31" t="n">
        <v>26.94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No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IF(B86=0,"",RANK(B86,$B$2:$B$405,0))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SANSERA</t>
        </is>
      </c>
      <c r="D86" s="30" t="inlineStr">
        <is>
          <t>Sansera Engineering Ltd</t>
        </is>
      </c>
      <c r="E86" s="30" t="inlineStr">
        <is>
          <t>auto</t>
        </is>
      </c>
      <c r="F86" s="30" t="inlineStr">
        <is>
          <t>auto ancillaries</t>
        </is>
      </c>
      <c r="G86" s="30" t="inlineStr">
        <is>
          <t>largecap</t>
        </is>
      </c>
      <c r="H86" s="31" t="n">
        <v>23356.41</v>
      </c>
      <c r="I86" s="31" t="n">
        <v>3787.3</v>
      </c>
      <c r="J86" s="31" t="n">
        <v>1.19</v>
      </c>
      <c r="K86" s="31" t="n">
        <v>349481</v>
      </c>
      <c r="L86" s="30" t="n">
        <v>94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82.45999999999999</v>
      </c>
      <c r="P86" s="31" t="n">
        <v>54.01</v>
      </c>
      <c r="Q86" s="31" t="n">
        <v>3076.12</v>
      </c>
      <c r="R86" s="30" t="inlineStr">
        <is>
          <t>Near 52W High Breakout</t>
        </is>
      </c>
      <c r="S86" s="30" t="inlineStr">
        <is>
          <t>Nifty Auto</t>
        </is>
      </c>
      <c r="T86" s="31" t="n">
        <v>22.44</v>
      </c>
      <c r="U86" s="31" t="n">
        <v>182.84</v>
      </c>
      <c r="V86" s="31" t="n">
        <v>131.02</v>
      </c>
      <c r="W86" s="31" t="n">
        <v>35.3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Between 50% to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IF(B87=0,"",RANK(B87,$B$2:$B$405,0))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ARVIND</t>
        </is>
      </c>
      <c r="D87" s="30" t="inlineStr">
        <is>
          <t>Arvind Limited</t>
        </is>
      </c>
      <c r="E87" s="30" t="inlineStr">
        <is>
          <t>textiles</t>
        </is>
      </c>
      <c r="F87" s="30" t="inlineStr">
        <is>
          <t>textiles - cotton/blended</t>
        </is>
      </c>
      <c r="G87" s="30" t="inlineStr">
        <is>
          <t>midcap</t>
        </is>
      </c>
      <c r="H87" s="31" t="n">
        <v>14289.23</v>
      </c>
      <c r="I87" s="31" t="n">
        <v>546.1</v>
      </c>
      <c r="J87" s="31" t="n">
        <v>0.18</v>
      </c>
      <c r="K87" s="31" t="n">
        <v>466341</v>
      </c>
      <c r="L87" s="30" t="n">
        <v>75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68.72</v>
      </c>
      <c r="P87" s="31" t="n">
        <v>60.98</v>
      </c>
      <c r="Q87" s="31" t="n">
        <v>452.96</v>
      </c>
      <c r="R87" s="30" t="inlineStr">
        <is>
          <t>Near 52W High Breakout</t>
        </is>
      </c>
      <c r="S87" s="30" t="inlineStr">
        <is>
          <t>Nifty 50</t>
        </is>
      </c>
      <c r="T87" s="31" t="n">
        <v>1.09</v>
      </c>
      <c r="U87" s="31" t="n">
        <v>84.56999999999999</v>
      </c>
      <c r="V87" s="31" t="n">
        <v>82.59</v>
      </c>
      <c r="W87" s="31" t="n">
        <v>18.75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Less than 12%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IF(B88=0,"",RANK(B88,$B$2:$B$405,0))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AETHER</t>
        </is>
      </c>
      <c r="D88" s="30" t="inlineStr">
        <is>
          <t>Aether Industries Ltd</t>
        </is>
      </c>
      <c r="E88" s="30" t="inlineStr">
        <is>
          <t>chemicals</t>
        </is>
      </c>
      <c r="F88" s="30" t="inlineStr">
        <is>
          <t>chemicals</t>
        </is>
      </c>
      <c r="G88" s="30" t="inlineStr">
        <is>
          <t>largecap</t>
        </is>
      </c>
      <c r="H88" s="31" t="n">
        <v>21093.34</v>
      </c>
      <c r="I88" s="31" t="n">
        <v>1584.4</v>
      </c>
      <c r="J88" s="31" t="n">
        <v>-0.31</v>
      </c>
      <c r="K88" s="31" t="n">
        <v>240048</v>
      </c>
      <c r="L88" s="30" t="n">
        <v>85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75.05</v>
      </c>
      <c r="P88" s="31" t="n">
        <v>45.72</v>
      </c>
      <c r="Q88" s="31" t="n">
        <v>1274.07</v>
      </c>
      <c r="R88" s="30" t="inlineStr">
        <is>
          <t>Near 52W High Breakout</t>
        </is>
      </c>
      <c r="S88" s="30" t="inlineStr">
        <is>
          <t>Nifty 50</t>
        </is>
      </c>
      <c r="T88" s="31" t="n">
        <v>1.09</v>
      </c>
      <c r="U88" s="31" t="n">
        <v>117.33</v>
      </c>
      <c r="V88" s="31" t="n">
        <v>114.99</v>
      </c>
      <c r="W88" s="31" t="n">
        <v>24.12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Above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IF(B89=0,"",RANK(B89,$B$2:$B$405,0))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FIEMIND</t>
        </is>
      </c>
      <c r="D89" s="30" t="inlineStr">
        <is>
          <t>Fiem Industries Limited</t>
        </is>
      </c>
      <c r="E89" s="30" t="inlineStr">
        <is>
          <t>auto</t>
        </is>
      </c>
      <c r="F89" s="30" t="inlineStr">
        <is>
          <t>auto ancillaries</t>
        </is>
      </c>
      <c r="G89" s="30" t="inlineStr">
        <is>
          <t>midcap</t>
        </is>
      </c>
      <c r="H89" s="31" t="n">
        <v>6574.65</v>
      </c>
      <c r="I89" s="31" t="n">
        <v>2479.5</v>
      </c>
      <c r="J89" s="31" t="n">
        <v>-0.74</v>
      </c>
      <c r="K89" s="31" t="n">
        <v>94559</v>
      </c>
      <c r="L89" s="30" t="n">
        <v>39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68.88</v>
      </c>
      <c r="P89" s="31" t="n">
        <v>25.07</v>
      </c>
      <c r="Q89" s="31" t="n">
        <v>2045.21</v>
      </c>
      <c r="R89" s="30" t="inlineStr">
        <is>
          <t>Volume Spike &amp; Near 52W High Breakout</t>
        </is>
      </c>
      <c r="S89" s="30" t="inlineStr">
        <is>
          <t>Nifty Auto</t>
        </is>
      </c>
      <c r="T89" s="31" t="n">
        <v>22.44</v>
      </c>
      <c r="U89" s="31" t="n">
        <v>27.22</v>
      </c>
      <c r="V89" s="31" t="n">
        <v>3.91</v>
      </c>
      <c r="W89" s="31" t="n">
        <v>8.34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Less than 50%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IF(B90=0,"",RANK(B90,$B$2:$B$405,0))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DIVGIITTS</t>
        </is>
      </c>
      <c r="D90" s="30" t="inlineStr">
        <is>
          <t>Divgi Torqtransfer Systems Ltd</t>
        </is>
      </c>
      <c r="E90" s="30" t="inlineStr">
        <is>
          <t>auto</t>
        </is>
      </c>
      <c r="F90" s="30" t="inlineStr">
        <is>
          <t>auto ancillaries</t>
        </is>
      </c>
      <c r="G90" s="30" t="inlineStr">
        <is>
          <t>smallcap</t>
        </is>
      </c>
      <c r="H90" s="31" t="n">
        <v>3065.02</v>
      </c>
      <c r="I90" s="31" t="n">
        <v>988.6</v>
      </c>
      <c r="J90" s="31" t="n">
        <v>-1.36</v>
      </c>
      <c r="K90" s="31" t="n">
        <v>40463</v>
      </c>
      <c r="L90" s="30" t="n">
        <v>70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66.48999999999999</v>
      </c>
      <c r="P90" s="31" t="n">
        <v>42.16</v>
      </c>
      <c r="Q90" s="31" t="n">
        <v>773.15</v>
      </c>
      <c r="R90" s="30" t="inlineStr">
        <is>
          <t>Near 52W High Breakout</t>
        </is>
      </c>
      <c r="S90" s="30" t="inlineStr">
        <is>
          <t>Nifty Auto</t>
        </is>
      </c>
      <c r="T90" s="31" t="n">
        <v>22.44</v>
      </c>
      <c r="U90" s="31" t="n">
        <v>55.36</v>
      </c>
      <c r="V90" s="31" t="n">
        <v>26.9</v>
      </c>
      <c r="W90" s="31" t="n">
        <v>16.85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Between 50% to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IF(B91=0,"",RANK(B91,$B$2:$B$405,0))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NILKAMAL</t>
        </is>
      </c>
      <c r="D91" s="30" t="inlineStr">
        <is>
          <t>Nilkamal Limited</t>
        </is>
      </c>
      <c r="E91" s="30" t="inlineStr">
        <is>
          <t>plastic products</t>
        </is>
      </c>
      <c r="F91" s="30" t="inlineStr">
        <is>
          <t>plastics products</t>
        </is>
      </c>
      <c r="G91" s="30" t="inlineStr">
        <is>
          <t>smallcap</t>
        </is>
      </c>
      <c r="H91" s="31" t="n">
        <v>2687.99</v>
      </c>
      <c r="I91" s="31" t="n">
        <v>1776.7</v>
      </c>
      <c r="J91" s="31" t="n">
        <v>-1.37</v>
      </c>
      <c r="K91" s="31" t="n">
        <v>31568</v>
      </c>
      <c r="L91" s="30" t="n">
        <v>55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78.97</v>
      </c>
      <c r="P91" s="31" t="n">
        <v>25.32</v>
      </c>
      <c r="Q91" s="31" t="n">
        <v>1440.3</v>
      </c>
      <c r="R91" s="30" t="inlineStr">
        <is>
          <t>Near 52W High Breakout</t>
        </is>
      </c>
      <c r="S91" s="30" t="inlineStr">
        <is>
          <t>Nifty 50</t>
        </is>
      </c>
      <c r="T91" s="31" t="n">
        <v>1.09</v>
      </c>
      <c r="U91" s="31" t="n">
        <v>11.47</v>
      </c>
      <c r="V91" s="31" t="n">
        <v>10.27</v>
      </c>
      <c r="W91" s="31" t="n">
        <v>11.93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Above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IF(B92=0,"",RANK(B92,$B$2:$B$405,0))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JINDWORLD</t>
        </is>
      </c>
      <c r="D92" s="30" t="inlineStr">
        <is>
          <t>Jindal Worldwide Limited</t>
        </is>
      </c>
      <c r="E92" s="30" t="inlineStr">
        <is>
          <t>textiles</t>
        </is>
      </c>
      <c r="F92" s="30" t="inlineStr">
        <is>
          <t>textiles - products</t>
        </is>
      </c>
      <c r="G92" s="30" t="inlineStr">
        <is>
          <t>smallcap</t>
        </is>
      </c>
      <c r="H92" s="31" t="n">
        <v>3925.19</v>
      </c>
      <c r="I92" s="31" t="n">
        <v>38.5</v>
      </c>
      <c r="J92" s="31" t="n">
        <v>-1.66</v>
      </c>
      <c r="K92" s="31" t="n">
        <v>5231452</v>
      </c>
      <c r="L92" s="30" t="n">
        <v>56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67.67</v>
      </c>
      <c r="P92" s="31" t="n">
        <v>31.14</v>
      </c>
      <c r="Q92" s="31" t="n">
        <v>26.3</v>
      </c>
      <c r="R92" s="30" t="inlineStr">
        <is>
          <t>Volume Spike &amp; Near 52W High Breakout</t>
        </is>
      </c>
      <c r="S92" s="30" t="inlineStr">
        <is>
          <t>Nifty 50</t>
        </is>
      </c>
      <c r="T92" s="31" t="n">
        <v>1.09</v>
      </c>
      <c r="U92" s="31" t="n">
        <v>8.279999999999999</v>
      </c>
      <c r="V92" s="31" t="n">
        <v>7.12</v>
      </c>
      <c r="W92" s="31" t="n">
        <v>12.16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IF(B93=0,"",RANK(B93,$B$2:$B$405,0))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SSWL</t>
        </is>
      </c>
      <c r="D93" s="30" t="inlineStr">
        <is>
          <t>Steel Strips Wheels Limited</t>
        </is>
      </c>
      <c r="E93" s="30" t="inlineStr">
        <is>
          <t>auto</t>
        </is>
      </c>
      <c r="F93" s="30" t="inlineStr">
        <is>
          <t>auto ancillaries</t>
        </is>
      </c>
      <c r="G93" s="30" t="inlineStr">
        <is>
          <t>midcap</t>
        </is>
      </c>
      <c r="H93" s="31" t="n">
        <v>5028.99</v>
      </c>
      <c r="I93" s="31" t="n">
        <v>309.2</v>
      </c>
      <c r="J93" s="31" t="n">
        <v>-3.36</v>
      </c>
      <c r="K93" s="31" t="n">
        <v>722236</v>
      </c>
      <c r="L93" s="30" t="n">
        <v>73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76.56</v>
      </c>
      <c r="P93" s="31" t="n">
        <v>24.49</v>
      </c>
      <c r="Q93" s="31" t="n">
        <v>247.03</v>
      </c>
      <c r="R93" s="30" t="inlineStr">
        <is>
          <t>Near 52W High Breakout</t>
        </is>
      </c>
      <c r="S93" s="30" t="inlineStr">
        <is>
          <t>Nifty Auto</t>
        </is>
      </c>
      <c r="T93" s="31" t="n">
        <v>22.44</v>
      </c>
      <c r="U93" s="31" t="n">
        <v>29.98</v>
      </c>
      <c r="V93" s="31" t="n">
        <v>6.16</v>
      </c>
      <c r="W93" s="31" t="n">
        <v>17.74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Above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IF(B94=0,"",RANK(B94,$B$2:$B$405,0))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OCCLLTD</t>
        </is>
      </c>
      <c r="D94" s="30" t="inlineStr">
        <is>
          <t>OCCL Ltd</t>
        </is>
      </c>
      <c r="E94" s="30" t="inlineStr">
        <is>
          <t>chemicals</t>
        </is>
      </c>
      <c r="F94" s="30" t="inlineStr">
        <is>
          <t>chemicals</t>
        </is>
      </c>
      <c r="G94" s="30" t="inlineStr">
        <is>
          <t>smallcap</t>
        </is>
      </c>
      <c r="H94" s="31" t="n">
        <v>855.95</v>
      </c>
      <c r="I94" s="31" t="n">
        <v>162.8</v>
      </c>
      <c r="J94" s="31" t="n">
        <v>-5</v>
      </c>
      <c r="K94" s="31" t="n">
        <v>293461</v>
      </c>
      <c r="L94" s="30" t="n">
        <v>76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79.39</v>
      </c>
      <c r="P94" s="31" t="n">
        <v>35.83</v>
      </c>
      <c r="Q94" s="31" t="n">
        <v>121.37</v>
      </c>
      <c r="R94" s="30" t="inlineStr">
        <is>
          <t>Near 52W High Breakout</t>
        </is>
      </c>
      <c r="S94" s="30" t="inlineStr">
        <is>
          <t>Nifty 50</t>
        </is>
      </c>
      <c r="T94" s="31" t="n">
        <v>1.09</v>
      </c>
      <c r="U94" s="31" t="n">
        <v>22.6</v>
      </c>
      <c r="V94" s="31" t="n">
        <v>21.28</v>
      </c>
      <c r="W94" s="31" t="n">
        <v>19.52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Above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IF(B95=0,"",RANK(B95,$B$2:$B$405,0))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VADILALIND</t>
        </is>
      </c>
      <c r="D95" s="30" t="inlineStr">
        <is>
          <t>Vadilal Industries Limited</t>
        </is>
      </c>
      <c r="E95" s="30" t="inlineStr">
        <is>
          <t>fmcg</t>
        </is>
      </c>
      <c r="F95" s="30" t="inlineStr">
        <is>
          <t>food - processing - indian</t>
        </is>
      </c>
      <c r="G95" s="30" t="inlineStr">
        <is>
          <t>midcap</t>
        </is>
      </c>
      <c r="H95" s="31" t="n">
        <v>5147.92</v>
      </c>
      <c r="I95" s="31" t="n">
        <v>7327.5</v>
      </c>
      <c r="J95" s="31" t="n">
        <v>2.31</v>
      </c>
      <c r="K95" s="31" t="n">
        <v>22113</v>
      </c>
      <c r="L95" s="30" t="n">
        <v>81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75.7</v>
      </c>
      <c r="P95" s="31" t="n">
        <v>36.93</v>
      </c>
      <c r="Q95" s="31" t="n">
        <v>5857.71</v>
      </c>
      <c r="R95" s="30" t="inlineStr">
        <is>
          <t>Near 52W High Breakout</t>
        </is>
      </c>
      <c r="S95" s="30" t="inlineStr">
        <is>
          <t>Nifty FMCG</t>
        </is>
      </c>
      <c r="T95" s="31" t="n">
        <v>-9.75</v>
      </c>
      <c r="U95" s="31" t="n">
        <v>31.78</v>
      </c>
      <c r="V95" s="31" t="n">
        <v>46.01</v>
      </c>
      <c r="W95" s="31" t="n">
        <v>21.71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B2C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Annuity, Lower One Time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Above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No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Between 50% to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IF(B96=0,"",RANK(B96,$B$2:$B$405,0))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LAURUSLABS</t>
        </is>
      </c>
      <c r="D96" s="30" t="inlineStr">
        <is>
          <t>Laurus Labs Limited</t>
        </is>
      </c>
      <c r="E96" s="30" t="inlineStr">
        <is>
          <t>healthcare</t>
        </is>
      </c>
      <c r="F96" s="30" t="inlineStr">
        <is>
          <t>pharmaceuticals - indian - bulk drugs &amp; formln</t>
        </is>
      </c>
      <c r="G96" s="30" t="inlineStr">
        <is>
          <t>largecap</t>
        </is>
      </c>
      <c r="H96" s="31" t="n">
        <v>99135.8</v>
      </c>
      <c r="I96" s="31" t="n">
        <v>1830</v>
      </c>
      <c r="J96" s="31" t="n">
        <v>-0.27</v>
      </c>
      <c r="K96" s="31" t="n">
        <v>4042684</v>
      </c>
      <c r="L96" s="30" t="n">
        <v>89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86.15000000000001</v>
      </c>
      <c r="P96" s="31" t="n">
        <v>62.24</v>
      </c>
      <c r="Q96" s="31" t="n">
        <v>1573.18</v>
      </c>
      <c r="R96" s="30" t="inlineStr">
        <is>
          <t>Near 52W High Breakout</t>
        </is>
      </c>
      <c r="S96" s="30" t="inlineStr">
        <is>
          <t>Nifty Pharma</t>
        </is>
      </c>
      <c r="T96" s="31" t="n">
        <v>24.42</v>
      </c>
      <c r="U96" s="31" t="n">
        <v>123.74</v>
      </c>
      <c r="V96" s="31" t="n">
        <v>79.83</v>
      </c>
      <c r="W96" s="31" t="n">
        <v>28.92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Yes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Annuity, Lower One Time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Above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Yes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IF(B97=0,"",RANK(B97,$B$2:$B$405,0))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ALIVUS</t>
        </is>
      </c>
      <c r="D97" s="30" t="inlineStr">
        <is>
          <t>Alivus Life Sciences Ltd</t>
        </is>
      </c>
      <c r="E97" s="30" t="inlineStr">
        <is>
          <t>healthcare</t>
        </is>
      </c>
      <c r="F97" s="30" t="inlineStr">
        <is>
          <t>pharmaceuticals - indian - bulk drugs &amp; formln</t>
        </is>
      </c>
      <c r="G97" s="30" t="inlineStr">
        <is>
          <t>midcap</t>
        </is>
      </c>
      <c r="H97" s="31" t="n">
        <v>16336.21</v>
      </c>
      <c r="I97" s="31" t="n">
        <v>1321.5</v>
      </c>
      <c r="J97" s="31" t="n">
        <v>-0.71</v>
      </c>
      <c r="K97" s="31" t="n">
        <v>167654</v>
      </c>
      <c r="L97" s="30" t="n">
        <v>53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75.91</v>
      </c>
      <c r="P97" s="31" t="n">
        <v>37.45</v>
      </c>
      <c r="Q97" s="31" t="n">
        <v>1072.43</v>
      </c>
      <c r="R97" s="30" t="inlineStr">
        <is>
          <t>Volume Spike &amp; Near 52W High Breakout</t>
        </is>
      </c>
      <c r="S97" s="30" t="inlineStr">
        <is>
          <t>Nifty Pharma</t>
        </is>
      </c>
      <c r="T97" s="31" t="n">
        <v>24.42</v>
      </c>
      <c r="U97" s="31" t="n">
        <v>42.76</v>
      </c>
      <c r="V97" s="31" t="n">
        <v>14.74</v>
      </c>
      <c r="W97" s="31" t="n">
        <v>11.47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Yes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Annuity, Lower One Time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20 to 40</t>
        </is>
      </c>
      <c r="AY97" s="30">
        <f>IF(AX97="Above 40",20,IF(AX97="20 to 40",10,IF(AX97="0 to 20",-5,0)))</f>
        <v/>
      </c>
      <c r="AZ97" s="30" t="inlineStr">
        <is>
          <t>Above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No</t>
        </is>
      </c>
      <c r="BS97" s="30">
        <f>IF(BR97="NO",5,0)</f>
        <v/>
      </c>
      <c r="BT97" s="30" t="inlineStr">
        <is>
          <t>Less than 1.5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IF(B98=0,"",RANK(B98,$B$2:$B$405,0))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BALRAMCHIN</t>
        </is>
      </c>
      <c r="D98" s="30" t="inlineStr">
        <is>
          <t>Balrampur Chini Mills Limited</t>
        </is>
      </c>
      <c r="E98" s="30" t="inlineStr">
        <is>
          <t>fmcg</t>
        </is>
      </c>
      <c r="F98" s="30" t="inlineStr">
        <is>
          <t>sugar</t>
        </is>
      </c>
      <c r="G98" s="30" t="inlineStr">
        <is>
          <t>midcap</t>
        </is>
      </c>
      <c r="H98" s="31" t="n">
        <v>13427.09</v>
      </c>
      <c r="I98" s="31" t="n">
        <v>629.3</v>
      </c>
      <c r="J98" s="31" t="n">
        <v>-0.98</v>
      </c>
      <c r="K98" s="31" t="n">
        <v>436959</v>
      </c>
      <c r="L98" s="30" t="n">
        <v>37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74.2</v>
      </c>
      <c r="P98" s="31" t="n">
        <v>41.73</v>
      </c>
      <c r="Q98" s="31" t="n">
        <v>512.45</v>
      </c>
      <c r="R98" s="30" t="inlineStr">
        <is>
          <t>Volume Spike &amp; Near 52W High Breakout</t>
        </is>
      </c>
      <c r="S98" s="30" t="inlineStr">
        <is>
          <t>Nifty FMCG</t>
        </is>
      </c>
      <c r="T98" s="31" t="n">
        <v>-9.75</v>
      </c>
      <c r="U98" s="31" t="n">
        <v>7.3</v>
      </c>
      <c r="V98" s="31" t="n">
        <v>18.89</v>
      </c>
      <c r="W98" s="31" t="n">
        <v>7.31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B2C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Annuity, Lower One Time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Less than 12%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No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Between 0.7 to 1.2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IF(B99=0,"",RANK(B99,$B$2:$B$405,0))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TECHM</t>
        </is>
      </c>
      <c r="D99" s="30" t="inlineStr">
        <is>
          <t>Tech Mahindra Limited</t>
        </is>
      </c>
      <c r="E99" s="30" t="inlineStr">
        <is>
          <t>i.t</t>
        </is>
      </c>
      <c r="F99" s="30" t="inlineStr">
        <is>
          <t>computers - software - large</t>
        </is>
      </c>
      <c r="G99" s="30" t="inlineStr">
        <is>
          <t>largecap</t>
        </is>
      </c>
      <c r="H99" s="31" t="n">
        <v>161709.56</v>
      </c>
      <c r="I99" s="31" t="n">
        <v>1632.2</v>
      </c>
      <c r="J99" s="31" t="n">
        <v>-1.08</v>
      </c>
      <c r="K99" s="31" t="n">
        <v>6936973</v>
      </c>
      <c r="L99" s="30" t="n">
        <v>33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64.59</v>
      </c>
      <c r="P99" s="31" t="n">
        <v>14.46</v>
      </c>
      <c r="Q99" s="31" t="n">
        <v>1361.67</v>
      </c>
      <c r="R99" s="30" t="inlineStr">
        <is>
          <t>Near 52W High Breakout</t>
        </is>
      </c>
      <c r="S99" s="30" t="inlineStr">
        <is>
          <t>Nifty IT</t>
        </is>
      </c>
      <c r="T99" s="31" t="n">
        <v>-9.289999999999999</v>
      </c>
      <c r="U99" s="31" t="n">
        <v>15.32</v>
      </c>
      <c r="V99" s="31" t="n">
        <v>27.13</v>
      </c>
      <c r="W99" s="31" t="n">
        <v>6.55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Annuity, Lower One Time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0 to 20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Blue sky scenario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Less than 1.5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IF(B100=0,"",RANK(B100,$B$2:$B$405,0))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NGLFINE</t>
        </is>
      </c>
      <c r="D100" s="30" t="inlineStr">
        <is>
          <t>NGL Fine Chem Ltd</t>
        </is>
      </c>
      <c r="E100" s="30" t="inlineStr">
        <is>
          <t>healthcare</t>
        </is>
      </c>
      <c r="F100" s="30" t="inlineStr">
        <is>
          <t>pharmaceuticals - indian - bulk drugs</t>
        </is>
      </c>
      <c r="G100" s="30" t="inlineStr">
        <is>
          <t>smallcap</t>
        </is>
      </c>
      <c r="H100" s="31" t="n">
        <v>2117.95</v>
      </c>
      <c r="I100" s="31" t="n">
        <v>3380</v>
      </c>
      <c r="J100" s="31" t="n">
        <v>-1.41</v>
      </c>
      <c r="K100" s="31" t="n">
        <v>14598</v>
      </c>
      <c r="L100" s="30" t="n">
        <v>93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80</v>
      </c>
      <c r="P100" s="31" t="n">
        <v>68.25</v>
      </c>
      <c r="Q100" s="31" t="n">
        <v>2454.34</v>
      </c>
      <c r="R100" s="30" t="inlineStr">
        <is>
          <t>Near 52W High Breakout</t>
        </is>
      </c>
      <c r="S100" s="30" t="inlineStr">
        <is>
          <t>Nifty Pharma</t>
        </is>
      </c>
      <c r="T100" s="31" t="n">
        <v>24.42</v>
      </c>
      <c r="U100" s="31" t="n">
        <v>184.19</v>
      </c>
      <c r="V100" s="31" t="n">
        <v>128.41</v>
      </c>
      <c r="W100" s="31" t="n">
        <v>33.98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Yes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Annuity, Lower One Time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Above 40</t>
        </is>
      </c>
      <c r="AY100" s="30">
        <f>IF(AX100="Above 40",20,IF(AX100="20 to 40",10,IF(AX100="0 to 20",-5,0)))</f>
        <v/>
      </c>
      <c r="AZ100" s="30" t="inlineStr">
        <is>
          <t>Above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Between 50% to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IF(B101=0,"",RANK(B101,$B$2:$B$405,0))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WOCKPHARMA</t>
        </is>
      </c>
      <c r="D101" s="30" t="inlineStr">
        <is>
          <t>Wockhardt Limited</t>
        </is>
      </c>
      <c r="E101" s="30" t="inlineStr">
        <is>
          <t>healthcare</t>
        </is>
      </c>
      <c r="F101" s="30" t="inlineStr">
        <is>
          <t>pharmaceuticals - indian - bulk drugs &amp; formln</t>
        </is>
      </c>
      <c r="G101" s="30" t="inlineStr">
        <is>
          <t>largecap</t>
        </is>
      </c>
      <c r="H101" s="31" t="n">
        <v>32597.55</v>
      </c>
      <c r="I101" s="31" t="n">
        <v>1975</v>
      </c>
      <c r="J101" s="31" t="n">
        <v>-1.55</v>
      </c>
      <c r="K101" s="31" t="n">
        <v>578447</v>
      </c>
      <c r="L101" s="30" t="n">
        <v>52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64.64</v>
      </c>
      <c r="P101" s="31" t="n">
        <v>52.29</v>
      </c>
      <c r="Q101" s="31" t="n">
        <v>1535.9</v>
      </c>
      <c r="R101" s="30" t="inlineStr">
        <is>
          <t>Near 52W High Breakout</t>
        </is>
      </c>
      <c r="S101" s="30" t="inlineStr">
        <is>
          <t>Nifty Pharma</t>
        </is>
      </c>
      <c r="T101" s="31" t="n">
        <v>24.42</v>
      </c>
      <c r="U101" s="31" t="n">
        <v>34.49</v>
      </c>
      <c r="V101" s="31" t="n">
        <v>8.1</v>
      </c>
      <c r="W101" s="31" t="n">
        <v>11.36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Yes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Annuity, Lower One Time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Yes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Between 50% to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IF(B102=0,"",RANK(B102,$B$2:$B$405,0))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PICCADIL</t>
        </is>
      </c>
      <c r="D102" s="30" t="inlineStr">
        <is>
          <t>Piccadily Agro Industries Ltd</t>
        </is>
      </c>
      <c r="E102" s="30" t="inlineStr">
        <is>
          <t>fmcg</t>
        </is>
      </c>
      <c r="F102" s="30" t="inlineStr">
        <is>
          <t>breweries &amp; distilleries</t>
        </is>
      </c>
      <c r="G102" s="30" t="inlineStr">
        <is>
          <t>midcap</t>
        </is>
      </c>
      <c r="H102" s="31" t="n">
        <v>7532.88</v>
      </c>
      <c r="I102" s="31" t="n">
        <v>746.2</v>
      </c>
      <c r="J102" s="31" t="n">
        <v>-2.36</v>
      </c>
      <c r="K102" s="31" t="n">
        <v>167474</v>
      </c>
      <c r="L102" s="30" t="n">
        <v>42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70.34999999999999</v>
      </c>
      <c r="P102" s="31" t="n">
        <v>44.39</v>
      </c>
      <c r="Q102" s="31" t="n">
        <v>591.6900000000001</v>
      </c>
      <c r="R102" s="30" t="inlineStr">
        <is>
          <t>Near 52W High Breakout</t>
        </is>
      </c>
      <c r="S102" s="30" t="inlineStr">
        <is>
          <t>Nifty FMCG</t>
        </is>
      </c>
      <c r="T102" s="31" t="n">
        <v>-9.75</v>
      </c>
      <c r="U102" s="31" t="n">
        <v>24.51</v>
      </c>
      <c r="V102" s="31" t="n">
        <v>37.95</v>
      </c>
      <c r="W102" s="31" t="n">
        <v>9.050000000000001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B2C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Annuity, Lower One Time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Above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Blue sky scenario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Less than 12%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Above 2</t>
        </is>
      </c>
      <c r="BU102" s="30">
        <f>IF(BT102="Above 2",0,IF(BT102="Between 1.5 to 2",5,IF(BT102="Less than 1.5",10,0)))</f>
        <v/>
      </c>
      <c r="BV102" s="30" t="inlineStr">
        <is>
          <t>Between 50% to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IF(B103=0,"",RANK(B103,$B$2:$B$405,0))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SOTL</t>
        </is>
      </c>
      <c r="D103" s="30" t="inlineStr">
        <is>
          <t>Savita Oil Technologies Limited</t>
        </is>
      </c>
      <c r="E103" s="30" t="inlineStr">
        <is>
          <t>energy</t>
        </is>
      </c>
      <c r="F103" s="30" t="inlineStr">
        <is>
          <t>petrochemicals</t>
        </is>
      </c>
      <c r="G103" s="30" t="inlineStr">
        <is>
          <t>smallcap</t>
        </is>
      </c>
      <c r="H103" s="31" t="n">
        <v>4655.25</v>
      </c>
      <c r="I103" s="31" t="n">
        <v>781.95</v>
      </c>
      <c r="J103" s="31" t="n">
        <v>15.16</v>
      </c>
      <c r="K103" s="31" t="n">
        <v>6004735</v>
      </c>
      <c r="L103" s="30" t="n">
        <v>96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73.09999999999999</v>
      </c>
      <c r="P103" s="31" t="n">
        <v>47.96</v>
      </c>
      <c r="Q103" s="31" t="n">
        <v>563.16</v>
      </c>
      <c r="R103" s="30" t="inlineStr">
        <is>
          <t>Volume Spike &amp; Near 52W High Breakout</t>
        </is>
      </c>
      <c r="S103" s="30" t="inlineStr">
        <is>
          <t>Nifty Energy</t>
        </is>
      </c>
      <c r="T103" s="31" t="n">
        <v>9.720000000000001</v>
      </c>
      <c r="U103" s="31" t="n">
        <v>93.73999999999999</v>
      </c>
      <c r="V103" s="31" t="n">
        <v>76.58</v>
      </c>
      <c r="W103" s="31" t="n">
        <v>43.25</v>
      </c>
      <c r="X103" s="30" t="inlineStr">
        <is>
          <t>Cyclical in an Upturn</t>
        </is>
      </c>
      <c r="Y103" s="30">
        <f>IF(X103="Growing Industry",10,IF(X103="Cyclical in an Upturn",5,0))</f>
        <v/>
      </c>
      <c r="Z103" s="30" t="inlineStr">
        <is>
          <t>Oligopoly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Yes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Cyclical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Volatile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Above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IF(B104=0,"",RANK(B104,$B$2:$B$405,0))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GARFIBRES</t>
        </is>
      </c>
      <c r="D104" s="30" t="inlineStr">
        <is>
          <t>Garware Technical Fibres Ltd</t>
        </is>
      </c>
      <c r="E104" s="30" t="inlineStr">
        <is>
          <t>textiles</t>
        </is>
      </c>
      <c r="F104" s="30" t="inlineStr">
        <is>
          <t>textiles - products</t>
        </is>
      </c>
      <c r="G104" s="30" t="inlineStr">
        <is>
          <t>midcap</t>
        </is>
      </c>
      <c r="H104" s="31" t="n">
        <v>7785.99</v>
      </c>
      <c r="I104" s="31" t="n">
        <v>838.85</v>
      </c>
      <c r="J104" s="31" t="n">
        <v>5.2</v>
      </c>
      <c r="K104" s="31" t="n">
        <v>544039</v>
      </c>
      <c r="L104" s="30" t="n">
        <v>39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66.7</v>
      </c>
      <c r="P104" s="31" t="n">
        <v>35.13</v>
      </c>
      <c r="Q104" s="31" t="n">
        <v>664.05</v>
      </c>
      <c r="R104" s="30" t="inlineStr">
        <is>
          <t>Near 52W High Breakout</t>
        </is>
      </c>
      <c r="S104" s="30" t="inlineStr">
        <is>
          <t>Nifty 50</t>
        </is>
      </c>
      <c r="T104" s="31" t="n">
        <v>1.09</v>
      </c>
      <c r="U104" s="31" t="n">
        <v>3.18</v>
      </c>
      <c r="V104" s="31" t="n">
        <v>2.07</v>
      </c>
      <c r="W104" s="31" t="n">
        <v>8.210000000000001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20 to 40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Close to 52 week high or retracement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Yes</t>
        </is>
      </c>
      <c r="BS104" s="30">
        <f>IF(BR104="NO",5,0)</f>
        <v/>
      </c>
      <c r="BT104" s="30" t="inlineStr">
        <is>
          <t>Between 1.5 to 2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IF(B105=0,"",RANK(B105,$B$2:$B$405,0))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IDEAFORGE</t>
        </is>
      </c>
      <c r="D105" s="30" t="inlineStr">
        <is>
          <t>Ideaforge Technology Ltd</t>
        </is>
      </c>
      <c r="E105" s="30" t="inlineStr">
        <is>
          <t>aerospace &amp; defence</t>
        </is>
      </c>
      <c r="F105" s="30" t="inlineStr">
        <is>
          <t>engineering</t>
        </is>
      </c>
      <c r="G105" s="30" t="inlineStr">
        <is>
          <t>smallcap</t>
        </is>
      </c>
      <c r="H105" s="31" t="n">
        <v>4334.57</v>
      </c>
      <c r="I105" s="31" t="n">
        <v>916</v>
      </c>
      <c r="J105" s="31" t="n">
        <v>5</v>
      </c>
      <c r="K105" s="31" t="n">
        <v>114363</v>
      </c>
      <c r="L105" s="30" t="n">
        <v>83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65.98</v>
      </c>
      <c r="P105" s="31" t="n">
        <v>67.68000000000001</v>
      </c>
      <c r="Q105" s="31" t="n">
        <v>681.35</v>
      </c>
      <c r="R105" s="30" t="inlineStr">
        <is>
          <t>Near 52W High Breakout</t>
        </is>
      </c>
      <c r="S105" s="30" t="inlineStr">
        <is>
          <t>Nifty 50</t>
        </is>
      </c>
      <c r="T105" s="31" t="n">
        <v>1.09</v>
      </c>
      <c r="U105" s="31" t="n">
        <v>114.09</v>
      </c>
      <c r="V105" s="31" t="n">
        <v>111.79</v>
      </c>
      <c r="W105" s="31" t="n">
        <v>23.28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Above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No</t>
        </is>
      </c>
      <c r="BS105" s="30">
        <f>IF(BR105="NO",5,0)</f>
        <v/>
      </c>
      <c r="BT105" s="30" t="inlineStr">
        <is>
          <t>Above 2</t>
        </is>
      </c>
      <c r="BU105" s="30">
        <f>IF(BT105="Above 2",0,IF(BT105="Between 1.5 to 2",5,IF(BT105="Less than 1.5",10,0)))</f>
        <v/>
      </c>
      <c r="BV105" s="30" t="inlineStr">
        <is>
          <t>Negative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IF(B106=0,"",RANK(B106,$B$2:$B$405,0))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DIFFNKG</t>
        </is>
      </c>
      <c r="D106" s="30" t="inlineStr">
        <is>
          <t>Diffusion Engineers Ltd</t>
        </is>
      </c>
      <c r="E106" s="30" t="inlineStr">
        <is>
          <t>industrials</t>
        </is>
      </c>
      <c r="F106" s="30" t="inlineStr">
        <is>
          <t>electrodes - welding equipment</t>
        </is>
      </c>
      <c r="G106" s="30" t="inlineStr">
        <is>
          <t>smallcap</t>
        </is>
      </c>
      <c r="H106" s="31" t="n">
        <v>1587.62</v>
      </c>
      <c r="I106" s="31" t="n">
        <v>443.9</v>
      </c>
      <c r="J106" s="31" t="n">
        <v>4.64</v>
      </c>
      <c r="K106" s="31" t="n">
        <v>787836</v>
      </c>
      <c r="L106" s="30" t="n">
        <v>74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69.47</v>
      </c>
      <c r="P106" s="31" t="n">
        <v>34.81</v>
      </c>
      <c r="Q106" s="31" t="n">
        <v>332.64</v>
      </c>
      <c r="R106" s="30" t="inlineStr">
        <is>
          <t>Volume Spike &amp; Near 52W High Breakout</t>
        </is>
      </c>
      <c r="S106" s="30" t="inlineStr">
        <is>
          <t>Nifty 50</t>
        </is>
      </c>
      <c r="T106" s="31" t="n">
        <v>1.09</v>
      </c>
      <c r="U106" s="31" t="n">
        <v>41.32</v>
      </c>
      <c r="V106" s="31" t="n">
        <v>39.8</v>
      </c>
      <c r="W106" s="31" t="n">
        <v>18.71</v>
      </c>
      <c r="X106" s="30" t="inlineStr">
        <is>
          <t>Cyclical in an Upturn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20 to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Less than 1.5</t>
        </is>
      </c>
      <c r="BU106" s="30">
        <f>IF(BT106="Above 2",0,IF(BT106="Between 1.5 to 2",5,IF(BT106="Less than 1.5",10,0)))</f>
        <v/>
      </c>
      <c r="BV106" s="30" t="inlineStr">
        <is>
          <t>Less than 50%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IF(B107=0,"",RANK(B107,$B$2:$B$405,0))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SWANDEF</t>
        </is>
      </c>
      <c r="D107" s="30" t="inlineStr">
        <is>
          <t>Swan Defence and Heavy Industries Ltd</t>
        </is>
      </c>
      <c r="E107" s="30" t="inlineStr">
        <is>
          <t>transportation</t>
        </is>
      </c>
      <c r="F107" s="30" t="inlineStr">
        <is>
          <t>miscellaneous</t>
        </is>
      </c>
      <c r="G107" s="30" t="inlineStr">
        <is>
          <t>midcap</t>
        </is>
      </c>
      <c r="H107" s="31" t="n">
        <v>13441.85</v>
      </c>
      <c r="I107" s="31" t="n">
        <v>2650</v>
      </c>
      <c r="J107" s="31" t="n">
        <v>3.86</v>
      </c>
      <c r="K107" s="31" t="n">
        <v>23486</v>
      </c>
      <c r="L107" s="30" t="n">
        <v>98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73.67</v>
      </c>
      <c r="P107" s="31" t="n">
        <v>51.92</v>
      </c>
      <c r="Q107" s="31" t="n">
        <v>2061.85</v>
      </c>
      <c r="R107" s="30" t="inlineStr">
        <is>
          <t>Near 52W High Breakout</t>
        </is>
      </c>
      <c r="S107" s="30" t="inlineStr">
        <is>
          <t>Nifty 50</t>
        </is>
      </c>
      <c r="T107" s="31" t="n">
        <v>1.09</v>
      </c>
      <c r="U107" s="31" t="n">
        <v>678.91</v>
      </c>
      <c r="V107" s="31" t="n">
        <v>670.53</v>
      </c>
      <c r="W107" s="31" t="n">
        <v>70.28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Above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No</t>
        </is>
      </c>
      <c r="BS107" s="30">
        <f>IF(BR107="NO",5,0)</f>
        <v/>
      </c>
      <c r="BT107" s="30" t="inlineStr">
        <is>
          <t>Less than 1.5</t>
        </is>
      </c>
      <c r="BU107" s="30">
        <f>IF(BT107="Above 2",0,IF(BT107="Between 1.5 to 2",5,IF(BT107="Less than 1.5",10,0)))</f>
        <v/>
      </c>
      <c r="BV107" s="30" t="inlineStr">
        <is>
          <t>Negative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More than 1.2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IF(B108=0,"",RANK(B108,$B$2:$B$405,0))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AIAENG</t>
        </is>
      </c>
      <c r="D108" s="30" t="inlineStr">
        <is>
          <t>Aia Engineering Limited</t>
        </is>
      </c>
      <c r="E108" s="30" t="inlineStr">
        <is>
          <t>industrials</t>
        </is>
      </c>
      <c r="F108" s="30" t="inlineStr">
        <is>
          <t>castings &amp; forgings</t>
        </is>
      </c>
      <c r="G108" s="30" t="inlineStr">
        <is>
          <t>largecap</t>
        </is>
      </c>
      <c r="H108" s="31" t="n">
        <v>43362.24</v>
      </c>
      <c r="I108" s="31" t="n">
        <v>4795.4</v>
      </c>
      <c r="J108" s="31" t="n">
        <v>3.2</v>
      </c>
      <c r="K108" s="31" t="n">
        <v>82559</v>
      </c>
      <c r="L108" s="30" t="n">
        <v>62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66.01000000000001</v>
      </c>
      <c r="P108" s="31" t="n">
        <v>34.39</v>
      </c>
      <c r="Q108" s="31" t="n">
        <v>3926.39</v>
      </c>
      <c r="R108" s="30" t="inlineStr">
        <is>
          <t>Near 52W High Breakout</t>
        </is>
      </c>
      <c r="S108" s="30" t="inlineStr">
        <is>
          <t>Nifty 50</t>
        </is>
      </c>
      <c r="T108" s="31" t="n">
        <v>1.09</v>
      </c>
      <c r="U108" s="31" t="n">
        <v>57.11</v>
      </c>
      <c r="V108" s="31" t="n">
        <v>55.42</v>
      </c>
      <c r="W108" s="31" t="n">
        <v>14.12</v>
      </c>
      <c r="X108" s="30" t="inlineStr">
        <is>
          <t>Cyclical in an Upturn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Less than 1.5</t>
        </is>
      </c>
      <c r="BU108" s="30">
        <f>IF(BT108="Above 2",0,IF(BT108="Between 1.5 to 2",5,IF(BT108="Less than 1.5",10,0)))</f>
        <v/>
      </c>
      <c r="BV108" s="30" t="inlineStr">
        <is>
          <t>Less than 50%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IF(B109=0,"",RANK(B109,$B$2:$B$405,0))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PRECWIRE</t>
        </is>
      </c>
      <c r="D109" s="30" t="inlineStr">
        <is>
          <t>Precision Wires India Limited</t>
        </is>
      </c>
      <c r="E109" s="30" t="inlineStr">
        <is>
          <t>metals &amp; mining</t>
        </is>
      </c>
      <c r="F109" s="30" t="inlineStr">
        <is>
          <t>mining / minerals / metals</t>
        </is>
      </c>
      <c r="G109" s="30" t="inlineStr">
        <is>
          <t>midcap</t>
        </is>
      </c>
      <c r="H109" s="31" t="n">
        <v>7485.99</v>
      </c>
      <c r="I109" s="31" t="n">
        <v>418.95</v>
      </c>
      <c r="J109" s="31" t="n">
        <v>2.31</v>
      </c>
      <c r="K109" s="31" t="n">
        <v>797520</v>
      </c>
      <c r="L109" s="30" t="n">
        <v>82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61.37</v>
      </c>
      <c r="P109" s="31" t="n">
        <v>46.48</v>
      </c>
      <c r="Q109" s="31" t="n">
        <v>301.79</v>
      </c>
      <c r="R109" s="30" t="inlineStr">
        <is>
          <t>Near 52W High Breakout</t>
        </is>
      </c>
      <c r="S109" s="30" t="inlineStr">
        <is>
          <t>Nifty Metal</t>
        </is>
      </c>
      <c r="T109" s="31" t="n">
        <v>39.44</v>
      </c>
      <c r="U109" s="31" t="n">
        <v>130.99</v>
      </c>
      <c r="V109" s="31" t="n">
        <v>65.65000000000001</v>
      </c>
      <c r="W109" s="31" t="n">
        <v>22.84</v>
      </c>
      <c r="X109" s="30" t="inlineStr">
        <is>
          <t>Cyclical in an Upturn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Cyclical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Volatile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Above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Blue sky scenario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Less than 1.5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IF(B110=0,"",RANK(B110,$B$2:$B$405,0))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KENNAMET</t>
        </is>
      </c>
      <c r="D110" s="30" t="inlineStr">
        <is>
          <t>Kennametal India Ltd</t>
        </is>
      </c>
      <c r="E110" s="30" t="inlineStr">
        <is>
          <t>industrials</t>
        </is>
      </c>
      <c r="F110" s="30" t="inlineStr">
        <is>
          <t>castings &amp; forgings</t>
        </is>
      </c>
      <c r="G110" s="30" t="inlineStr">
        <is>
          <t>midcap</t>
        </is>
      </c>
      <c r="H110" s="31" t="n">
        <v>6722.26</v>
      </c>
      <c r="I110" s="31" t="n">
        <v>3123.7</v>
      </c>
      <c r="J110" s="31" t="n">
        <v>2.13</v>
      </c>
      <c r="K110" s="31" t="n">
        <v>28486</v>
      </c>
      <c r="L110" s="30" t="n">
        <v>50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67.27</v>
      </c>
      <c r="P110" s="31" t="n">
        <v>44.3</v>
      </c>
      <c r="Q110" s="31" t="n">
        <v>2475.51</v>
      </c>
      <c r="R110" s="30" t="inlineStr">
        <is>
          <t>Near 52W High Breakout</t>
        </is>
      </c>
      <c r="S110" s="30" t="inlineStr">
        <is>
          <t>Nifty 50</t>
        </is>
      </c>
      <c r="T110" s="31" t="n">
        <v>1.09</v>
      </c>
      <c r="U110" s="31" t="n">
        <v>53.81</v>
      </c>
      <c r="V110" s="31" t="n">
        <v>52.15</v>
      </c>
      <c r="W110" s="31" t="n">
        <v>10.9</v>
      </c>
      <c r="X110" s="30" t="inlineStr">
        <is>
          <t>Cyclical in an Upturn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Above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Close to 52 week high or retracement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Yes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IF(B111=0,"",RANK(B111,$B$2:$B$405,0))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HUHTAMAKI</t>
        </is>
      </c>
      <c r="D111" s="30" t="inlineStr">
        <is>
          <t>Huhtamaki India Ltd</t>
        </is>
      </c>
      <c r="E111" s="30" t="inlineStr">
        <is>
          <t>industrials</t>
        </is>
      </c>
      <c r="F111" s="30" t="inlineStr">
        <is>
          <t>packaging</t>
        </is>
      </c>
      <c r="G111" s="30" t="inlineStr">
        <is>
          <t>smallcap</t>
        </is>
      </c>
      <c r="H111" s="31" t="n">
        <v>2145.58</v>
      </c>
      <c r="I111" s="31" t="n">
        <v>289.95</v>
      </c>
      <c r="J111" s="31" t="n">
        <v>2.06</v>
      </c>
      <c r="K111" s="31" t="n">
        <v>257774</v>
      </c>
      <c r="L111" s="30" t="n">
        <v>83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72.36</v>
      </c>
      <c r="P111" s="31" t="n">
        <v>28.66</v>
      </c>
      <c r="Q111" s="31" t="n">
        <v>240.92</v>
      </c>
      <c r="R111" s="30" t="inlineStr">
        <is>
          <t>Earnings / Momentum Support</t>
        </is>
      </c>
      <c r="S111" s="30" t="inlineStr">
        <is>
          <t>Nifty 50</t>
        </is>
      </c>
      <c r="T111" s="31" t="n">
        <v>1.09</v>
      </c>
      <c r="U111" s="31" t="n">
        <v>43.72</v>
      </c>
      <c r="V111" s="31" t="n">
        <v>42.17</v>
      </c>
      <c r="W111" s="31" t="n">
        <v>23.21</v>
      </c>
      <c r="X111" s="30" t="inlineStr">
        <is>
          <t>Cyclical in an Upturn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No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Less than 1.5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IF(B112=0,"",RANK(B112,$B$2:$B$405,0))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CRAFTSMAN</t>
        </is>
      </c>
      <c r="D112" s="30" t="inlineStr">
        <is>
          <t>Craftsman Automation Ltd</t>
        </is>
      </c>
      <c r="E112" s="30" t="inlineStr">
        <is>
          <t>auto</t>
        </is>
      </c>
      <c r="F112" s="30" t="inlineStr">
        <is>
          <t>auto ancillaries</t>
        </is>
      </c>
      <c r="G112" s="30" t="inlineStr">
        <is>
          <t>largecap</t>
        </is>
      </c>
      <c r="H112" s="31" t="n">
        <v>27222.84</v>
      </c>
      <c r="I112" s="31" t="n">
        <v>10555</v>
      </c>
      <c r="J112" s="31" t="n">
        <v>1.41</v>
      </c>
      <c r="K112" s="31" t="n">
        <v>40822</v>
      </c>
      <c r="L112" s="30" t="n">
        <v>77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71.14</v>
      </c>
      <c r="P112" s="31" t="n">
        <v>61.46</v>
      </c>
      <c r="Q112" s="31" t="n">
        <v>8581.58</v>
      </c>
      <c r="R112" s="30" t="inlineStr">
        <is>
          <t>Near 52W High Breakout</t>
        </is>
      </c>
      <c r="S112" s="30" t="inlineStr">
        <is>
          <t>Nifty Auto</t>
        </is>
      </c>
      <c r="T112" s="31" t="n">
        <v>22.44</v>
      </c>
      <c r="U112" s="31" t="n">
        <v>68.25</v>
      </c>
      <c r="V112" s="31" t="n">
        <v>37.42</v>
      </c>
      <c r="W112" s="31" t="n">
        <v>19.69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Above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Yes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Between 0.7 to 1.2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IF(B113=0,"",RANK(B113,$B$2:$B$405,0))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BELRISE</t>
        </is>
      </c>
      <c r="D113" s="30" t="inlineStr">
        <is>
          <t>Belrise Industries Ltd</t>
        </is>
      </c>
      <c r="E113" s="30" t="inlineStr">
        <is>
          <t>auto</t>
        </is>
      </c>
      <c r="F113" s="30" t="inlineStr">
        <is>
          <t>auto ancillaries</t>
        </is>
      </c>
      <c r="G113" s="30" t="inlineStr">
        <is>
          <t>largecap</t>
        </is>
      </c>
      <c r="H113" s="31" t="n">
        <v>23355.75</v>
      </c>
      <c r="I113" s="31" t="n">
        <v>244.61</v>
      </c>
      <c r="J113" s="31" t="n">
        <v>1.29</v>
      </c>
      <c r="K113" s="31" t="n">
        <v>4084296</v>
      </c>
      <c r="L113" s="30" t="n">
        <v>71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68.34999999999999</v>
      </c>
      <c r="P113" s="31" t="n">
        <v>46.41</v>
      </c>
      <c r="Q113" s="31" t="n">
        <v>199.23</v>
      </c>
      <c r="R113" s="30" t="inlineStr">
        <is>
          <t>Near 52W High Breakout</t>
        </is>
      </c>
      <c r="S113" s="30" t="inlineStr">
        <is>
          <t>Nifty Auto</t>
        </is>
      </c>
      <c r="T113" s="31" t="n">
        <v>22.44</v>
      </c>
      <c r="U113" s="31" t="n">
        <v>87.43000000000001</v>
      </c>
      <c r="V113" s="31" t="n">
        <v>53.09</v>
      </c>
      <c r="W113" s="31" t="n">
        <v>16.92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Above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Blue sky scenario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Less than 12%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Yes</t>
        </is>
      </c>
      <c r="BS113" s="30">
        <f>IF(BR113="NO",5,0)</f>
        <v/>
      </c>
      <c r="BT113" s="30" t="inlineStr">
        <is>
          <t>Above 2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IF(B114=0,"",RANK(B114,$B$2:$B$405,0))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PIDILITIND</t>
        </is>
      </c>
      <c r="D114" s="30" t="inlineStr">
        <is>
          <t>Pidilite Industries Limited</t>
        </is>
      </c>
      <c r="E114" s="30" t="inlineStr">
        <is>
          <t>chemicals</t>
        </is>
      </c>
      <c r="F114" s="30" t="inlineStr">
        <is>
          <t>chemicals</t>
        </is>
      </c>
      <c r="G114" s="30" t="inlineStr">
        <is>
          <t>largecap</t>
        </is>
      </c>
      <c r="H114" s="31" t="n">
        <v>169459.6</v>
      </c>
      <c r="I114" s="31" t="n">
        <v>1686</v>
      </c>
      <c r="J114" s="31" t="n">
        <v>1.26</v>
      </c>
      <c r="K114" s="31" t="n">
        <v>3512973</v>
      </c>
      <c r="L114" s="30" t="n">
        <v>25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72.13</v>
      </c>
      <c r="P114" s="31" t="n">
        <v>25.57</v>
      </c>
      <c r="Q114" s="31" t="n">
        <v>1469.06</v>
      </c>
      <c r="R114" s="30" t="inlineStr">
        <is>
          <t>Near 52W High Breakout</t>
        </is>
      </c>
      <c r="S114" s="30" t="inlineStr">
        <is>
          <t>Nifty 50</t>
        </is>
      </c>
      <c r="T114" s="31" t="n">
        <v>1.09</v>
      </c>
      <c r="U114" s="31" t="n">
        <v>9.48</v>
      </c>
      <c r="V114" s="31" t="n">
        <v>8.300000000000001</v>
      </c>
      <c r="W114" s="31" t="n">
        <v>4.89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20 to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Blue sky scenario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Yes</t>
        </is>
      </c>
      <c r="BS114" s="30">
        <f>IF(BR114="NO",5,0)</f>
        <v/>
      </c>
      <c r="BT114" s="30" t="inlineStr">
        <is>
          <t>Above 2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IF(B115=0,"",RANK(B115,$B$2:$B$405,0))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JKPAPER</t>
        </is>
      </c>
      <c r="D115" s="30" t="inlineStr">
        <is>
          <t>Jk Paper Limited</t>
        </is>
      </c>
      <c r="E115" s="30" t="inlineStr">
        <is>
          <t>building materials</t>
        </is>
      </c>
      <c r="F115" s="30" t="inlineStr">
        <is>
          <t>paper</t>
        </is>
      </c>
      <c r="G115" s="30" t="inlineStr">
        <is>
          <t>midcap</t>
        </is>
      </c>
      <c r="H115" s="31" t="n">
        <v>6985.31</v>
      </c>
      <c r="I115" s="31" t="n">
        <v>389.2</v>
      </c>
      <c r="J115" s="31" t="n">
        <v>1.03</v>
      </c>
      <c r="K115" s="31" t="n">
        <v>229143</v>
      </c>
      <c r="L115" s="30" t="n">
        <v>16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57.96</v>
      </c>
      <c r="P115" s="31" t="n">
        <v>23.44</v>
      </c>
      <c r="Q115" s="31" t="n">
        <v>319.96</v>
      </c>
      <c r="R115" s="30" t="inlineStr">
        <is>
          <t>Earnings / Momentum Support</t>
        </is>
      </c>
      <c r="S115" s="30" t="inlineStr">
        <is>
          <t>Nifty Infra</t>
        </is>
      </c>
      <c r="T115" s="31" t="n">
        <v>4.3</v>
      </c>
      <c r="U115" s="31" t="n">
        <v>5.39</v>
      </c>
      <c r="V115" s="31" t="n">
        <v>1.05</v>
      </c>
      <c r="W115" s="31" t="n">
        <v>2.82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No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Close to 52 week high or retracement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No</t>
        </is>
      </c>
      <c r="BS115" s="30">
        <f>IF(BR115="NO",5,0)</f>
        <v/>
      </c>
      <c r="BT115" s="30" t="inlineStr">
        <is>
          <t>Less than 1.5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IF(B116=0,"",RANK(B116,$B$2:$B$405,0))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TATVA</t>
        </is>
      </c>
      <c r="D116" s="30" t="inlineStr">
        <is>
          <t>Tatva Chintan Pharma Chem Ltd</t>
        </is>
      </c>
      <c r="E116" s="30" t="inlineStr">
        <is>
          <t>chemicals</t>
        </is>
      </c>
      <c r="F116" s="30" t="inlineStr">
        <is>
          <t>chemicals</t>
        </is>
      </c>
      <c r="G116" s="30" t="inlineStr">
        <is>
          <t>smallcap</t>
        </is>
      </c>
      <c r="H116" s="31" t="n">
        <v>4025.3</v>
      </c>
      <c r="I116" s="31" t="n">
        <v>1726</v>
      </c>
      <c r="J116" s="31" t="n">
        <v>0.3</v>
      </c>
      <c r="K116" s="31" t="n">
        <v>33842</v>
      </c>
      <c r="L116" s="30" t="n">
        <v>76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72.28</v>
      </c>
      <c r="P116" s="31" t="n">
        <v>24.54</v>
      </c>
      <c r="Q116" s="31" t="n">
        <v>1363.97</v>
      </c>
      <c r="R116" s="30" t="inlineStr">
        <is>
          <t>Near 52W High Breakout</t>
        </is>
      </c>
      <c r="S116" s="30" t="inlineStr">
        <is>
          <t>Nifty 50</t>
        </is>
      </c>
      <c r="T116" s="31" t="n">
        <v>1.09</v>
      </c>
      <c r="U116" s="31" t="n">
        <v>67.56</v>
      </c>
      <c r="V116" s="31" t="n">
        <v>65.76000000000001</v>
      </c>
      <c r="W116" s="31" t="n">
        <v>19.32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Blue sky scenario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Yes</t>
        </is>
      </c>
      <c r="BS116" s="30">
        <f>IF(BR116="NO",5,0)</f>
        <v/>
      </c>
      <c r="BT116" s="30" t="inlineStr">
        <is>
          <t>Above 2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IF(B117=0,"",RANK(B117,$B$2:$B$405,0))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RAIN</t>
        </is>
      </c>
      <c r="D117" s="30" t="inlineStr">
        <is>
          <t>Rain Industries Limited</t>
        </is>
      </c>
      <c r="E117" s="30" t="inlineStr">
        <is>
          <t>miscellaneous</t>
        </is>
      </c>
      <c r="F117" s="30" t="inlineStr">
        <is>
          <t>miscellaneous</t>
        </is>
      </c>
      <c r="G117" s="30" t="inlineStr">
        <is>
          <t>midcap</t>
        </is>
      </c>
      <c r="H117" s="31" t="n">
        <v>8162.44</v>
      </c>
      <c r="I117" s="31" t="n">
        <v>243</v>
      </c>
      <c r="J117" s="31" t="n">
        <v>0.13</v>
      </c>
      <c r="K117" s="31" t="n">
        <v>6138266</v>
      </c>
      <c r="L117" s="30" t="n">
        <v>86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77.98999999999999</v>
      </c>
      <c r="P117" s="31" t="n">
        <v>47.93</v>
      </c>
      <c r="Q117" s="31" t="n">
        <v>188.12</v>
      </c>
      <c r="R117" s="30" t="inlineStr">
        <is>
          <t>Near 52W High Breakout</t>
        </is>
      </c>
      <c r="S117" s="30" t="inlineStr">
        <is>
          <t>Nifty 50</t>
        </is>
      </c>
      <c r="T117" s="31" t="n">
        <v>1.09</v>
      </c>
      <c r="U117" s="31" t="n">
        <v>51.53</v>
      </c>
      <c r="V117" s="31" t="n">
        <v>49.9</v>
      </c>
      <c r="W117" s="31" t="n">
        <v>26.01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Above 40</t>
        </is>
      </c>
      <c r="AY117" s="30">
        <f>IF(AX117="Above 40",20,IF(AX117="20 to 40",10,IF(AX117="0 to 20",-5,0)))</f>
        <v/>
      </c>
      <c r="AZ117" s="30" t="inlineStr">
        <is>
          <t>Above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Blue sky scenario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Less than 1.5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More than 1.2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IF(B118=0,"",RANK(B118,$B$2:$B$405,0))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GNA</t>
        </is>
      </c>
      <c r="D118" s="30" t="inlineStr">
        <is>
          <t>Gna Axles Limited</t>
        </is>
      </c>
      <c r="E118" s="30" t="inlineStr">
        <is>
          <t>auto</t>
        </is>
      </c>
      <c r="F118" s="30" t="inlineStr">
        <is>
          <t>auto ancillaries</t>
        </is>
      </c>
      <c r="G118" s="30" t="inlineStr">
        <is>
          <t>smallcap</t>
        </is>
      </c>
      <c r="H118" s="31" t="n">
        <v>2274.04</v>
      </c>
      <c r="I118" s="31" t="n">
        <v>530.25</v>
      </c>
      <c r="J118" s="31" t="n">
        <v>0.1</v>
      </c>
      <c r="K118" s="31" t="n">
        <v>298194</v>
      </c>
      <c r="L118" s="30" t="n">
        <v>71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66.51000000000001</v>
      </c>
      <c r="P118" s="31" t="n">
        <v>27.68</v>
      </c>
      <c r="Q118" s="31" t="n">
        <v>416.19</v>
      </c>
      <c r="R118" s="30" t="inlineStr">
        <is>
          <t>Earnings / Momentum Support</t>
        </is>
      </c>
      <c r="S118" s="30" t="inlineStr">
        <is>
          <t>Nifty Auto</t>
        </is>
      </c>
      <c r="T118" s="31" t="n">
        <v>22.44</v>
      </c>
      <c r="U118" s="31" t="n">
        <v>71.22</v>
      </c>
      <c r="V118" s="31" t="n">
        <v>39.85</v>
      </c>
      <c r="W118" s="31" t="n">
        <v>16.89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No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Less than 1.5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IF(B119=0,"",RANK(B119,$B$2:$B$405,0))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CYIENTDLM</t>
        </is>
      </c>
      <c r="D119" s="30" t="inlineStr">
        <is>
          <t>Cyient DLM Ltd</t>
        </is>
      </c>
      <c r="E119" s="30" t="inlineStr">
        <is>
          <t>consumer discretionary</t>
        </is>
      </c>
      <c r="F119" s="30" t="inlineStr">
        <is>
          <t>electronics - components</t>
        </is>
      </c>
      <c r="G119" s="30" t="inlineStr">
        <is>
          <t>midcap</t>
        </is>
      </c>
      <c r="H119" s="31" t="n">
        <v>5277.8</v>
      </c>
      <c r="I119" s="31" t="n">
        <v>662.5</v>
      </c>
      <c r="J119" s="31" t="n">
        <v>-0.35</v>
      </c>
      <c r="K119" s="31" t="n">
        <v>406082</v>
      </c>
      <c r="L119" s="30" t="n">
        <v>87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79.92</v>
      </c>
      <c r="P119" s="31" t="n">
        <v>56.97</v>
      </c>
      <c r="Q119" s="31" t="n">
        <v>512.53</v>
      </c>
      <c r="R119" s="30" t="inlineStr">
        <is>
          <t>Near 52W High Breakout</t>
        </is>
      </c>
      <c r="S119" s="30" t="inlineStr">
        <is>
          <t>Nifty Infra</t>
        </is>
      </c>
      <c r="T119" s="31" t="n">
        <v>4.3</v>
      </c>
      <c r="U119" s="31" t="n">
        <v>43.31</v>
      </c>
      <c r="V119" s="31" t="n">
        <v>37.4</v>
      </c>
      <c r="W119" s="31" t="n">
        <v>26.92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Above 40</t>
        </is>
      </c>
      <c r="AY119" s="30">
        <f>IF(AX119="Above 40",20,IF(AX119="20 to 40",10,IF(AX119="0 to 20",-5,0)))</f>
        <v/>
      </c>
      <c r="AZ119" s="30" t="inlineStr">
        <is>
          <t>Above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Yes</t>
        </is>
      </c>
      <c r="BS119" s="30">
        <f>IF(BR119="NO",5,0)</f>
        <v/>
      </c>
      <c r="BT119" s="30" t="inlineStr">
        <is>
          <t>Above 2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IF(B120=0,"",RANK(B120,$B$2:$B$405,0))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GOCLCORP</t>
        </is>
      </c>
      <c r="D120" s="30" t="inlineStr">
        <is>
          <t>Gocl Corporation Limited</t>
        </is>
      </c>
      <c r="E120" s="30" t="inlineStr">
        <is>
          <t>miscellaneous</t>
        </is>
      </c>
      <c r="F120" s="30" t="inlineStr">
        <is>
          <t>diversified - medium / small</t>
        </is>
      </c>
      <c r="G120" s="30" t="inlineStr">
        <is>
          <t>smallcap</t>
        </is>
      </c>
      <c r="H120" s="31" t="n">
        <v>2044.12</v>
      </c>
      <c r="I120" s="31" t="n">
        <v>410.55</v>
      </c>
      <c r="J120" s="31" t="n">
        <v>-0.44</v>
      </c>
      <c r="K120" s="31" t="n">
        <v>22997</v>
      </c>
      <c r="L120" s="30" t="n">
        <v>48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63.56</v>
      </c>
      <c r="P120" s="31" t="n">
        <v>41.37</v>
      </c>
      <c r="Q120" s="31" t="n">
        <v>336.82</v>
      </c>
      <c r="R120" s="30" t="inlineStr">
        <is>
          <t>Earnings / Momentum Support</t>
        </is>
      </c>
      <c r="S120" s="30" t="inlineStr">
        <is>
          <t>Nifty 50</t>
        </is>
      </c>
      <c r="T120" s="31" t="n">
        <v>1.09</v>
      </c>
      <c r="U120" s="31" t="n">
        <v>22.54</v>
      </c>
      <c r="V120" s="31" t="n">
        <v>21.23</v>
      </c>
      <c r="W120" s="31" t="n">
        <v>10.63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No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Above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Close to 52 week high or retracement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No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IF(B121=0,"",RANK(B121,$B$2:$B$405,0))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UNIVCABLES</t>
        </is>
      </c>
      <c r="D121" s="30" t="inlineStr">
        <is>
          <t>Universal Cables Limited</t>
        </is>
      </c>
      <c r="E121" s="30" t="inlineStr">
        <is>
          <t>industrials</t>
        </is>
      </c>
      <c r="F121" s="30" t="inlineStr">
        <is>
          <t>cables - power</t>
        </is>
      </c>
      <c r="G121" s="30" t="inlineStr">
        <is>
          <t>smallcap</t>
        </is>
      </c>
      <c r="H121" s="31" t="n">
        <v>4953.11</v>
      </c>
      <c r="I121" s="31" t="n">
        <v>1416.3</v>
      </c>
      <c r="J121" s="31" t="n">
        <v>-0.79</v>
      </c>
      <c r="K121" s="31" t="n">
        <v>137452</v>
      </c>
      <c r="L121" s="30" t="n">
        <v>92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70.81999999999999</v>
      </c>
      <c r="P121" s="31" t="n">
        <v>57.63</v>
      </c>
      <c r="Q121" s="31" t="n">
        <v>1011.73</v>
      </c>
      <c r="R121" s="30" t="inlineStr">
        <is>
          <t>Near 52W High Breakout</t>
        </is>
      </c>
      <c r="S121" s="30" t="inlineStr">
        <is>
          <t>Nifty Energy</t>
        </is>
      </c>
      <c r="T121" s="31" t="n">
        <v>9.720000000000001</v>
      </c>
      <c r="U121" s="31" t="n">
        <v>91.63</v>
      </c>
      <c r="V121" s="31" t="n">
        <v>74.66</v>
      </c>
      <c r="W121" s="31" t="n">
        <v>31.88</v>
      </c>
      <c r="X121" s="30" t="inlineStr">
        <is>
          <t>Cyclical in an Upturn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Above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Blue sky scenario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Less than 12%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Less than 50%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IF(B122=0,"",RANK(B122,$B$2:$B$405,0))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MINDACORP</t>
        </is>
      </c>
      <c r="D122" s="30" t="inlineStr">
        <is>
          <t>Minda Corporation Limited</t>
        </is>
      </c>
      <c r="E122" s="30" t="inlineStr">
        <is>
          <t>auto</t>
        </is>
      </c>
      <c r="F122" s="30" t="inlineStr">
        <is>
          <t>auto ancillaries</t>
        </is>
      </c>
      <c r="G122" s="30" t="inlineStr">
        <is>
          <t>midcap</t>
        </is>
      </c>
      <c r="H122" s="31" t="n">
        <v>17285.44</v>
      </c>
      <c r="I122" s="31" t="n">
        <v>716.9</v>
      </c>
      <c r="J122" s="31" t="n">
        <v>-0.84</v>
      </c>
      <c r="K122" s="31" t="n">
        <v>155958</v>
      </c>
      <c r="L122" s="30" t="n">
        <v>67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70.42</v>
      </c>
      <c r="P122" s="31" t="n">
        <v>32.53</v>
      </c>
      <c r="Q122" s="31" t="n">
        <v>595.8</v>
      </c>
      <c r="R122" s="30" t="inlineStr">
        <is>
          <t>Near 52W High Breakout</t>
        </is>
      </c>
      <c r="S122" s="30" t="inlineStr">
        <is>
          <t>Nifty Auto</t>
        </is>
      </c>
      <c r="T122" s="31" t="n">
        <v>22.44</v>
      </c>
      <c r="U122" s="31" t="n">
        <v>41.33</v>
      </c>
      <c r="V122" s="31" t="n">
        <v>15.43</v>
      </c>
      <c r="W122" s="31" t="n">
        <v>15.42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20 to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Blue sky scenario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IF(B123=0,"",RANK(B123,$B$2:$B$405,0))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USHAMART</t>
        </is>
      </c>
      <c r="D123" s="30" t="inlineStr">
        <is>
          <t>Usha Martin Limited</t>
        </is>
      </c>
      <c r="E123" s="30" t="inlineStr">
        <is>
          <t>metals &amp; mining</t>
        </is>
      </c>
      <c r="F123" s="30" t="inlineStr">
        <is>
          <t>steel - medium / small</t>
        </is>
      </c>
      <c r="G123" s="30" t="inlineStr">
        <is>
          <t>midcap</t>
        </is>
      </c>
      <c r="H123" s="31" t="n">
        <v>15854.2</v>
      </c>
      <c r="I123" s="31" t="n">
        <v>515.65</v>
      </c>
      <c r="J123" s="31" t="n">
        <v>-0.88</v>
      </c>
      <c r="K123" s="31" t="n">
        <v>444244</v>
      </c>
      <c r="L123" s="30" t="n">
        <v>51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64.5</v>
      </c>
      <c r="P123" s="31" t="n">
        <v>48.37</v>
      </c>
      <c r="Q123" s="31" t="n">
        <v>420</v>
      </c>
      <c r="R123" s="30" t="inlineStr">
        <is>
          <t>Near 52W High Breakout</t>
        </is>
      </c>
      <c r="S123" s="30" t="inlineStr">
        <is>
          <t>Nifty Metal</t>
        </is>
      </c>
      <c r="T123" s="31" t="n">
        <v>39.44</v>
      </c>
      <c r="U123" s="31" t="n">
        <v>41.59</v>
      </c>
      <c r="V123" s="31" t="n">
        <v>1.54</v>
      </c>
      <c r="W123" s="31" t="n">
        <v>11.07</v>
      </c>
      <c r="X123" s="30" t="inlineStr">
        <is>
          <t>Cyclical in an Upturn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Cyclical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Volatile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Above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Blue sky scenario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No</t>
        </is>
      </c>
      <c r="BS123" s="30">
        <f>IF(BR123="NO",5,0)</f>
        <v/>
      </c>
      <c r="BT123" s="30" t="inlineStr">
        <is>
          <t>Less than 1.5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IF(B124=0,"",RANK(B124,$B$2:$B$405,0))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KMEW</t>
        </is>
      </c>
      <c r="D124" s="30" t="inlineStr">
        <is>
          <t>Knowledge Marine &amp; Engineering Works Ltd</t>
        </is>
      </c>
      <c r="E124" s="30" t="inlineStr">
        <is>
          <t>transportation</t>
        </is>
      </c>
      <c r="F124" s="30" t="inlineStr">
        <is>
          <t>miscellaneous</t>
        </is>
      </c>
      <c r="G124" s="30" t="inlineStr">
        <is>
          <t>midcap</t>
        </is>
      </c>
      <c r="H124" s="31" t="n">
        <v>6214.18</v>
      </c>
      <c r="I124" s="31" t="n">
        <v>2519.2</v>
      </c>
      <c r="J124" s="31" t="n">
        <v>-0.9</v>
      </c>
      <c r="K124" s="31" t="n">
        <v>49820</v>
      </c>
      <c r="L124" s="30" t="n">
        <v>92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73.20999999999999</v>
      </c>
      <c r="P124" s="31" t="n">
        <v>49.76</v>
      </c>
      <c r="Q124" s="31" t="n">
        <v>1826.43</v>
      </c>
      <c r="R124" s="30" t="inlineStr">
        <is>
          <t>Near 52W High Breakout</t>
        </is>
      </c>
      <c r="S124" s="30" t="inlineStr">
        <is>
          <t>Nifty 50</t>
        </is>
      </c>
      <c r="T124" s="31" t="n">
        <v>1.09</v>
      </c>
      <c r="U124" s="31" t="n">
        <v>211.11</v>
      </c>
      <c r="V124" s="31" t="n">
        <v>207.76</v>
      </c>
      <c r="W124" s="31" t="n">
        <v>30.96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Above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Blue sky scenario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Yes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Negative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IF(B125=0,"",RANK(B125,$B$2:$B$405,0))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NYKAA</t>
        </is>
      </c>
      <c r="D125" s="30" t="inlineStr">
        <is>
          <t>FSN E-Commerce Ventures Ltd</t>
        </is>
      </c>
      <c r="E125" s="30" t="inlineStr">
        <is>
          <t>i.t</t>
        </is>
      </c>
      <c r="F125" s="30" t="inlineStr">
        <is>
          <t>trading</t>
        </is>
      </c>
      <c r="G125" s="30" t="inlineStr">
        <is>
          <t>largecap</t>
        </is>
      </c>
      <c r="H125" s="31" t="n">
        <v>96038.34</v>
      </c>
      <c r="I125" s="31" t="n">
        <v>331.95</v>
      </c>
      <c r="J125" s="31" t="n">
        <v>-1.01</v>
      </c>
      <c r="K125" s="31" t="n">
        <v>11987442</v>
      </c>
      <c r="L125" s="30" t="n">
        <v>65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70.79000000000001</v>
      </c>
      <c r="P125" s="31" t="n">
        <v>40.97</v>
      </c>
      <c r="Q125" s="31" t="n">
        <v>283.2</v>
      </c>
      <c r="R125" s="30" t="inlineStr">
        <is>
          <t>Near 52W High Breakout</t>
        </is>
      </c>
      <c r="S125" s="30" t="inlineStr">
        <is>
          <t>Nifty IT</t>
        </is>
      </c>
      <c r="T125" s="31" t="n">
        <v>-9.289999999999999</v>
      </c>
      <c r="U125" s="31" t="n">
        <v>63.76</v>
      </c>
      <c r="V125" s="31" t="n">
        <v>80.53</v>
      </c>
      <c r="W125" s="31" t="n">
        <v>15.09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Above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Blue sky scenario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Yes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Between 0.7 to 1.2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IF(B126=0,"",RANK(B126,$B$2:$B$405,0))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VISAKAIND</t>
        </is>
      </c>
      <c r="D126" s="30" t="inlineStr">
        <is>
          <t>Visaka Industries Limited</t>
        </is>
      </c>
      <c r="E126" s="30" t="inlineStr">
        <is>
          <t>building materials</t>
        </is>
      </c>
      <c r="F126" s="30" t="inlineStr">
        <is>
          <t>cement products</t>
        </is>
      </c>
      <c r="G126" s="30" t="inlineStr">
        <is>
          <t>smallcap</t>
        </is>
      </c>
      <c r="H126" s="31" t="n">
        <v>751.2</v>
      </c>
      <c r="I126" s="31" t="n">
        <v>85.70999999999999</v>
      </c>
      <c r="J126" s="31" t="n">
        <v>-1.41</v>
      </c>
      <c r="K126" s="31" t="n">
        <v>598626</v>
      </c>
      <c r="L126" s="30" t="n">
        <v>47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71.98</v>
      </c>
      <c r="P126" s="31" t="n">
        <v>36.47</v>
      </c>
      <c r="Q126" s="31" t="n">
        <v>68.54000000000001</v>
      </c>
      <c r="R126" s="30" t="inlineStr">
        <is>
          <t>Near 52W High Breakout</t>
        </is>
      </c>
      <c r="S126" s="30" t="inlineStr">
        <is>
          <t>Nifty Infra</t>
        </is>
      </c>
      <c r="T126" s="31" t="n">
        <v>4.3</v>
      </c>
      <c r="U126" s="31" t="n">
        <v>6.4</v>
      </c>
      <c r="V126" s="31" t="n">
        <v>2.02</v>
      </c>
      <c r="W126" s="31" t="n">
        <v>10.37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No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IF(B127=0,"",RANK(B127,$B$2:$B$405,0))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JGCHEM</t>
        </is>
      </c>
      <c r="D127" s="30" t="inlineStr">
        <is>
          <t>J.G.Chemicals Ltd</t>
        </is>
      </c>
      <c r="E127" s="30" t="inlineStr">
        <is>
          <t>chemicals</t>
        </is>
      </c>
      <c r="F127" s="30" t="inlineStr">
        <is>
          <t>chemicals</t>
        </is>
      </c>
      <c r="G127" s="30" t="inlineStr">
        <is>
          <t>smallcap</t>
        </is>
      </c>
      <c r="H127" s="31" t="n">
        <v>2148.38</v>
      </c>
      <c r="I127" s="31" t="n">
        <v>539.5</v>
      </c>
      <c r="J127" s="31" t="n">
        <v>-1.6</v>
      </c>
      <c r="K127" s="31" t="n">
        <v>455971</v>
      </c>
      <c r="L127" s="30" t="n">
        <v>48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72.45999999999999</v>
      </c>
      <c r="P127" s="31" t="n">
        <v>28.3</v>
      </c>
      <c r="Q127" s="31" t="n">
        <v>422.56</v>
      </c>
      <c r="R127" s="30" t="inlineStr">
        <is>
          <t>Volume Spike &amp; Near 52W High Breakout</t>
        </is>
      </c>
      <c r="S127" s="30" t="inlineStr">
        <is>
          <t>Nifty 50</t>
        </is>
      </c>
      <c r="T127" s="31" t="n">
        <v>1.09</v>
      </c>
      <c r="U127" s="31" t="n">
        <v>13.62</v>
      </c>
      <c r="V127" s="31" t="n">
        <v>12.4</v>
      </c>
      <c r="W127" s="31" t="n">
        <v>10.65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Between 12 to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No</t>
        </is>
      </c>
      <c r="BS127" s="30">
        <f>IF(BR127="NO",5,0)</f>
        <v/>
      </c>
      <c r="BT127" s="30" t="inlineStr">
        <is>
          <t>Between 1.5 to 2</t>
        </is>
      </c>
      <c r="BU127" s="30">
        <f>IF(BT127="Above 2",0,IF(BT127="Between 1.5 to 2",5,IF(BT127="Less than 1.5",10,0)))</f>
        <v/>
      </c>
      <c r="BV127" s="30" t="inlineStr">
        <is>
          <t>Between 50% to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IF(B128=0,"",RANK(B128,$B$2:$B$405,0))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UNIVASTU</t>
        </is>
      </c>
      <c r="D128" s="30" t="inlineStr">
        <is>
          <t>Univastu India Ltd</t>
        </is>
      </c>
      <c r="E128" s="30" t="inlineStr">
        <is>
          <t>realty</t>
        </is>
      </c>
      <c r="F128" s="30" t="inlineStr">
        <is>
          <t>construction</t>
        </is>
      </c>
      <c r="G128" s="30" t="inlineStr">
        <is>
          <t>smallcap</t>
        </is>
      </c>
      <c r="H128" s="31" t="n">
        <v>528.75</v>
      </c>
      <c r="I128" s="31" t="n">
        <v>140.99</v>
      </c>
      <c r="J128" s="31" t="n">
        <v>-4.04</v>
      </c>
      <c r="K128" s="31" t="n">
        <v>229065</v>
      </c>
      <c r="L128" s="30" t="n">
        <v>94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85.68000000000001</v>
      </c>
      <c r="P128" s="31" t="n">
        <v>65.43000000000001</v>
      </c>
      <c r="Q128" s="31" t="n">
        <v>107.09</v>
      </c>
      <c r="R128" s="30" t="inlineStr">
        <is>
          <t>Near 52W High Breakout</t>
        </is>
      </c>
      <c r="S128" s="30" t="inlineStr">
        <is>
          <t>Nifty Realty</t>
        </is>
      </c>
      <c r="T128" s="31" t="n">
        <v>-6.42</v>
      </c>
      <c r="U128" s="31" t="n">
        <v>55.34</v>
      </c>
      <c r="V128" s="31" t="n">
        <v>65.98999999999999</v>
      </c>
      <c r="W128" s="31" t="n">
        <v>36.59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Above 40</t>
        </is>
      </c>
      <c r="AY128" s="30">
        <f>IF(AX128="Above 40",20,IF(AX128="20 to 40",10,IF(AX128="0 to 20",-5,0)))</f>
        <v/>
      </c>
      <c r="AZ128" s="30" t="inlineStr">
        <is>
          <t>Above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Blue sky scenario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Less than 50%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IF(B129=0,"",RANK(B129,$B$2:$B$405,0))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KERNEX</t>
        </is>
      </c>
      <c r="D129" s="30" t="inlineStr">
        <is>
          <t>Kernex Microsystems (india) Limited</t>
        </is>
      </c>
      <c r="E129" s="30" t="inlineStr">
        <is>
          <t>consumer discretionary</t>
        </is>
      </c>
      <c r="F129" s="30" t="inlineStr">
        <is>
          <t>electronics - components</t>
        </is>
      </c>
      <c r="G129" s="30" t="inlineStr">
        <is>
          <t>smallcap</t>
        </is>
      </c>
      <c r="H129" s="31" t="n">
        <v>4283.58</v>
      </c>
      <c r="I129" s="31" t="n">
        <v>2432.5</v>
      </c>
      <c r="J129" s="31" t="n">
        <v>-4.58</v>
      </c>
      <c r="K129" s="31" t="n">
        <v>227314</v>
      </c>
      <c r="L129" s="30" t="n">
        <v>93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73.90000000000001</v>
      </c>
      <c r="P129" s="31" t="n">
        <v>60.44</v>
      </c>
      <c r="Q129" s="31" t="n">
        <v>1871.64</v>
      </c>
      <c r="R129" s="30" t="inlineStr">
        <is>
          <t>Near 52W High Breakout</t>
        </is>
      </c>
      <c r="S129" s="30" t="inlineStr">
        <is>
          <t>Nifty 50</t>
        </is>
      </c>
      <c r="T129" s="31" t="n">
        <v>1.09</v>
      </c>
      <c r="U129" s="31" t="n">
        <v>135.09</v>
      </c>
      <c r="V129" s="31" t="n">
        <v>132.56</v>
      </c>
      <c r="W129" s="31" t="n">
        <v>33.21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Above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Blue sky scenario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Yes</t>
        </is>
      </c>
      <c r="BS129" s="30">
        <f>IF(BR129="NO",5,0)</f>
        <v/>
      </c>
      <c r="BT129" s="30" t="inlineStr">
        <is>
          <t>Above 2</t>
        </is>
      </c>
      <c r="BU129" s="30">
        <f>IF(BT129="Above 2",0,IF(BT129="Between 1.5 to 2",5,IF(BT129="Less than 1.5",10,0)))</f>
        <v/>
      </c>
      <c r="BV129" s="30" t="inlineStr">
        <is>
          <t>Negative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IF(B130=0,"",RANK(B130,$B$2:$B$405,0))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NAHARSPING</t>
        </is>
      </c>
      <c r="D130" s="30" t="inlineStr">
        <is>
          <t>Nahar Spinning Mills Limited</t>
        </is>
      </c>
      <c r="E130" s="30" t="inlineStr">
        <is>
          <t>textiles</t>
        </is>
      </c>
      <c r="F130" s="30" t="inlineStr">
        <is>
          <t>textiles - cotton/blended</t>
        </is>
      </c>
      <c r="G130" s="30" t="inlineStr">
        <is>
          <t>smallcap</t>
        </is>
      </c>
      <c r="H130" s="31" t="n">
        <v>1186.37</v>
      </c>
      <c r="I130" s="31" t="n">
        <v>309.8</v>
      </c>
      <c r="J130" s="31" t="n">
        <v>-5.82</v>
      </c>
      <c r="K130" s="31" t="n">
        <v>342549</v>
      </c>
      <c r="L130" s="30" t="n">
        <v>68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73.45</v>
      </c>
      <c r="P130" s="31" t="n">
        <v>26.14</v>
      </c>
      <c r="Q130" s="31" t="n">
        <v>255.7</v>
      </c>
      <c r="R130" s="30" t="inlineStr">
        <is>
          <t>Volume Spike &amp; Near 52W High Breakout</t>
        </is>
      </c>
      <c r="S130" s="30" t="inlineStr">
        <is>
          <t>Nifty 50</t>
        </is>
      </c>
      <c r="T130" s="31" t="n">
        <v>1.09</v>
      </c>
      <c r="U130" s="31" t="n">
        <v>60.21</v>
      </c>
      <c r="V130" s="31" t="n">
        <v>58.48</v>
      </c>
      <c r="W130" s="31" t="n">
        <v>15.66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Blue sky scenario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IF(B131=0,"",RANK(B131,$B$2:$B$405,0))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SUBEXLTD</t>
        </is>
      </c>
      <c r="D131" s="30" t="inlineStr">
        <is>
          <t>Subex Ltd</t>
        </is>
      </c>
      <c r="E131" s="30" t="inlineStr">
        <is>
          <t>i.t</t>
        </is>
      </c>
      <c r="F131" s="30" t="inlineStr">
        <is>
          <t>computers - software - medium / small</t>
        </is>
      </c>
      <c r="G131" s="30" t="inlineStr">
        <is>
          <t>smallcap</t>
        </is>
      </c>
      <c r="H131" s="31" t="n">
        <v>773.88</v>
      </c>
      <c r="I131" s="31" t="n">
        <v>14.13</v>
      </c>
      <c r="J131" s="31" t="n">
        <v>2.61</v>
      </c>
      <c r="K131" s="31" t="n">
        <v>2392034</v>
      </c>
      <c r="L131" s="30" t="n">
        <v>40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63.78</v>
      </c>
      <c r="P131" s="31" t="n">
        <v>24.01</v>
      </c>
      <c r="Q131" s="31" t="n">
        <v>9.970000000000001</v>
      </c>
      <c r="R131" s="30" t="inlineStr">
        <is>
          <t>Volume Spike &amp; Near 52W High Breakout</t>
        </is>
      </c>
      <c r="S131" s="30" t="inlineStr">
        <is>
          <t>Nifty IT</t>
        </is>
      </c>
      <c r="T131" s="31" t="n">
        <v>-9.289999999999999</v>
      </c>
      <c r="U131" s="31" t="n">
        <v>14.64</v>
      </c>
      <c r="V131" s="31" t="n">
        <v>26.38</v>
      </c>
      <c r="W131" s="31" t="n">
        <v>8.529999999999999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Annuity, Lower One Time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20 to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Between 12 to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No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IF(B132=0,"",RANK(B132,$B$2:$B$405,0))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AVTNPL</t>
        </is>
      </c>
      <c r="D132" s="30" t="inlineStr">
        <is>
          <t>Avt Natural Products Limited</t>
        </is>
      </c>
      <c r="E132" s="30" t="inlineStr">
        <is>
          <t>fmcg</t>
        </is>
      </c>
      <c r="F132" s="30" t="inlineStr">
        <is>
          <t>solvent extraction</t>
        </is>
      </c>
      <c r="G132" s="30" t="inlineStr">
        <is>
          <t>smallcap</t>
        </is>
      </c>
      <c r="H132" s="31" t="n">
        <v>1078.32</v>
      </c>
      <c r="I132" s="31" t="n">
        <v>71.61</v>
      </c>
      <c r="J132" s="31" t="n">
        <v>1.13</v>
      </c>
      <c r="K132" s="31" t="n">
        <v>54036</v>
      </c>
      <c r="L132" s="30" t="n">
        <v>7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57.74</v>
      </c>
      <c r="P132" s="31" t="n">
        <v>31.36</v>
      </c>
      <c r="Q132" s="31" t="n">
        <v>58.06</v>
      </c>
      <c r="R132" s="30" t="inlineStr">
        <is>
          <t>Earnings / Momentum Support</t>
        </is>
      </c>
      <c r="S132" s="30" t="inlineStr">
        <is>
          <t>Nifty FMCG</t>
        </is>
      </c>
      <c r="T132" s="31" t="n">
        <v>-9.75</v>
      </c>
      <c r="U132" s="31" t="n">
        <v>-5.17</v>
      </c>
      <c r="V132" s="31" t="n">
        <v>5.07</v>
      </c>
      <c r="W132" s="31" t="n">
        <v>0.53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B2C</t>
        </is>
      </c>
      <c r="AO132" s="30">
        <f>IF(AN132="B2C",10,IF(AN132="B2B",5,0))</f>
        <v/>
      </c>
      <c r="AP132" s="30" t="inlineStr">
        <is>
          <t>No</t>
        </is>
      </c>
      <c r="AQ132" s="30">
        <f>IF(AP132="Yes",10,0)</f>
        <v/>
      </c>
      <c r="AR132" s="30" t="inlineStr">
        <is>
          <t>Higher Annuity, Lower One Time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20 to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No</t>
        </is>
      </c>
      <c r="BS132" s="30">
        <f>IF(BR132="NO",5,0)</f>
        <v/>
      </c>
      <c r="BT132" s="30" t="inlineStr">
        <is>
          <t>Less than 1.5</t>
        </is>
      </c>
      <c r="BU132" s="30">
        <f>IF(BT132="Above 2",0,IF(BT132="Between 1.5 to 2",5,IF(BT132="Less than 1.5",10,0)))</f>
        <v/>
      </c>
      <c r="BV132" s="30" t="inlineStr">
        <is>
          <t>Less than 50%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IF(B133=0,"",RANK(B133,$B$2:$B$405,0))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KEI</t>
        </is>
      </c>
      <c r="D133" s="30" t="inlineStr">
        <is>
          <t>Kei Industries Limited</t>
        </is>
      </c>
      <c r="E133" s="30" t="inlineStr">
        <is>
          <t>industrials</t>
        </is>
      </c>
      <c r="F133" s="30" t="inlineStr">
        <is>
          <t>cables - power</t>
        </is>
      </c>
      <c r="G133" s="30" t="inlineStr">
        <is>
          <t>largecap</t>
        </is>
      </c>
      <c r="H133" s="31" t="n">
        <v>53316.45</v>
      </c>
      <c r="I133" s="31" t="n">
        <v>5595</v>
      </c>
      <c r="J133" s="31" t="n">
        <v>0.32</v>
      </c>
      <c r="K133" s="31" t="n">
        <v>741647</v>
      </c>
      <c r="L133" s="30" t="n">
        <v>51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63.03</v>
      </c>
      <c r="P133" s="31" t="n">
        <v>25.67</v>
      </c>
      <c r="Q133" s="31" t="n">
        <v>4493.15</v>
      </c>
      <c r="R133" s="30" t="inlineStr">
        <is>
          <t>Volume Spike &amp; Near 52W High Breakout</t>
        </is>
      </c>
      <c r="S133" s="30" t="inlineStr">
        <is>
          <t>Nifty Energy</t>
        </is>
      </c>
      <c r="T133" s="31" t="n">
        <v>9.720000000000001</v>
      </c>
      <c r="U133" s="31" t="n">
        <v>42.46</v>
      </c>
      <c r="V133" s="31" t="n">
        <v>29.84</v>
      </c>
      <c r="W133" s="31" t="n">
        <v>10.92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Fully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Above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Yes</t>
        </is>
      </c>
      <c r="BQ133" s="30">
        <f>IF(BP133="No",10,0)</f>
        <v/>
      </c>
      <c r="BR133" s="30" t="inlineStr">
        <is>
          <t>No</t>
        </is>
      </c>
      <c r="BS133" s="30">
        <f>IF(BR133="NO",5,0)</f>
        <v/>
      </c>
      <c r="BT133" s="30" t="inlineStr">
        <is>
          <t>Less than 1.5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Yes, More Than 10%</t>
        </is>
      </c>
      <c r="CE133" s="30">
        <f>IF(CD133="Yes, more than 10%",-10,IF(CD133="No",10,0))</f>
        <v/>
      </c>
    </row>
    <row r="134">
      <c r="A134" s="30">
        <f>IF(B134=0,"",RANK(B134,$B$2:$B$405,0))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DIVISLAB</t>
        </is>
      </c>
      <c r="D134" s="30" t="inlineStr">
        <is>
          <t>Divi's Laboratories Limited</t>
        </is>
      </c>
      <c r="E134" s="30" t="inlineStr">
        <is>
          <t>healthcare</t>
        </is>
      </c>
      <c r="F134" s="30" t="inlineStr">
        <is>
          <t>pharmaceuticals - indian - bulk drugs</t>
        </is>
      </c>
      <c r="G134" s="30" t="inlineStr">
        <is>
          <t>largecap</t>
        </is>
      </c>
      <c r="H134" s="31" t="n">
        <v>222675.04</v>
      </c>
      <c r="I134" s="31" t="n">
        <v>8349</v>
      </c>
      <c r="J134" s="31" t="n">
        <v>-0.46</v>
      </c>
      <c r="K134" s="31" t="n">
        <v>644679</v>
      </c>
      <c r="L134" s="30" t="n">
        <v>59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82.98999999999999</v>
      </c>
      <c r="P134" s="31" t="n">
        <v>28.21</v>
      </c>
      <c r="Q134" s="31" t="n">
        <v>7292.05</v>
      </c>
      <c r="R134" s="30" t="inlineStr">
        <is>
          <t>Near 52W High Breakout</t>
        </is>
      </c>
      <c r="S134" s="30" t="inlineStr">
        <is>
          <t>Nifty Pharma</t>
        </is>
      </c>
      <c r="T134" s="31" t="n">
        <v>24.42</v>
      </c>
      <c r="U134" s="31" t="n">
        <v>42.56</v>
      </c>
      <c r="V134" s="31" t="n">
        <v>14.58</v>
      </c>
      <c r="W134" s="31" t="n">
        <v>13.15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Yes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Annuity, Lower One Time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Above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Blue sky scenario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Less than 1.5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IF(B135=0,"",RANK(B135,$B$2:$B$405,0))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ASTERDM</t>
        </is>
      </c>
      <c r="D135" s="30" t="inlineStr">
        <is>
          <t>Aster DM Healthcare Ltd</t>
        </is>
      </c>
      <c r="E135" s="30" t="inlineStr">
        <is>
          <t>healthcare</t>
        </is>
      </c>
      <c r="F135" s="30" t="inlineStr">
        <is>
          <t>healthcare</t>
        </is>
      </c>
      <c r="G135" s="30" t="inlineStr">
        <is>
          <t>largecap</t>
        </is>
      </c>
      <c r="H135" s="31" t="n">
        <v>73403.53999999999</v>
      </c>
      <c r="I135" s="31" t="n">
        <v>837.6</v>
      </c>
      <c r="J135" s="31" t="n">
        <v>-0.53</v>
      </c>
      <c r="K135" s="31" t="n">
        <v>2438796</v>
      </c>
      <c r="L135" s="30" t="n">
        <v>59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68.7</v>
      </c>
      <c r="P135" s="31" t="n">
        <v>48.79</v>
      </c>
      <c r="Q135" s="31" t="n">
        <v>705.36</v>
      </c>
      <c r="R135" s="30" t="inlineStr">
        <is>
          <t>Near 52W High Breakout</t>
        </is>
      </c>
      <c r="S135" s="30" t="inlineStr">
        <is>
          <t>Nifty Pharma</t>
        </is>
      </c>
      <c r="T135" s="31" t="n">
        <v>24.42</v>
      </c>
      <c r="U135" s="31" t="n">
        <v>49.21</v>
      </c>
      <c r="V135" s="31" t="n">
        <v>19.92</v>
      </c>
      <c r="W135" s="31" t="n">
        <v>13.03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Yes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Annuity, Lower One Time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Above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Blue sky scenario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Less than 12%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Yes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IF(B136=0,"",RANK(B136,$B$2:$B$405,0))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63MOONS</t>
        </is>
      </c>
      <c r="D136" s="30" t="inlineStr">
        <is>
          <t>63 Moons Technologies Ltd</t>
        </is>
      </c>
      <c r="E136" s="30" t="inlineStr">
        <is>
          <t>i.t</t>
        </is>
      </c>
      <c r="F136" s="30" t="inlineStr">
        <is>
          <t>computers - software - medium / small</t>
        </is>
      </c>
      <c r="G136" s="30" t="inlineStr">
        <is>
          <t>smallcap</t>
        </is>
      </c>
      <c r="H136" s="31" t="n">
        <v>3976.35</v>
      </c>
      <c r="I136" s="31" t="n">
        <v>858.2</v>
      </c>
      <c r="J136" s="31" t="n">
        <v>-0.55</v>
      </c>
      <c r="K136" s="31" t="n">
        <v>223129</v>
      </c>
      <c r="L136" s="30" t="n">
        <v>21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66.12</v>
      </c>
      <c r="P136" s="31" t="n">
        <v>18.5</v>
      </c>
      <c r="Q136" s="31" t="n">
        <v>627.11</v>
      </c>
      <c r="R136" s="30" t="inlineStr">
        <is>
          <t>Volume Spike / Accumulation</t>
        </is>
      </c>
      <c r="S136" s="30" t="inlineStr">
        <is>
          <t>Nifty IT</t>
        </is>
      </c>
      <c r="T136" s="31" t="n">
        <v>-9.289999999999999</v>
      </c>
      <c r="U136" s="31" t="n">
        <v>-5.23</v>
      </c>
      <c r="V136" s="31" t="n">
        <v>4.48</v>
      </c>
      <c r="W136" s="31" t="n">
        <v>3.96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Annuity, Lower One Time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0 to 20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No</t>
        </is>
      </c>
      <c r="BS136" s="30">
        <f>IF(BR136="NO",5,0)</f>
        <v/>
      </c>
      <c r="BT136" s="30" t="inlineStr">
        <is>
          <t>Less than 1.5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IF(B137=0,"",RANK(B137,$B$2:$B$405,0))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DBOL</t>
        </is>
      </c>
      <c r="D137" s="30" t="inlineStr">
        <is>
          <t>Dhampur Bio Organics Ltd</t>
        </is>
      </c>
      <c r="E137" s="30" t="inlineStr">
        <is>
          <t>fmcg</t>
        </is>
      </c>
      <c r="F137" s="30" t="inlineStr">
        <is>
          <t>sugar</t>
        </is>
      </c>
      <c r="G137" s="30" t="inlineStr">
        <is>
          <t>smallcap</t>
        </is>
      </c>
      <c r="H137" s="31" t="n">
        <v>745.33</v>
      </c>
      <c r="I137" s="31" t="n">
        <v>110.92</v>
      </c>
      <c r="J137" s="31" t="n">
        <v>-1.2</v>
      </c>
      <c r="K137" s="31" t="n">
        <v>133305</v>
      </c>
      <c r="L137" s="30" t="n">
        <v>26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55.6</v>
      </c>
      <c r="P137" s="31" t="n">
        <v>36.28</v>
      </c>
      <c r="Q137" s="31" t="n">
        <v>84.11</v>
      </c>
      <c r="R137" s="30" t="inlineStr">
        <is>
          <t>Volume Spike / Accumulation</t>
        </is>
      </c>
      <c r="S137" s="30" t="inlineStr">
        <is>
          <t>Nifty FMCG</t>
        </is>
      </c>
      <c r="T137" s="31" t="n">
        <v>-9.75</v>
      </c>
      <c r="U137" s="31" t="n">
        <v>28.17</v>
      </c>
      <c r="V137" s="31" t="n">
        <v>42.02</v>
      </c>
      <c r="W137" s="31" t="n">
        <v>5.01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B2C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Annuity, Lower One Time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20 to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No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Between 0.7 to 1.2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IF(B138=0,"",RANK(B138,$B$2:$B$405,0))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NRAIL</t>
        </is>
      </c>
      <c r="D138" s="30" t="inlineStr">
        <is>
          <t>N R Agarwal Industries Ltd</t>
        </is>
      </c>
      <c r="E138" s="30" t="inlineStr">
        <is>
          <t>building materials</t>
        </is>
      </c>
      <c r="F138" s="30" t="inlineStr">
        <is>
          <t>paper</t>
        </is>
      </c>
      <c r="G138" s="30" t="inlineStr">
        <is>
          <t>smallcap</t>
        </is>
      </c>
      <c r="H138" s="31" t="n">
        <v>830.11</v>
      </c>
      <c r="I138" s="31" t="n">
        <v>521.65</v>
      </c>
      <c r="J138" s="31" t="n">
        <v>6.95</v>
      </c>
      <c r="K138" s="31" t="n">
        <v>178415</v>
      </c>
      <c r="L138" s="30" t="n">
        <v>53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59.69</v>
      </c>
      <c r="P138" s="31" t="n">
        <v>22.7</v>
      </c>
      <c r="Q138" s="31" t="n">
        <v>357.58</v>
      </c>
      <c r="R138" s="30" t="inlineStr">
        <is>
          <t>Volume Spike &amp; Near 52W High Breakout</t>
        </is>
      </c>
      <c r="S138" s="30" t="inlineStr">
        <is>
          <t>Nifty Infra</t>
        </is>
      </c>
      <c r="T138" s="31" t="n">
        <v>4.3</v>
      </c>
      <c r="U138" s="31" t="n">
        <v>50.34</v>
      </c>
      <c r="V138" s="31" t="n">
        <v>44.14</v>
      </c>
      <c r="W138" s="31" t="n">
        <v>11.45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Blue sky scenario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No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Between 0.7 to 1.2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IF(B139=0,"",RANK(B139,$B$2:$B$405,0))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HAL</t>
        </is>
      </c>
      <c r="D139" s="30" t="inlineStr">
        <is>
          <t>Hindustan Aeronautics Ltd</t>
        </is>
      </c>
      <c r="E139" s="30" t="inlineStr">
        <is>
          <t>aerospace &amp; defence</t>
        </is>
      </c>
      <c r="F139" s="30" t="inlineStr">
        <is>
          <t>engineering</t>
        </is>
      </c>
      <c r="G139" s="30" t="inlineStr">
        <is>
          <t>largecap</t>
        </is>
      </c>
      <c r="H139" s="31" t="n">
        <v>310645.99</v>
      </c>
      <c r="I139" s="31" t="n">
        <v>4920</v>
      </c>
      <c r="J139" s="31" t="n">
        <v>5.92</v>
      </c>
      <c r="K139" s="31" t="n">
        <v>9571105</v>
      </c>
      <c r="L139" s="30" t="n">
        <v>19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65.8</v>
      </c>
      <c r="P139" s="31" t="n">
        <v>22.14</v>
      </c>
      <c r="Q139" s="31" t="n">
        <v>4197.8</v>
      </c>
      <c r="R139" s="30" t="inlineStr">
        <is>
          <t>Near 52W High Breakout</t>
        </is>
      </c>
      <c r="S139" s="30" t="inlineStr">
        <is>
          <t>Nifty 50</t>
        </is>
      </c>
      <c r="T139" s="31" t="n">
        <v>1.09</v>
      </c>
      <c r="U139" s="31" t="n">
        <v>12.42</v>
      </c>
      <c r="V139" s="31" t="n">
        <v>11.21</v>
      </c>
      <c r="W139" s="31" t="n">
        <v>3.45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Blue sky scenario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Less than 12%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No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IF(B140=0,"",RANK(B140,$B$2:$B$405,0))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2" t="inlineStr">
        <is>
          <t>MIDHANI</t>
        </is>
      </c>
      <c r="D140" s="32" t="inlineStr">
        <is>
          <t>Mishra Dhatu Nigam Ltd</t>
        </is>
      </c>
      <c r="E140" s="30" t="inlineStr">
        <is>
          <t>aerospace &amp; defence</t>
        </is>
      </c>
      <c r="F140" s="30" t="inlineStr">
        <is>
          <t>steel - medium / small</t>
        </is>
      </c>
      <c r="G140" s="30" t="inlineStr">
        <is>
          <t>midcap</t>
        </is>
      </c>
      <c r="H140" s="31" t="n">
        <v>7796.15</v>
      </c>
      <c r="I140" s="31" t="n">
        <v>434.25</v>
      </c>
      <c r="J140" s="31" t="n">
        <v>4.35</v>
      </c>
      <c r="K140" s="31" t="n">
        <v>3174076</v>
      </c>
      <c r="L140" s="30" t="n">
        <v>28</v>
      </c>
      <c r="M140" s="30" t="inlineStr">
        <is>
          <t>Underperforming</t>
        </is>
      </c>
      <c r="N140" s="31">
        <f>IF(M140="Underperforming",-5,IF(L140&gt;=95,15,IF(L140&gt;=90,10,IF(L140&gt;=80,5,0))))</f>
        <v/>
      </c>
      <c r="O140" s="31" t="n">
        <v>60.91</v>
      </c>
      <c r="P140" s="31" t="n">
        <v>26.79</v>
      </c>
      <c r="Q140" s="31" t="n">
        <v>334.83</v>
      </c>
      <c r="R140" s="30" t="inlineStr">
        <is>
          <t>Near 52W High Breakout</t>
        </is>
      </c>
      <c r="S140" s="30" t="inlineStr">
        <is>
          <t>Nifty Metal</t>
        </is>
      </c>
      <c r="T140" s="31" t="n">
        <v>39.44</v>
      </c>
      <c r="U140" s="31" t="n">
        <v>8.33</v>
      </c>
      <c r="V140" s="31" t="n">
        <v>-22.31</v>
      </c>
      <c r="W140" s="31" t="n">
        <v>5.49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Blue sky scenario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Between 1.5 to 2</t>
        </is>
      </c>
      <c r="BU140" s="30">
        <f>IF(BT140="Above 2",0,IF(BT140="Between 1.5 to 2",5,IF(BT140="Less than 1.5",10,0)))</f>
        <v/>
      </c>
      <c r="BV140" s="30" t="inlineStr">
        <is>
          <t>Between 50% to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IF(B141=0,"",RANK(B141,$B$2:$B$405,0))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VARROC</t>
        </is>
      </c>
      <c r="D141" s="30" t="inlineStr">
        <is>
          <t>Varroc Engineering Ltd</t>
        </is>
      </c>
      <c r="E141" s="30" t="inlineStr">
        <is>
          <t>auto</t>
        </is>
      </c>
      <c r="F141" s="30" t="inlineStr">
        <is>
          <t>auto ancillaries</t>
        </is>
      </c>
      <c r="G141" s="30" t="inlineStr">
        <is>
          <t>midcap</t>
        </is>
      </c>
      <c r="H141" s="31" t="n">
        <v>10963.95</v>
      </c>
      <c r="I141" s="31" t="n">
        <v>737.85</v>
      </c>
      <c r="J141" s="31" t="n">
        <v>2.82</v>
      </c>
      <c r="K141" s="31" t="n">
        <v>796119</v>
      </c>
      <c r="L141" s="30" t="n">
        <v>69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73.48999999999999</v>
      </c>
      <c r="P141" s="31" t="n">
        <v>34.77</v>
      </c>
      <c r="Q141" s="31" t="n">
        <v>596.04</v>
      </c>
      <c r="R141" s="30" t="inlineStr">
        <is>
          <t>Volume Spike &amp; Near 52W High Breakout</t>
        </is>
      </c>
      <c r="S141" s="30" t="inlineStr">
        <is>
          <t>Nifty Auto</t>
        </is>
      </c>
      <c r="T141" s="31" t="n">
        <v>22.44</v>
      </c>
      <c r="U141" s="31" t="n">
        <v>35.96</v>
      </c>
      <c r="V141" s="31" t="n">
        <v>11.05</v>
      </c>
      <c r="W141" s="31" t="n">
        <v>16.4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Blue sky scenario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Yes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Between 50% to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IF(B142=0,"",RANK(B142,$B$2:$B$405,0))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GULFOILLUB</t>
        </is>
      </c>
      <c r="D142" s="30" t="inlineStr">
        <is>
          <t>Gulf Oil Lubricants India Limited</t>
        </is>
      </c>
      <c r="E142" s="30" t="inlineStr">
        <is>
          <t>chemicals</t>
        </is>
      </c>
      <c r="F142" s="30" t="inlineStr">
        <is>
          <t>chemicals</t>
        </is>
      </c>
      <c r="G142" s="30" t="inlineStr">
        <is>
          <t>midcap</t>
        </is>
      </c>
      <c r="H142" s="31" t="n">
        <v>5841</v>
      </c>
      <c r="I142" s="31" t="n">
        <v>1204.5</v>
      </c>
      <c r="J142" s="31" t="n">
        <v>2.11</v>
      </c>
      <c r="K142" s="31" t="n">
        <v>205723</v>
      </c>
      <c r="L142" s="30" t="n">
        <v>31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64.90000000000001</v>
      </c>
      <c r="P142" s="31" t="n">
        <v>18.52</v>
      </c>
      <c r="Q142" s="31" t="n">
        <v>981.3</v>
      </c>
      <c r="R142" s="30" t="inlineStr">
        <is>
          <t>Volume Spike &amp; Near 52W High Breakout</t>
        </is>
      </c>
      <c r="S142" s="30" t="inlineStr">
        <is>
          <t>Nifty 50</t>
        </is>
      </c>
      <c r="T142" s="31" t="n">
        <v>1.09</v>
      </c>
      <c r="U142" s="31" t="n">
        <v>7.33</v>
      </c>
      <c r="V142" s="31" t="n">
        <v>6.18</v>
      </c>
      <c r="W142" s="31" t="n">
        <v>6.14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0 to 20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Close to 52 week high or retracement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No</t>
        </is>
      </c>
      <c r="BS142" s="30">
        <f>IF(BR142="NO",5,0)</f>
        <v/>
      </c>
      <c r="BT142" s="30" t="inlineStr">
        <is>
          <t>Less than 1.5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IF(B143=0,"",RANK(B143,$B$2:$B$405,0))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PARAS</t>
        </is>
      </c>
      <c r="D143" s="30" t="inlineStr">
        <is>
          <t>Paras Defence and Space Technologies Ltd</t>
        </is>
      </c>
      <c r="E143" s="30" t="inlineStr">
        <is>
          <t>aerospace &amp; defence</t>
        </is>
      </c>
      <c r="F143" s="30" t="inlineStr">
        <is>
          <t>engineering</t>
        </is>
      </c>
      <c r="G143" s="30" t="inlineStr">
        <is>
          <t>midcap</t>
        </is>
      </c>
      <c r="H143" s="31" t="n">
        <v>10438.48</v>
      </c>
      <c r="I143" s="31" t="n">
        <v>1316.7</v>
      </c>
      <c r="J143" s="31" t="n">
        <v>1.65</v>
      </c>
      <c r="K143" s="31" t="n">
        <v>1491617</v>
      </c>
      <c r="L143" s="30" t="n">
        <v>89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68.14</v>
      </c>
      <c r="P143" s="31" t="n">
        <v>59.01</v>
      </c>
      <c r="Q143" s="31" t="n">
        <v>1044.57</v>
      </c>
      <c r="R143" s="30" t="inlineStr">
        <is>
          <t>Earnings / Momentum Support</t>
        </is>
      </c>
      <c r="S143" s="30" t="inlineStr">
        <is>
          <t>Nifty 50</t>
        </is>
      </c>
      <c r="T143" s="31" t="n">
        <v>1.09</v>
      </c>
      <c r="U143" s="31" t="n">
        <v>112.65</v>
      </c>
      <c r="V143" s="31" t="n">
        <v>110.36</v>
      </c>
      <c r="W143" s="31" t="n">
        <v>28.93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No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Above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Close to 52 week high or retracement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Between 1.5 to 2</t>
        </is>
      </c>
      <c r="BU143" s="30">
        <f>IF(BT143="Above 2",0,IF(BT143="Between 1.5 to 2",5,IF(BT143="Less than 1.5",10,0)))</f>
        <v/>
      </c>
      <c r="BV143" s="30" t="inlineStr">
        <is>
          <t>Less than 50%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IF(B144=0,"",RANK(B144,$B$2:$B$405,0))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OAL</t>
        </is>
      </c>
      <c r="D144" s="30" t="inlineStr">
        <is>
          <t>Oriental Aromatics Ltd</t>
        </is>
      </c>
      <c r="E144" s="30" t="inlineStr">
        <is>
          <t>chemicals</t>
        </is>
      </c>
      <c r="F144" s="30" t="inlineStr">
        <is>
          <t>chemicals</t>
        </is>
      </c>
      <c r="G144" s="30" t="inlineStr">
        <is>
          <t>smallcap</t>
        </is>
      </c>
      <c r="H144" s="31" t="n">
        <v>1265.88</v>
      </c>
      <c r="I144" s="31" t="n">
        <v>380</v>
      </c>
      <c r="J144" s="31" t="n">
        <v>1.02</v>
      </c>
      <c r="K144" s="31" t="n">
        <v>8142</v>
      </c>
      <c r="L144" s="30" t="n">
        <v>33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65.55</v>
      </c>
      <c r="P144" s="31" t="n">
        <v>26.19</v>
      </c>
      <c r="Q144" s="31" t="n">
        <v>282.98</v>
      </c>
      <c r="R144" s="30" t="inlineStr">
        <is>
          <t>Near 52W High Breakout</t>
        </is>
      </c>
      <c r="S144" s="30" t="inlineStr">
        <is>
          <t>Nifty 50</t>
        </is>
      </c>
      <c r="T144" s="31" t="n">
        <v>1.09</v>
      </c>
      <c r="U144" s="31" t="n">
        <v>8.56</v>
      </c>
      <c r="V144" s="31" t="n">
        <v>7.39</v>
      </c>
      <c r="W144" s="31" t="n">
        <v>6.51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Yes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IF(B145=0,"",RANK(B145,$B$2:$B$405,0))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IRISDOREME</t>
        </is>
      </c>
      <c r="D145" s="30" t="inlineStr">
        <is>
          <t>Iris Clothings Ltd</t>
        </is>
      </c>
      <c r="E145" s="30" t="inlineStr">
        <is>
          <t>consumer discretionary</t>
        </is>
      </c>
      <c r="F145" s="30" t="inlineStr">
        <is>
          <t>textiles - products</t>
        </is>
      </c>
      <c r="G145" s="30" t="inlineStr">
        <is>
          <t>smallcap</t>
        </is>
      </c>
      <c r="H145" s="31" t="n">
        <v>1017.89</v>
      </c>
      <c r="I145" s="31" t="n">
        <v>53.9</v>
      </c>
      <c r="J145" s="31" t="n">
        <v>0.79</v>
      </c>
      <c r="K145" s="31" t="n">
        <v>320701</v>
      </c>
      <c r="L145" s="30" t="n">
        <v>79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82.13</v>
      </c>
      <c r="P145" s="31" t="n">
        <v>35.67</v>
      </c>
      <c r="Q145" s="31" t="n">
        <v>40.93</v>
      </c>
      <c r="R145" s="30" t="inlineStr">
        <is>
          <t>Near 52W High Breakout</t>
        </is>
      </c>
      <c r="S145" s="30" t="inlineStr">
        <is>
          <t>Nifty 50</t>
        </is>
      </c>
      <c r="T145" s="31" t="n">
        <v>1.09</v>
      </c>
      <c r="U145" s="31" t="n">
        <v>63.95</v>
      </c>
      <c r="V145" s="31" t="n">
        <v>62.18</v>
      </c>
      <c r="W145" s="31" t="n">
        <v>20.54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Above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Less than 1.5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IF(B146=0,"",RANK(B146,$B$2:$B$405,0))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2" t="inlineStr">
        <is>
          <t>SUPRAJIT</t>
        </is>
      </c>
      <c r="D146" s="32" t="inlineStr">
        <is>
          <t>Suprajit Engineering Limited</t>
        </is>
      </c>
      <c r="E146" s="30" t="inlineStr">
        <is>
          <t>auto</t>
        </is>
      </c>
      <c r="F146" s="30" t="inlineStr">
        <is>
          <t>auto ancillaries</t>
        </is>
      </c>
      <c r="G146" s="30" t="inlineStr">
        <is>
          <t>midcap</t>
        </is>
      </c>
      <c r="H146" s="31" t="n">
        <v>7189.14</v>
      </c>
      <c r="I146" s="31" t="n">
        <v>527.55</v>
      </c>
      <c r="J146" s="31" t="n">
        <v>0.66</v>
      </c>
      <c r="K146" s="31" t="n">
        <v>522228</v>
      </c>
      <c r="L146" s="30" t="n">
        <v>40</v>
      </c>
      <c r="M146" s="30" t="inlineStr">
        <is>
          <t>Underperforming</t>
        </is>
      </c>
      <c r="N146" s="31">
        <f>IF(M146="Underperforming",-5,IF(L146&gt;=95,15,IF(L146&gt;=90,10,IF(L146&gt;=80,5,0))))</f>
        <v/>
      </c>
      <c r="O146" s="31" t="n">
        <v>65.05</v>
      </c>
      <c r="P146" s="31" t="n">
        <v>40.48</v>
      </c>
      <c r="Q146" s="31" t="n">
        <v>425.83</v>
      </c>
      <c r="R146" s="30" t="inlineStr">
        <is>
          <t>Near 52W High Breakout</t>
        </is>
      </c>
      <c r="S146" s="30" t="inlineStr">
        <is>
          <t>Nifty Auto</t>
        </is>
      </c>
      <c r="T146" s="31" t="n">
        <v>22.44</v>
      </c>
      <c r="U146" s="31" t="n">
        <v>13.5</v>
      </c>
      <c r="V146" s="31" t="n">
        <v>-7.3</v>
      </c>
      <c r="W146" s="31" t="n">
        <v>8.369999999999999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Above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Less than 50%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IF(B147=0,"",RANK(B147,$B$2:$B$405,0))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KRISHANA</t>
        </is>
      </c>
      <c r="D147" s="30" t="inlineStr">
        <is>
          <t>Krishana Phoschem Ltd</t>
        </is>
      </c>
      <c r="E147" s="30" t="inlineStr">
        <is>
          <t>chemicals</t>
        </is>
      </c>
      <c r="F147" s="30" t="inlineStr">
        <is>
          <t>fertilizers</t>
        </is>
      </c>
      <c r="G147" s="30" t="inlineStr">
        <is>
          <t>smallcap</t>
        </is>
      </c>
      <c r="H147" s="31" t="n">
        <v>1105.11</v>
      </c>
      <c r="I147" s="31" t="n">
        <v>179.41</v>
      </c>
      <c r="J147" s="31" t="n">
        <v>0.37</v>
      </c>
      <c r="K147" s="31" t="n">
        <v>381699</v>
      </c>
      <c r="L147" s="30" t="n">
        <v>75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76.88</v>
      </c>
      <c r="P147" s="31" t="n">
        <v>45.36</v>
      </c>
      <c r="Q147" s="31" t="n">
        <v>139.55</v>
      </c>
      <c r="R147" s="30" t="inlineStr">
        <is>
          <t>Near 52W High Breakout</t>
        </is>
      </c>
      <c r="S147" s="30" t="inlineStr">
        <is>
          <t>Nifty 50</t>
        </is>
      </c>
      <c r="T147" s="31" t="n">
        <v>1.09</v>
      </c>
      <c r="U147" s="31" t="n">
        <v>74.48999999999999</v>
      </c>
      <c r="V147" s="31" t="n">
        <v>72.61</v>
      </c>
      <c r="W147" s="31" t="n">
        <v>18.75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Above 40</t>
        </is>
      </c>
      <c r="AY147" s="30">
        <f>IF(AX147="Above 40",20,IF(AX147="20 to 40",10,IF(AX147="0 to 20",-5,0)))</f>
        <v/>
      </c>
      <c r="AZ147" s="30" t="inlineStr">
        <is>
          <t>Above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Blue sky scenario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No</t>
        </is>
      </c>
      <c r="BS147" s="30">
        <f>IF(BR147="NO",5,0)</f>
        <v/>
      </c>
      <c r="BT147" s="30" t="inlineStr">
        <is>
          <t>Less than 1.5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More than 1.2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IF(B148=0,"",RANK(B148,$B$2:$B$405,0))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HEG</t>
        </is>
      </c>
      <c r="D148" s="30" t="inlineStr">
        <is>
          <t>Heg Limited</t>
        </is>
      </c>
      <c r="E148" s="30" t="inlineStr">
        <is>
          <t>industrials</t>
        </is>
      </c>
      <c r="F148" s="30" t="inlineStr">
        <is>
          <t>electrodes - graphites</t>
        </is>
      </c>
      <c r="G148" s="30" t="inlineStr">
        <is>
          <t>midcap</t>
        </is>
      </c>
      <c r="H148" s="31" t="n">
        <v>13242.12</v>
      </c>
      <c r="I148" s="31" t="n">
        <v>685.1</v>
      </c>
      <c r="J148" s="31" t="n">
        <v>-0.16</v>
      </c>
      <c r="K148" s="31" t="n">
        <v>1107334</v>
      </c>
      <c r="L148" s="30" t="n">
        <v>45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66.56999999999999</v>
      </c>
      <c r="P148" s="31" t="n">
        <v>26.19</v>
      </c>
      <c r="Q148" s="31" t="n">
        <v>526.95</v>
      </c>
      <c r="R148" s="30" t="inlineStr">
        <is>
          <t>Near 52W High Breakout</t>
        </is>
      </c>
      <c r="S148" s="30" t="inlineStr">
        <is>
          <t>Nifty 50</t>
        </is>
      </c>
      <c r="T148" s="31" t="n">
        <v>1.09</v>
      </c>
      <c r="U148" s="31" t="n">
        <v>36.8</v>
      </c>
      <c r="V148" s="31" t="n">
        <v>35.33</v>
      </c>
      <c r="W148" s="31" t="n">
        <v>9.77</v>
      </c>
      <c r="X148" s="30" t="inlineStr">
        <is>
          <t>Cyclical in an Upturn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Blue sky scenario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Between 12 to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IF(B149=0,"",RANK(B149,$B$2:$B$405,0))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YASHO</t>
        </is>
      </c>
      <c r="D149" s="30" t="inlineStr">
        <is>
          <t>Yasho Industries Ltd</t>
        </is>
      </c>
      <c r="E149" s="30" t="inlineStr">
        <is>
          <t>chemicals</t>
        </is>
      </c>
      <c r="F149" s="30" t="inlineStr">
        <is>
          <t>chemicals</t>
        </is>
      </c>
      <c r="G149" s="30" t="inlineStr">
        <is>
          <t>midcap</t>
        </is>
      </c>
      <c r="H149" s="31" t="n">
        <v>5010.7</v>
      </c>
      <c r="I149" s="31" t="n">
        <v>4150</v>
      </c>
      <c r="J149" s="31" t="n">
        <v>-0.18</v>
      </c>
      <c r="K149" s="31" t="n">
        <v>67222</v>
      </c>
      <c r="L149" s="30" t="n">
        <v>98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91.70999999999999</v>
      </c>
      <c r="P149" s="31" t="n">
        <v>60.14</v>
      </c>
      <c r="Q149" s="31" t="n">
        <v>3188.3</v>
      </c>
      <c r="R149" s="30" t="inlineStr">
        <is>
          <t>Volume Spike &amp; Near 52W High Breakout</t>
        </is>
      </c>
      <c r="S149" s="30" t="inlineStr">
        <is>
          <t>Nifty 50</t>
        </is>
      </c>
      <c r="T149" s="31" t="n">
        <v>1.09</v>
      </c>
      <c r="U149" s="31" t="n">
        <v>138.11</v>
      </c>
      <c r="V149" s="31" t="n">
        <v>135.55</v>
      </c>
      <c r="W149" s="31" t="n">
        <v>66.09999999999999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Above 40</t>
        </is>
      </c>
      <c r="AY149" s="30">
        <f>IF(AX149="Above 40",20,IF(AX149="20 to 40",10,IF(AX149="0 to 20",-5,0)))</f>
        <v/>
      </c>
      <c r="AZ149" s="30" t="inlineStr">
        <is>
          <t>Above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Blue sky scenario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Yes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More than 1.2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IF(B150=0,"",RANK(B150,$B$2:$B$405,0))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ASIANPAINT</t>
        </is>
      </c>
      <c r="D150" s="30" t="inlineStr">
        <is>
          <t>Asian Paints Limited</t>
        </is>
      </c>
      <c r="E150" s="30" t="inlineStr">
        <is>
          <t>building materials</t>
        </is>
      </c>
      <c r="F150" s="30" t="inlineStr">
        <is>
          <t>paints / varnishes</t>
        </is>
      </c>
      <c r="G150" s="30" t="inlineStr">
        <is>
          <t>largecap</t>
        </is>
      </c>
      <c r="H150" s="31" t="n">
        <v>264738.59</v>
      </c>
      <c r="I150" s="31" t="n">
        <v>2755</v>
      </c>
      <c r="J150" s="31" t="n">
        <v>-0.18</v>
      </c>
      <c r="K150" s="31" t="n">
        <v>1477098</v>
      </c>
      <c r="L150" s="30" t="n">
        <v>30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60.59</v>
      </c>
      <c r="P150" s="31" t="n">
        <v>22.4</v>
      </c>
      <c r="Q150" s="31" t="n">
        <v>2348</v>
      </c>
      <c r="R150" s="30" t="inlineStr">
        <is>
          <t>Earnings / Momentum Support</t>
        </is>
      </c>
      <c r="S150" s="30" t="inlineStr">
        <is>
          <t>Nifty Infra</t>
        </is>
      </c>
      <c r="T150" s="31" t="n">
        <v>4.3</v>
      </c>
      <c r="U150" s="31" t="n">
        <v>18.92</v>
      </c>
      <c r="V150" s="31" t="n">
        <v>14.02</v>
      </c>
      <c r="W150" s="31" t="n">
        <v>6.1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No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Yes</t>
        </is>
      </c>
      <c r="BS150" s="30">
        <f>IF(BR150="NO",5,0)</f>
        <v/>
      </c>
      <c r="BT150" s="30" t="inlineStr">
        <is>
          <t>Less than 1.5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IF(B151=0,"",RANK(B151,$B$2:$B$405,0))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2" t="inlineStr">
        <is>
          <t>POLYPLEX</t>
        </is>
      </c>
      <c r="D151" s="32" t="inlineStr">
        <is>
          <t>Polyplex Corporation Limited</t>
        </is>
      </c>
      <c r="E151" s="30" t="inlineStr">
        <is>
          <t>industrials</t>
        </is>
      </c>
      <c r="F151" s="30" t="inlineStr">
        <is>
          <t>packaging</t>
        </is>
      </c>
      <c r="G151" s="30" t="inlineStr">
        <is>
          <t>smallcap</t>
        </is>
      </c>
      <c r="H151" s="31" t="n">
        <v>3512.19</v>
      </c>
      <c r="I151" s="31" t="n">
        <v>1115.1</v>
      </c>
      <c r="J151" s="31" t="n">
        <v>-0.33</v>
      </c>
      <c r="K151" s="31" t="n">
        <v>19280</v>
      </c>
      <c r="L151" s="30" t="n">
        <v>23</v>
      </c>
      <c r="M151" s="30" t="inlineStr">
        <is>
          <t>Underperforming</t>
        </is>
      </c>
      <c r="N151" s="31">
        <f>IF(M151="Underperforming",-5,IF(L151&gt;=95,15,IF(L151&gt;=90,10,IF(L151&gt;=80,5,0))))</f>
        <v/>
      </c>
      <c r="O151" s="31" t="n">
        <v>68.22</v>
      </c>
      <c r="P151" s="31" t="n">
        <v>46.43</v>
      </c>
      <c r="Q151" s="31" t="n">
        <v>916.66</v>
      </c>
      <c r="R151" s="30" t="inlineStr">
        <is>
          <t>Near 52W High Breakout</t>
        </is>
      </c>
      <c r="S151" s="30" t="inlineStr">
        <is>
          <t>Nifty 50</t>
        </is>
      </c>
      <c r="T151" s="31" t="n">
        <v>1.09</v>
      </c>
      <c r="U151" s="31" t="n">
        <v>-0.33</v>
      </c>
      <c r="V151" s="31" t="n">
        <v>-1.4</v>
      </c>
      <c r="W151" s="31" t="n">
        <v>4.31</v>
      </c>
      <c r="X151" s="30" t="inlineStr">
        <is>
          <t>Cyclical in an Upturn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Above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Yes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IF(B152=0,"",RANK(B152,$B$2:$B$405,0))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UNIMECH</t>
        </is>
      </c>
      <c r="D152" s="30" t="inlineStr">
        <is>
          <t>Unimech Aerospace and Manufacturing Ltd</t>
        </is>
      </c>
      <c r="E152" s="30" t="inlineStr">
        <is>
          <t>aerospace &amp; defence</t>
        </is>
      </c>
      <c r="F152" s="30" t="inlineStr">
        <is>
          <t>engineering</t>
        </is>
      </c>
      <c r="G152" s="30" t="inlineStr">
        <is>
          <t>midcap</t>
        </is>
      </c>
      <c r="H152" s="31" t="n">
        <v>6838.73</v>
      </c>
      <c r="I152" s="31" t="n">
        <v>1336.5</v>
      </c>
      <c r="J152" s="31" t="n">
        <v>-0.61</v>
      </c>
      <c r="K152" s="31" t="n">
        <v>282034</v>
      </c>
      <c r="L152" s="30" t="n">
        <v>53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67.34999999999999</v>
      </c>
      <c r="P152" s="31" t="n">
        <v>30.71</v>
      </c>
      <c r="Q152" s="31" t="n">
        <v>999.47</v>
      </c>
      <c r="R152" s="30" t="inlineStr">
        <is>
          <t>Volume Spike &amp; Near 52W High Breakout</t>
        </is>
      </c>
      <c r="S152" s="30" t="inlineStr">
        <is>
          <t>Nifty 50</t>
        </is>
      </c>
      <c r="T152" s="31" t="n">
        <v>1.09</v>
      </c>
      <c r="U152" s="31" t="n">
        <v>26.07</v>
      </c>
      <c r="V152" s="31" t="n">
        <v>24.71</v>
      </c>
      <c r="W152" s="31" t="n">
        <v>11.48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20 to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Yes</t>
        </is>
      </c>
      <c r="BS152" s="30">
        <f>IF(BR152="NO",5,0)</f>
        <v/>
      </c>
      <c r="BT152" s="30" t="inlineStr">
        <is>
          <t>Above 2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IF(B153=0,"",RANK(B153,$B$2:$B$405,0))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CHENNPETRO</t>
        </is>
      </c>
      <c r="D153" s="30" t="inlineStr">
        <is>
          <t>Chennai Petroleum Corporation Limited</t>
        </is>
      </c>
      <c r="E153" s="30" t="inlineStr">
        <is>
          <t>energy</t>
        </is>
      </c>
      <c r="F153" s="30" t="inlineStr">
        <is>
          <t>refineries</t>
        </is>
      </c>
      <c r="G153" s="30" t="inlineStr">
        <is>
          <t>midcap</t>
        </is>
      </c>
      <c r="H153" s="31" t="n">
        <v>19416.56</v>
      </c>
      <c r="I153" s="31" t="n">
        <v>1292.3</v>
      </c>
      <c r="J153" s="31" t="n">
        <v>-0.89</v>
      </c>
      <c r="K153" s="31" t="n">
        <v>1365189</v>
      </c>
      <c r="L153" s="30" t="n">
        <v>75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68.48</v>
      </c>
      <c r="P153" s="31" t="n">
        <v>48.5</v>
      </c>
      <c r="Q153" s="31" t="n">
        <v>959.96</v>
      </c>
      <c r="R153" s="30" t="inlineStr">
        <is>
          <t>Near 52W High Breakout</t>
        </is>
      </c>
      <c r="S153" s="30" t="inlineStr">
        <is>
          <t>Nifty Energy</t>
        </is>
      </c>
      <c r="T153" s="31" t="n">
        <v>9.720000000000001</v>
      </c>
      <c r="U153" s="31" t="n">
        <v>90.90000000000001</v>
      </c>
      <c r="V153" s="31" t="n">
        <v>74</v>
      </c>
      <c r="W153" s="31" t="n">
        <v>19.18</v>
      </c>
      <c r="X153" s="30" t="inlineStr">
        <is>
          <t>Cyclical in an Upturn</t>
        </is>
      </c>
      <c r="Y153" s="30">
        <f>IF(X153="Growing Industry",10,IF(X153="Cyclical in an Upturn",5,0))</f>
        <v/>
      </c>
      <c r="Z153" s="30" t="inlineStr">
        <is>
          <t>Oligopoly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Yes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Cyclical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Volatile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Above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Blue sky scenario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No</t>
        </is>
      </c>
      <c r="BS153" s="30">
        <f>IF(BR153="NO",5,0)</f>
        <v/>
      </c>
      <c r="BT153" s="30" t="inlineStr">
        <is>
          <t>Less than 1.5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IF(B154=0,"",RANK(B154,$B$2:$B$405,0))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SYRMA</t>
        </is>
      </c>
      <c r="D154" s="30" t="inlineStr">
        <is>
          <t>Syrma SGS Technology Ltd</t>
        </is>
      </c>
      <c r="E154" s="30" t="inlineStr">
        <is>
          <t>consumer discretionary</t>
        </is>
      </c>
      <c r="F154" s="30" t="inlineStr">
        <is>
          <t>electronics - components</t>
        </is>
      </c>
      <c r="G154" s="30" t="inlineStr">
        <is>
          <t>largecap</t>
        </is>
      </c>
      <c r="H154" s="31" t="n">
        <v>27653.82</v>
      </c>
      <c r="I154" s="31" t="n">
        <v>1418</v>
      </c>
      <c r="J154" s="31" t="n">
        <v>-1.12</v>
      </c>
      <c r="K154" s="31" t="n">
        <v>1123975</v>
      </c>
      <c r="L154" s="30" t="n">
        <v>81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67.95</v>
      </c>
      <c r="P154" s="31" t="n">
        <v>59.3</v>
      </c>
      <c r="Q154" s="31" t="n">
        <v>1115.9</v>
      </c>
      <c r="R154" s="30" t="inlineStr">
        <is>
          <t>Near 52W High Breakout</t>
        </is>
      </c>
      <c r="S154" s="30" t="inlineStr">
        <is>
          <t>Nifty 50</t>
        </is>
      </c>
      <c r="T154" s="31" t="n">
        <v>1.09</v>
      </c>
      <c r="U154" s="31" t="n">
        <v>103.35</v>
      </c>
      <c r="V154" s="31" t="n">
        <v>101.16</v>
      </c>
      <c r="W154" s="31" t="n">
        <v>21.73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Above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Negative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Blue sky scenario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Yes</t>
        </is>
      </c>
      <c r="BS154" s="30">
        <f>IF(BR154="NO",5,0)</f>
        <v/>
      </c>
      <c r="BT154" s="30" t="inlineStr">
        <is>
          <t>Less than 1.5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IF(B155=0,"",RANK(B155,$B$2:$B$405,0))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AYMSYNTEX</t>
        </is>
      </c>
      <c r="D155" s="30" t="inlineStr">
        <is>
          <t>Aym Syntex Limited</t>
        </is>
      </c>
      <c r="E155" s="30" t="inlineStr">
        <is>
          <t>textiles</t>
        </is>
      </c>
      <c r="F155" s="30" t="inlineStr">
        <is>
          <t>textiles - processing</t>
        </is>
      </c>
      <c r="G155" s="30" t="inlineStr">
        <is>
          <t>smallcap</t>
        </is>
      </c>
      <c r="H155" s="31" t="n">
        <v>1495.08</v>
      </c>
      <c r="I155" s="31" t="n">
        <v>251.65</v>
      </c>
      <c r="J155" s="31" t="n">
        <v>-1.14</v>
      </c>
      <c r="K155" s="31" t="n">
        <v>17701</v>
      </c>
      <c r="L155" s="30" t="n">
        <v>37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60.22</v>
      </c>
      <c r="P155" s="31" t="n">
        <v>31.17</v>
      </c>
      <c r="Q155" s="31" t="n">
        <v>184.05</v>
      </c>
      <c r="R155" s="30" t="inlineStr">
        <is>
          <t>Near 52W High Breakout</t>
        </is>
      </c>
      <c r="S155" s="30" t="inlineStr">
        <is>
          <t>Nifty 50</t>
        </is>
      </c>
      <c r="T155" s="31" t="n">
        <v>1.09</v>
      </c>
      <c r="U155" s="31" t="n">
        <v>25.7</v>
      </c>
      <c r="V155" s="31" t="n">
        <v>24.35</v>
      </c>
      <c r="W155" s="31" t="n">
        <v>7.4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IF(B156=0,"",RANK(B156,$B$2:$B$405,0))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SIGMAADV</t>
        </is>
      </c>
      <c r="D156" s="30" t="inlineStr">
        <is>
          <t>Sigma Advanced System Ltd</t>
        </is>
      </c>
      <c r="E156" s="30" t="inlineStr">
        <is>
          <t>aerospace &amp; defence</t>
        </is>
      </c>
      <c r="F156" s="30" t="inlineStr">
        <is>
          <t>electronics - components</t>
        </is>
      </c>
      <c r="G156" s="30" t="inlineStr">
        <is>
          <t>midcap</t>
        </is>
      </c>
      <c r="H156" s="31" t="n">
        <v>13350.01</v>
      </c>
      <c r="I156" s="31" t="n">
        <v>692.05</v>
      </c>
      <c r="J156" s="31" t="n">
        <v>-1.77</v>
      </c>
      <c r="K156" s="31" t="n">
        <v>302489</v>
      </c>
      <c r="L156" s="30" t="n">
        <v>98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78.84999999999999</v>
      </c>
      <c r="P156" s="31" t="n">
        <v>67.31999999999999</v>
      </c>
      <c r="Q156" s="31" t="n">
        <v>532.42</v>
      </c>
      <c r="R156" s="30" t="inlineStr">
        <is>
          <t>Near 52W High Breakout</t>
        </is>
      </c>
      <c r="S156" s="30" t="inlineStr">
        <is>
          <t>Nifty 50</t>
        </is>
      </c>
      <c r="T156" s="31" t="n">
        <v>1.09</v>
      </c>
      <c r="U156" s="31" t="n">
        <v>505.37</v>
      </c>
      <c r="V156" s="31" t="n">
        <v>498.86</v>
      </c>
      <c r="W156" s="31" t="n">
        <v>76.33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Above 40</t>
        </is>
      </c>
      <c r="AY156" s="30">
        <f>IF(AX156="Above 40",20,IF(AX156="20 to 40",10,IF(AX156="0 to 20",-5,0)))</f>
        <v/>
      </c>
      <c r="AZ156" s="30" t="inlineStr">
        <is>
          <t>Above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Blue sky scenario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Yes</t>
        </is>
      </c>
      <c r="BS156" s="30">
        <f>IF(BR156="NO",5,0)</f>
        <v/>
      </c>
      <c r="BT156" s="30" t="inlineStr">
        <is>
          <t>Less than 1.5</t>
        </is>
      </c>
      <c r="BU156" s="30">
        <f>IF(BT156="Above 2",0,IF(BT156="Between 1.5 to 2",5,IF(BT156="Less than 1.5",10,0)))</f>
        <v/>
      </c>
      <c r="BV156" s="30" t="inlineStr">
        <is>
          <t>Negative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Between 0.7 to 1.2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IF(B157=0,"",RANK(B157,$B$2:$B$405,0))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2" t="inlineStr">
        <is>
          <t>DPABHUSHAN</t>
        </is>
      </c>
      <c r="D157" s="32" t="inlineStr">
        <is>
          <t>D.P. Abhushan Ltd</t>
        </is>
      </c>
      <c r="E157" s="30" t="inlineStr">
        <is>
          <t>consumer discretionary</t>
        </is>
      </c>
      <c r="F157" s="30" t="inlineStr">
        <is>
          <t>diamond cutting / jewellery</t>
        </is>
      </c>
      <c r="G157" s="30" t="inlineStr">
        <is>
          <t>smallcap</t>
        </is>
      </c>
      <c r="H157" s="31" t="n">
        <v>3413.23</v>
      </c>
      <c r="I157" s="31" t="n">
        <v>1465</v>
      </c>
      <c r="J157" s="31" t="n">
        <v>-2.02</v>
      </c>
      <c r="K157" s="31" t="n">
        <v>18504</v>
      </c>
      <c r="L157" s="30" t="n">
        <v>29</v>
      </c>
      <c r="M157" s="30" t="inlineStr">
        <is>
          <t>Underperforming</t>
        </is>
      </c>
      <c r="N157" s="31">
        <f>IF(M157="Underperforming",-5,IF(L157&gt;=95,15,IF(L157&gt;=90,10,IF(L157&gt;=80,5,0))))</f>
        <v/>
      </c>
      <c r="O157" s="31" t="n">
        <v>67.34</v>
      </c>
      <c r="P157" s="31" t="n">
        <v>31.65</v>
      </c>
      <c r="Q157" s="31" t="n">
        <v>1059.62</v>
      </c>
      <c r="R157" s="30" t="inlineStr">
        <is>
          <t>Earnings / Momentum Support</t>
        </is>
      </c>
      <c r="S157" s="30" t="inlineStr">
        <is>
          <t>Nifty 50</t>
        </is>
      </c>
      <c r="T157" s="31" t="n">
        <v>1.09</v>
      </c>
      <c r="U157" s="31" t="n">
        <v>-10.16</v>
      </c>
      <c r="V157" s="31" t="n">
        <v>-11.12</v>
      </c>
      <c r="W157" s="31" t="n">
        <v>5.65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No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20 to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No</t>
        </is>
      </c>
      <c r="BS157" s="30">
        <f>IF(BR157="NO",5,0)</f>
        <v/>
      </c>
      <c r="BT157" s="30" t="inlineStr">
        <is>
          <t>Less than 1.5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IF(B158=0,"",RANK(B158,$B$2:$B$405,0))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IGPL</t>
        </is>
      </c>
      <c r="D158" s="30" t="inlineStr">
        <is>
          <t>Ig Petrochemicals Limited</t>
        </is>
      </c>
      <c r="E158" s="30" t="inlineStr">
        <is>
          <t>chemicals</t>
        </is>
      </c>
      <c r="F158" s="30" t="inlineStr">
        <is>
          <t>chemicals</t>
        </is>
      </c>
      <c r="G158" s="30" t="inlineStr">
        <is>
          <t>smallcap</t>
        </is>
      </c>
      <c r="H158" s="31" t="n">
        <v>1584.24</v>
      </c>
      <c r="I158" s="31" t="n">
        <v>503</v>
      </c>
      <c r="J158" s="31" t="n">
        <v>-2.23</v>
      </c>
      <c r="K158" s="31" t="n">
        <v>373464</v>
      </c>
      <c r="L158" s="30" t="n">
        <v>29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68.13</v>
      </c>
      <c r="P158" s="31" t="n">
        <v>22.23</v>
      </c>
      <c r="Q158" s="31" t="n">
        <v>400.58</v>
      </c>
      <c r="R158" s="30" t="inlineStr">
        <is>
          <t>Volume Spike &amp; Near 52W High Breakout</t>
        </is>
      </c>
      <c r="S158" s="30" t="inlineStr">
        <is>
          <t>Nifty IT</t>
        </is>
      </c>
      <c r="T158" s="31" t="n">
        <v>-9.289999999999999</v>
      </c>
      <c r="U158" s="31" t="n">
        <v>11.14</v>
      </c>
      <c r="V158" s="31" t="n">
        <v>22.52</v>
      </c>
      <c r="W158" s="31" t="n">
        <v>5.51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Yes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IF(B159=0,"",RANK(B159,$B$2:$B$405,0))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GABRIEL</t>
        </is>
      </c>
      <c r="D159" s="30" t="inlineStr">
        <is>
          <t>Gabriel India Limited</t>
        </is>
      </c>
      <c r="E159" s="30" t="inlineStr">
        <is>
          <t>auto</t>
        </is>
      </c>
      <c r="F159" s="30" t="inlineStr">
        <is>
          <t>auto ancillaries</t>
        </is>
      </c>
      <c r="G159" s="30" t="inlineStr">
        <is>
          <t>largecap</t>
        </is>
      </c>
      <c r="H159" s="31" t="n">
        <v>28138.81</v>
      </c>
      <c r="I159" s="31" t="n">
        <v>1531.8</v>
      </c>
      <c r="J159" s="31" t="n">
        <v>-3.52</v>
      </c>
      <c r="K159" s="31" t="n">
        <v>354385</v>
      </c>
      <c r="L159" s="30" t="n">
        <v>85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76.44</v>
      </c>
      <c r="P159" s="31" t="n">
        <v>33.91</v>
      </c>
      <c r="Q159" s="31" t="n">
        <v>1213.74</v>
      </c>
      <c r="R159" s="30" t="inlineStr">
        <is>
          <t>Near 52W High Breakout</t>
        </is>
      </c>
      <c r="S159" s="30" t="inlineStr">
        <is>
          <t>Nifty Auto</t>
        </is>
      </c>
      <c r="T159" s="31" t="n">
        <v>22.44</v>
      </c>
      <c r="U159" s="31" t="n">
        <v>56.3</v>
      </c>
      <c r="V159" s="31" t="n">
        <v>27.66</v>
      </c>
      <c r="W159" s="31" t="n">
        <v>24.7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Above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Blue sky scenario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Yes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IF(B160=0,"",RANK(B160,$B$2:$B$405,0))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MOREPENLAB</t>
        </is>
      </c>
      <c r="D160" s="30" t="inlineStr">
        <is>
          <t>Morepen Laboratories Limited</t>
        </is>
      </c>
      <c r="E160" s="30" t="inlineStr">
        <is>
          <t>healthcare</t>
        </is>
      </c>
      <c r="F160" s="30" t="inlineStr">
        <is>
          <t>pharmaceuticals - indian - bulk drugs &amp; formln</t>
        </is>
      </c>
      <c r="G160" s="30" t="inlineStr">
        <is>
          <t>smallcap</t>
        </is>
      </c>
      <c r="H160" s="31" t="n">
        <v>4216.5</v>
      </c>
      <c r="I160" s="31" t="n">
        <v>79.42</v>
      </c>
      <c r="J160" s="31" t="n">
        <v>3.21</v>
      </c>
      <c r="K160" s="31" t="n">
        <v>100581767</v>
      </c>
      <c r="L160" s="30" t="n">
        <v>91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77.95</v>
      </c>
      <c r="P160" s="31" t="n">
        <v>30.99</v>
      </c>
      <c r="Q160" s="31" t="n">
        <v>58.62</v>
      </c>
      <c r="R160" s="30" t="inlineStr">
        <is>
          <t>Volume Spike &amp; Near 52W High Breakout</t>
        </is>
      </c>
      <c r="S160" s="30" t="inlineStr">
        <is>
          <t>Nifty Pharma</t>
        </is>
      </c>
      <c r="T160" s="31" t="n">
        <v>24.42</v>
      </c>
      <c r="U160" s="31" t="n">
        <v>69.58</v>
      </c>
      <c r="V160" s="31" t="n">
        <v>36.3</v>
      </c>
      <c r="W160" s="31" t="n">
        <v>30.28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Yes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Annuity, Lower One Time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Above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Yes</t>
        </is>
      </c>
      <c r="BS160" s="30">
        <f>IF(BR160="NO",5,0)</f>
        <v/>
      </c>
      <c r="BT160" s="30" t="inlineStr">
        <is>
          <t>Above 2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IF(B161=0,"",RANK(B161,$B$2:$B$405,0))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2" t="inlineStr">
        <is>
          <t>LALPATHLAB</t>
        </is>
      </c>
      <c r="D161" s="32" t="inlineStr">
        <is>
          <t>Dr. Lal Path Labs Ltd.</t>
        </is>
      </c>
      <c r="E161" s="30" t="inlineStr">
        <is>
          <t>healthcare</t>
        </is>
      </c>
      <c r="F161" s="30" t="inlineStr">
        <is>
          <t>healthcare</t>
        </is>
      </c>
      <c r="G161" s="30" t="inlineStr">
        <is>
          <t>largecap</t>
        </is>
      </c>
      <c r="H161" s="31" t="n">
        <v>31634.92</v>
      </c>
      <c r="I161" s="31" t="n">
        <v>1928</v>
      </c>
      <c r="J161" s="31" t="n">
        <v>2.17</v>
      </c>
      <c r="K161" s="31" t="n">
        <v>427191</v>
      </c>
      <c r="L161" s="30" t="n">
        <v>40</v>
      </c>
      <c r="M161" s="30" t="inlineStr">
        <is>
          <t>Underperforming</t>
        </is>
      </c>
      <c r="N161" s="31">
        <f>IF(M161="Underperforming",-5,IF(L161&gt;=95,15,IF(L161&gt;=90,10,IF(L161&gt;=80,5,0))))</f>
        <v/>
      </c>
      <c r="O161" s="31" t="n">
        <v>75.18000000000001</v>
      </c>
      <c r="P161" s="31" t="n">
        <v>40.58</v>
      </c>
      <c r="Q161" s="31" t="n">
        <v>1611.1</v>
      </c>
      <c r="R161" s="30" t="inlineStr">
        <is>
          <t>Near 52W High Breakout</t>
        </is>
      </c>
      <c r="S161" s="30" t="inlineStr">
        <is>
          <t>Nifty Pharma</t>
        </is>
      </c>
      <c r="T161" s="31" t="n">
        <v>24.42</v>
      </c>
      <c r="U161" s="31" t="n">
        <v>23.04</v>
      </c>
      <c r="V161" s="31" t="n">
        <v>-1.11</v>
      </c>
      <c r="W161" s="31" t="n">
        <v>8.369999999999999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Yes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Annuity, Lower One Time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Above 40</t>
        </is>
      </c>
      <c r="AY161" s="30">
        <f>IF(AX161="Above 40",20,IF(AX161="20 to 40",10,IF(AX161="0 to 20",-5,0)))</f>
        <v/>
      </c>
      <c r="AZ161" s="30" t="inlineStr">
        <is>
          <t>Above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Yes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IF(B162=0,"",RANK(B162,$B$2:$B$405,0))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2" t="inlineStr">
        <is>
          <t>AGARWALEYE</t>
        </is>
      </c>
      <c r="D162" s="32" t="inlineStr">
        <is>
          <t>Dr Agarwals Health Care Ltd</t>
        </is>
      </c>
      <c r="E162" s="30" t="inlineStr">
        <is>
          <t>healthcare</t>
        </is>
      </c>
      <c r="F162" s="30" t="inlineStr">
        <is>
          <t>healthcare</t>
        </is>
      </c>
      <c r="G162" s="30" t="inlineStr">
        <is>
          <t>midcap</t>
        </is>
      </c>
      <c r="H162" s="31" t="n">
        <v>16516.4</v>
      </c>
      <c r="I162" s="31" t="n">
        <v>532.3</v>
      </c>
      <c r="J162" s="31" t="n">
        <v>2.16</v>
      </c>
      <c r="K162" s="31" t="n">
        <v>241448</v>
      </c>
      <c r="L162" s="30" t="n">
        <v>38</v>
      </c>
      <c r="M162" s="30" t="inlineStr">
        <is>
          <t>Underperforming</t>
        </is>
      </c>
      <c r="N162" s="31">
        <f>IF(M162="Underperforming",-5,IF(L162&gt;=95,15,IF(L162&gt;=90,10,IF(L162&gt;=80,5,0))))</f>
        <v/>
      </c>
      <c r="O162" s="31" t="n">
        <v>67.23</v>
      </c>
      <c r="P162" s="31" t="n">
        <v>21.08</v>
      </c>
      <c r="Q162" s="31" t="n">
        <v>432.88</v>
      </c>
      <c r="R162" s="30" t="inlineStr">
        <is>
          <t>Volume Spike &amp; Near 52W High Breakout</t>
        </is>
      </c>
      <c r="S162" s="30" t="inlineStr">
        <is>
          <t>Nifty Pharma</t>
        </is>
      </c>
      <c r="T162" s="31" t="n">
        <v>24.42</v>
      </c>
      <c r="U162" s="31" t="n">
        <v>20.27</v>
      </c>
      <c r="V162" s="31" t="n">
        <v>-3.33</v>
      </c>
      <c r="W162" s="31" t="n">
        <v>7.76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Yes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Annuity, Lower One Time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Blue sky scenario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IF(B163=0,"",RANK(B163,$B$2:$B$405,0))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2" t="inlineStr">
        <is>
          <t>PPLPHARMA</t>
        </is>
      </c>
      <c r="D163" s="32" t="inlineStr">
        <is>
          <t>Piramal Pharma Ltd</t>
        </is>
      </c>
      <c r="E163" s="30" t="inlineStr">
        <is>
          <t>healthcare</t>
        </is>
      </c>
      <c r="F163" s="30" t="inlineStr">
        <is>
          <t>pharmaceuticals - indian - bulk drugs &amp; formln</t>
        </is>
      </c>
      <c r="G163" s="30" t="inlineStr">
        <is>
          <t>largecap</t>
        </is>
      </c>
      <c r="H163" s="31" t="n">
        <v>27529.62</v>
      </c>
      <c r="I163" s="31" t="n">
        <v>208.24</v>
      </c>
      <c r="J163" s="31" t="n">
        <v>0.71</v>
      </c>
      <c r="K163" s="31" t="n">
        <v>7183683</v>
      </c>
      <c r="L163" s="30" t="n">
        <v>30</v>
      </c>
      <c r="M163" s="30" t="inlineStr">
        <is>
          <t>Underperforming</t>
        </is>
      </c>
      <c r="N163" s="31">
        <f>IF(M163="Underperforming",-5,IF(L163&gt;=95,15,IF(L163&gt;=90,10,IF(L163&gt;=80,5,0))))</f>
        <v/>
      </c>
      <c r="O163" s="31" t="n">
        <v>70.81999999999999</v>
      </c>
      <c r="P163" s="31" t="n">
        <v>23.81</v>
      </c>
      <c r="Q163" s="31" t="n">
        <v>164.92</v>
      </c>
      <c r="R163" s="30" t="inlineStr">
        <is>
          <t>Near 52W High Breakout</t>
        </is>
      </c>
      <c r="S163" s="30" t="inlineStr">
        <is>
          <t>Nifty Pharma</t>
        </is>
      </c>
      <c r="T163" s="31" t="n">
        <v>24.42</v>
      </c>
      <c r="U163" s="31" t="n">
        <v>9.66</v>
      </c>
      <c r="V163" s="31" t="n">
        <v>-11.86</v>
      </c>
      <c r="W163" s="31" t="n">
        <v>5.92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Yes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Annuity, Lower One Time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No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IF(B164=0,"",RANK(B164,$B$2:$B$405,0))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BLSE</t>
        </is>
      </c>
      <c r="D164" s="30" t="inlineStr">
        <is>
          <t>BLS E-Services Ltd</t>
        </is>
      </c>
      <c r="E164" s="30" t="inlineStr">
        <is>
          <t>i.t</t>
        </is>
      </c>
      <c r="F164" s="30" t="inlineStr">
        <is>
          <t>computers - software - medium / small</t>
        </is>
      </c>
      <c r="G164" s="30" t="inlineStr">
        <is>
          <t>smallcap</t>
        </is>
      </c>
      <c r="H164" s="31" t="n">
        <v>2899.68</v>
      </c>
      <c r="I164" s="31" t="n">
        <v>317.65</v>
      </c>
      <c r="J164" s="31" t="n">
        <v>-0.47</v>
      </c>
      <c r="K164" s="31" t="n">
        <v>637591</v>
      </c>
      <c r="L164" s="30" t="n">
        <v>87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83.64</v>
      </c>
      <c r="P164" s="31" t="n">
        <v>42.58</v>
      </c>
      <c r="Q164" s="31" t="n">
        <v>251.04</v>
      </c>
      <c r="R164" s="30" t="inlineStr">
        <is>
          <t>Near 52W High Breakout</t>
        </is>
      </c>
      <c r="S164" s="30" t="inlineStr">
        <is>
          <t>Nifty IT</t>
        </is>
      </c>
      <c r="T164" s="31" t="n">
        <v>-9.289999999999999</v>
      </c>
      <c r="U164" s="31" t="n">
        <v>75.79000000000001</v>
      </c>
      <c r="V164" s="31" t="n">
        <v>93.79000000000001</v>
      </c>
      <c r="W164" s="31" t="n">
        <v>26.43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Annuity, Lower One Time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Above 40</t>
        </is>
      </c>
      <c r="AY164" s="30">
        <f>IF(AX164="Above 40",20,IF(AX164="20 to 40",10,IF(AX164="0 to 20",-5,0)))</f>
        <v/>
      </c>
      <c r="AZ164" s="30" t="inlineStr">
        <is>
          <t>Above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Blue sky scenario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Less than 12%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Yes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Between 50% to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IF(B165=0,"",RANK(B165,$B$2:$B$405,0))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ARTEMISMED</t>
        </is>
      </c>
      <c r="D165" s="30" t="inlineStr">
        <is>
          <t>Artemis Medicare Services Ltd</t>
        </is>
      </c>
      <c r="E165" s="30" t="inlineStr">
        <is>
          <t>healthcare</t>
        </is>
      </c>
      <c r="F165" s="30" t="inlineStr">
        <is>
          <t>healthcare</t>
        </is>
      </c>
      <c r="G165" s="30" t="inlineStr">
        <is>
          <t>midcap</t>
        </is>
      </c>
      <c r="H165" s="31" t="n">
        <v>5099.84</v>
      </c>
      <c r="I165" s="31" t="n">
        <v>311.7</v>
      </c>
      <c r="J165" s="31" t="n">
        <v>-3.24</v>
      </c>
      <c r="K165" s="31" t="n">
        <v>457583</v>
      </c>
      <c r="L165" s="30" t="n">
        <v>43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69.98999999999999</v>
      </c>
      <c r="P165" s="31" t="n">
        <v>24.74</v>
      </c>
      <c r="Q165" s="31" t="n">
        <v>251.53</v>
      </c>
      <c r="R165" s="30" t="inlineStr">
        <is>
          <t>Volume Spike &amp; Near 52W High Breakout</t>
        </is>
      </c>
      <c r="S165" s="30" t="inlineStr">
        <is>
          <t>Nifty Pharma</t>
        </is>
      </c>
      <c r="T165" s="31" t="n">
        <v>24.42</v>
      </c>
      <c r="U165" s="31" t="n">
        <v>29.1</v>
      </c>
      <c r="V165" s="31" t="n">
        <v>3.76</v>
      </c>
      <c r="W165" s="31" t="n">
        <v>9.369999999999999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Yes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Annuity, Lower One Time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Yes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IF(B166=0,"",RANK(B166,$B$2:$B$405,0))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2" t="inlineStr">
        <is>
          <t>SUNDRMFAST</t>
        </is>
      </c>
      <c r="D166" s="32" t="inlineStr">
        <is>
          <t>Sundram Fasteners Limited</t>
        </is>
      </c>
      <c r="E166" s="30" t="inlineStr">
        <is>
          <t>auto</t>
        </is>
      </c>
      <c r="F166" s="30" t="inlineStr">
        <is>
          <t>auto ancillaries</t>
        </is>
      </c>
      <c r="G166" s="30" t="inlineStr">
        <is>
          <t>largecap</t>
        </is>
      </c>
      <c r="H166" s="31" t="n">
        <v>21652.68</v>
      </c>
      <c r="I166" s="31" t="n">
        <v>1085.25</v>
      </c>
      <c r="J166" s="31" t="n">
        <v>5.32</v>
      </c>
      <c r="K166" s="31" t="n">
        <v>699524</v>
      </c>
      <c r="L166" s="30" t="n">
        <v>44</v>
      </c>
      <c r="M166" s="30" t="inlineStr">
        <is>
          <t>Underperforming</t>
        </is>
      </c>
      <c r="N166" s="31">
        <f>IF(M166="Underperforming",-5,IF(L166&gt;=95,15,IF(L166&gt;=90,10,IF(L166&gt;=80,5,0))))</f>
        <v/>
      </c>
      <c r="O166" s="31" t="n">
        <v>73.75</v>
      </c>
      <c r="P166" s="31" t="n">
        <v>17.92</v>
      </c>
      <c r="Q166" s="31" t="n">
        <v>905.78</v>
      </c>
      <c r="R166" s="30" t="inlineStr">
        <is>
          <t>Near 52W High Breakout</t>
        </is>
      </c>
      <c r="S166" s="30" t="inlineStr">
        <is>
          <t>Nifty Auto</t>
        </is>
      </c>
      <c r="T166" s="31" t="n">
        <v>22.44</v>
      </c>
      <c r="U166" s="31" t="n">
        <v>7.46</v>
      </c>
      <c r="V166" s="31" t="n">
        <v>-12.23</v>
      </c>
      <c r="W166" s="31" t="n">
        <v>9.4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0 to 20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No</t>
        </is>
      </c>
      <c r="BS166" s="30">
        <f>IF(BR166="NO",5,0)</f>
        <v/>
      </c>
      <c r="BT166" s="30" t="inlineStr">
        <is>
          <t>Less than 1.5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IF(B167=0,"",RANK(B167,$B$2:$B$405,0))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KABRAEXTRU</t>
        </is>
      </c>
      <c r="D167" s="30" t="inlineStr">
        <is>
          <t>Kabra Extrusion Technik Limited</t>
        </is>
      </c>
      <c r="E167" s="30" t="inlineStr">
        <is>
          <t>industrials</t>
        </is>
      </c>
      <c r="F167" s="30" t="inlineStr">
        <is>
          <t>engineering</t>
        </is>
      </c>
      <c r="G167" s="30" t="inlineStr">
        <is>
          <t>smallcap</t>
        </is>
      </c>
      <c r="H167" s="31" t="n">
        <v>1589.17</v>
      </c>
      <c r="I167" s="31" t="n">
        <v>477.6</v>
      </c>
      <c r="J167" s="31" t="n">
        <v>5.11</v>
      </c>
      <c r="K167" s="31" t="n">
        <v>1101775</v>
      </c>
      <c r="L167" s="30" t="n">
        <v>94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82.18000000000001</v>
      </c>
      <c r="P167" s="31" t="n">
        <v>28.99</v>
      </c>
      <c r="Q167" s="31" t="n">
        <v>353.73</v>
      </c>
      <c r="R167" s="30" t="inlineStr">
        <is>
          <t>Volume Spike &amp; Near 52W High Breakout</t>
        </is>
      </c>
      <c r="S167" s="30" t="inlineStr">
        <is>
          <t>Nifty 50</t>
        </is>
      </c>
      <c r="T167" s="31" t="n">
        <v>1.09</v>
      </c>
      <c r="U167" s="31" t="n">
        <v>85.16</v>
      </c>
      <c r="V167" s="31" t="n">
        <v>83.17</v>
      </c>
      <c r="W167" s="31" t="n">
        <v>36.99</v>
      </c>
      <c r="X167" s="30" t="inlineStr">
        <is>
          <t>Cyclical in an Upturn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20 to 40</t>
        </is>
      </c>
      <c r="AY167" s="30">
        <f>IF(AX167="Above 40",20,IF(AX167="20 to 40",10,IF(AX167="0 to 20",-5,0)))</f>
        <v/>
      </c>
      <c r="AZ167" s="30" t="inlineStr">
        <is>
          <t>Above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IF(B168=0,"",RANK(B168,$B$2:$B$405,0))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DIACABS</t>
        </is>
      </c>
      <c r="D168" s="30" t="inlineStr">
        <is>
          <t>Diamond Power Infrastructure Ltd</t>
        </is>
      </c>
      <c r="E168" s="30" t="inlineStr">
        <is>
          <t>industrials</t>
        </is>
      </c>
      <c r="F168" s="30" t="inlineStr">
        <is>
          <t>cables - power</t>
        </is>
      </c>
      <c r="G168" s="30" t="inlineStr">
        <is>
          <t>midcap</t>
        </is>
      </c>
      <c r="H168" s="31" t="n">
        <v>17505.98</v>
      </c>
      <c r="I168" s="31" t="n">
        <v>348.8</v>
      </c>
      <c r="J168" s="31" t="n">
        <v>5</v>
      </c>
      <c r="K168" s="31" t="n">
        <v>704735</v>
      </c>
      <c r="L168" s="30" t="n">
        <v>97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87.73</v>
      </c>
      <c r="P168" s="31" t="n">
        <v>60.06</v>
      </c>
      <c r="Q168" s="31" t="n">
        <v>268.69</v>
      </c>
      <c r="R168" s="30" t="inlineStr">
        <is>
          <t>Near 52W High Breakout</t>
        </is>
      </c>
      <c r="S168" s="30" t="inlineStr">
        <is>
          <t>Nifty Energy</t>
        </is>
      </c>
      <c r="T168" s="31" t="n">
        <v>9.720000000000001</v>
      </c>
      <c r="U168" s="31" t="n">
        <v>114.16</v>
      </c>
      <c r="V168" s="31" t="n">
        <v>95.19</v>
      </c>
      <c r="W168" s="31" t="n">
        <v>47.3</v>
      </c>
      <c r="X168" s="30" t="inlineStr">
        <is>
          <t>Cyclical in an Upturn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Above 40</t>
        </is>
      </c>
      <c r="AY168" s="30">
        <f>IF(AX168="Above 40",20,IF(AX168="20 to 40",10,IF(AX168="0 to 20",-5,0)))</f>
        <v/>
      </c>
      <c r="AZ168" s="30" t="inlineStr">
        <is>
          <t>Above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Negative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IF(B169=0,"",RANK(B169,$B$2:$B$405,0))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INDOTECH</t>
        </is>
      </c>
      <c r="D169" s="30" t="inlineStr">
        <is>
          <t>Indo Tech Transformers Limited</t>
        </is>
      </c>
      <c r="E169" s="30" t="inlineStr">
        <is>
          <t>industrials</t>
        </is>
      </c>
      <c r="F169" s="30" t="inlineStr">
        <is>
          <t>electric equipment</t>
        </is>
      </c>
      <c r="G169" s="30" t="inlineStr">
        <is>
          <t>smallcap</t>
        </is>
      </c>
      <c r="H169" s="31" t="n">
        <v>3830.85</v>
      </c>
      <c r="I169" s="31" t="n">
        <v>3787.5</v>
      </c>
      <c r="J169" s="31" t="n">
        <v>5</v>
      </c>
      <c r="K169" s="31" t="n">
        <v>22978</v>
      </c>
      <c r="L169" s="30" t="n">
        <v>93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78.94</v>
      </c>
      <c r="P169" s="31" t="n">
        <v>49.32</v>
      </c>
      <c r="Q169" s="31" t="n">
        <v>2852.75</v>
      </c>
      <c r="R169" s="30" t="inlineStr">
        <is>
          <t>Near 52W High Breakout</t>
        </is>
      </c>
      <c r="S169" s="30" t="inlineStr">
        <is>
          <t>Nifty 50</t>
        </is>
      </c>
      <c r="T169" s="31" t="n">
        <v>1.09</v>
      </c>
      <c r="U169" s="31" t="n">
        <v>141.5</v>
      </c>
      <c r="V169" s="31" t="n">
        <v>138.91</v>
      </c>
      <c r="W169" s="31" t="n">
        <v>32.89</v>
      </c>
      <c r="X169" s="30" t="inlineStr">
        <is>
          <t>Cyclical in an Upturn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Above 40</t>
        </is>
      </c>
      <c r="AY169" s="30">
        <f>IF(AX169="Above 40",20,IF(AX169="20 to 40",10,IF(AX169="0 to 20",-5,0)))</f>
        <v/>
      </c>
      <c r="AZ169" s="30" t="inlineStr">
        <is>
          <t>Above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Blue sky scenario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Between 12 to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Less than 50%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IF(B170=0,"",RANK(B170,$B$2:$B$405,0))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GANDHAR</t>
        </is>
      </c>
      <c r="D170" s="30" t="inlineStr">
        <is>
          <t>Gandhar Oil Refinery (India) Ltd</t>
        </is>
      </c>
      <c r="E170" s="30" t="inlineStr">
        <is>
          <t>energy</t>
        </is>
      </c>
      <c r="F170" s="30" t="inlineStr">
        <is>
          <t>refineries</t>
        </is>
      </c>
      <c r="G170" s="30" t="inlineStr">
        <is>
          <t>smallcap</t>
        </is>
      </c>
      <c r="H170" s="31" t="n">
        <v>2265.03</v>
      </c>
      <c r="I170" s="31" t="n">
        <v>242.95</v>
      </c>
      <c r="J170" s="31" t="n">
        <v>4.99</v>
      </c>
      <c r="K170" s="31" t="n">
        <v>6759582</v>
      </c>
      <c r="L170" s="30" t="n">
        <v>90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66.25</v>
      </c>
      <c r="P170" s="31" t="n">
        <v>58.14</v>
      </c>
      <c r="Q170" s="31" t="n">
        <v>205.56</v>
      </c>
      <c r="R170" s="30" t="inlineStr">
        <is>
          <t>Earnings / Momentum Support</t>
        </is>
      </c>
      <c r="S170" s="30" t="inlineStr">
        <is>
          <t>Nifty Energy</t>
        </is>
      </c>
      <c r="T170" s="31" t="n">
        <v>9.720000000000001</v>
      </c>
      <c r="U170" s="31" t="n">
        <v>49.28</v>
      </c>
      <c r="V170" s="31" t="n">
        <v>36.06</v>
      </c>
      <c r="W170" s="31" t="n">
        <v>29.43</v>
      </c>
      <c r="X170" s="30" t="inlineStr">
        <is>
          <t>Cyclical in an Upturn</t>
        </is>
      </c>
      <c r="Y170" s="30">
        <f>IF(X170="Growing Industry",10,IF(X170="Cyclical in an Upturn",5,0))</f>
        <v/>
      </c>
      <c r="Z170" s="30" t="inlineStr">
        <is>
          <t>Oligopoly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Yes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Cyclical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Volatile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No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Above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No</t>
        </is>
      </c>
      <c r="BS170" s="30">
        <f>IF(BR170="NO",5,0)</f>
        <v/>
      </c>
      <c r="BT170" s="30" t="inlineStr">
        <is>
          <t>Less than 1.5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IF(B171=0,"",RANK(B171,$B$2:$B$405,0))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SUTLEJTEX</t>
        </is>
      </c>
      <c r="D171" s="30" t="inlineStr">
        <is>
          <t>Sutlej Textiles And Industries Limited</t>
        </is>
      </c>
      <c r="E171" s="30" t="inlineStr">
        <is>
          <t>textiles</t>
        </is>
      </c>
      <c r="F171" s="30" t="inlineStr">
        <is>
          <t>textiles - cotton/blended</t>
        </is>
      </c>
      <c r="G171" s="30" t="inlineStr">
        <is>
          <t>smallcap</t>
        </is>
      </c>
      <c r="H171" s="31" t="n">
        <v>638.6</v>
      </c>
      <c r="I171" s="31" t="n">
        <v>40.71</v>
      </c>
      <c r="J171" s="31" t="n">
        <v>4.44</v>
      </c>
      <c r="K171" s="31" t="n">
        <v>127645</v>
      </c>
      <c r="L171" s="30" t="n">
        <v>20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61.8</v>
      </c>
      <c r="P171" s="31" t="n">
        <v>25.92</v>
      </c>
      <c r="Q171" s="31" t="n">
        <v>30.67</v>
      </c>
      <c r="R171" s="30" t="inlineStr">
        <is>
          <t>Near 52W High Breakout</t>
        </is>
      </c>
      <c r="S171" s="30" t="inlineStr">
        <is>
          <t>Nifty 50</t>
        </is>
      </c>
      <c r="T171" s="31" t="n">
        <v>1.09</v>
      </c>
      <c r="U171" s="31" t="n">
        <v>10.39</v>
      </c>
      <c r="V171" s="31" t="n">
        <v>9.199999999999999</v>
      </c>
      <c r="W171" s="31" t="n">
        <v>3.86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20 to 40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Close to 52 week high or retracement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Between 0.7 to 1.2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IF(B172=0,"",RANK(B172,$B$2:$B$405,0))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AARTIIND</t>
        </is>
      </c>
      <c r="D172" s="30" t="inlineStr">
        <is>
          <t>Aarti Industries Limited</t>
        </is>
      </c>
      <c r="E172" s="30" t="inlineStr">
        <is>
          <t>chemicals</t>
        </is>
      </c>
      <c r="F172" s="30" t="inlineStr">
        <is>
          <t>chemicals</t>
        </is>
      </c>
      <c r="G172" s="30" t="inlineStr">
        <is>
          <t>midcap</t>
        </is>
      </c>
      <c r="H172" s="31" t="n">
        <v>17626.7</v>
      </c>
      <c r="I172" s="31" t="n">
        <v>501.2</v>
      </c>
      <c r="J172" s="31" t="n">
        <v>3.14</v>
      </c>
      <c r="K172" s="31" t="n">
        <v>2569948</v>
      </c>
      <c r="L172" s="30" t="n">
        <v>35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61.04</v>
      </c>
      <c r="P172" s="31" t="n">
        <v>23.5</v>
      </c>
      <c r="Q172" s="31" t="n">
        <v>398.58</v>
      </c>
      <c r="R172" s="30" t="inlineStr">
        <is>
          <t>Near 52W High Breakout</t>
        </is>
      </c>
      <c r="S172" s="30" t="inlineStr">
        <is>
          <t>Nifty 50</t>
        </is>
      </c>
      <c r="T172" s="31" t="n">
        <v>1.09</v>
      </c>
      <c r="U172" s="31" t="n">
        <v>34.98</v>
      </c>
      <c r="V172" s="31" t="n">
        <v>33.52</v>
      </c>
      <c r="W172" s="31" t="n">
        <v>7.08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20 to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Between 0.7 to 1.2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IF(B173=0,"",RANK(B173,$B$2:$B$405,0))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2" t="inlineStr">
        <is>
          <t>TNPL</t>
        </is>
      </c>
      <c r="D173" s="32" t="inlineStr">
        <is>
          <t>Tamil Nadu Newsprint &amp; Papers Limited</t>
        </is>
      </c>
      <c r="E173" s="30" t="inlineStr">
        <is>
          <t>building materials</t>
        </is>
      </c>
      <c r="F173" s="30" t="inlineStr">
        <is>
          <t>paper</t>
        </is>
      </c>
      <c r="G173" s="30" t="inlineStr">
        <is>
          <t>smallcap</t>
        </is>
      </c>
      <c r="H173" s="31" t="n">
        <v>1062.31</v>
      </c>
      <c r="I173" s="31" t="n">
        <v>157.73</v>
      </c>
      <c r="J173" s="31" t="n">
        <v>2.76</v>
      </c>
      <c r="K173" s="31" t="n">
        <v>198280</v>
      </c>
      <c r="L173" s="30" t="n">
        <v>13</v>
      </c>
      <c r="M173" s="30" t="inlineStr">
        <is>
          <t>Underperforming</t>
        </is>
      </c>
      <c r="N173" s="31">
        <f>IF(M173="Underperforming",-5,IF(L173&gt;=95,15,IF(L173&gt;=90,10,IF(L173&gt;=80,5,0))))</f>
        <v/>
      </c>
      <c r="O173" s="31" t="n">
        <v>62.39</v>
      </c>
      <c r="P173" s="31" t="n">
        <v>13.11</v>
      </c>
      <c r="Q173" s="31" t="n">
        <v>129.56</v>
      </c>
      <c r="R173" s="30" t="inlineStr">
        <is>
          <t>Near 52W High Breakout</t>
        </is>
      </c>
      <c r="S173" s="30" t="inlineStr">
        <is>
          <t>Nifty Infra</t>
        </is>
      </c>
      <c r="T173" s="31" t="n">
        <v>4.3</v>
      </c>
      <c r="U173" s="31" t="n">
        <v>-3.1</v>
      </c>
      <c r="V173" s="31" t="n">
        <v>-7.1</v>
      </c>
      <c r="W173" s="31" t="n">
        <v>2.11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0 to 20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More than 20%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No</t>
        </is>
      </c>
      <c r="BS173" s="30">
        <f>IF(BR173="NO",5,0)</f>
        <v/>
      </c>
      <c r="BT173" s="30" t="inlineStr">
        <is>
          <t>Less than 1.5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IF(B174=0,"",RANK(B174,$B$2:$B$405,0))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SCI</t>
        </is>
      </c>
      <c r="D174" s="30" t="inlineStr">
        <is>
          <t>Shipping Corporation Of India Limited</t>
        </is>
      </c>
      <c r="E174" s="30" t="inlineStr">
        <is>
          <t>transportation</t>
        </is>
      </c>
      <c r="F174" s="30" t="inlineStr">
        <is>
          <t>shipping</t>
        </is>
      </c>
      <c r="G174" s="30" t="inlineStr">
        <is>
          <t>midcap</t>
        </is>
      </c>
      <c r="H174" s="31" t="n">
        <v>14006.58</v>
      </c>
      <c r="I174" s="31" t="n">
        <v>308.6</v>
      </c>
      <c r="J174" s="31" t="n">
        <v>2.63</v>
      </c>
      <c r="K174" s="31" t="n">
        <v>5638778</v>
      </c>
      <c r="L174" s="30" t="n">
        <v>52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57.72</v>
      </c>
      <c r="P174" s="31" t="n">
        <v>31.36</v>
      </c>
      <c r="Q174" s="31" t="n">
        <v>260.5</v>
      </c>
      <c r="R174" s="30" t="inlineStr">
        <is>
          <t>Earnings / Momentum Support</t>
        </is>
      </c>
      <c r="S174" s="30" t="inlineStr">
        <is>
          <t>Nifty 50</t>
        </is>
      </c>
      <c r="T174" s="31" t="n">
        <v>1.09</v>
      </c>
      <c r="U174" s="31" t="n">
        <v>60.15</v>
      </c>
      <c r="V174" s="31" t="n">
        <v>58.43</v>
      </c>
      <c r="W174" s="31" t="n">
        <v>11.12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No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IF(B175=0,"",RANK(B175,$B$2:$B$405,0))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AEGISVOPAK</t>
        </is>
      </c>
      <c r="D175" s="30" t="inlineStr">
        <is>
          <t>Aegis Vopak Terminals Ltd</t>
        </is>
      </c>
      <c r="E175" s="30" t="inlineStr">
        <is>
          <t>transportation</t>
        </is>
      </c>
      <c r="F175" s="30" t="inlineStr">
        <is>
          <t>miscellaneous</t>
        </is>
      </c>
      <c r="G175" s="30" t="inlineStr">
        <is>
          <t>largecap</t>
        </is>
      </c>
      <c r="H175" s="31" t="n">
        <v>31450.34</v>
      </c>
      <c r="I175" s="31" t="n">
        <v>288.7</v>
      </c>
      <c r="J175" s="31" t="n">
        <v>1.71</v>
      </c>
      <c r="K175" s="31" t="n">
        <v>3393107</v>
      </c>
      <c r="L175" s="30" t="n">
        <v>58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65.04000000000001</v>
      </c>
      <c r="P175" s="31" t="n">
        <v>32.41</v>
      </c>
      <c r="Q175" s="31" t="n">
        <v>212.12</v>
      </c>
      <c r="R175" s="30" t="inlineStr">
        <is>
          <t>Near 52W High Breakout</t>
        </is>
      </c>
      <c r="S175" s="30" t="inlineStr">
        <is>
          <t>Nifty 50</t>
        </is>
      </c>
      <c r="T175" s="31" t="n">
        <v>1.09</v>
      </c>
      <c r="U175" s="31" t="n">
        <v>18.85</v>
      </c>
      <c r="V175" s="31" t="n">
        <v>17.57</v>
      </c>
      <c r="W175" s="31" t="n">
        <v>12.78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20 to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Blue sky scenario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Between 0.7 to 1.2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IF(B176=0,"",RANK(B176,$B$2:$B$405,0))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LMW</t>
        </is>
      </c>
      <c r="D176" s="30" t="inlineStr">
        <is>
          <t>LMW Ltd</t>
        </is>
      </c>
      <c r="E176" s="30" t="inlineStr">
        <is>
          <t>industrials</t>
        </is>
      </c>
      <c r="F176" s="30" t="inlineStr">
        <is>
          <t>textile machinery</t>
        </is>
      </c>
      <c r="G176" s="30" t="inlineStr">
        <is>
          <t>midcap</t>
        </is>
      </c>
      <c r="H176" s="31" t="n">
        <v>17490.21</v>
      </c>
      <c r="I176" s="31" t="n">
        <v>16635</v>
      </c>
      <c r="J176" s="31" t="n">
        <v>1.61</v>
      </c>
      <c r="K176" s="31" t="n">
        <v>6654</v>
      </c>
      <c r="L176" s="30" t="n">
        <v>27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62.63</v>
      </c>
      <c r="P176" s="31" t="n">
        <v>30.16</v>
      </c>
      <c r="Q176" s="31" t="n">
        <v>13785.4</v>
      </c>
      <c r="R176" s="30" t="inlineStr">
        <is>
          <t>Near 52W High Breakout</t>
        </is>
      </c>
      <c r="S176" s="30" t="inlineStr">
        <is>
          <t>Nifty 50</t>
        </is>
      </c>
      <c r="T176" s="31" t="n">
        <v>1.09</v>
      </c>
      <c r="U176" s="31" t="n">
        <v>13.22</v>
      </c>
      <c r="V176" s="31" t="n">
        <v>12</v>
      </c>
      <c r="W176" s="31" t="n">
        <v>5.28</v>
      </c>
      <c r="X176" s="30" t="inlineStr">
        <is>
          <t>Cyclical in an Upturn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20 to 40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IF(B177=0,"",RANK(B177,$B$2:$B$405,0))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EXIDEIND</t>
        </is>
      </c>
      <c r="D177" s="30" t="inlineStr">
        <is>
          <t>Exide Industries Limited</t>
        </is>
      </c>
      <c r="E177" s="30" t="inlineStr">
        <is>
          <t>auto</t>
        </is>
      </c>
      <c r="F177" s="30" t="inlineStr">
        <is>
          <t>auto ancillaries</t>
        </is>
      </c>
      <c r="G177" s="30" t="inlineStr">
        <is>
          <t>largecap</t>
        </is>
      </c>
      <c r="H177" s="31" t="n">
        <v>39695</v>
      </c>
      <c r="I177" s="31" t="n">
        <v>474.25</v>
      </c>
      <c r="J177" s="31" t="n">
        <v>1.55</v>
      </c>
      <c r="K177" s="31" t="n">
        <v>4895622</v>
      </c>
      <c r="L177" s="30" t="n">
        <v>61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76.53</v>
      </c>
      <c r="P177" s="31" t="n">
        <v>39.77</v>
      </c>
      <c r="Q177" s="31" t="n">
        <v>392.53</v>
      </c>
      <c r="R177" s="30" t="inlineStr">
        <is>
          <t>Near 52W High Breakout</t>
        </is>
      </c>
      <c r="S177" s="30" t="inlineStr">
        <is>
          <t>Nifty Auto</t>
        </is>
      </c>
      <c r="T177" s="31" t="n">
        <v>22.44</v>
      </c>
      <c r="U177" s="31" t="n">
        <v>24.82</v>
      </c>
      <c r="V177" s="31" t="n">
        <v>1.95</v>
      </c>
      <c r="W177" s="31" t="n">
        <v>13.67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Above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Between 1.5 to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IF(B178=0,"",RANK(B178,$B$2:$B$405,0))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SPECIALITY</t>
        </is>
      </c>
      <c r="D178" s="30" t="inlineStr">
        <is>
          <t>Speciality Restaurants Limited</t>
        </is>
      </c>
      <c r="E178" s="30" t="inlineStr">
        <is>
          <t>services</t>
        </is>
      </c>
      <c r="F178" s="30" t="inlineStr">
        <is>
          <t>hotels</t>
        </is>
      </c>
      <c r="G178" s="30" t="inlineStr">
        <is>
          <t>smallcap</t>
        </is>
      </c>
      <c r="H178" s="31" t="n">
        <v>685.09</v>
      </c>
      <c r="I178" s="31" t="n">
        <v>143.99</v>
      </c>
      <c r="J178" s="31" t="n">
        <v>1.38</v>
      </c>
      <c r="K178" s="31" t="n">
        <v>124577</v>
      </c>
      <c r="L178" s="30" t="n">
        <v>49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67.03</v>
      </c>
      <c r="P178" s="31" t="n">
        <v>22.66</v>
      </c>
      <c r="Q178" s="31" t="n">
        <v>105.03</v>
      </c>
      <c r="R178" s="30" t="inlineStr">
        <is>
          <t>Volume Spike &amp; Near 52W High Breakout</t>
        </is>
      </c>
      <c r="S178" s="30" t="inlineStr">
        <is>
          <t>Nifty 50</t>
        </is>
      </c>
      <c r="T178" s="31" t="n">
        <v>1.09</v>
      </c>
      <c r="U178" s="31" t="n">
        <v>15.52</v>
      </c>
      <c r="V178" s="31" t="n">
        <v>14.28</v>
      </c>
      <c r="W178" s="31" t="n">
        <v>10.72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Less than 12%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No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IF(B179=0,"",RANK(B179,$B$2:$B$405,0))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PAYTM</t>
        </is>
      </c>
      <c r="D179" s="30" t="inlineStr">
        <is>
          <t>One 97 Communications Ltd</t>
        </is>
      </c>
      <c r="E179" s="30" t="inlineStr">
        <is>
          <t>i.t</t>
        </is>
      </c>
      <c r="F179" s="30" t="inlineStr">
        <is>
          <t>miscellaneous</t>
        </is>
      </c>
      <c r="G179" s="30" t="inlineStr">
        <is>
          <t>largecap</t>
        </is>
      </c>
      <c r="H179" s="31" t="n">
        <v>91504.16</v>
      </c>
      <c r="I179" s="31" t="n">
        <v>1442</v>
      </c>
      <c r="J179" s="31" t="n">
        <v>0.91</v>
      </c>
      <c r="K179" s="31" t="n">
        <v>7304158</v>
      </c>
      <c r="L179" s="30" t="n">
        <v>54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67.58</v>
      </c>
      <c r="P179" s="31" t="n">
        <v>16.2</v>
      </c>
      <c r="Q179" s="31" t="n">
        <v>1146.76</v>
      </c>
      <c r="R179" s="30" t="inlineStr">
        <is>
          <t>Near 52W High Breakout</t>
        </is>
      </c>
      <c r="S179" s="30" t="inlineStr">
        <is>
          <t>Nifty IT</t>
        </is>
      </c>
      <c r="T179" s="31" t="n">
        <v>-9.289999999999999</v>
      </c>
      <c r="U179" s="31" t="n">
        <v>36.15</v>
      </c>
      <c r="V179" s="31" t="n">
        <v>50.1</v>
      </c>
      <c r="W179" s="31" t="n">
        <v>11.72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0 to 20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Blue sky scenario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Between 1.5 to 2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IF(B180=0,"",RANK(B180,$B$2:$B$405,0))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BEPL</t>
        </is>
      </c>
      <c r="D180" s="30" t="inlineStr">
        <is>
          <t>Bhansali Engineering Polymers Limited</t>
        </is>
      </c>
      <c r="E180" s="30" t="inlineStr">
        <is>
          <t>energy</t>
        </is>
      </c>
      <c r="F180" s="30" t="inlineStr">
        <is>
          <t>petrochemicals</t>
        </is>
      </c>
      <c r="G180" s="30" t="inlineStr">
        <is>
          <t>smallcap</t>
        </is>
      </c>
      <c r="H180" s="31" t="n">
        <v>3023.38</v>
      </c>
      <c r="I180" s="31" t="n">
        <v>122.42</v>
      </c>
      <c r="J180" s="31" t="n">
        <v>0.77</v>
      </c>
      <c r="K180" s="31" t="n">
        <v>1506377</v>
      </c>
      <c r="L180" s="30" t="n">
        <v>43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67.84999999999999</v>
      </c>
      <c r="P180" s="31" t="n">
        <v>44.63</v>
      </c>
      <c r="Q180" s="31" t="n">
        <v>93.87</v>
      </c>
      <c r="R180" s="30" t="inlineStr">
        <is>
          <t>Near 52W High Breakout</t>
        </is>
      </c>
      <c r="S180" s="30" t="inlineStr">
        <is>
          <t>Nifty Energy</t>
        </is>
      </c>
      <c r="T180" s="31" t="n">
        <v>9.720000000000001</v>
      </c>
      <c r="U180" s="31" t="n">
        <v>17.46</v>
      </c>
      <c r="V180" s="31" t="n">
        <v>7.06</v>
      </c>
      <c r="W180" s="31" t="n">
        <v>9.32</v>
      </c>
      <c r="X180" s="30" t="inlineStr">
        <is>
          <t>Cyclical in an Upturn</t>
        </is>
      </c>
      <c r="Y180" s="30">
        <f>IF(X180="Growing Industry",10,IF(X180="Cyclical in an Upturn",5,0))</f>
        <v/>
      </c>
      <c r="Z180" s="30" t="inlineStr">
        <is>
          <t>Oligopoly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Yes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Cyclical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Volatile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Above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Less than 1.5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IF(B181=0,"",RANK(B181,$B$2:$B$405,0))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2" t="inlineStr">
        <is>
          <t>CERA</t>
        </is>
      </c>
      <c r="D181" s="32" t="inlineStr">
        <is>
          <t>Cera Sanitaryware Limited</t>
        </is>
      </c>
      <c r="E181" s="30" t="inlineStr">
        <is>
          <t>building materials</t>
        </is>
      </c>
      <c r="F181" s="30" t="inlineStr">
        <is>
          <t>ceramics - tiles / sanitaryware</t>
        </is>
      </c>
      <c r="G181" s="30" t="inlineStr">
        <is>
          <t>midcap</t>
        </is>
      </c>
      <c r="H181" s="31" t="n">
        <v>8118.36</v>
      </c>
      <c r="I181" s="31" t="n">
        <v>6324.5</v>
      </c>
      <c r="J181" s="31" t="n">
        <v>0.48</v>
      </c>
      <c r="K181" s="31" t="n">
        <v>6509</v>
      </c>
      <c r="L181" s="30" t="n">
        <v>24</v>
      </c>
      <c r="M181" s="30" t="inlineStr">
        <is>
          <t>Underperforming</t>
        </is>
      </c>
      <c r="N181" s="31">
        <f>IF(M181="Underperforming",-5,IF(L181&gt;=95,15,IF(L181&gt;=90,10,IF(L181&gt;=80,5,0))))</f>
        <v/>
      </c>
      <c r="O181" s="31" t="n">
        <v>63.78</v>
      </c>
      <c r="P181" s="31" t="n">
        <v>42.67</v>
      </c>
      <c r="Q181" s="31" t="n">
        <v>5227.81</v>
      </c>
      <c r="R181" s="30" t="inlineStr">
        <is>
          <t>Near 52W High Breakout</t>
        </is>
      </c>
      <c r="S181" s="30" t="inlineStr">
        <is>
          <t>Nifty Infra</t>
        </is>
      </c>
      <c r="T181" s="31" t="n">
        <v>4.3</v>
      </c>
      <c r="U181" s="31" t="n">
        <v>-2.55</v>
      </c>
      <c r="V181" s="31" t="n">
        <v>-6.56</v>
      </c>
      <c r="W181" s="31" t="n">
        <v>4.59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Above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Less than 12%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Yes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IF(B182=0,"",RANK(B182,$B$2:$B$405,0))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STEELCAS</t>
        </is>
      </c>
      <c r="D182" s="30" t="inlineStr">
        <is>
          <t>Steelcast Ltd</t>
        </is>
      </c>
      <c r="E182" s="30" t="inlineStr">
        <is>
          <t>industrials</t>
        </is>
      </c>
      <c r="F182" s="30" t="inlineStr">
        <is>
          <t>castings &amp; forgings</t>
        </is>
      </c>
      <c r="G182" s="30" t="inlineStr">
        <is>
          <t>smallcap</t>
        </is>
      </c>
      <c r="H182" s="31" t="n">
        <v>3410.44</v>
      </c>
      <c r="I182" s="31" t="n">
        <v>338</v>
      </c>
      <c r="J182" s="31" t="n">
        <v>0.3</v>
      </c>
      <c r="K182" s="31" t="n">
        <v>52816</v>
      </c>
      <c r="L182" s="30" t="n">
        <v>64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76.43000000000001</v>
      </c>
      <c r="P182" s="31" t="n">
        <v>39.76</v>
      </c>
      <c r="Q182" s="31" t="n">
        <v>259.3</v>
      </c>
      <c r="R182" s="30" t="inlineStr">
        <is>
          <t>Near 52W High Breakout</t>
        </is>
      </c>
      <c r="S182" s="30" t="inlineStr">
        <is>
          <t>Nifty 50</t>
        </is>
      </c>
      <c r="T182" s="31" t="n">
        <v>1.09</v>
      </c>
      <c r="U182" s="31" t="n">
        <v>65.73</v>
      </c>
      <c r="V182" s="31" t="n">
        <v>63.95</v>
      </c>
      <c r="W182" s="31" t="n">
        <v>14.62</v>
      </c>
      <c r="X182" s="30" t="inlineStr">
        <is>
          <t>Cyclical in an Upturn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Above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Blue sky scenario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Between 12 to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No</t>
        </is>
      </c>
      <c r="BS182" s="30">
        <f>IF(BR182="NO",5,0)</f>
        <v/>
      </c>
      <c r="BT182" s="30" t="inlineStr">
        <is>
          <t>Between 1.5 to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IF(B183=0,"",RANK(B183,$B$2:$B$405,0))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ORBTEXP</t>
        </is>
      </c>
      <c r="D183" s="30" t="inlineStr">
        <is>
          <t>Orbit Exports Limited</t>
        </is>
      </c>
      <c r="E183" s="30" t="inlineStr">
        <is>
          <t>textiles</t>
        </is>
      </c>
      <c r="F183" s="30" t="inlineStr">
        <is>
          <t>textiles - processing</t>
        </is>
      </c>
      <c r="G183" s="30" t="inlineStr">
        <is>
          <t>smallcap</t>
        </is>
      </c>
      <c r="H183" s="31" t="n">
        <v>662.59</v>
      </c>
      <c r="I183" s="31" t="n">
        <v>250</v>
      </c>
      <c r="J183" s="31" t="n">
        <v>0.03</v>
      </c>
      <c r="K183" s="31" t="n">
        <v>96047</v>
      </c>
      <c r="L183" s="30" t="n">
        <v>73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69.05</v>
      </c>
      <c r="P183" s="31" t="n">
        <v>37.45</v>
      </c>
      <c r="Q183" s="31" t="n">
        <v>180.84</v>
      </c>
      <c r="R183" s="30" t="inlineStr">
        <is>
          <t>Near 52W High Breakout</t>
        </is>
      </c>
      <c r="S183" s="30" t="inlineStr">
        <is>
          <t>Nifty 50</t>
        </is>
      </c>
      <c r="T183" s="31" t="n">
        <v>1.09</v>
      </c>
      <c r="U183" s="31" t="n">
        <v>31.9</v>
      </c>
      <c r="V183" s="31" t="n">
        <v>30.48</v>
      </c>
      <c r="W183" s="31" t="n">
        <v>17.89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Less than 12%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No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IF(B184=0,"",RANK(B184,$B$2:$B$405,0))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CENTUM</t>
        </is>
      </c>
      <c r="D184" s="30" t="inlineStr">
        <is>
          <t>Centum Electronics Limited</t>
        </is>
      </c>
      <c r="E184" s="30" t="inlineStr">
        <is>
          <t>aerospace &amp; defence</t>
        </is>
      </c>
      <c r="F184" s="30" t="inlineStr">
        <is>
          <t>electronics - components</t>
        </is>
      </c>
      <c r="G184" s="30" t="inlineStr">
        <is>
          <t>midcap</t>
        </is>
      </c>
      <c r="H184" s="31" t="n">
        <v>5592.93</v>
      </c>
      <c r="I184" s="31" t="n">
        <v>3790.3</v>
      </c>
      <c r="J184" s="31" t="n">
        <v>0.02</v>
      </c>
      <c r="K184" s="31" t="n">
        <v>20565</v>
      </c>
      <c r="L184" s="30" t="n">
        <v>77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67.36</v>
      </c>
      <c r="P184" s="31" t="n">
        <v>60.24</v>
      </c>
      <c r="Q184" s="31" t="n">
        <v>2876.94</v>
      </c>
      <c r="R184" s="30" t="inlineStr">
        <is>
          <t>Near 52W High Breakout</t>
        </is>
      </c>
      <c r="S184" s="30" t="inlineStr">
        <is>
          <t>Nifty Infra</t>
        </is>
      </c>
      <c r="T184" s="31" t="n">
        <v>4.3</v>
      </c>
      <c r="U184" s="31" t="n">
        <v>67.81</v>
      </c>
      <c r="V184" s="31" t="n">
        <v>60.89</v>
      </c>
      <c r="W184" s="31" t="n">
        <v>19.62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Above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Blue sky scenario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Less than 12%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Yes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Less than 50%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IF(B185=0,"",RANK(B185,$B$2:$B$405,0))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COMSYN</t>
        </is>
      </c>
      <c r="D185" s="30" t="inlineStr">
        <is>
          <t>Commercial Syn Bags Ltd</t>
        </is>
      </c>
      <c r="E185" s="30" t="inlineStr">
        <is>
          <t>industrials</t>
        </is>
      </c>
      <c r="F185" s="30" t="inlineStr">
        <is>
          <t>packaging</t>
        </is>
      </c>
      <c r="G185" s="30" t="inlineStr">
        <is>
          <t>smallcap</t>
        </is>
      </c>
      <c r="H185" s="31" t="n">
        <v>845.99</v>
      </c>
      <c r="I185" s="31" t="n">
        <v>209.58</v>
      </c>
      <c r="J185" s="31" t="n">
        <v>-0.07000000000000001</v>
      </c>
      <c r="K185" s="31" t="n">
        <v>1181335</v>
      </c>
      <c r="L185" s="30" t="n">
        <v>74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67.62</v>
      </c>
      <c r="P185" s="31" t="n">
        <v>55.42</v>
      </c>
      <c r="Q185" s="31" t="n">
        <v>153.38</v>
      </c>
      <c r="R185" s="30" t="inlineStr">
        <is>
          <t>Near 52W High Breakout</t>
        </is>
      </c>
      <c r="S185" s="30" t="inlineStr">
        <is>
          <t>Nifty 50</t>
        </is>
      </c>
      <c r="T185" s="31" t="n">
        <v>1.09</v>
      </c>
      <c r="U185" s="31" t="n">
        <v>58.13</v>
      </c>
      <c r="V185" s="31" t="n">
        <v>56.43</v>
      </c>
      <c r="W185" s="31" t="n">
        <v>18.29</v>
      </c>
      <c r="X185" s="30" t="inlineStr">
        <is>
          <t>Cyclical in an Upturn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Above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Blue sky scenario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Less than 12%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No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Between 0.7 to 1.2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IF(B186=0,"",RANK(B186,$B$2:$B$405,0))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NELCO</t>
        </is>
      </c>
      <c r="D186" s="30" t="inlineStr">
        <is>
          <t>Nelco Limited</t>
        </is>
      </c>
      <c r="E186" s="30" t="inlineStr">
        <is>
          <t>telecom</t>
        </is>
      </c>
      <c r="F186" s="30" t="inlineStr">
        <is>
          <t>telecommunications - service provider</t>
        </is>
      </c>
      <c r="G186" s="30" t="inlineStr">
        <is>
          <t>smallcap</t>
        </is>
      </c>
      <c r="H186" s="31" t="n">
        <v>2270.66</v>
      </c>
      <c r="I186" s="31" t="n">
        <v>983.8</v>
      </c>
      <c r="J186" s="31" t="n">
        <v>-1.14</v>
      </c>
      <c r="K186" s="31" t="n">
        <v>168096</v>
      </c>
      <c r="L186" s="30" t="n">
        <v>54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65.66</v>
      </c>
      <c r="P186" s="31" t="n">
        <v>28.92</v>
      </c>
      <c r="Q186" s="31" t="n">
        <v>768.05</v>
      </c>
      <c r="R186" s="30" t="inlineStr">
        <is>
          <t>Near 52W High Breakout</t>
        </is>
      </c>
      <c r="S186" s="30" t="inlineStr">
        <is>
          <t>Nifty 50</t>
        </is>
      </c>
      <c r="T186" s="31" t="n">
        <v>1.09</v>
      </c>
      <c r="U186" s="31" t="n">
        <v>12.12</v>
      </c>
      <c r="V186" s="31" t="n">
        <v>10.92</v>
      </c>
      <c r="W186" s="31" t="n">
        <v>11.59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Oligopoly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Yes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IF(B187=0,"",RANK(B187,$B$2:$B$405,0))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SEAMECLTD</t>
        </is>
      </c>
      <c r="D187" s="30" t="inlineStr">
        <is>
          <t>Seamec Limited</t>
        </is>
      </c>
      <c r="E187" s="30" t="inlineStr">
        <is>
          <t>miscellaneous</t>
        </is>
      </c>
      <c r="F187" s="30" t="inlineStr">
        <is>
          <t>miscellaneous</t>
        </is>
      </c>
      <c r="G187" s="30" t="inlineStr">
        <is>
          <t>smallcap</t>
        </is>
      </c>
      <c r="H187" s="31" t="n">
        <v>3838.41</v>
      </c>
      <c r="I187" s="31" t="n">
        <v>1490</v>
      </c>
      <c r="J187" s="31" t="n">
        <v>-1.3</v>
      </c>
      <c r="K187" s="31" t="n">
        <v>20330</v>
      </c>
      <c r="L187" s="30" t="n">
        <v>65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56.97</v>
      </c>
      <c r="P187" s="31" t="n">
        <v>27.59</v>
      </c>
      <c r="Q187" s="31" t="n">
        <v>1237.12</v>
      </c>
      <c r="R187" s="30" t="inlineStr">
        <is>
          <t>Earnings / Momentum Support</t>
        </is>
      </c>
      <c r="S187" s="30" t="inlineStr">
        <is>
          <t>Nifty 50</t>
        </is>
      </c>
      <c r="T187" s="31" t="n">
        <v>1.09</v>
      </c>
      <c r="U187" s="31" t="n">
        <v>88.26000000000001</v>
      </c>
      <c r="V187" s="31" t="n">
        <v>86.23999999999999</v>
      </c>
      <c r="W187" s="31" t="n">
        <v>15.09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No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No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IF(B188=0,"",RANK(B188,$B$2:$B$405,0))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ACE</t>
        </is>
      </c>
      <c r="D188" s="30" t="inlineStr">
        <is>
          <t>Action Construction Equipment Limited</t>
        </is>
      </c>
      <c r="E188" s="30" t="inlineStr">
        <is>
          <t>industrials</t>
        </is>
      </c>
      <c r="F188" s="30" t="inlineStr">
        <is>
          <t>engineering</t>
        </is>
      </c>
      <c r="G188" s="30" t="inlineStr">
        <is>
          <t>midcap</t>
        </is>
      </c>
      <c r="H188" s="31" t="n">
        <v>13549.29</v>
      </c>
      <c r="I188" s="31" t="n">
        <v>1113.7</v>
      </c>
      <c r="J188" s="31" t="n">
        <v>-2.12</v>
      </c>
      <c r="K188" s="31" t="n">
        <v>246747</v>
      </c>
      <c r="L188" s="30" t="n">
        <v>25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70.34999999999999</v>
      </c>
      <c r="P188" s="31" t="n">
        <v>19.78</v>
      </c>
      <c r="Q188" s="31" t="n">
        <v>908.7</v>
      </c>
      <c r="R188" s="30" t="inlineStr">
        <is>
          <t>Near 52W High Breakout</t>
        </is>
      </c>
      <c r="S188" s="30" t="inlineStr">
        <is>
          <t>Nifty 50</t>
        </is>
      </c>
      <c r="T188" s="31" t="n">
        <v>1.09</v>
      </c>
      <c r="U188" s="31" t="n">
        <v>3.97</v>
      </c>
      <c r="V188" s="31" t="n">
        <v>2.85</v>
      </c>
      <c r="W188" s="31" t="n">
        <v>4.83</v>
      </c>
      <c r="X188" s="30" t="inlineStr">
        <is>
          <t>Cyclical in an Upturn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0 to 20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Less than 1.5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IF(B189=0,"",RANK(B189,$B$2:$B$405,0))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VINDHYATEL</t>
        </is>
      </c>
      <c r="D189" s="30" t="inlineStr">
        <is>
          <t>Vindhya Telelinks Limited</t>
        </is>
      </c>
      <c r="E189" s="30" t="inlineStr">
        <is>
          <t>realty</t>
        </is>
      </c>
      <c r="F189" s="30" t="inlineStr">
        <is>
          <t>construction</t>
        </is>
      </c>
      <c r="G189" s="30" t="inlineStr">
        <is>
          <t>smallcap</t>
        </is>
      </c>
      <c r="H189" s="31" t="n">
        <v>2793.84</v>
      </c>
      <c r="I189" s="31" t="n">
        <v>2286.9</v>
      </c>
      <c r="J189" s="31" t="n">
        <v>-2.99</v>
      </c>
      <c r="K189" s="31" t="n">
        <v>95470</v>
      </c>
      <c r="L189" s="30" t="n">
        <v>90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64.06999999999999</v>
      </c>
      <c r="P189" s="31" t="n">
        <v>52.08</v>
      </c>
      <c r="Q189" s="31" t="n">
        <v>1642.12</v>
      </c>
      <c r="R189" s="30" t="inlineStr">
        <is>
          <t>Volume Spike &amp; Near 52W High Breakout</t>
        </is>
      </c>
      <c r="S189" s="30" t="inlineStr">
        <is>
          <t>Nifty Realty</t>
        </is>
      </c>
      <c r="T189" s="31" t="n">
        <v>-6.42</v>
      </c>
      <c r="U189" s="31" t="n">
        <v>46.11</v>
      </c>
      <c r="V189" s="31" t="n">
        <v>56.13</v>
      </c>
      <c r="W189" s="31" t="n">
        <v>29.09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Above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Less than 12%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No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Negative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IF(B190=0,"",RANK(B190,$B$2:$B$405,0))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INDORAMA</t>
        </is>
      </c>
      <c r="D190" s="30" t="inlineStr">
        <is>
          <t>Indo Rama Synthetics (india) Limited</t>
        </is>
      </c>
      <c r="E190" s="30" t="inlineStr">
        <is>
          <t>textiles</t>
        </is>
      </c>
      <c r="F190" s="30" t="inlineStr">
        <is>
          <t>textiles - manmade</t>
        </is>
      </c>
      <c r="G190" s="30" t="inlineStr">
        <is>
          <t>smallcap</t>
        </is>
      </c>
      <c r="H190" s="31" t="n">
        <v>1640.84</v>
      </c>
      <c r="I190" s="31" t="n">
        <v>60.37</v>
      </c>
      <c r="J190" s="31" t="n">
        <v>-3.93</v>
      </c>
      <c r="K190" s="31" t="n">
        <v>399500</v>
      </c>
      <c r="L190" s="30" t="n">
        <v>78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71.79000000000001</v>
      </c>
      <c r="P190" s="31" t="n">
        <v>33.34</v>
      </c>
      <c r="Q190" s="31" t="n">
        <v>42.76</v>
      </c>
      <c r="R190" s="30" t="inlineStr">
        <is>
          <t>Volume Spike / Accumulation</t>
        </is>
      </c>
      <c r="S190" s="30" t="inlineStr">
        <is>
          <t>Nifty 50</t>
        </is>
      </c>
      <c r="T190" s="31" t="n">
        <v>1.09</v>
      </c>
      <c r="U190" s="31" t="n">
        <v>21.83</v>
      </c>
      <c r="V190" s="31" t="n">
        <v>20.52</v>
      </c>
      <c r="W190" s="31" t="n">
        <v>20.33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Less than 1.5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More than 1.2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IF(B191=0,"",RANK(B191,$B$2:$B$405,0))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2" t="inlineStr">
        <is>
          <t>KKCL</t>
        </is>
      </c>
      <c r="D191" s="32" t="inlineStr">
        <is>
          <t>Kewal Kiran Clothing Limited</t>
        </is>
      </c>
      <c r="E191" s="30" t="inlineStr">
        <is>
          <t>consumer discretionary</t>
        </is>
      </c>
      <c r="F191" s="30" t="inlineStr">
        <is>
          <t>textiles - products</t>
        </is>
      </c>
      <c r="G191" s="30" t="inlineStr">
        <is>
          <t>smallcap</t>
        </is>
      </c>
      <c r="H191" s="31" t="n">
        <v>3367.82</v>
      </c>
      <c r="I191" s="31" t="n">
        <v>522.5</v>
      </c>
      <c r="J191" s="31" t="n">
        <v>-4.39</v>
      </c>
      <c r="K191" s="31" t="n">
        <v>95236</v>
      </c>
      <c r="L191" s="30" t="n">
        <v>8</v>
      </c>
      <c r="M191" s="30" t="inlineStr">
        <is>
          <t>Underperforming</t>
        </is>
      </c>
      <c r="N191" s="31">
        <f>IF(M191="Underperforming",-5,IF(L191&gt;=95,15,IF(L191&gt;=90,10,IF(L191&gt;=80,5,0))))</f>
        <v/>
      </c>
      <c r="O191" s="31" t="n">
        <v>60.93</v>
      </c>
      <c r="P191" s="31" t="n">
        <v>17.27</v>
      </c>
      <c r="Q191" s="31" t="n">
        <v>425.21</v>
      </c>
      <c r="R191" s="30" t="inlineStr">
        <is>
          <t>Volume Spike / Accumulation</t>
        </is>
      </c>
      <c r="S191" s="30" t="inlineStr">
        <is>
          <t>Nifty 50</t>
        </is>
      </c>
      <c r="T191" s="31" t="n">
        <v>1.09</v>
      </c>
      <c r="U191" s="31" t="n">
        <v>-3.26</v>
      </c>
      <c r="V191" s="31" t="n">
        <v>-4.3</v>
      </c>
      <c r="W191" s="31" t="n">
        <v>1.1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0 to 20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Less than 1.5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IF(B192=0,"",RANK(B192,$B$2:$B$405,0))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BODALCHEM</t>
        </is>
      </c>
      <c r="D192" s="30" t="inlineStr">
        <is>
          <t>Bodal Chemicals Limited</t>
        </is>
      </c>
      <c r="E192" s="30" t="inlineStr">
        <is>
          <t>chemicals</t>
        </is>
      </c>
      <c r="F192" s="30" t="inlineStr">
        <is>
          <t>dyes and pigments</t>
        </is>
      </c>
      <c r="G192" s="30" t="inlineStr">
        <is>
          <t>smallcap</t>
        </is>
      </c>
      <c r="H192" s="31" t="n">
        <v>946.97</v>
      </c>
      <c r="I192" s="31" t="n">
        <v>71.44</v>
      </c>
      <c r="J192" s="31" t="n">
        <v>-4.99</v>
      </c>
      <c r="K192" s="31" t="n">
        <v>604607</v>
      </c>
      <c r="L192" s="30" t="n">
        <v>15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58.8</v>
      </c>
      <c r="P192" s="31" t="n">
        <v>37.24</v>
      </c>
      <c r="Q192" s="31" t="n">
        <v>54.57</v>
      </c>
      <c r="R192" s="30" t="inlineStr">
        <is>
          <t>Volume Spike &amp; Near 52W High Breakout</t>
        </is>
      </c>
      <c r="S192" s="30" t="inlineStr">
        <is>
          <t>Nifty 50</t>
        </is>
      </c>
      <c r="T192" s="31" t="n">
        <v>1.09</v>
      </c>
      <c r="U192" s="31" t="n">
        <v>5.56</v>
      </c>
      <c r="V192" s="31" t="n">
        <v>4.42</v>
      </c>
      <c r="W192" s="31" t="n">
        <v>2.7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No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Between 0.7 to 1.2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IF(B193=0,"",RANK(B193,$B$2:$B$405,0))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TATATECH</t>
        </is>
      </c>
      <c r="D193" s="30" t="inlineStr">
        <is>
          <t>Tata Technologies Ltd</t>
        </is>
      </c>
      <c r="E193" s="30" t="inlineStr">
        <is>
          <t>i.t</t>
        </is>
      </c>
      <c r="F193" s="30" t="inlineStr">
        <is>
          <t>computers - software - medium / small</t>
        </is>
      </c>
      <c r="G193" s="30" t="inlineStr">
        <is>
          <t>largecap</t>
        </is>
      </c>
      <c r="H193" s="31" t="n">
        <v>30616.31</v>
      </c>
      <c r="I193" s="31" t="n">
        <v>801.55</v>
      </c>
      <c r="J193" s="31" t="n">
        <v>6.31</v>
      </c>
      <c r="K193" s="31" t="n">
        <v>8537872</v>
      </c>
      <c r="L193" s="30" t="n">
        <v>49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67.45</v>
      </c>
      <c r="P193" s="31" t="n">
        <v>30.13</v>
      </c>
      <c r="Q193" s="31" t="n">
        <v>640.52</v>
      </c>
      <c r="R193" s="30" t="inlineStr">
        <is>
          <t>Near 52W High Breakout</t>
        </is>
      </c>
      <c r="S193" s="30" t="inlineStr">
        <is>
          <t>Nifty IT</t>
        </is>
      </c>
      <c r="T193" s="31" t="n">
        <v>-9.289999999999999</v>
      </c>
      <c r="U193" s="31" t="n">
        <v>23.29</v>
      </c>
      <c r="V193" s="31" t="n">
        <v>35.92</v>
      </c>
      <c r="W193" s="31" t="n">
        <v>10.73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Annuity, Lower One Time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Less than 12%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IF(B194=0,"",RANK(B194,$B$2:$B$405,0))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2" t="inlineStr">
        <is>
          <t>GUFICBIO</t>
        </is>
      </c>
      <c r="D194" s="32" t="inlineStr">
        <is>
          <t>Gufic Biosciences Limited</t>
        </is>
      </c>
      <c r="E194" s="30" t="inlineStr">
        <is>
          <t>healthcare</t>
        </is>
      </c>
      <c r="F194" s="30" t="inlineStr">
        <is>
          <t>pharmaceuticals - indian - bulk drugs &amp; formln</t>
        </is>
      </c>
      <c r="G194" s="30" t="inlineStr">
        <is>
          <t>smallcap</t>
        </is>
      </c>
      <c r="H194" s="31" t="n">
        <v>3954.64</v>
      </c>
      <c r="I194" s="31" t="n">
        <v>404.35</v>
      </c>
      <c r="J194" s="31" t="n">
        <v>2.54</v>
      </c>
      <c r="K194" s="31" t="n">
        <v>102723</v>
      </c>
      <c r="L194" s="30" t="n">
        <v>46</v>
      </c>
      <c r="M194" s="30" t="inlineStr">
        <is>
          <t>Underperforming</t>
        </is>
      </c>
      <c r="N194" s="31">
        <f>IF(M194="Underperforming",-5,IF(L194&gt;=95,15,IF(L194&gt;=90,10,IF(L194&gt;=80,5,0))))</f>
        <v/>
      </c>
      <c r="O194" s="31" t="n">
        <v>67.51000000000001</v>
      </c>
      <c r="P194" s="31" t="n">
        <v>43.51</v>
      </c>
      <c r="Q194" s="31" t="n">
        <v>311.74</v>
      </c>
      <c r="R194" s="30" t="inlineStr">
        <is>
          <t>Near 52W High Breakout</t>
        </is>
      </c>
      <c r="S194" s="30" t="inlineStr">
        <is>
          <t>Nifty Pharma</t>
        </is>
      </c>
      <c r="T194" s="31" t="n">
        <v>24.42</v>
      </c>
      <c r="U194" s="31" t="n">
        <v>11.59</v>
      </c>
      <c r="V194" s="31" t="n">
        <v>-10.31</v>
      </c>
      <c r="W194" s="31" t="n">
        <v>9.880000000000001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Yes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Annuity, Lower One Time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Above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More than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Yes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Less than 50%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IF(B195=0,"",RANK(B195,$B$2:$B$405,0))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2" t="inlineStr">
        <is>
          <t>KILITCH</t>
        </is>
      </c>
      <c r="D195" s="32" t="inlineStr">
        <is>
          <t>Kilitch Drugs (india) Limited</t>
        </is>
      </c>
      <c r="E195" s="30" t="inlineStr">
        <is>
          <t>healthcare</t>
        </is>
      </c>
      <c r="F195" s="30" t="inlineStr">
        <is>
          <t>pharmaceuticals - indian - formulations</t>
        </is>
      </c>
      <c r="G195" s="30" t="inlineStr">
        <is>
          <t>smallcap</t>
        </is>
      </c>
      <c r="H195" s="31" t="n">
        <v>669.09</v>
      </c>
      <c r="I195" s="31" t="n">
        <v>193.82</v>
      </c>
      <c r="J195" s="31" t="n">
        <v>1.28</v>
      </c>
      <c r="K195" s="31" t="n">
        <v>19005</v>
      </c>
      <c r="L195" s="30" t="n">
        <v>12</v>
      </c>
      <c r="M195" s="30" t="inlineStr">
        <is>
          <t>Underperforming</t>
        </is>
      </c>
      <c r="N195" s="31">
        <f>IF(M195="Underperforming",-5,IF(L195&gt;=95,15,IF(L195&gt;=90,10,IF(L195&gt;=80,5,0))))</f>
        <v/>
      </c>
      <c r="O195" s="31" t="n">
        <v>60.52</v>
      </c>
      <c r="P195" s="31" t="n">
        <v>29.23</v>
      </c>
      <c r="Q195" s="31" t="n">
        <v>136.5</v>
      </c>
      <c r="R195" s="30" t="inlineStr">
        <is>
          <t>Earnings / Momentum Support</t>
        </is>
      </c>
      <c r="S195" s="30" t="inlineStr">
        <is>
          <t>Nifty Pharma</t>
        </is>
      </c>
      <c r="T195" s="31" t="n">
        <v>24.42</v>
      </c>
      <c r="U195" s="31" t="n">
        <v>-13.99</v>
      </c>
      <c r="V195" s="31" t="n">
        <v>-30.87</v>
      </c>
      <c r="W195" s="31" t="n">
        <v>1.89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Yes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No</t>
        </is>
      </c>
      <c r="AQ195" s="30">
        <f>IF(AP195="Yes",10,0)</f>
        <v/>
      </c>
      <c r="AR195" s="30" t="inlineStr">
        <is>
          <t>Higher Annuity, Lower One Time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No</t>
        </is>
      </c>
      <c r="BS195" s="30">
        <f>IF(BR195="NO",5,0)</f>
        <v/>
      </c>
      <c r="BT195" s="30" t="inlineStr">
        <is>
          <t>Less than 1.5</t>
        </is>
      </c>
      <c r="BU195" s="30">
        <f>IF(BT195="Above 2",0,IF(BT195="Between 1.5 to 2",5,IF(BT195="Less than 1.5",10,0)))</f>
        <v/>
      </c>
      <c r="BV195" s="30" t="inlineStr">
        <is>
          <t>Between 50% to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IF(B196=0,"",RANK(B196,$B$2:$B$405,0))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COFORGE</t>
        </is>
      </c>
      <c r="D196" s="30" t="inlineStr">
        <is>
          <t>Coforge (Niit Tech) Ltd</t>
        </is>
      </c>
      <c r="E196" s="30" t="inlineStr">
        <is>
          <t>i.t</t>
        </is>
      </c>
      <c r="F196" s="30" t="inlineStr">
        <is>
          <t>computers - software - large</t>
        </is>
      </c>
      <c r="G196" s="30" t="inlineStr">
        <is>
          <t>largecap</t>
        </is>
      </c>
      <c r="H196" s="31" t="n">
        <v>78666.16</v>
      </c>
      <c r="I196" s="31" t="n">
        <v>1772.8</v>
      </c>
      <c r="J196" s="31" t="n">
        <v>-0.24</v>
      </c>
      <c r="K196" s="31" t="n">
        <v>3173675</v>
      </c>
      <c r="L196" s="30" t="n">
        <v>43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61.78</v>
      </c>
      <c r="P196" s="31" t="n">
        <v>10.91</v>
      </c>
      <c r="Q196" s="31" t="n">
        <v>1353.47</v>
      </c>
      <c r="R196" s="30" t="inlineStr">
        <is>
          <t>Earnings / Momentum Support</t>
        </is>
      </c>
      <c r="S196" s="30" t="inlineStr">
        <is>
          <t>Nifty IT</t>
        </is>
      </c>
      <c r="T196" s="31" t="n">
        <v>-9.289999999999999</v>
      </c>
      <c r="U196" s="31" t="n">
        <v>11.28</v>
      </c>
      <c r="V196" s="31" t="n">
        <v>22.68</v>
      </c>
      <c r="W196" s="31" t="n">
        <v>9.24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No</t>
        </is>
      </c>
      <c r="AQ196" s="30">
        <f>IF(AP196="Yes",10,0)</f>
        <v/>
      </c>
      <c r="AR196" s="30" t="inlineStr">
        <is>
          <t>Higher Annuity, Lower One Time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0 to 20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No</t>
        </is>
      </c>
      <c r="BS196" s="30">
        <f>IF(BR196="NO",5,0)</f>
        <v/>
      </c>
      <c r="BT196" s="30" t="inlineStr">
        <is>
          <t>Less than 1.5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IF(B197=0,"",RANK(B197,$B$2:$B$405,0))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SBCL</t>
        </is>
      </c>
      <c r="D197" s="30" t="inlineStr">
        <is>
          <t>Shivalik Bimetal Controls Ltd</t>
        </is>
      </c>
      <c r="E197" s="30" t="inlineStr">
        <is>
          <t>metals &amp; mining</t>
        </is>
      </c>
      <c r="F197" s="30" t="inlineStr">
        <is>
          <t>mining / minerals / metals</t>
        </is>
      </c>
      <c r="G197" s="30" t="inlineStr">
        <is>
          <t>smallcap</t>
        </is>
      </c>
      <c r="H197" s="31" t="n">
        <v>4449.64</v>
      </c>
      <c r="I197" s="31" t="n">
        <v>767.45</v>
      </c>
      <c r="J197" s="31" t="n">
        <v>-0.65</v>
      </c>
      <c r="K197" s="31" t="n">
        <v>489680</v>
      </c>
      <c r="L197" s="30" t="n">
        <v>68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67.51000000000001</v>
      </c>
      <c r="P197" s="31" t="n">
        <v>43.89</v>
      </c>
      <c r="Q197" s="31" t="n">
        <v>601.6799999999999</v>
      </c>
      <c r="R197" s="30" t="inlineStr">
        <is>
          <t>Near 52W High Breakout</t>
        </is>
      </c>
      <c r="S197" s="30" t="inlineStr">
        <is>
          <t>Nifty Metal</t>
        </is>
      </c>
      <c r="T197" s="31" t="n">
        <v>39.44</v>
      </c>
      <c r="U197" s="31" t="n">
        <v>40.6</v>
      </c>
      <c r="V197" s="31" t="n">
        <v>0.83</v>
      </c>
      <c r="W197" s="31" t="n">
        <v>15.56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Monopoly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Shallow Cyclical (2 to 3 Years Growth)</t>
        </is>
      </c>
      <c r="AG197" s="30">
        <f>IF(AF197="Structural (10 Years Consistency)",10,IF(AF197="Shallow Cyclical (2 to 3 years growth)",5,0))</f>
        <v/>
      </c>
      <c r="AH197" s="30" t="inlineStr">
        <is>
          <t>Yes due to Product Mix change or Operating Leverage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Fully One Time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20 to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Yes</t>
        </is>
      </c>
      <c r="BQ197" s="30">
        <f>IF(BP197="No",10,0)</f>
        <v/>
      </c>
      <c r="BR197" s="30" t="inlineStr">
        <is>
          <t>No</t>
        </is>
      </c>
      <c r="BS197" s="30">
        <f>IF(BR197="NO",5,0)</f>
        <v/>
      </c>
      <c r="BT197" s="30" t="inlineStr">
        <is>
          <t>Between 1.5 to 2</t>
        </is>
      </c>
      <c r="BU197" s="30">
        <f>IF(BT197="Above 2",0,IF(BT197="Between 1.5 to 2",5,IF(BT197="Less than 1.5",10,0)))</f>
        <v/>
      </c>
      <c r="BV197" s="30" t="inlineStr">
        <is>
          <t>Less than 50%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IF(B198=0,"",RANK(B198,$B$2:$B$405,0))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AVADHSUGAR</t>
        </is>
      </c>
      <c r="D198" s="30" t="inlineStr">
        <is>
          <t>Avadh Sugar &amp; Energy</t>
        </is>
      </c>
      <c r="E198" s="30" t="inlineStr">
        <is>
          <t>fmcg</t>
        </is>
      </c>
      <c r="F198" s="30" t="inlineStr">
        <is>
          <t>sugar</t>
        </is>
      </c>
      <c r="G198" s="30" t="inlineStr">
        <is>
          <t>smallcap</t>
        </is>
      </c>
      <c r="H198" s="31" t="n">
        <v>1219.62</v>
      </c>
      <c r="I198" s="31" t="n">
        <v>603</v>
      </c>
      <c r="J198" s="31" t="n">
        <v>-1.03</v>
      </c>
      <c r="K198" s="31" t="n">
        <v>100930</v>
      </c>
      <c r="L198" s="30" t="n">
        <v>63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74.79000000000001</v>
      </c>
      <c r="P198" s="31" t="n">
        <v>36.58</v>
      </c>
      <c r="Q198" s="31" t="n">
        <v>458.98</v>
      </c>
      <c r="R198" s="30" t="inlineStr">
        <is>
          <t>Volume Spike &amp; Near 52W High Breakout</t>
        </is>
      </c>
      <c r="S198" s="30" t="inlineStr">
        <is>
          <t>Nifty FMCG</t>
        </is>
      </c>
      <c r="T198" s="31" t="n">
        <v>-9.75</v>
      </c>
      <c r="U198" s="31" t="n">
        <v>32.79</v>
      </c>
      <c r="V198" s="31" t="n">
        <v>47.13</v>
      </c>
      <c r="W198" s="31" t="n">
        <v>14.3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B2C</t>
        </is>
      </c>
      <c r="AO198" s="30">
        <f>IF(AN198="B2C",10,IF(AN198="B2B",5,0))</f>
        <v/>
      </c>
      <c r="AP198" s="30" t="inlineStr">
        <is>
          <t>Yes</t>
        </is>
      </c>
      <c r="AQ198" s="30">
        <f>IF(AP198="Yes",10,0)</f>
        <v/>
      </c>
      <c r="AR198" s="30" t="inlineStr">
        <is>
          <t>Higher Annuity, Lower One Time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No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More than 1.2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IF(B199=0,"",RANK(B199,$B$2:$B$405,0))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2" t="inlineStr">
        <is>
          <t>RAINBOW</t>
        </is>
      </c>
      <c r="D199" s="32" t="inlineStr">
        <is>
          <t>Rainbow Childrens Medicare Ltd</t>
        </is>
      </c>
      <c r="E199" s="30" t="inlineStr">
        <is>
          <t>healthcare</t>
        </is>
      </c>
      <c r="F199" s="30" t="inlineStr">
        <is>
          <t>healthcare</t>
        </is>
      </c>
      <c r="G199" s="30" t="inlineStr">
        <is>
          <t>midcap</t>
        </is>
      </c>
      <c r="H199" s="31" t="n">
        <v>16235.25</v>
      </c>
      <c r="I199" s="31" t="n">
        <v>1573.2</v>
      </c>
      <c r="J199" s="31" t="n">
        <v>-1.59</v>
      </c>
      <c r="K199" s="31" t="n">
        <v>100916</v>
      </c>
      <c r="L199" s="30" t="n">
        <v>35</v>
      </c>
      <c r="M199" s="30" t="inlineStr">
        <is>
          <t>Underperforming</t>
        </is>
      </c>
      <c r="N199" s="31">
        <f>IF(M199="Underperforming",-5,IF(L199&gt;=95,15,IF(L199&gt;=90,10,IF(L199&gt;=80,5,0))))</f>
        <v/>
      </c>
      <c r="O199" s="31" t="n">
        <v>72.13</v>
      </c>
      <c r="P199" s="31" t="n">
        <v>38.83</v>
      </c>
      <c r="Q199" s="31" t="n">
        <v>1353.18</v>
      </c>
      <c r="R199" s="30" t="inlineStr">
        <is>
          <t>Near 52W High Breakout</t>
        </is>
      </c>
      <c r="S199" s="30" t="inlineStr">
        <is>
          <t>Nifty Pharma</t>
        </is>
      </c>
      <c r="T199" s="31" t="n">
        <v>24.42</v>
      </c>
      <c r="U199" s="31" t="n">
        <v>8.470000000000001</v>
      </c>
      <c r="V199" s="31" t="n">
        <v>-12.82</v>
      </c>
      <c r="W199" s="31" t="n">
        <v>7.11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Yes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Annuity, Lower One Time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Blue sky scenario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Between 12 to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Yes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IF(B200=0,"",RANK(B200,$B$2:$B$405,0))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HTMEDIA</t>
        </is>
      </c>
      <c r="D200" s="30" t="inlineStr">
        <is>
          <t>Ht Media Limited</t>
        </is>
      </c>
      <c r="E200" s="30" t="inlineStr">
        <is>
          <t>media</t>
        </is>
      </c>
      <c r="F200" s="30" t="inlineStr">
        <is>
          <t>entertainment / electronic media software</t>
        </is>
      </c>
      <c r="G200" s="30" t="inlineStr">
        <is>
          <t>smallcap</t>
        </is>
      </c>
      <c r="H200" s="31" t="n">
        <v>667.13</v>
      </c>
      <c r="I200" s="31" t="n">
        <v>26.91</v>
      </c>
      <c r="J200" s="31" t="n">
        <v>-6.11</v>
      </c>
      <c r="K200" s="31" t="n">
        <v>771627</v>
      </c>
      <c r="L200" s="30" t="n">
        <v>36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64.72</v>
      </c>
      <c r="P200" s="31" t="n">
        <v>17.99</v>
      </c>
      <c r="Q200" s="31" t="n">
        <v>19.23</v>
      </c>
      <c r="R200" s="30" t="inlineStr">
        <is>
          <t>Volume Spike &amp; Near 52W High Breakout</t>
        </is>
      </c>
      <c r="S200" s="30" t="inlineStr">
        <is>
          <t>Nifty IT</t>
        </is>
      </c>
      <c r="T200" s="31" t="n">
        <v>-9.289999999999999</v>
      </c>
      <c r="U200" s="31" t="n">
        <v>11.3</v>
      </c>
      <c r="V200" s="31" t="n">
        <v>22.7</v>
      </c>
      <c r="W200" s="31" t="n">
        <v>7.2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Annuity, Lower One Time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0 to 20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Blue sky scenario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Yes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IF(B201=0,"",RANK(B201,$B$2:$B$405,0))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PANAMAPET</t>
        </is>
      </c>
      <c r="D201" s="30" t="inlineStr">
        <is>
          <t>Panama Petrochem Limited</t>
        </is>
      </c>
      <c r="E201" s="30" t="inlineStr">
        <is>
          <t>energy</t>
        </is>
      </c>
      <c r="F201" s="30" t="inlineStr">
        <is>
          <t>petrochemicals</t>
        </is>
      </c>
      <c r="G201" s="30" t="inlineStr">
        <is>
          <t>smallcap</t>
        </is>
      </c>
      <c r="H201" s="31" t="n">
        <v>2753.67</v>
      </c>
      <c r="I201" s="31" t="n">
        <v>494.95</v>
      </c>
      <c r="J201" s="31" t="n">
        <v>8.73</v>
      </c>
      <c r="K201" s="31" t="n">
        <v>1103049</v>
      </c>
      <c r="L201" s="30" t="n">
        <v>90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66.13</v>
      </c>
      <c r="P201" s="31" t="n">
        <v>48.36</v>
      </c>
      <c r="Q201" s="31" t="n">
        <v>350.72</v>
      </c>
      <c r="R201" s="30" t="inlineStr">
        <is>
          <t>Near 52W High Breakout</t>
        </is>
      </c>
      <c r="S201" s="30" t="inlineStr">
        <is>
          <t>Nifty Energy</t>
        </is>
      </c>
      <c r="T201" s="31" t="n">
        <v>9.720000000000001</v>
      </c>
      <c r="U201" s="31" t="n">
        <v>46.72</v>
      </c>
      <c r="V201" s="31" t="n">
        <v>33.73</v>
      </c>
      <c r="W201" s="31" t="n">
        <v>29.65</v>
      </c>
      <c r="X201" s="30" t="inlineStr">
        <is>
          <t>Cyclical in an Upturn</t>
        </is>
      </c>
      <c r="Y201" s="30">
        <f>IF(X201="Growing Industry",10,IF(X201="Cyclical in an Upturn",5,0))</f>
        <v/>
      </c>
      <c r="Z201" s="30" t="inlineStr">
        <is>
          <t>Oligopoly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Yes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Cyclical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Volatile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Above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Blue sky scenario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No</t>
        </is>
      </c>
      <c r="BS201" s="30">
        <f>IF(BR201="NO",5,0)</f>
        <v/>
      </c>
      <c r="BT201" s="30" t="inlineStr">
        <is>
          <t>Less than 1.5</t>
        </is>
      </c>
      <c r="BU201" s="30">
        <f>IF(BT201="Above 2",0,IF(BT201="Between 1.5 to 2",5,IF(BT201="Less than 1.5",10,0)))</f>
        <v/>
      </c>
      <c r="BV201" s="30" t="inlineStr">
        <is>
          <t>Negative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IF(B202=0,"",RANK(B202,$B$2:$B$405,0))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MARINE</t>
        </is>
      </c>
      <c r="D202" s="30" t="inlineStr">
        <is>
          <t>Marine Electricals (India) Ltd</t>
        </is>
      </c>
      <c r="E202" s="30" t="inlineStr">
        <is>
          <t>industrials</t>
        </is>
      </c>
      <c r="F202" s="30" t="inlineStr">
        <is>
          <t>electric equipment</t>
        </is>
      </c>
      <c r="G202" s="30" t="inlineStr">
        <is>
          <t>smallcap</t>
        </is>
      </c>
      <c r="H202" s="31" t="n">
        <v>4275.3</v>
      </c>
      <c r="I202" s="31" t="n">
        <v>321.85</v>
      </c>
      <c r="J202" s="31" t="n">
        <v>5.35</v>
      </c>
      <c r="K202" s="31" t="n">
        <v>2276706</v>
      </c>
      <c r="L202" s="30" t="n">
        <v>80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68.81</v>
      </c>
      <c r="P202" s="31" t="n">
        <v>30.98</v>
      </c>
      <c r="Q202" s="31" t="n">
        <v>228.29</v>
      </c>
      <c r="R202" s="30" t="inlineStr">
        <is>
          <t>Volume Spike &amp; Near 52W High Breakout</t>
        </is>
      </c>
      <c r="S202" s="30" t="inlineStr">
        <is>
          <t>Nifty 50</t>
        </is>
      </c>
      <c r="T202" s="31" t="n">
        <v>1.09</v>
      </c>
      <c r="U202" s="31" t="n">
        <v>82.78</v>
      </c>
      <c r="V202" s="31" t="n">
        <v>80.81999999999999</v>
      </c>
      <c r="W202" s="31" t="n">
        <v>20.82</v>
      </c>
      <c r="X202" s="30" t="inlineStr">
        <is>
          <t>Cyclical in an Upturn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Blue sky scenario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Between 1.5 to 2</t>
        </is>
      </c>
      <c r="BU202" s="30">
        <f>IF(BT202="Above 2",0,IF(BT202="Between 1.5 to 2",5,IF(BT202="Less than 1.5",10,0)))</f>
        <v/>
      </c>
      <c r="BV202" s="30" t="inlineStr">
        <is>
          <t>Negative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IF(B203=0,"",RANK(B203,$B$2:$B$405,0))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NAHARINDUS</t>
        </is>
      </c>
      <c r="D203" s="30" t="inlineStr">
        <is>
          <t>Nahar Industrial Enterprises Limited</t>
        </is>
      </c>
      <c r="E203" s="30" t="inlineStr">
        <is>
          <t>textiles</t>
        </is>
      </c>
      <c r="F203" s="30" t="inlineStr">
        <is>
          <t>textiles - cotton/blended</t>
        </is>
      </c>
      <c r="G203" s="30" t="inlineStr">
        <is>
          <t>smallcap</t>
        </is>
      </c>
      <c r="H203" s="31" t="n">
        <v>510.04</v>
      </c>
      <c r="I203" s="31" t="n">
        <v>121</v>
      </c>
      <c r="J203" s="31" t="n">
        <v>2.5</v>
      </c>
      <c r="K203" s="31" t="n">
        <v>13369</v>
      </c>
      <c r="L203" s="30" t="n">
        <v>9</v>
      </c>
      <c r="M203" s="30" t="inlineStr">
        <is>
          <t>Outperforming</t>
        </is>
      </c>
      <c r="N203" s="31">
        <f>IF(M203="Underperforming",-5,IF(L203&gt;=95,15,IF(L203&gt;=90,10,IF(L203&gt;=80,5,0))))</f>
        <v/>
      </c>
      <c r="O203" s="31" t="n">
        <v>58.55</v>
      </c>
      <c r="P203" s="31" t="n">
        <v>17.41</v>
      </c>
      <c r="Q203" s="31" t="n">
        <v>95.34</v>
      </c>
      <c r="R203" s="30" t="inlineStr">
        <is>
          <t>Near 52W High Breakout</t>
        </is>
      </c>
      <c r="S203" s="30" t="inlineStr">
        <is>
          <t>Nifty 50</t>
        </is>
      </c>
      <c r="T203" s="31" t="n">
        <v>1.09</v>
      </c>
      <c r="U203" s="31" t="n">
        <v>4.59</v>
      </c>
      <c r="V203" s="31" t="n">
        <v>3.47</v>
      </c>
      <c r="W203" s="31" t="n">
        <v>1.25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0 to 20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Less than 1.5</t>
        </is>
      </c>
      <c r="BU203" s="30">
        <f>IF(BT203="Above 2",0,IF(BT203="Between 1.5 to 2",5,IF(BT203="Less than 1.5",10,0)))</f>
        <v/>
      </c>
      <c r="BV203" s="30" t="inlineStr">
        <is>
          <t>Less than 50%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IF(B204=0,"",RANK(B204,$B$2:$B$405,0))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GREENLAM</t>
        </is>
      </c>
      <c r="D204" s="30" t="inlineStr">
        <is>
          <t>Greenlam Industries Limited</t>
        </is>
      </c>
      <c r="E204" s="30" t="inlineStr">
        <is>
          <t>building materials</t>
        </is>
      </c>
      <c r="F204" s="30" t="inlineStr">
        <is>
          <t>miscellaneous</t>
        </is>
      </c>
      <c r="G204" s="30" t="inlineStr">
        <is>
          <t>midcap</t>
        </is>
      </c>
      <c r="H204" s="31" t="n">
        <v>6804.79</v>
      </c>
      <c r="I204" s="31" t="n">
        <v>273.15</v>
      </c>
      <c r="J204" s="31" t="n">
        <v>2.42</v>
      </c>
      <c r="K204" s="31" t="n">
        <v>424698</v>
      </c>
      <c r="L204" s="30" t="n">
        <v>34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63.22</v>
      </c>
      <c r="P204" s="31" t="n">
        <v>24.2</v>
      </c>
      <c r="Q204" s="31" t="n">
        <v>206.15</v>
      </c>
      <c r="R204" s="30" t="inlineStr">
        <is>
          <t>Near 52W High Breakout</t>
        </is>
      </c>
      <c r="S204" s="30" t="inlineStr">
        <is>
          <t>Nifty Infra</t>
        </is>
      </c>
      <c r="T204" s="31" t="n">
        <v>4.3</v>
      </c>
      <c r="U204" s="31" t="n">
        <v>10.39</v>
      </c>
      <c r="V204" s="31" t="n">
        <v>5.84</v>
      </c>
      <c r="W204" s="31" t="n">
        <v>7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More than 20%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Between 0.7 to 1.2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IF(B205=0,"",RANK(B205,$B$2:$B$405,0))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2" t="inlineStr">
        <is>
          <t>VSSL</t>
        </is>
      </c>
      <c r="D205" s="32" t="inlineStr">
        <is>
          <t>Vardhman Special Steels Limited</t>
        </is>
      </c>
      <c r="E205" s="30" t="inlineStr">
        <is>
          <t>metals &amp; mining</t>
        </is>
      </c>
      <c r="F205" s="30" t="inlineStr">
        <is>
          <t>steel - medium / small</t>
        </is>
      </c>
      <c r="G205" s="30" t="inlineStr">
        <is>
          <t>smallcap</t>
        </is>
      </c>
      <c r="H205" s="31" t="n">
        <v>3184.34</v>
      </c>
      <c r="I205" s="31" t="n">
        <v>333.85</v>
      </c>
      <c r="J205" s="31" t="n">
        <v>1.37</v>
      </c>
      <c r="K205" s="31" t="n">
        <v>1000800</v>
      </c>
      <c r="L205" s="30" t="n">
        <v>58</v>
      </c>
      <c r="M205" s="30" t="inlineStr">
        <is>
          <t>Underperforming</t>
        </is>
      </c>
      <c r="N205" s="31">
        <f>IF(M205="Underperforming",-5,IF(L205&gt;=95,15,IF(L205&gt;=90,10,IF(L205&gt;=80,5,0))))</f>
        <v/>
      </c>
      <c r="O205" s="31" t="n">
        <v>74.34999999999999</v>
      </c>
      <c r="P205" s="31" t="n">
        <v>23.41</v>
      </c>
      <c r="Q205" s="31" t="n">
        <v>270.82</v>
      </c>
      <c r="R205" s="30" t="inlineStr">
        <is>
          <t>Volume Spike &amp; Near 52W High Breakout</t>
        </is>
      </c>
      <c r="S205" s="30" t="inlineStr">
        <is>
          <t>Nifty Metal</t>
        </is>
      </c>
      <c r="T205" s="31" t="n">
        <v>39.44</v>
      </c>
      <c r="U205" s="31" t="n">
        <v>33.3</v>
      </c>
      <c r="V205" s="31" t="n">
        <v>-4.41</v>
      </c>
      <c r="W205" s="31" t="n">
        <v>13.01</v>
      </c>
      <c r="X205" s="30" t="inlineStr">
        <is>
          <t>Cyclical in an Upturn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Cyclical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Volatile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20 to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Blue sky scenario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No</t>
        </is>
      </c>
      <c r="BS205" s="30">
        <f>IF(BR205="NO",5,0)</f>
        <v/>
      </c>
      <c r="BT205" s="30" t="inlineStr">
        <is>
          <t>Less than 1.5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IF(B206=0,"",RANK(B206,$B$2:$B$405,0))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NAZARA</t>
        </is>
      </c>
      <c r="D206" s="30" t="inlineStr">
        <is>
          <t>Nazara Technologies Ltd</t>
        </is>
      </c>
      <c r="E206" s="30" t="inlineStr">
        <is>
          <t>i.t</t>
        </is>
      </c>
      <c r="F206" s="30" t="inlineStr">
        <is>
          <t>telecommunications - service provider</t>
        </is>
      </c>
      <c r="G206" s="30" t="inlineStr">
        <is>
          <t>midcap</t>
        </is>
      </c>
      <c r="H206" s="31" t="n">
        <v>12921.82</v>
      </c>
      <c r="I206" s="31" t="n">
        <v>352.85</v>
      </c>
      <c r="J206" s="31" t="n">
        <v>1.16</v>
      </c>
      <c r="K206" s="31" t="n">
        <v>5602434</v>
      </c>
      <c r="L206" s="30" t="n">
        <v>40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73.02</v>
      </c>
      <c r="P206" s="31" t="n">
        <v>17.12</v>
      </c>
      <c r="Q206" s="31" t="n">
        <v>286.61</v>
      </c>
      <c r="R206" s="30" t="inlineStr">
        <is>
          <t>Volume Spike &amp; Near 52W High Breakout</t>
        </is>
      </c>
      <c r="S206" s="30" t="inlineStr">
        <is>
          <t>Nifty IT</t>
        </is>
      </c>
      <c r="T206" s="31" t="n">
        <v>-9.289999999999999</v>
      </c>
      <c r="U206" s="31" t="n">
        <v>2.16</v>
      </c>
      <c r="V206" s="31" t="n">
        <v>12.62</v>
      </c>
      <c r="W206" s="31" t="n">
        <v>8.460000000000001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Oligopoly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Yes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0 to 20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Blue sky scenario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No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IF(B207=0,"",RANK(B207,$B$2:$B$405,0))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VMART</t>
        </is>
      </c>
      <c r="D207" s="30" t="inlineStr">
        <is>
          <t>V-mart Retail Limited</t>
        </is>
      </c>
      <c r="E207" s="30" t="inlineStr">
        <is>
          <t>consumer discretionary</t>
        </is>
      </c>
      <c r="F207" s="30" t="inlineStr">
        <is>
          <t>trading</t>
        </is>
      </c>
      <c r="G207" s="30" t="inlineStr">
        <is>
          <t>midcap</t>
        </is>
      </c>
      <c r="H207" s="31" t="n">
        <v>6419.92</v>
      </c>
      <c r="I207" s="31" t="n">
        <v>815</v>
      </c>
      <c r="J207" s="31" t="n">
        <v>0.99</v>
      </c>
      <c r="K207" s="31" t="n">
        <v>146279</v>
      </c>
      <c r="L207" s="30" t="n">
        <v>36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63.77</v>
      </c>
      <c r="P207" s="31" t="n">
        <v>26.11</v>
      </c>
      <c r="Q207" s="31" t="n">
        <v>635.71</v>
      </c>
      <c r="R207" s="30" t="inlineStr">
        <is>
          <t>Earnings / Momentum Support</t>
        </is>
      </c>
      <c r="S207" s="30" t="inlineStr">
        <is>
          <t>Nifty 50</t>
        </is>
      </c>
      <c r="T207" s="31" t="n">
        <v>1.09</v>
      </c>
      <c r="U207" s="31" t="n">
        <v>7.55</v>
      </c>
      <c r="V207" s="31" t="n">
        <v>6.4</v>
      </c>
      <c r="W207" s="31" t="n">
        <v>7.19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No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Yes</t>
        </is>
      </c>
      <c r="BS207" s="30">
        <f>IF(BR207="NO",5,0)</f>
        <v/>
      </c>
      <c r="BT207" s="30" t="inlineStr">
        <is>
          <t>Less than 1.5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Between 0.7 to 1.2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IF(B208=0,"",RANK(B208,$B$2:$B$405,0))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MAHLIFE</t>
        </is>
      </c>
      <c r="D208" s="30" t="inlineStr">
        <is>
          <t>Mahindra Lifespace Developers Limited</t>
        </is>
      </c>
      <c r="E208" s="30" t="inlineStr">
        <is>
          <t>realty</t>
        </is>
      </c>
      <c r="F208" s="30" t="inlineStr">
        <is>
          <t>construction</t>
        </is>
      </c>
      <c r="G208" s="30" t="inlineStr">
        <is>
          <t>midcap</t>
        </is>
      </c>
      <c r="H208" s="31" t="n">
        <v>8167.83</v>
      </c>
      <c r="I208" s="31" t="n">
        <v>386.4</v>
      </c>
      <c r="J208" s="31" t="n">
        <v>0.93</v>
      </c>
      <c r="K208" s="31" t="n">
        <v>134129</v>
      </c>
      <c r="L208" s="30" t="n">
        <v>29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58.9</v>
      </c>
      <c r="P208" s="31" t="n">
        <v>14</v>
      </c>
      <c r="Q208" s="31" t="n">
        <v>319.94</v>
      </c>
      <c r="R208" s="30" t="inlineStr">
        <is>
          <t>Earnings / Momentum Support</t>
        </is>
      </c>
      <c r="S208" s="30" t="inlineStr">
        <is>
          <t>Nifty Realty</t>
        </is>
      </c>
      <c r="T208" s="31" t="n">
        <v>-6.42</v>
      </c>
      <c r="U208" s="31" t="n">
        <v>4.35</v>
      </c>
      <c r="V208" s="31" t="n">
        <v>11.5</v>
      </c>
      <c r="W208" s="31" t="n">
        <v>5.73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No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0 to 20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Less than 1.5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IF(B209=0,"",RANK(B209,$B$2:$B$405,0))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UNIVPHOTO</t>
        </is>
      </c>
      <c r="D209" s="30" t="inlineStr">
        <is>
          <t>Universus Photo Imagings Ltd</t>
        </is>
      </c>
      <c r="E209" s="30" t="inlineStr">
        <is>
          <t>consumer discretionary</t>
        </is>
      </c>
      <c r="F209" s="30" t="inlineStr">
        <is>
          <t>photographic and allied products</t>
        </is>
      </c>
      <c r="G209" s="30" t="inlineStr">
        <is>
          <t>smallcap</t>
        </is>
      </c>
      <c r="H209" s="31" t="n">
        <v>525.4400000000001</v>
      </c>
      <c r="I209" s="31" t="n">
        <v>480</v>
      </c>
      <c r="J209" s="31" t="n">
        <v>0</v>
      </c>
      <c r="K209" s="31" t="n">
        <v>1099</v>
      </c>
      <c r="L209" s="30" t="n">
        <v>82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63.59</v>
      </c>
      <c r="P209" s="31" t="n">
        <v>15.5</v>
      </c>
      <c r="Q209" s="31" t="n">
        <v>352.17</v>
      </c>
      <c r="R209" s="30" t="inlineStr">
        <is>
          <t>Near 52W High Breakout</t>
        </is>
      </c>
      <c r="S209" s="30" t="inlineStr">
        <is>
          <t>Nifty 50</t>
        </is>
      </c>
      <c r="T209" s="31" t="n">
        <v>1.09</v>
      </c>
      <c r="U209" s="31" t="n">
        <v>81.61</v>
      </c>
      <c r="V209" s="31" t="n">
        <v>79.66</v>
      </c>
      <c r="W209" s="31" t="n">
        <v>22.87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0 to 20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Blue sky scenario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Less than 1.5</t>
        </is>
      </c>
      <c r="BU209" s="30">
        <f>IF(BT209="Above 2",0,IF(BT209="Between 1.5 to 2",5,IF(BT209="Less than 1.5",10,0)))</f>
        <v/>
      </c>
      <c r="BV209" s="30" t="inlineStr">
        <is>
          <t>Negative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IF(B210=0,"",RANK(B210,$B$2:$B$405,0))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RISHABH</t>
        </is>
      </c>
      <c r="D210" s="30" t="inlineStr">
        <is>
          <t>Rishabh Instruments Ltd</t>
        </is>
      </c>
      <c r="E210" s="30" t="inlineStr">
        <is>
          <t>industrials</t>
        </is>
      </c>
      <c r="F210" s="30" t="inlineStr">
        <is>
          <t>electric equipment</t>
        </is>
      </c>
      <c r="G210" s="30" t="inlineStr">
        <is>
          <t>smallcap</t>
        </is>
      </c>
      <c r="H210" s="31" t="n">
        <v>2494.51</v>
      </c>
      <c r="I210" s="31" t="n">
        <v>647.05</v>
      </c>
      <c r="J210" s="31" t="n">
        <v>-0.02</v>
      </c>
      <c r="K210" s="31" t="n">
        <v>73129</v>
      </c>
      <c r="L210" s="30" t="n">
        <v>87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67.34</v>
      </c>
      <c r="P210" s="31" t="n">
        <v>42.59</v>
      </c>
      <c r="Q210" s="31" t="n">
        <v>484.47</v>
      </c>
      <c r="R210" s="30" t="inlineStr">
        <is>
          <t>Near 52W High Breakout</t>
        </is>
      </c>
      <c r="S210" s="30" t="inlineStr">
        <is>
          <t>Nifty Infra</t>
        </is>
      </c>
      <c r="T210" s="31" t="n">
        <v>4.3</v>
      </c>
      <c r="U210" s="31" t="n">
        <v>128.31</v>
      </c>
      <c r="V210" s="31" t="n">
        <v>118.9</v>
      </c>
      <c r="W210" s="31" t="n">
        <v>26.8</v>
      </c>
      <c r="X210" s="30" t="inlineStr">
        <is>
          <t>Cyclical in an Upturn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Above 40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Negative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Blue sky scenario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IF(B211=0,"",RANK(B211,$B$2:$B$405,0))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NAUKRI</t>
        </is>
      </c>
      <c r="D211" s="30" t="inlineStr">
        <is>
          <t>Info Edge (india) Limited</t>
        </is>
      </c>
      <c r="E211" s="30" t="inlineStr">
        <is>
          <t>i.t</t>
        </is>
      </c>
      <c r="F211" s="30" t="inlineStr">
        <is>
          <t>miscellaneous</t>
        </is>
      </c>
      <c r="G211" s="30" t="inlineStr">
        <is>
          <t>largecap</t>
        </is>
      </c>
      <c r="H211" s="31" t="n">
        <v>80533.84</v>
      </c>
      <c r="I211" s="31" t="n">
        <v>1240</v>
      </c>
      <c r="J211" s="31" t="n">
        <v>-0.16</v>
      </c>
      <c r="K211" s="31" t="n">
        <v>2365603</v>
      </c>
      <c r="L211" s="30" t="n">
        <v>28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64.56999999999999</v>
      </c>
      <c r="P211" s="31" t="n">
        <v>20.88</v>
      </c>
      <c r="Q211" s="31" t="n">
        <v>1004.59</v>
      </c>
      <c r="R211" s="30" t="inlineStr">
        <is>
          <t>Earnings / Momentum Support</t>
        </is>
      </c>
      <c r="S211" s="30" t="inlineStr">
        <is>
          <t>Nifty IT</t>
        </is>
      </c>
      <c r="T211" s="31" t="n">
        <v>-9.289999999999999</v>
      </c>
      <c r="U211" s="31" t="n">
        <v>-5.88</v>
      </c>
      <c r="V211" s="31" t="n">
        <v>3.76</v>
      </c>
      <c r="W211" s="31" t="n">
        <v>5.44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No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20 to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IF(B212=0,"",RANK(B212,$B$2:$B$405,0))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EICHERMOT</t>
        </is>
      </c>
      <c r="D212" s="30" t="inlineStr">
        <is>
          <t>Eicher Motors Limited</t>
        </is>
      </c>
      <c r="E212" s="30" t="inlineStr">
        <is>
          <t>auto</t>
        </is>
      </c>
      <c r="F212" s="30" t="inlineStr">
        <is>
          <t>automobiles - motorcycles / mopeds</t>
        </is>
      </c>
      <c r="G212" s="30" t="inlineStr">
        <is>
          <t>largecap</t>
        </is>
      </c>
      <c r="H212" s="31" t="n">
        <v>219227.45</v>
      </c>
      <c r="I212" s="31" t="n">
        <v>7967.5</v>
      </c>
      <c r="J212" s="31" t="n">
        <v>-0.24</v>
      </c>
      <c r="K212" s="31" t="n">
        <v>736160</v>
      </c>
      <c r="L212" s="30" t="n">
        <v>52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63.73</v>
      </c>
      <c r="P212" s="31" t="n">
        <v>8.27</v>
      </c>
      <c r="Q212" s="31" t="n">
        <v>6773.32</v>
      </c>
      <c r="R212" s="30" t="inlineStr">
        <is>
          <t>Near 52W High Breakout</t>
        </is>
      </c>
      <c r="S212" s="30" t="inlineStr">
        <is>
          <t>Nifty Auto</t>
        </is>
      </c>
      <c r="T212" s="31" t="n">
        <v>22.44</v>
      </c>
      <c r="U212" s="31" t="n">
        <v>49.39</v>
      </c>
      <c r="V212" s="31" t="n">
        <v>22.02</v>
      </c>
      <c r="W212" s="31" t="n">
        <v>11.36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Headwind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Yes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0 to 20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Blue sky scenario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Between 1.5 to 2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IF(B213=0,"",RANK(B213,$B$2:$B$405,0))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2" t="inlineStr">
        <is>
          <t>BOSCHLTD</t>
        </is>
      </c>
      <c r="D213" s="32" t="inlineStr">
        <is>
          <t>Bosch Limited</t>
        </is>
      </c>
      <c r="E213" s="30" t="inlineStr">
        <is>
          <t>auto</t>
        </is>
      </c>
      <c r="F213" s="30" t="inlineStr">
        <is>
          <t>auto ancillaries</t>
        </is>
      </c>
      <c r="G213" s="30" t="inlineStr">
        <is>
          <t>largecap</t>
        </is>
      </c>
      <c r="H213" s="31" t="n">
        <v>126597.26</v>
      </c>
      <c r="I213" s="31" t="n">
        <v>42000</v>
      </c>
      <c r="J213" s="31" t="n">
        <v>-2.14</v>
      </c>
      <c r="K213" s="31" t="n">
        <v>60476</v>
      </c>
      <c r="L213" s="30" t="n">
        <v>31</v>
      </c>
      <c r="M213" s="30" t="inlineStr">
        <is>
          <t>Underperforming</t>
        </is>
      </c>
      <c r="N213" s="31">
        <f>IF(M213="Underperforming",-5,IF(L213&gt;=95,15,IF(L213&gt;=90,10,IF(L213&gt;=80,5,0))))</f>
        <v/>
      </c>
      <c r="O213" s="31" t="n">
        <v>65.12</v>
      </c>
      <c r="P213" s="31" t="n">
        <v>29.08</v>
      </c>
      <c r="Q213" s="31" t="n">
        <v>35517.66</v>
      </c>
      <c r="R213" s="30" t="inlineStr">
        <is>
          <t>Near 52W High Breakout</t>
        </is>
      </c>
      <c r="S213" s="30" t="inlineStr">
        <is>
          <t>Nifty Auto</t>
        </is>
      </c>
      <c r="T213" s="31" t="n">
        <v>22.44</v>
      </c>
      <c r="U213" s="31" t="n">
        <v>13.99</v>
      </c>
      <c r="V213" s="31" t="n">
        <v>-6.9</v>
      </c>
      <c r="W213" s="31" t="n">
        <v>6.14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20 to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Blue sky scenario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Less than 12%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Above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IF(B214=0,"",RANK(B214,$B$2:$B$405,0))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RICOAUTO</t>
        </is>
      </c>
      <c r="D214" s="30" t="inlineStr">
        <is>
          <t>Rico Auto Industries Limited</t>
        </is>
      </c>
      <c r="E214" s="30" t="inlineStr">
        <is>
          <t>auto</t>
        </is>
      </c>
      <c r="F214" s="30" t="inlineStr">
        <is>
          <t>auto ancillaries</t>
        </is>
      </c>
      <c r="G214" s="30" t="inlineStr">
        <is>
          <t>smallcap</t>
        </is>
      </c>
      <c r="H214" s="31" t="n">
        <v>2107.88</v>
      </c>
      <c r="I214" s="31" t="n">
        <v>152.38</v>
      </c>
      <c r="J214" s="31" t="n">
        <v>-2.2</v>
      </c>
      <c r="K214" s="31" t="n">
        <v>2844996</v>
      </c>
      <c r="L214" s="30" t="n">
        <v>86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64.33</v>
      </c>
      <c r="P214" s="31" t="n">
        <v>35.53</v>
      </c>
      <c r="Q214" s="31" t="n">
        <v>110.97</v>
      </c>
      <c r="R214" s="30" t="inlineStr">
        <is>
          <t>Near 52W High Breakout</t>
        </is>
      </c>
      <c r="S214" s="30" t="inlineStr">
        <is>
          <t>Nifty Auto</t>
        </is>
      </c>
      <c r="T214" s="31" t="n">
        <v>22.44</v>
      </c>
      <c r="U214" s="31" t="n">
        <v>118.11</v>
      </c>
      <c r="V214" s="31" t="n">
        <v>78.14</v>
      </c>
      <c r="W214" s="31" t="n">
        <v>25.14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Blue sky scenario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Less than 12%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Yes</t>
        </is>
      </c>
      <c r="BS214" s="30">
        <f>IF(BR214="NO",5,0)</f>
        <v/>
      </c>
      <c r="BT214" s="30" t="inlineStr">
        <is>
          <t>Above 2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Between 0.7 to 1.2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IF(B215=0,"",RANK(B215,$B$2:$B$405,0))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HEROMOTOCO</t>
        </is>
      </c>
      <c r="D215" s="30" t="inlineStr">
        <is>
          <t>Hero Motocorp Limited</t>
        </is>
      </c>
      <c r="E215" s="30" t="inlineStr">
        <is>
          <t>auto</t>
        </is>
      </c>
      <c r="F215" s="30" t="inlineStr">
        <is>
          <t>automobiles - motorcycles / mopeds</t>
        </is>
      </c>
      <c r="G215" s="30" t="inlineStr">
        <is>
          <t>largecap</t>
        </is>
      </c>
      <c r="H215" s="31" t="n">
        <v>113852.88</v>
      </c>
      <c r="I215" s="31" t="n">
        <v>5550.5</v>
      </c>
      <c r="J215" s="31" t="n">
        <v>-2.45</v>
      </c>
      <c r="K215" s="31" t="n">
        <v>1042637</v>
      </c>
      <c r="L215" s="30" t="n">
        <v>47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62.57</v>
      </c>
      <c r="P215" s="31" t="n">
        <v>8.539999999999999</v>
      </c>
      <c r="Q215" s="31" t="n">
        <v>4729.33</v>
      </c>
      <c r="R215" s="30" t="inlineStr">
        <is>
          <t>Earnings / Momentum Support</t>
        </is>
      </c>
      <c r="S215" s="30" t="inlineStr">
        <is>
          <t>Nifty Auto</t>
        </is>
      </c>
      <c r="T215" s="31" t="n">
        <v>22.44</v>
      </c>
      <c r="U215" s="31" t="n">
        <v>37.22</v>
      </c>
      <c r="V215" s="31" t="n">
        <v>12.08</v>
      </c>
      <c r="W215" s="31" t="n">
        <v>10.33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No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0 to 20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No</t>
        </is>
      </c>
      <c r="BS215" s="30">
        <f>IF(BR215="NO",5,0)</f>
        <v/>
      </c>
      <c r="BT215" s="30" t="inlineStr">
        <is>
          <t>Less than 1.5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IF(B216=0,"",RANK(B216,$B$2:$B$405,0))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LODHA</t>
        </is>
      </c>
      <c r="D216" s="30" t="inlineStr">
        <is>
          <t>Lodha Developers Ltd</t>
        </is>
      </c>
      <c r="E216" s="30" t="inlineStr">
        <is>
          <t>realty</t>
        </is>
      </c>
      <c r="F216" s="30" t="inlineStr">
        <is>
          <t>construction</t>
        </is>
      </c>
      <c r="G216" s="30" t="inlineStr">
        <is>
          <t>largecap</t>
        </is>
      </c>
      <c r="H216" s="31" t="n">
        <v>124886.8</v>
      </c>
      <c r="I216" s="31" t="n">
        <v>1214</v>
      </c>
      <c r="J216" s="31" t="n">
        <v>-2.88</v>
      </c>
      <c r="K216" s="31" t="n">
        <v>2514555</v>
      </c>
      <c r="L216" s="30" t="n">
        <v>49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63.05</v>
      </c>
      <c r="P216" s="31" t="n">
        <v>18.12</v>
      </c>
      <c r="Q216" s="31" t="n">
        <v>967.09</v>
      </c>
      <c r="R216" s="30" t="inlineStr">
        <is>
          <t>Near 52W High Breakout</t>
        </is>
      </c>
      <c r="S216" s="30" t="inlineStr">
        <is>
          <t>Nifty Realty</t>
        </is>
      </c>
      <c r="T216" s="31" t="n">
        <v>-6.42</v>
      </c>
      <c r="U216" s="31" t="n">
        <v>-4</v>
      </c>
      <c r="V216" s="31" t="n">
        <v>2.58</v>
      </c>
      <c r="W216" s="31" t="n">
        <v>10.67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0 to 20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IF(B217=0,"",RANK(B217,$B$2:$B$405,0))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BIOCON</t>
        </is>
      </c>
      <c r="D217" s="30" t="inlineStr">
        <is>
          <t>Biocon Limited</t>
        </is>
      </c>
      <c r="E217" s="30" t="inlineStr">
        <is>
          <t>healthcare</t>
        </is>
      </c>
      <c r="F217" s="30" t="inlineStr">
        <is>
          <t>pharmaceuticals - indian - bulk drugs &amp; formln</t>
        </is>
      </c>
      <c r="G217" s="30" t="inlineStr">
        <is>
          <t>largecap</t>
        </is>
      </c>
      <c r="H217" s="31" t="n">
        <v>69294.59</v>
      </c>
      <c r="I217" s="31" t="n">
        <v>436.6</v>
      </c>
      <c r="J217" s="31" t="n">
        <v>2.68</v>
      </c>
      <c r="K217" s="31" t="n">
        <v>21771221</v>
      </c>
      <c r="L217" s="30" t="n">
        <v>40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63.93</v>
      </c>
      <c r="P217" s="31" t="n">
        <v>23.29</v>
      </c>
      <c r="Q217" s="31" t="n">
        <v>370.56</v>
      </c>
      <c r="R217" s="30" t="inlineStr">
        <is>
          <t>Near 52W High Breakout</t>
        </is>
      </c>
      <c r="S217" s="30" t="inlineStr">
        <is>
          <t>Nifty Pharma</t>
        </is>
      </c>
      <c r="T217" s="31" t="n">
        <v>24.42</v>
      </c>
      <c r="U217" s="31" t="n">
        <v>28.77</v>
      </c>
      <c r="V217" s="31" t="n">
        <v>3.5</v>
      </c>
      <c r="W217" s="31" t="n">
        <v>8.68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Yes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Annuity, Lower One Time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Blue sky scenario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Less than 12%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Between 50% to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IF(B218=0,"",RANK(B218,$B$2:$B$405,0))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3IINFOLTD</t>
        </is>
      </c>
      <c r="D218" s="30" t="inlineStr">
        <is>
          <t>3i Infotech Ltd</t>
        </is>
      </c>
      <c r="E218" s="30" t="inlineStr">
        <is>
          <t>i.t</t>
        </is>
      </c>
      <c r="F218" s="30" t="inlineStr">
        <is>
          <t>computers - software - medium / small</t>
        </is>
      </c>
      <c r="G218" s="30" t="inlineStr">
        <is>
          <t>smallcap</t>
        </is>
      </c>
      <c r="H218" s="31" t="n">
        <v>520.38</v>
      </c>
      <c r="I218" s="31" t="n">
        <v>25.52</v>
      </c>
      <c r="J218" s="31" t="n">
        <v>1.71</v>
      </c>
      <c r="K218" s="31" t="n">
        <v>1726151</v>
      </c>
      <c r="L218" s="30" t="n">
        <v>56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79.61</v>
      </c>
      <c r="P218" s="31" t="n">
        <v>36.77</v>
      </c>
      <c r="Q218" s="31" t="n">
        <v>20.42</v>
      </c>
      <c r="R218" s="30" t="inlineStr">
        <is>
          <t>Volume Spike &amp; Near 52W High Breakout</t>
        </is>
      </c>
      <c r="S218" s="30" t="inlineStr">
        <is>
          <t>Nifty IT</t>
        </is>
      </c>
      <c r="T218" s="31" t="n">
        <v>-9.289999999999999</v>
      </c>
      <c r="U218" s="31" t="n">
        <v>10.75</v>
      </c>
      <c r="V218" s="31" t="n">
        <v>22.09</v>
      </c>
      <c r="W218" s="31" t="n">
        <v>12.41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Annuity, Lower One Time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20 to 40</t>
        </is>
      </c>
      <c r="AY218" s="30">
        <f>IF(AX218="Above 40",20,IF(AX218="20 to 40",10,IF(AX218="0 to 20",-5,0)))</f>
        <v/>
      </c>
      <c r="AZ218" s="30" t="inlineStr">
        <is>
          <t>Above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Less than 12%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No</t>
        </is>
      </c>
      <c r="BS218" s="30">
        <f>IF(BR218="NO",5,0)</f>
        <v/>
      </c>
      <c r="BT218" s="30" t="inlineStr">
        <is>
          <t>Above 2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IF(B219=0,"",RANK(B219,$B$2:$B$405,0))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2" t="inlineStr">
        <is>
          <t>YATHARTH</t>
        </is>
      </c>
      <c r="D219" s="32" t="inlineStr">
        <is>
          <t>Yatharth Hospital &amp; Trauma Care Services Ltd</t>
        </is>
      </c>
      <c r="E219" s="30" t="inlineStr">
        <is>
          <t>healthcare</t>
        </is>
      </c>
      <c r="F219" s="30" t="inlineStr">
        <is>
          <t>healthcare</t>
        </is>
      </c>
      <c r="G219" s="30" t="inlineStr">
        <is>
          <t>midcap</t>
        </is>
      </c>
      <c r="H219" s="31" t="n">
        <v>8270.58</v>
      </c>
      <c r="I219" s="31" t="n">
        <v>871.45</v>
      </c>
      <c r="J219" s="31" t="n">
        <v>1.53</v>
      </c>
      <c r="K219" s="31" t="n">
        <v>342906</v>
      </c>
      <c r="L219" s="30" t="n">
        <v>30</v>
      </c>
      <c r="M219" s="30" t="inlineStr">
        <is>
          <t>Underperforming</t>
        </is>
      </c>
      <c r="N219" s="31">
        <f>IF(M219="Underperforming",-5,IF(L219&gt;=95,15,IF(L219&gt;=90,10,IF(L219&gt;=80,5,0))))</f>
        <v/>
      </c>
      <c r="O219" s="31" t="n">
        <v>60.59</v>
      </c>
      <c r="P219" s="31" t="n">
        <v>33.94</v>
      </c>
      <c r="Q219" s="31" t="n">
        <v>690.58</v>
      </c>
      <c r="R219" s="30" t="inlineStr">
        <is>
          <t>Near 52W High Breakout</t>
        </is>
      </c>
      <c r="S219" s="30" t="inlineStr">
        <is>
          <t>Nifty Pharma</t>
        </is>
      </c>
      <c r="T219" s="31" t="n">
        <v>24.42</v>
      </c>
      <c r="U219" s="31" t="n">
        <v>23.24</v>
      </c>
      <c r="V219" s="31" t="n">
        <v>-0.95</v>
      </c>
      <c r="W219" s="31" t="n">
        <v>5.8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Yes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Annuity, Lower One Time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Blue sky scenario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Between 12 to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Yes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Between 50% to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IF(B220=0,"",RANK(B220,$B$2:$B$405,0))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SAILIFE</t>
        </is>
      </c>
      <c r="D220" s="30" t="inlineStr">
        <is>
          <t>Sai Life Sciences Ltd</t>
        </is>
      </c>
      <c r="E220" s="30" t="inlineStr">
        <is>
          <t>healthcare</t>
        </is>
      </c>
      <c r="F220" s="30" t="inlineStr">
        <is>
          <t>pharmaceuticals - indian - bulk drugs &amp; formln</t>
        </is>
      </c>
      <c r="G220" s="30" t="inlineStr">
        <is>
          <t>largecap</t>
        </is>
      </c>
      <c r="H220" s="31" t="n">
        <v>29599.04</v>
      </c>
      <c r="I220" s="31" t="n">
        <v>1414</v>
      </c>
      <c r="J220" s="31" t="n">
        <v>1.41</v>
      </c>
      <c r="K220" s="31" t="n">
        <v>1284015</v>
      </c>
      <c r="L220" s="30" t="n">
        <v>72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78.88</v>
      </c>
      <c r="P220" s="31" t="n">
        <v>30.8</v>
      </c>
      <c r="Q220" s="31" t="n">
        <v>1173.46</v>
      </c>
      <c r="R220" s="30" t="inlineStr">
        <is>
          <t>Near 52W High Breakout</t>
        </is>
      </c>
      <c r="S220" s="30" t="inlineStr">
        <is>
          <t>Nifty Pharma</t>
        </is>
      </c>
      <c r="T220" s="31" t="n">
        <v>24.42</v>
      </c>
      <c r="U220" s="31" t="n">
        <v>71.36</v>
      </c>
      <c r="V220" s="31" t="n">
        <v>37.73</v>
      </c>
      <c r="W220" s="31" t="n">
        <v>17.69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Yes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Yes</t>
        </is>
      </c>
      <c r="AQ220" s="30">
        <f>IF(AP220="Yes",10,0)</f>
        <v/>
      </c>
      <c r="AR220" s="30" t="inlineStr">
        <is>
          <t>Higher Annuity, Lower One Time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Above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Blue sky scenario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Between 12 to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IF(B221=0,"",RANK(B221,$B$2:$B$405,0))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2" t="inlineStr">
        <is>
          <t>ANTHEM</t>
        </is>
      </c>
      <c r="D221" s="32" t="inlineStr">
        <is>
          <t>Anthem Biosciences Ltd</t>
        </is>
      </c>
      <c r="E221" s="30" t="inlineStr">
        <is>
          <t>healthcare</t>
        </is>
      </c>
      <c r="F221" s="30" t="inlineStr">
        <is>
          <t>pharmaceuticals - indian - bulk drugs &amp; formln</t>
        </is>
      </c>
      <c r="G221" s="30" t="inlineStr">
        <is>
          <t>largecap</t>
        </is>
      </c>
      <c r="H221" s="31" t="n">
        <v>46515.86</v>
      </c>
      <c r="I221" s="31" t="n">
        <v>825.65</v>
      </c>
      <c r="J221" s="31" t="n">
        <v>0</v>
      </c>
      <c r="K221" s="31" t="n">
        <v>799264</v>
      </c>
      <c r="L221" s="30" t="n">
        <v>21</v>
      </c>
      <c r="M221" s="30" t="inlineStr">
        <is>
          <t>Underperforming</t>
        </is>
      </c>
      <c r="N221" s="31">
        <f>IF(M221="Underperforming",-5,IF(L221&gt;=95,15,IF(L221&gt;=90,10,IF(L221&gt;=80,5,0))))</f>
        <v/>
      </c>
      <c r="O221" s="31" t="n">
        <v>63.42</v>
      </c>
      <c r="P221" s="31" t="n">
        <v>35.88</v>
      </c>
      <c r="Q221" s="31" t="n">
        <v>680.71</v>
      </c>
      <c r="R221" s="30" t="inlineStr">
        <is>
          <t>Near 52W High Breakout</t>
        </is>
      </c>
      <c r="S221" s="30" t="inlineStr">
        <is>
          <t>Nifty Pharma</t>
        </is>
      </c>
      <c r="T221" s="31" t="n">
        <v>24.42</v>
      </c>
      <c r="U221" s="31" t="n">
        <v>13.12</v>
      </c>
      <c r="V221" s="31" t="n">
        <v>-9.08</v>
      </c>
      <c r="W221" s="31" t="n">
        <v>3.95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Yes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Annuity, Lower One Time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Blue sky scenario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Less than 12%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IF(B222=0,"",RANK(B222,$B$2:$B$405,0))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IOLCP</t>
        </is>
      </c>
      <c r="D222" s="30" t="inlineStr">
        <is>
          <t>Iol Chemicals And Pharmaceuticals Limited</t>
        </is>
      </c>
      <c r="E222" s="30" t="inlineStr">
        <is>
          <t>healthcare</t>
        </is>
      </c>
      <c r="F222" s="30" t="inlineStr">
        <is>
          <t>pharmaceuticals - indian - bulk drugs &amp; formln</t>
        </is>
      </c>
      <c r="G222" s="30" t="inlineStr">
        <is>
          <t>smallcap</t>
        </is>
      </c>
      <c r="H222" s="31" t="n">
        <v>4796.53</v>
      </c>
      <c r="I222" s="31" t="n">
        <v>163.18</v>
      </c>
      <c r="J222" s="31" t="n">
        <v>-0.14</v>
      </c>
      <c r="K222" s="31" t="n">
        <v>2373584</v>
      </c>
      <c r="L222" s="30" t="n">
        <v>88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70.23999999999999</v>
      </c>
      <c r="P222" s="31" t="n">
        <v>73.03</v>
      </c>
      <c r="Q222" s="31" t="n">
        <v>126.15</v>
      </c>
      <c r="R222" s="30" t="inlineStr">
        <is>
          <t>Earnings / Momentum Support</t>
        </is>
      </c>
      <c r="S222" s="30" t="inlineStr">
        <is>
          <t>Nifty Pharma</t>
        </is>
      </c>
      <c r="T222" s="31" t="n">
        <v>24.42</v>
      </c>
      <c r="U222" s="31" t="n">
        <v>74.59</v>
      </c>
      <c r="V222" s="31" t="n">
        <v>40.32</v>
      </c>
      <c r="W222" s="31" t="n">
        <v>28.13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Yes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No</t>
        </is>
      </c>
      <c r="AQ222" s="30">
        <f>IF(AP222="Yes",10,0)</f>
        <v/>
      </c>
      <c r="AR222" s="30" t="inlineStr">
        <is>
          <t>Higher Annuity, Lower One Time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Above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Negative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More than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Less than 1.5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IF(B223=0,"",RANK(B223,$B$2:$B$405,0))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HMVL</t>
        </is>
      </c>
      <c r="D223" s="30" t="inlineStr">
        <is>
          <t>Hindustan Media Ventures Limited</t>
        </is>
      </c>
      <c r="E223" s="30" t="inlineStr">
        <is>
          <t>media</t>
        </is>
      </c>
      <c r="F223" s="30" t="inlineStr">
        <is>
          <t>entertainment / electronic media software</t>
        </is>
      </c>
      <c r="G223" s="30" t="inlineStr">
        <is>
          <t>smallcap</t>
        </is>
      </c>
      <c r="H223" s="31" t="n">
        <v>766.55</v>
      </c>
      <c r="I223" s="31" t="n">
        <v>103.81</v>
      </c>
      <c r="J223" s="31" t="n">
        <v>-0.23</v>
      </c>
      <c r="K223" s="31" t="n">
        <v>92990</v>
      </c>
      <c r="L223" s="30" t="n">
        <v>69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76.31999999999999</v>
      </c>
      <c r="P223" s="31" t="n">
        <v>34.66</v>
      </c>
      <c r="Q223" s="31" t="n">
        <v>79.58</v>
      </c>
      <c r="R223" s="30" t="inlineStr">
        <is>
          <t>Volume Spike &amp; Near 52W High Breakout</t>
        </is>
      </c>
      <c r="S223" s="30" t="inlineStr">
        <is>
          <t>Nifty IT</t>
        </is>
      </c>
      <c r="T223" s="31" t="n">
        <v>-9.289999999999999</v>
      </c>
      <c r="U223" s="31" t="n">
        <v>17.5</v>
      </c>
      <c r="V223" s="31" t="n">
        <v>29.53</v>
      </c>
      <c r="W223" s="31" t="n">
        <v>16.14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Annuity, Lower One Time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Above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Blue sky scenario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Less than 12%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Between 50% to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IF(B224=0,"",RANK(B224,$B$2:$B$405,0))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UEL</t>
        </is>
      </c>
      <c r="D224" s="30" t="inlineStr">
        <is>
          <t>Ujaas Energy Ltd</t>
        </is>
      </c>
      <c r="E224" s="30" t="inlineStr">
        <is>
          <t>power &amp; utilities</t>
        </is>
      </c>
      <c r="F224" s="30" t="inlineStr">
        <is>
          <t>power generation and supply</t>
        </is>
      </c>
      <c r="G224" s="30" t="inlineStr">
        <is>
          <t>smallcap</t>
        </is>
      </c>
      <c r="H224" s="31" t="n">
        <v>2977.44</v>
      </c>
      <c r="I224" s="31" t="n">
        <v>245.52</v>
      </c>
      <c r="J224" s="31" t="n">
        <v>10</v>
      </c>
      <c r="K224" s="31" t="n">
        <v>8985</v>
      </c>
      <c r="L224" s="30" t="n">
        <v>89</v>
      </c>
      <c r="M224" s="30" t="inlineStr">
        <is>
          <t>Outperforming</t>
        </is>
      </c>
      <c r="N224" s="31">
        <f>IF(M224="Underperforming",-5,IF(L224&gt;=95,15,IF(L224&gt;=90,10,IF(L224&gt;=80,5,0))))</f>
        <v/>
      </c>
      <c r="O224" s="31" t="n">
        <v>76.52</v>
      </c>
      <c r="P224" s="31" t="n">
        <v>13.05</v>
      </c>
      <c r="Q224" s="31" t="n">
        <v>175.88</v>
      </c>
      <c r="R224" s="30" t="inlineStr">
        <is>
          <t>Volume Spike &amp; Near 52W High Breakout</t>
        </is>
      </c>
      <c r="S224" s="30" t="inlineStr">
        <is>
          <t>Nifty IT</t>
        </is>
      </c>
      <c r="T224" s="31" t="n">
        <v>-9.289999999999999</v>
      </c>
      <c r="U224" s="31" t="n">
        <v>100.89</v>
      </c>
      <c r="V224" s="31" t="n">
        <v>121.46</v>
      </c>
      <c r="W224" s="31" t="n">
        <v>28.96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0 to 20</t>
        </is>
      </c>
      <c r="AY224" s="30">
        <f>IF(AX224="Above 40",20,IF(AX224="20 to 40",10,IF(AX224="0 to 20",-5,0)))</f>
        <v/>
      </c>
      <c r="AZ224" s="30" t="inlineStr">
        <is>
          <t>Above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Blue sky scenario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IF(B225=0,"",RANK(B225,$B$2:$B$405,0))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ASKAUTOLTD</t>
        </is>
      </c>
      <c r="D225" s="30" t="inlineStr">
        <is>
          <t>ASK Automotive Ltd</t>
        </is>
      </c>
      <c r="E225" s="30" t="inlineStr">
        <is>
          <t>auto</t>
        </is>
      </c>
      <c r="F225" s="30" t="inlineStr">
        <is>
          <t>auto ancillaries</t>
        </is>
      </c>
      <c r="G225" s="30" t="inlineStr">
        <is>
          <t>midcap</t>
        </is>
      </c>
      <c r="H225" s="31" t="n">
        <v>12568.83</v>
      </c>
      <c r="I225" s="31" t="n">
        <v>678.8</v>
      </c>
      <c r="J225" s="31" t="n">
        <v>6.47</v>
      </c>
      <c r="K225" s="31" t="n">
        <v>9246518</v>
      </c>
      <c r="L225" s="30" t="n">
        <v>78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81.87</v>
      </c>
      <c r="P225" s="31" t="n">
        <v>15.61</v>
      </c>
      <c r="Q225" s="31" t="n">
        <v>546.4299999999999</v>
      </c>
      <c r="R225" s="30" t="inlineStr">
        <is>
          <t>Volume Spike &amp; Near 52W High Breakout</t>
        </is>
      </c>
      <c r="S225" s="30" t="inlineStr">
        <is>
          <t>Nifty Auto</t>
        </is>
      </c>
      <c r="T225" s="31" t="n">
        <v>22.44</v>
      </c>
      <c r="U225" s="31" t="n">
        <v>32.69</v>
      </c>
      <c r="V225" s="31" t="n">
        <v>8.369999999999999</v>
      </c>
      <c r="W225" s="31" t="n">
        <v>19.76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0 to 20</t>
        </is>
      </c>
      <c r="AY225" s="30">
        <f>IF(AX225="Above 40",20,IF(AX225="20 to 40",10,IF(AX225="0 to 20",-5,0)))</f>
        <v/>
      </c>
      <c r="AZ225" s="30" t="inlineStr">
        <is>
          <t>Above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Blue sky scenario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Between 1.5 to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IF(B226=0,"",RANK(B226,$B$2:$B$405,0))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2" t="inlineStr">
        <is>
          <t>INDOAMIN</t>
        </is>
      </c>
      <c r="D226" s="32" t="inlineStr">
        <is>
          <t>Indo Amines Ltd</t>
        </is>
      </c>
      <c r="E226" s="30" t="inlineStr">
        <is>
          <t>chemicals</t>
        </is>
      </c>
      <c r="F226" s="30" t="inlineStr">
        <is>
          <t>chemicals</t>
        </is>
      </c>
      <c r="G226" s="30" t="inlineStr">
        <is>
          <t>smallcap</t>
        </is>
      </c>
      <c r="H226" s="31" t="n">
        <v>935.22</v>
      </c>
      <c r="I226" s="31" t="n">
        <v>134.7</v>
      </c>
      <c r="J226" s="31" t="n">
        <v>4.55</v>
      </c>
      <c r="K226" s="31" t="n">
        <v>143599</v>
      </c>
      <c r="L226" s="30" t="n">
        <v>11</v>
      </c>
      <c r="M226" s="30" t="inlineStr">
        <is>
          <t>Underperforming</t>
        </is>
      </c>
      <c r="N226" s="31">
        <f>IF(M226="Underperforming",-5,IF(L226&gt;=95,15,IF(L226&gt;=90,10,IF(L226&gt;=80,5,0))))</f>
        <v/>
      </c>
      <c r="O226" s="31" t="n">
        <v>56.79</v>
      </c>
      <c r="P226" s="31" t="n">
        <v>28.92</v>
      </c>
      <c r="Q226" s="31" t="n">
        <v>108.3</v>
      </c>
      <c r="R226" s="30" t="inlineStr">
        <is>
          <t>Earnings / Momentum Support</t>
        </is>
      </c>
      <c r="S226" s="30" t="inlineStr">
        <is>
          <t>Nifty 50</t>
        </is>
      </c>
      <c r="T226" s="31" t="n">
        <v>1.09</v>
      </c>
      <c r="U226" s="31" t="n">
        <v>-2.34</v>
      </c>
      <c r="V226" s="31" t="n">
        <v>-3.39</v>
      </c>
      <c r="W226" s="31" t="n">
        <v>1.6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Less than 1.5</t>
        </is>
      </c>
      <c r="BU226" s="30">
        <f>IF(BT226="Above 2",0,IF(BT226="Between 1.5 to 2",5,IF(BT226="Less than 1.5",10,0)))</f>
        <v/>
      </c>
      <c r="BV226" s="30" t="inlineStr">
        <is>
          <t>Between 50% to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Between 0.7 to 1.2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IF(B227=0,"",RANK(B227,$B$2:$B$405,0))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INDNIPPON</t>
        </is>
      </c>
      <c r="D227" s="30" t="inlineStr">
        <is>
          <t>India Nippon Electricals Limited</t>
        </is>
      </c>
      <c r="E227" s="30" t="inlineStr">
        <is>
          <t>auto</t>
        </is>
      </c>
      <c r="F227" s="30" t="inlineStr">
        <is>
          <t>auto ancillaries</t>
        </is>
      </c>
      <c r="G227" s="30" t="inlineStr">
        <is>
          <t>smallcap</t>
        </is>
      </c>
      <c r="H227" s="31" t="n">
        <v>2571.15</v>
      </c>
      <c r="I227" s="31" t="n">
        <v>1175</v>
      </c>
      <c r="J227" s="31" t="n">
        <v>3.38</v>
      </c>
      <c r="K227" s="31" t="n">
        <v>31621</v>
      </c>
      <c r="L227" s="30" t="n">
        <v>82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70.65000000000001</v>
      </c>
      <c r="P227" s="31" t="n">
        <v>38.03</v>
      </c>
      <c r="Q227" s="31" t="n">
        <v>964.58</v>
      </c>
      <c r="R227" s="30" t="inlineStr">
        <is>
          <t>Near 52W High Breakout</t>
        </is>
      </c>
      <c r="S227" s="30" t="inlineStr">
        <is>
          <t>Nifty Auto</t>
        </is>
      </c>
      <c r="T227" s="31" t="n">
        <v>22.44</v>
      </c>
      <c r="U227" s="31" t="n">
        <v>52.31</v>
      </c>
      <c r="V227" s="31" t="n">
        <v>24.4</v>
      </c>
      <c r="W227" s="31" t="n">
        <v>21.81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Negative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Blue sky scenario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No</t>
        </is>
      </c>
      <c r="BS227" s="30">
        <f>IF(BR227="NO",5,0)</f>
        <v/>
      </c>
      <c r="BT227" s="30" t="inlineStr">
        <is>
          <t>Less than 1.5</t>
        </is>
      </c>
      <c r="BU227" s="30">
        <f>IF(BT227="Above 2",0,IF(BT227="Between 1.5 to 2",5,IF(BT227="Less than 1.5",10,0)))</f>
        <v/>
      </c>
      <c r="BV227" s="30" t="inlineStr">
        <is>
          <t>Less than 50%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IF(B228=0,"",RANK(B228,$B$2:$B$405,0))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RBA</t>
        </is>
      </c>
      <c r="D228" s="30" t="inlineStr">
        <is>
          <t>Restaurant Brands Asia Ltd</t>
        </is>
      </c>
      <c r="E228" s="30" t="inlineStr">
        <is>
          <t>consumer discretionary</t>
        </is>
      </c>
      <c r="F228" s="30" t="inlineStr">
        <is>
          <t>hotels</t>
        </is>
      </c>
      <c r="G228" s="30" t="inlineStr">
        <is>
          <t>midcap</t>
        </is>
      </c>
      <c r="H228" s="31" t="n">
        <v>6244.62</v>
      </c>
      <c r="I228" s="31" t="n">
        <v>90.25</v>
      </c>
      <c r="J228" s="31" t="n">
        <v>2.86</v>
      </c>
      <c r="K228" s="31" t="n">
        <v>50121871</v>
      </c>
      <c r="L228" s="30" t="n">
        <v>48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71.34</v>
      </c>
      <c r="P228" s="31" t="n">
        <v>24.81</v>
      </c>
      <c r="Q228" s="31" t="n">
        <v>72.76000000000001</v>
      </c>
      <c r="R228" s="30" t="inlineStr">
        <is>
          <t>Volume Spike &amp; Near 52W High Breakout</t>
        </is>
      </c>
      <c r="S228" s="30" t="inlineStr">
        <is>
          <t>Nifty 50</t>
        </is>
      </c>
      <c r="T228" s="31" t="n">
        <v>1.09</v>
      </c>
      <c r="U228" s="31" t="n">
        <v>13.83</v>
      </c>
      <c r="V228" s="31" t="n">
        <v>12.61</v>
      </c>
      <c r="W228" s="31" t="n">
        <v>10.58</v>
      </c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No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More than 1.2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IF(B229=0,"",RANK(B229,$B$2:$B$405,0))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ROSSTECH</t>
        </is>
      </c>
      <c r="D229" s="30" t="inlineStr">
        <is>
          <t>Rossell Techsys Ltd</t>
        </is>
      </c>
      <c r="E229" s="30" t="inlineStr">
        <is>
          <t>aerospace &amp; defence</t>
        </is>
      </c>
      <c r="F229" s="30" t="inlineStr">
        <is>
          <t>engineering</t>
        </is>
      </c>
      <c r="G229" s="30" t="inlineStr">
        <is>
          <t>smallcap</t>
        </is>
      </c>
      <c r="H229" s="31" t="n">
        <v>4013.36</v>
      </c>
      <c r="I229" s="31" t="n">
        <v>1090.2</v>
      </c>
      <c r="J229" s="31" t="n">
        <v>2.4</v>
      </c>
      <c r="K229" s="31" t="n">
        <v>275629</v>
      </c>
      <c r="L229" s="30" t="n">
        <v>71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63.22</v>
      </c>
      <c r="P229" s="31" t="n">
        <v>30.73</v>
      </c>
      <c r="Q229" s="31" t="n">
        <v>750.34</v>
      </c>
      <c r="R229" s="30" t="inlineStr">
        <is>
          <t>Volume Spike &amp; Near 52W High Breakout</t>
        </is>
      </c>
      <c r="S229" s="30" t="inlineStr">
        <is>
          <t>Nifty 50</t>
        </is>
      </c>
      <c r="T229" s="31" t="n">
        <v>1.09</v>
      </c>
      <c r="U229" s="31" t="n">
        <v>80.7</v>
      </c>
      <c r="V229" s="31" t="n">
        <v>78.76000000000001</v>
      </c>
      <c r="W229" s="31" t="n">
        <v>16.9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20 to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Blue sky scenario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Above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More than 1.2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IF(B230=0,"",RANK(B230,$B$2:$B$405,0))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2" t="inlineStr">
        <is>
          <t>RELAXO</t>
        </is>
      </c>
      <c r="D230" s="32" t="inlineStr">
        <is>
          <t>Relaxo Footwears Limited</t>
        </is>
      </c>
      <c r="E230" s="30" t="inlineStr">
        <is>
          <t>consumer discretionary</t>
        </is>
      </c>
      <c r="F230" s="30" t="inlineStr">
        <is>
          <t>leather / leather products</t>
        </is>
      </c>
      <c r="G230" s="30" t="inlineStr">
        <is>
          <t>midcap</t>
        </is>
      </c>
      <c r="H230" s="31" t="n">
        <v>10359.58</v>
      </c>
      <c r="I230" s="31" t="n">
        <v>425.8</v>
      </c>
      <c r="J230" s="31" t="n">
        <v>2.32</v>
      </c>
      <c r="K230" s="31" t="n">
        <v>496257</v>
      </c>
      <c r="L230" s="30" t="n">
        <v>42</v>
      </c>
      <c r="M230" s="30" t="inlineStr">
        <is>
          <t>Underperforming</t>
        </is>
      </c>
      <c r="N230" s="31">
        <f>IF(M230="Underperforming",-5,IF(L230&gt;=95,15,IF(L230&gt;=90,10,IF(L230&gt;=80,5,0))))</f>
        <v/>
      </c>
      <c r="O230" s="31" t="n">
        <v>61.15</v>
      </c>
      <c r="P230" s="31" t="n">
        <v>27.23</v>
      </c>
      <c r="Q230" s="31" t="n">
        <v>331.05</v>
      </c>
      <c r="R230" s="30" t="inlineStr">
        <is>
          <t>Earnings / Momentum Support</t>
        </is>
      </c>
      <c r="S230" s="30" t="inlineStr">
        <is>
          <t>Nifty 50</t>
        </is>
      </c>
      <c r="T230" s="31" t="n">
        <v>1.09</v>
      </c>
      <c r="U230" s="31" t="n">
        <v>-1.74</v>
      </c>
      <c r="V230" s="31" t="n">
        <v>-2.8</v>
      </c>
      <c r="W230" s="31" t="n">
        <v>8.94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No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Yes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IF(B231=0,"",RANK(B231,$B$2:$B$405,0))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MBAPL</t>
        </is>
      </c>
      <c r="D231" s="30" t="inlineStr">
        <is>
          <t>Madhya Bharat Agro Products Ltd</t>
        </is>
      </c>
      <c r="E231" s="30" t="inlineStr">
        <is>
          <t>chemicals</t>
        </is>
      </c>
      <c r="F231" s="30" t="inlineStr">
        <is>
          <t>fertilizers</t>
        </is>
      </c>
      <c r="G231" s="30" t="inlineStr">
        <is>
          <t>smallcap</t>
        </is>
      </c>
      <c r="H231" s="31" t="n">
        <v>1375.13</v>
      </c>
      <c r="I231" s="31" t="n">
        <v>160.39</v>
      </c>
      <c r="J231" s="31" t="n">
        <v>2.2</v>
      </c>
      <c r="K231" s="31" t="n">
        <v>515434</v>
      </c>
      <c r="L231" s="30" t="n">
        <v>82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79.77</v>
      </c>
      <c r="P231" s="31" t="n">
        <v>63.66</v>
      </c>
      <c r="Q231" s="31" t="n">
        <v>133.1</v>
      </c>
      <c r="R231" s="30" t="inlineStr">
        <is>
          <t>Near 52W High Breakout</t>
        </is>
      </c>
      <c r="S231" s="30" t="inlineStr">
        <is>
          <t>Nifty 50</t>
        </is>
      </c>
      <c r="T231" s="31" t="n">
        <v>1.09</v>
      </c>
      <c r="U231" s="31" t="n">
        <v>88.3</v>
      </c>
      <c r="V231" s="31" t="n">
        <v>86.27</v>
      </c>
      <c r="W231" s="31" t="n">
        <v>22.3</v>
      </c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Above 40</t>
        </is>
      </c>
      <c r="AY231" s="30">
        <f>IF(AX231="Above 40",20,IF(AX231="20 to 40",10,IF(AX231="0 to 20",-5,0)))</f>
        <v/>
      </c>
      <c r="AZ231" s="30" t="inlineStr">
        <is>
          <t>Above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Blue sky scenario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Between 12 to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More than 1.2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IF(B232=0,"",RANK(B232,$B$2:$B$405,0))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2" t="inlineStr">
        <is>
          <t>BASF</t>
        </is>
      </c>
      <c r="D232" s="32" t="inlineStr">
        <is>
          <t>Basf India Limited</t>
        </is>
      </c>
      <c r="E232" s="30" t="inlineStr">
        <is>
          <t>chemicals</t>
        </is>
      </c>
      <c r="F232" s="30" t="inlineStr">
        <is>
          <t>chemicals</t>
        </is>
      </c>
      <c r="G232" s="30" t="inlineStr">
        <is>
          <t>midcap</t>
        </is>
      </c>
      <c r="H232" s="31" t="n">
        <v>17472.68</v>
      </c>
      <c r="I232" s="31" t="n">
        <v>4125</v>
      </c>
      <c r="J232" s="31" t="n">
        <v>2.19</v>
      </c>
      <c r="K232" s="31" t="n">
        <v>173705</v>
      </c>
      <c r="L232" s="30" t="n">
        <v>4</v>
      </c>
      <c r="M232" s="30" t="inlineStr">
        <is>
          <t>Underperforming</t>
        </is>
      </c>
      <c r="N232" s="31">
        <f>IF(M232="Underperforming",-5,IF(L232&gt;=95,15,IF(L232&gt;=90,10,IF(L232&gt;=80,5,0))))</f>
        <v/>
      </c>
      <c r="O232" s="31" t="n">
        <v>62.9</v>
      </c>
      <c r="P232" s="31" t="n">
        <v>13.81</v>
      </c>
      <c r="Q232" s="31" t="n">
        <v>3299.01</v>
      </c>
      <c r="R232" s="30" t="inlineStr">
        <is>
          <t>Volume Spike / Accumulation</t>
        </is>
      </c>
      <c r="S232" s="30" t="inlineStr">
        <is>
          <t>Nifty 50</t>
        </is>
      </c>
      <c r="T232" s="31" t="n">
        <v>1.09</v>
      </c>
      <c r="U232" s="31" t="n">
        <v>-7.79</v>
      </c>
      <c r="V232" s="31" t="n">
        <v>-8.779999999999999</v>
      </c>
      <c r="W232" s="31" t="n">
        <v>-0.52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0 to 20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IF(B233=0,"",RANK(B233,$B$2:$B$405,0))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SKYGOLD</t>
        </is>
      </c>
      <c r="D233" s="30" t="inlineStr">
        <is>
          <t>Sky Gold Ltd</t>
        </is>
      </c>
      <c r="E233" s="30" t="inlineStr">
        <is>
          <t>consumer discretionary</t>
        </is>
      </c>
      <c r="F233" s="30" t="inlineStr">
        <is>
          <t>diamond cutting / jewellery</t>
        </is>
      </c>
      <c r="G233" s="30" t="inlineStr">
        <is>
          <t>midcap</t>
        </is>
      </c>
      <c r="H233" s="31" t="n">
        <v>10509.74</v>
      </c>
      <c r="I233" s="31" t="n">
        <v>691.15</v>
      </c>
      <c r="J233" s="31" t="n">
        <v>1.85</v>
      </c>
      <c r="K233" s="31" t="n">
        <v>819048</v>
      </c>
      <c r="L233" s="30" t="n">
        <v>88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75.41</v>
      </c>
      <c r="P233" s="31" t="n">
        <v>59.64</v>
      </c>
      <c r="Q233" s="31" t="n">
        <v>515.48</v>
      </c>
      <c r="R233" s="30" t="inlineStr">
        <is>
          <t>Near 52W High Breakout</t>
        </is>
      </c>
      <c r="S233" s="30" t="inlineStr">
        <is>
          <t>Nifty 50</t>
        </is>
      </c>
      <c r="T233" s="31" t="n">
        <v>1.09</v>
      </c>
      <c r="U233" s="31" t="n">
        <v>148.1</v>
      </c>
      <c r="V233" s="31" t="n">
        <v>145.43</v>
      </c>
      <c r="W233" s="31" t="n">
        <v>28.08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Above 40</t>
        </is>
      </c>
      <c r="AY233" s="30">
        <f>IF(AX233="Above 40",20,IF(AX233="20 to 40",10,IF(AX233="0 to 20",-5,0)))</f>
        <v/>
      </c>
      <c r="AZ233" s="30" t="inlineStr">
        <is>
          <t>Above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Blue sky scenario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No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Negative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Between 0.7 to 1.2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IF(B234=0,"",RANK(B234,$B$2:$B$405,0))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TITAN</t>
        </is>
      </c>
      <c r="D234" s="30" t="inlineStr">
        <is>
          <t>Titan Company Limited</t>
        </is>
      </c>
      <c r="E234" s="30" t="inlineStr">
        <is>
          <t>consumer discretionary</t>
        </is>
      </c>
      <c r="F234" s="30" t="inlineStr">
        <is>
          <t>diamond cutting / jewellery</t>
        </is>
      </c>
      <c r="G234" s="30" t="inlineStr">
        <is>
          <t>largecap</t>
        </is>
      </c>
      <c r="H234" s="31" t="n">
        <v>436116.07</v>
      </c>
      <c r="I234" s="31" t="n">
        <v>4998</v>
      </c>
      <c r="J234" s="31" t="n">
        <v>1.74</v>
      </c>
      <c r="K234" s="31" t="n">
        <v>2534662</v>
      </c>
      <c r="L234" s="30" t="n">
        <v>45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70.16</v>
      </c>
      <c r="P234" s="31" t="n">
        <v>20.65</v>
      </c>
      <c r="Q234" s="31" t="n">
        <v>4341.63</v>
      </c>
      <c r="R234" s="30" t="inlineStr">
        <is>
          <t>Near 52W High Breakout</t>
        </is>
      </c>
      <c r="S234" s="30" t="inlineStr">
        <is>
          <t>Nifty 50</t>
        </is>
      </c>
      <c r="T234" s="31" t="n">
        <v>1.09</v>
      </c>
      <c r="U234" s="31" t="n">
        <v>44.25</v>
      </c>
      <c r="V234" s="31" t="n">
        <v>42.7</v>
      </c>
      <c r="W234" s="31" t="n">
        <v>9.82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Yes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Blue sky scenario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More than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Yes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More than 1.2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IF(B235=0,"",RANK(B235,$B$2:$B$405,0))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2" t="inlineStr">
        <is>
          <t>KAMDHENU</t>
        </is>
      </c>
      <c r="D235" s="32" t="inlineStr">
        <is>
          <t>Kamdhenu Limited</t>
        </is>
      </c>
      <c r="E235" s="30" t="inlineStr">
        <is>
          <t>metals &amp; mining</t>
        </is>
      </c>
      <c r="F235" s="30" t="inlineStr">
        <is>
          <t>steel - medium / small</t>
        </is>
      </c>
      <c r="G235" s="30" t="inlineStr">
        <is>
          <t>smallcap</t>
        </is>
      </c>
      <c r="H235" s="31" t="n">
        <v>975.6</v>
      </c>
      <c r="I235" s="31" t="n">
        <v>35.05</v>
      </c>
      <c r="J235" s="31" t="n">
        <v>1.27</v>
      </c>
      <c r="K235" s="31" t="n">
        <v>303152</v>
      </c>
      <c r="L235" s="30" t="n">
        <v>74</v>
      </c>
      <c r="M235" s="30" t="inlineStr">
        <is>
          <t>Underperforming</t>
        </is>
      </c>
      <c r="N235" s="31">
        <f>IF(M235="Underperforming",-5,IF(L235&gt;=95,15,IF(L235&gt;=90,10,IF(L235&gt;=80,5,0))))</f>
        <v/>
      </c>
      <c r="O235" s="31" t="n">
        <v>67.81999999999999</v>
      </c>
      <c r="P235" s="31" t="n">
        <v>38.9</v>
      </c>
      <c r="Q235" s="31" t="n">
        <v>27.13</v>
      </c>
      <c r="R235" s="30" t="inlineStr">
        <is>
          <t>Near 52W High Breakout</t>
        </is>
      </c>
      <c r="S235" s="30" t="inlineStr">
        <is>
          <t>Nifty Metal</t>
        </is>
      </c>
      <c r="T235" s="31" t="n">
        <v>39.44</v>
      </c>
      <c r="U235" s="31" t="n">
        <v>17.89</v>
      </c>
      <c r="V235" s="31" t="n">
        <v>-15.46</v>
      </c>
      <c r="W235" s="31" t="n">
        <v>18.59</v>
      </c>
      <c r="X235" s="30" t="inlineStr">
        <is>
          <t>Cyclical in an Upturn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Cyclical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Volatile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No</t>
        </is>
      </c>
      <c r="BS235" s="30">
        <f>IF(BR235="NO",5,0)</f>
        <v/>
      </c>
      <c r="BT235" s="30" t="inlineStr">
        <is>
          <t>Less than 1.5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IF(B236=0,"",RANK(B236,$B$2:$B$405,0))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BHARATFORG</t>
        </is>
      </c>
      <c r="D236" s="30" t="inlineStr">
        <is>
          <t>Bharat Forge Limited</t>
        </is>
      </c>
      <c r="E236" s="30" t="inlineStr">
        <is>
          <t>industrials</t>
        </is>
      </c>
      <c r="F236" s="30" t="inlineStr">
        <is>
          <t>castings &amp; forgings</t>
        </is>
      </c>
      <c r="G236" s="30" t="inlineStr">
        <is>
          <t>largecap</t>
        </is>
      </c>
      <c r="H236" s="31" t="n">
        <v>105040.85</v>
      </c>
      <c r="I236" s="31" t="n">
        <v>2210</v>
      </c>
      <c r="J236" s="31" t="n">
        <v>0.59</v>
      </c>
      <c r="K236" s="31" t="n">
        <v>1768682</v>
      </c>
      <c r="L236" s="30" t="n">
        <v>71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71.56</v>
      </c>
      <c r="P236" s="31" t="n">
        <v>46.86</v>
      </c>
      <c r="Q236" s="31" t="n">
        <v>1874.75</v>
      </c>
      <c r="R236" s="30" t="inlineStr">
        <is>
          <t>Near 52W High Breakout</t>
        </is>
      </c>
      <c r="S236" s="30" t="inlineStr">
        <is>
          <t>Nifty 50</t>
        </is>
      </c>
      <c r="T236" s="31" t="n">
        <v>1.09</v>
      </c>
      <c r="U236" s="31" t="n">
        <v>95.27</v>
      </c>
      <c r="V236" s="31" t="n">
        <v>93.17</v>
      </c>
      <c r="W236" s="31" t="n">
        <v>16.95</v>
      </c>
      <c r="X236" s="30" t="inlineStr">
        <is>
          <t>Cyclical in an Upturn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Above 40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Blue sky scenario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Less than 12%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Between 50% to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Between 0.7 to 1.2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IF(B237=0,"",RANK(B237,$B$2:$B$405,0))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ABB</t>
        </is>
      </c>
      <c r="D237" s="30" t="inlineStr">
        <is>
          <t>Abb India Limited</t>
        </is>
      </c>
      <c r="E237" s="30" t="inlineStr">
        <is>
          <t>industrials</t>
        </is>
      </c>
      <c r="F237" s="30" t="inlineStr">
        <is>
          <t>electric equipment</t>
        </is>
      </c>
      <c r="G237" s="30" t="inlineStr">
        <is>
          <t>largecap</t>
        </is>
      </c>
      <c r="H237" s="31" t="n">
        <v>162968.14</v>
      </c>
      <c r="I237" s="31" t="n">
        <v>7735</v>
      </c>
      <c r="J237" s="31" t="n">
        <v>0.58</v>
      </c>
      <c r="K237" s="31" t="n">
        <v>314075</v>
      </c>
      <c r="L237" s="30" t="n">
        <v>53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64.42</v>
      </c>
      <c r="P237" s="31" t="n">
        <v>30.71</v>
      </c>
      <c r="Q237" s="31" t="n">
        <v>6238.34</v>
      </c>
      <c r="R237" s="30" t="inlineStr">
        <is>
          <t>Near 52W High Breakout</t>
        </is>
      </c>
      <c r="S237" s="30" t="inlineStr">
        <is>
          <t>Nifty 50</t>
        </is>
      </c>
      <c r="T237" s="31" t="n">
        <v>1.09</v>
      </c>
      <c r="U237" s="31" t="n">
        <v>54.61</v>
      </c>
      <c r="V237" s="31" t="n">
        <v>52.95</v>
      </c>
      <c r="W237" s="31" t="n">
        <v>11.49</v>
      </c>
      <c r="X237" s="30" t="inlineStr">
        <is>
          <t>Cyclical in an Upturn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20 to 40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Less than 12%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Yes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IF(B238=0,"",RANK(B238,$B$2:$B$405,0))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2" t="inlineStr">
        <is>
          <t>MMP</t>
        </is>
      </c>
      <c r="D238" s="32" t="inlineStr">
        <is>
          <t>MMP Industries Ltd</t>
        </is>
      </c>
      <c r="E238" s="30" t="inlineStr">
        <is>
          <t>metals &amp; mining</t>
        </is>
      </c>
      <c r="F238" s="30" t="inlineStr">
        <is>
          <t>aluminium and aluminium products</t>
        </is>
      </c>
      <c r="G238" s="30" t="inlineStr">
        <is>
          <t>smallcap</t>
        </is>
      </c>
      <c r="H238" s="31" t="n">
        <v>623.16</v>
      </c>
      <c r="I238" s="31" t="n">
        <v>330.25</v>
      </c>
      <c r="J238" s="31" t="n">
        <v>0.27</v>
      </c>
      <c r="K238" s="31" t="n">
        <v>161584</v>
      </c>
      <c r="L238" s="30" t="n">
        <v>53</v>
      </c>
      <c r="M238" s="30" t="inlineStr">
        <is>
          <t>Underperforming</t>
        </is>
      </c>
      <c r="N238" s="31">
        <f>IF(M238="Underperforming",-5,IF(L238&gt;=95,15,IF(L238&gt;=90,10,IF(L238&gt;=80,5,0))))</f>
        <v/>
      </c>
      <c r="O238" s="31" t="n">
        <v>69.02</v>
      </c>
      <c r="P238" s="31" t="n">
        <v>36.66</v>
      </c>
      <c r="Q238" s="31" t="n">
        <v>251.72</v>
      </c>
      <c r="R238" s="30" t="inlineStr">
        <is>
          <t>Volume Spike &amp; Near 52W High Breakout</t>
        </is>
      </c>
      <c r="S238" s="30" t="inlineStr">
        <is>
          <t>Nifty Metal</t>
        </is>
      </c>
      <c r="T238" s="31" t="n">
        <v>39.44</v>
      </c>
      <c r="U238" s="31" t="n">
        <v>22.55</v>
      </c>
      <c r="V238" s="31" t="n">
        <v>-12.11</v>
      </c>
      <c r="W238" s="31" t="n">
        <v>11.44</v>
      </c>
      <c r="X238" s="30" t="inlineStr">
        <is>
          <t>Cyclical in an Upturn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Cyclical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Volatile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No</t>
        </is>
      </c>
      <c r="BS238" s="30">
        <f>IF(BR238="NO",5,0)</f>
        <v/>
      </c>
      <c r="BT238" s="30" t="inlineStr">
        <is>
          <t>Less than 1.5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IF(B239=0,"",RANK(B239,$B$2:$B$405,0))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EMAMIPAP</t>
        </is>
      </c>
      <c r="D239" s="30" t="inlineStr">
        <is>
          <t>Emami Paper Mills Ltd</t>
        </is>
      </c>
      <c r="E239" s="30" t="inlineStr">
        <is>
          <t>building materials</t>
        </is>
      </c>
      <c r="F239" s="30" t="inlineStr">
        <is>
          <t>paper</t>
        </is>
      </c>
      <c r="G239" s="30" t="inlineStr">
        <is>
          <t>smallcap</t>
        </is>
      </c>
      <c r="H239" s="31" t="n">
        <v>676.86</v>
      </c>
      <c r="I239" s="31" t="n">
        <v>112.06</v>
      </c>
      <c r="J239" s="31" t="n">
        <v>0.16</v>
      </c>
      <c r="K239" s="31" t="n">
        <v>76456</v>
      </c>
      <c r="L239" s="30" t="n">
        <v>70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66.62</v>
      </c>
      <c r="P239" s="31" t="n">
        <v>16.08</v>
      </c>
      <c r="Q239" s="31" t="n">
        <v>86.34</v>
      </c>
      <c r="R239" s="30" t="inlineStr">
        <is>
          <t>Near 52W High Breakout</t>
        </is>
      </c>
      <c r="S239" s="30" t="inlineStr">
        <is>
          <t>Nifty Infra</t>
        </is>
      </c>
      <c r="T239" s="31" t="n">
        <v>4.3</v>
      </c>
      <c r="U239" s="31" t="n">
        <v>16.9</v>
      </c>
      <c r="V239" s="31" t="n">
        <v>12.08</v>
      </c>
      <c r="W239" s="31" t="n">
        <v>16.52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Yes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0 to 20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Blue sky scenario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No</t>
        </is>
      </c>
      <c r="BS239" s="30">
        <f>IF(BR239="NO",5,0)</f>
        <v/>
      </c>
      <c r="BT239" s="30" t="inlineStr">
        <is>
          <t>Less than 1.5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More than 1.2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IF(B240=0,"",RANK(B240,$B$2:$B$405,0))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2" t="inlineStr">
        <is>
          <t>ARROWGREEN</t>
        </is>
      </c>
      <c r="D240" s="32" t="inlineStr">
        <is>
          <t>Arrow Greentech Limited</t>
        </is>
      </c>
      <c r="E240" s="30" t="inlineStr">
        <is>
          <t>plastic products</t>
        </is>
      </c>
      <c r="F240" s="30" t="inlineStr">
        <is>
          <t>plastics products</t>
        </is>
      </c>
      <c r="G240" s="30" t="inlineStr">
        <is>
          <t>smallcap</t>
        </is>
      </c>
      <c r="H240" s="31" t="n">
        <v>1124.2</v>
      </c>
      <c r="I240" s="31" t="n">
        <v>746.1</v>
      </c>
      <c r="J240" s="31" t="n">
        <v>0.13</v>
      </c>
      <c r="K240" s="31" t="n">
        <v>17477</v>
      </c>
      <c r="L240" s="30" t="n">
        <v>41</v>
      </c>
      <c r="M240" s="30" t="inlineStr">
        <is>
          <t>Underperforming</t>
        </is>
      </c>
      <c r="N240" s="31">
        <f>IF(M240="Underperforming",-5,IF(L240&gt;=95,15,IF(L240&gt;=90,10,IF(L240&gt;=80,5,0))))</f>
        <v/>
      </c>
      <c r="O240" s="31" t="n">
        <v>69.84</v>
      </c>
      <c r="P240" s="31" t="n">
        <v>32.36</v>
      </c>
      <c r="Q240" s="31" t="n">
        <v>544.36</v>
      </c>
      <c r="R240" s="30" t="inlineStr">
        <is>
          <t>Near 52W High Breakout</t>
        </is>
      </c>
      <c r="S240" s="30" t="inlineStr">
        <is>
          <t>Nifty 50</t>
        </is>
      </c>
      <c r="T240" s="31" t="n">
        <v>1.09</v>
      </c>
      <c r="U240" s="31" t="n">
        <v>0.02</v>
      </c>
      <c r="V240" s="31" t="n">
        <v>-1.06</v>
      </c>
      <c r="W240" s="31" t="n">
        <v>8.779999999999999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Less than 12%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No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Between 50% to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IF(B241=0,"",RANK(B241,$B$2:$B$405,0))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MAHLOG</t>
        </is>
      </c>
      <c r="D241" s="30" t="inlineStr">
        <is>
          <t>Mahindra Logistics Ltd</t>
        </is>
      </c>
      <c r="E241" s="30" t="inlineStr">
        <is>
          <t>transportation</t>
        </is>
      </c>
      <c r="F241" s="30" t="inlineStr">
        <is>
          <t>miscellaneous</t>
        </is>
      </c>
      <c r="G241" s="30" t="inlineStr">
        <is>
          <t>smallcap</t>
        </is>
      </c>
      <c r="H241" s="31" t="n">
        <v>4102.85</v>
      </c>
      <c r="I241" s="31" t="n">
        <v>413.9</v>
      </c>
      <c r="J241" s="31" t="n">
        <v>0.1</v>
      </c>
      <c r="K241" s="31" t="n">
        <v>177016</v>
      </c>
      <c r="L241" s="30" t="n">
        <v>32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60.19</v>
      </c>
      <c r="P241" s="31" t="n">
        <v>19.54</v>
      </c>
      <c r="Q241" s="31" t="n">
        <v>323.35</v>
      </c>
      <c r="R241" s="30" t="inlineStr">
        <is>
          <t>Near 52W High Breakout</t>
        </is>
      </c>
      <c r="S241" s="30" t="inlineStr">
        <is>
          <t>Nifty 50</t>
        </is>
      </c>
      <c r="T241" s="31" t="n">
        <v>1.09</v>
      </c>
      <c r="U241" s="31" t="n">
        <v>29.29</v>
      </c>
      <c r="V241" s="31" t="n">
        <v>27.9</v>
      </c>
      <c r="W241" s="31" t="n">
        <v>6.28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0 to 20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IF(B242=0,"",RANK(B242,$B$2:$B$405,0))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3MINDIA</t>
        </is>
      </c>
      <c r="D242" s="30" t="inlineStr">
        <is>
          <t>3m India Limited</t>
        </is>
      </c>
      <c r="E242" s="30" t="inlineStr">
        <is>
          <t>miscellaneous</t>
        </is>
      </c>
      <c r="F242" s="30" t="inlineStr">
        <is>
          <t>diversified - large</t>
        </is>
      </c>
      <c r="G242" s="30" t="inlineStr">
        <is>
          <t>largecap</t>
        </is>
      </c>
      <c r="H242" s="31" t="n">
        <v>40334.58</v>
      </c>
      <c r="I242" s="31" t="n">
        <v>35820</v>
      </c>
      <c r="J242" s="31" t="n">
        <v>0.04</v>
      </c>
      <c r="K242" s="31" t="n">
        <v>4631</v>
      </c>
      <c r="L242" s="30" t="n">
        <v>33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62.61</v>
      </c>
      <c r="P242" s="31" t="n">
        <v>15.19</v>
      </c>
      <c r="Q242" s="31" t="n">
        <v>30664.21</v>
      </c>
      <c r="R242" s="30" t="inlineStr">
        <is>
          <t>Near 52W High Breakout</t>
        </is>
      </c>
      <c r="S242" s="30" t="inlineStr">
        <is>
          <t>Nifty 50</t>
        </is>
      </c>
      <c r="T242" s="31" t="n">
        <v>1.09</v>
      </c>
      <c r="U242" s="31" t="n">
        <v>16.58</v>
      </c>
      <c r="V242" s="31" t="n">
        <v>15.32</v>
      </c>
      <c r="W242" s="31" t="n">
        <v>6.51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0 to 20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Blue sky scenario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Yes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Between 50% to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IF(B243=0,"",RANK(B243,$B$2:$B$405,0))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LUMAXIND</t>
        </is>
      </c>
      <c r="D243" s="30" t="inlineStr">
        <is>
          <t>Lumax Industries Limited</t>
        </is>
      </c>
      <c r="E243" s="30" t="inlineStr">
        <is>
          <t>auto</t>
        </is>
      </c>
      <c r="F243" s="30" t="inlineStr">
        <is>
          <t>auto ancillaries</t>
        </is>
      </c>
      <c r="G243" s="30" t="inlineStr">
        <is>
          <t>midcap</t>
        </is>
      </c>
      <c r="H243" s="31" t="n">
        <v>5419.82</v>
      </c>
      <c r="I243" s="31" t="n">
        <v>5799.5</v>
      </c>
      <c r="J243" s="31" t="n">
        <v>0.03</v>
      </c>
      <c r="K243" s="31" t="n">
        <v>15036</v>
      </c>
      <c r="L243" s="30" t="n">
        <v>57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59.85</v>
      </c>
      <c r="P243" s="31" t="n">
        <v>10.25</v>
      </c>
      <c r="Q243" s="31" t="n">
        <v>4397.75</v>
      </c>
      <c r="R243" s="30" t="inlineStr">
        <is>
          <t>Volume Spike &amp; Near 52W High Breakout</t>
        </is>
      </c>
      <c r="S243" s="30" t="inlineStr">
        <is>
          <t>Nifty Auto</t>
        </is>
      </c>
      <c r="T243" s="31" t="n">
        <v>22.44</v>
      </c>
      <c r="U243" s="31" t="n">
        <v>54.96</v>
      </c>
      <c r="V243" s="31" t="n">
        <v>26.56</v>
      </c>
      <c r="W243" s="31" t="n">
        <v>12.64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Headwind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0 to 20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Blue sky scenario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No</t>
        </is>
      </c>
      <c r="BS243" s="30">
        <f>IF(BR243="NO",5,0)</f>
        <v/>
      </c>
      <c r="BT243" s="30" t="inlineStr">
        <is>
          <t>Less than 1.5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Between 0.7 to 1.2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IF(B244=0,"",RANK(B244,$B$2:$B$405,0))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ETHOSLTD</t>
        </is>
      </c>
      <c r="D244" s="30" t="inlineStr">
        <is>
          <t>Ethos Ltd</t>
        </is>
      </c>
      <c r="E244" s="30" t="inlineStr">
        <is>
          <t>consumer discretionary</t>
        </is>
      </c>
      <c r="F244" s="30" t="inlineStr">
        <is>
          <t>trading</t>
        </is>
      </c>
      <c r="G244" s="30" t="inlineStr">
        <is>
          <t>midcap</t>
        </is>
      </c>
      <c r="H244" s="31" t="n">
        <v>7584.2</v>
      </c>
      <c r="I244" s="31" t="n">
        <v>2824.5</v>
      </c>
      <c r="J244" s="31" t="n">
        <v>-0.35</v>
      </c>
      <c r="K244" s="31" t="n">
        <v>40277</v>
      </c>
      <c r="L244" s="30" t="n">
        <v>27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63.42</v>
      </c>
      <c r="P244" s="31" t="n">
        <v>12.11</v>
      </c>
      <c r="Q244" s="31" t="n">
        <v>2188.25</v>
      </c>
      <c r="R244" s="30" t="inlineStr">
        <is>
          <t>Volume Spike / Accumulation</t>
        </is>
      </c>
      <c r="S244" s="30" t="inlineStr">
        <is>
          <t>Nifty 50</t>
        </is>
      </c>
      <c r="T244" s="31" t="n">
        <v>1.09</v>
      </c>
      <c r="U244" s="31" t="n">
        <v>4.4</v>
      </c>
      <c r="V244" s="31" t="n">
        <v>3.28</v>
      </c>
      <c r="W244" s="31" t="n">
        <v>5.13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0 to 20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Yes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IF(B245=0,"",RANK(B245,$B$2:$B$405,0))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ASTRAMICRO</t>
        </is>
      </c>
      <c r="D245" s="30" t="inlineStr">
        <is>
          <t>Astra Microwave Products Limited</t>
        </is>
      </c>
      <c r="E245" s="30" t="inlineStr">
        <is>
          <t>aerospace &amp; defence</t>
        </is>
      </c>
      <c r="F245" s="30" t="inlineStr">
        <is>
          <t>telecommunications - equipment</t>
        </is>
      </c>
      <c r="G245" s="30" t="inlineStr">
        <is>
          <t>midcap</t>
        </is>
      </c>
      <c r="H245" s="31" t="n">
        <v>17179.35</v>
      </c>
      <c r="I245" s="31" t="n">
        <v>1802.2</v>
      </c>
      <c r="J245" s="31" t="n">
        <v>-0.4</v>
      </c>
      <c r="K245" s="31" t="n">
        <v>232224</v>
      </c>
      <c r="L245" s="30" t="n">
        <v>88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72.81</v>
      </c>
      <c r="P245" s="31" t="n">
        <v>57.19</v>
      </c>
      <c r="Q245" s="31" t="n">
        <v>1469.73</v>
      </c>
      <c r="R245" s="30" t="inlineStr">
        <is>
          <t>Near 52W High Breakout</t>
        </is>
      </c>
      <c r="S245" s="30" t="inlineStr">
        <is>
          <t>Nifty 50</t>
        </is>
      </c>
      <c r="T245" s="31" t="n">
        <v>1.09</v>
      </c>
      <c r="U245" s="31" t="n">
        <v>88.98999999999999</v>
      </c>
      <c r="V245" s="31" t="n">
        <v>86.95999999999999</v>
      </c>
      <c r="W245" s="31" t="n">
        <v>27.41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Oligopoly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Yes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Above 40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Negative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Blue sky scenario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More than 20%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Yes</t>
        </is>
      </c>
      <c r="BS245" s="30">
        <f>IF(BR245="NO",5,0)</f>
        <v/>
      </c>
      <c r="BT245" s="30" t="inlineStr">
        <is>
          <t>Above 2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IF(B246=0,"",RANK(B246,$B$2:$B$405,0))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TBZ</t>
        </is>
      </c>
      <c r="D246" s="30" t="inlineStr">
        <is>
          <t>Tribhovandas Bhimji Zaveri Limited</t>
        </is>
      </c>
      <c r="E246" s="30" t="inlineStr">
        <is>
          <t>consumer discretionary</t>
        </is>
      </c>
      <c r="F246" s="30" t="inlineStr">
        <is>
          <t>diamond cutting / jewellery</t>
        </is>
      </c>
      <c r="G246" s="30" t="inlineStr">
        <is>
          <t>smallcap</t>
        </is>
      </c>
      <c r="H246" s="31" t="n">
        <v>1815.74</v>
      </c>
      <c r="I246" s="31" t="n">
        <v>271</v>
      </c>
      <c r="J246" s="31" t="n">
        <v>-0.4</v>
      </c>
      <c r="K246" s="31" t="n">
        <v>926057</v>
      </c>
      <c r="L246" s="30" t="n">
        <v>86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75.65000000000001</v>
      </c>
      <c r="P246" s="31" t="n">
        <v>38.29</v>
      </c>
      <c r="Q246" s="31" t="n">
        <v>205.94</v>
      </c>
      <c r="R246" s="30" t="inlineStr">
        <is>
          <t>Near 52W High Breakout</t>
        </is>
      </c>
      <c r="S246" s="30" t="inlineStr">
        <is>
          <t>Nifty 50</t>
        </is>
      </c>
      <c r="T246" s="31" t="n">
        <v>1.09</v>
      </c>
      <c r="U246" s="31" t="n">
        <v>43.68</v>
      </c>
      <c r="V246" s="31" t="n">
        <v>42.13</v>
      </c>
      <c r="W246" s="31" t="n">
        <v>25.74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20 to 40</t>
        </is>
      </c>
      <c r="AY246" s="30">
        <f>IF(AX246="Above 40",20,IF(AX246="20 to 40",10,IF(AX246="0 to 20",-5,0)))</f>
        <v/>
      </c>
      <c r="AZ246" s="30" t="inlineStr">
        <is>
          <t>Above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More than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No</t>
        </is>
      </c>
      <c r="BS246" s="30">
        <f>IF(BR246="NO",5,0)</f>
        <v/>
      </c>
      <c r="BT246" s="30" t="inlineStr">
        <is>
          <t>Less than 1.5</t>
        </is>
      </c>
      <c r="BU246" s="30">
        <f>IF(BT246="Above 2",0,IF(BT246="Between 1.5 to 2",5,IF(BT246="Less than 1.5",10,0)))</f>
        <v/>
      </c>
      <c r="BV246" s="30" t="inlineStr">
        <is>
          <t>Less than 50% and Borrowings are increasing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Between 0.7 to 1.2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IF(B247=0,"",RANK(B247,$B$2:$B$405,0))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2" t="inlineStr">
        <is>
          <t>ARE&amp;M</t>
        </is>
      </c>
      <c r="D247" s="32" t="inlineStr">
        <is>
          <t>Amara Raja Energy &amp; Mobility Ltd</t>
        </is>
      </c>
      <c r="E247" s="30" t="inlineStr">
        <is>
          <t>auto</t>
        </is>
      </c>
      <c r="F247" s="30" t="inlineStr">
        <is>
          <t>auto ancillaries</t>
        </is>
      </c>
      <c r="G247" s="30" t="inlineStr">
        <is>
          <t>midcap</t>
        </is>
      </c>
      <c r="H247" s="31" t="n">
        <v>17183.34</v>
      </c>
      <c r="I247" s="31" t="n">
        <v>927.45</v>
      </c>
      <c r="J247" s="31" t="n">
        <v>-1.21</v>
      </c>
      <c r="K247" s="31" t="n">
        <v>494562</v>
      </c>
      <c r="L247" s="30" t="n">
        <v>8</v>
      </c>
      <c r="M247" s="30" t="inlineStr">
        <is>
          <t>Underperforming</t>
        </is>
      </c>
      <c r="N247" s="31">
        <f>IF(M247="Underperforming",-5,IF(L247&gt;=95,15,IF(L247&gt;=90,10,IF(L247&gt;=80,5,0))))</f>
        <v/>
      </c>
      <c r="O247" s="31" t="n">
        <v>59.72</v>
      </c>
      <c r="P247" s="31" t="n">
        <v>13.27</v>
      </c>
      <c r="Q247" s="31" t="n">
        <v>765.92</v>
      </c>
      <c r="R247" s="30" t="inlineStr">
        <is>
          <t>Earnings / Momentum Support</t>
        </is>
      </c>
      <c r="S247" s="30" t="inlineStr">
        <is>
          <t>Nifty Auto</t>
        </is>
      </c>
      <c r="T247" s="31" t="n">
        <v>22.44</v>
      </c>
      <c r="U247" s="31" t="n">
        <v>-4.41</v>
      </c>
      <c r="V247" s="31" t="n">
        <v>-21.93</v>
      </c>
      <c r="W247" s="31" t="n">
        <v>0.84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No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0 to 20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No</t>
        </is>
      </c>
      <c r="BS247" s="30">
        <f>IF(BR247="NO",5,0)</f>
        <v/>
      </c>
      <c r="BT247" s="30" t="inlineStr">
        <is>
          <t>Less than 1.5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IF(B248=0,"",RANK(B248,$B$2:$B$405,0))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KIRLOSBROS</t>
        </is>
      </c>
      <c r="D248" s="30" t="inlineStr">
        <is>
          <t>Kirloskar Brothers Limited</t>
        </is>
      </c>
      <c r="E248" s="30" t="inlineStr">
        <is>
          <t>industrials</t>
        </is>
      </c>
      <c r="F248" s="30" t="inlineStr">
        <is>
          <t>pumps</t>
        </is>
      </c>
      <c r="G248" s="30" t="inlineStr">
        <is>
          <t>midcap</t>
        </is>
      </c>
      <c r="H248" s="31" t="n">
        <v>15761.88</v>
      </c>
      <c r="I248" s="31" t="n">
        <v>1959.4</v>
      </c>
      <c r="J248" s="31" t="n">
        <v>-1.28</v>
      </c>
      <c r="K248" s="31" t="n">
        <v>73000</v>
      </c>
      <c r="L248" s="30" t="n">
        <v>20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60.2</v>
      </c>
      <c r="P248" s="31" t="n">
        <v>20.97</v>
      </c>
      <c r="Q248" s="31" t="n">
        <v>1539.63</v>
      </c>
      <c r="R248" s="30" t="inlineStr">
        <is>
          <t>Near 52W High Breakout</t>
        </is>
      </c>
      <c r="S248" s="30" t="inlineStr">
        <is>
          <t>Nifty 50</t>
        </is>
      </c>
      <c r="T248" s="31" t="n">
        <v>1.09</v>
      </c>
      <c r="U248" s="31" t="n">
        <v>3.91</v>
      </c>
      <c r="V248" s="31" t="n">
        <v>2.79</v>
      </c>
      <c r="W248" s="31" t="n">
        <v>3.8</v>
      </c>
      <c r="X248" s="30" t="inlineStr">
        <is>
          <t>Cyclical in an Upturn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20 to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Less than 12%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Yes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IF(B249=0,"",RANK(B249,$B$2:$B$405,0))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2" t="inlineStr">
        <is>
          <t>BERGEPAINT</t>
        </is>
      </c>
      <c r="D249" s="32" t="inlineStr">
        <is>
          <t>Berger Paints (i) Limited</t>
        </is>
      </c>
      <c r="E249" s="30" t="inlineStr">
        <is>
          <t>building materials</t>
        </is>
      </c>
      <c r="F249" s="30" t="inlineStr">
        <is>
          <t>paints / varnishes</t>
        </is>
      </c>
      <c r="G249" s="30" t="inlineStr">
        <is>
          <t>largecap</t>
        </is>
      </c>
      <c r="H249" s="31" t="n">
        <v>63570.47</v>
      </c>
      <c r="I249" s="31" t="n">
        <v>537.6</v>
      </c>
      <c r="J249" s="31" t="n">
        <v>-1.39</v>
      </c>
      <c r="K249" s="31" t="n">
        <v>1078895</v>
      </c>
      <c r="L249" s="30" t="n">
        <v>23</v>
      </c>
      <c r="M249" s="30" t="inlineStr">
        <is>
          <t>Underperforming</t>
        </is>
      </c>
      <c r="N249" s="31">
        <f>IF(M249="Underperforming",-5,IF(L249&gt;=95,15,IF(L249&gt;=90,10,IF(L249&gt;=80,5,0))))</f>
        <v/>
      </c>
      <c r="O249" s="31" t="n">
        <v>60.6</v>
      </c>
      <c r="P249" s="31" t="n">
        <v>19.41</v>
      </c>
      <c r="Q249" s="31" t="n">
        <v>445.59</v>
      </c>
      <c r="R249" s="30" t="inlineStr">
        <is>
          <t>Near 52W High Breakout</t>
        </is>
      </c>
      <c r="S249" s="30" t="inlineStr">
        <is>
          <t>Nifty Infra</t>
        </is>
      </c>
      <c r="T249" s="31" t="n">
        <v>4.3</v>
      </c>
      <c r="U249" s="31" t="n">
        <v>-0.64</v>
      </c>
      <c r="V249" s="31" t="n">
        <v>-4.74</v>
      </c>
      <c r="W249" s="31" t="n">
        <v>4.28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Yes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0 to 20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Yes</t>
        </is>
      </c>
      <c r="BS249" s="30">
        <f>IF(BR249="NO",5,0)</f>
        <v/>
      </c>
      <c r="BT249" s="30" t="inlineStr">
        <is>
          <t>Between 1.5 to 2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IF(B250=0,"",RANK(B250,$B$2:$B$405,0))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2" t="inlineStr">
        <is>
          <t>AEROENTER</t>
        </is>
      </c>
      <c r="D250" s="32" t="inlineStr">
        <is>
          <t>Aeroflex Enterprises Ltd</t>
        </is>
      </c>
      <c r="E250" s="30" t="inlineStr">
        <is>
          <t>metals &amp; mining</t>
        </is>
      </c>
      <c r="F250" s="30" t="inlineStr">
        <is>
          <t>steel - medium / small</t>
        </is>
      </c>
      <c r="G250" s="30" t="inlineStr">
        <is>
          <t>smallcap</t>
        </is>
      </c>
      <c r="H250" s="31" t="n">
        <v>1495.35</v>
      </c>
      <c r="I250" s="31" t="n">
        <v>130.3</v>
      </c>
      <c r="J250" s="31" t="n">
        <v>-1.39</v>
      </c>
      <c r="K250" s="31" t="n">
        <v>367932</v>
      </c>
      <c r="L250" s="30" t="n">
        <v>66</v>
      </c>
      <c r="M250" s="30" t="inlineStr">
        <is>
          <t>Underperforming</t>
        </is>
      </c>
      <c r="N250" s="31">
        <f>IF(M250="Underperforming",-5,IF(L250&gt;=95,15,IF(L250&gt;=90,10,IF(L250&gt;=80,5,0))))</f>
        <v/>
      </c>
      <c r="O250" s="31" t="n">
        <v>63.26</v>
      </c>
      <c r="P250" s="31" t="n">
        <v>51.5</v>
      </c>
      <c r="Q250" s="31" t="n">
        <v>98.61</v>
      </c>
      <c r="R250" s="30" t="inlineStr">
        <is>
          <t>Near 52W High Breakout</t>
        </is>
      </c>
      <c r="S250" s="30" t="inlineStr">
        <is>
          <t>Nifty Metal</t>
        </is>
      </c>
      <c r="T250" s="31" t="n">
        <v>39.44</v>
      </c>
      <c r="U250" s="31" t="n">
        <v>27.72</v>
      </c>
      <c r="V250" s="31" t="n">
        <v>-8.4</v>
      </c>
      <c r="W250" s="31" t="n">
        <v>15.31</v>
      </c>
      <c r="X250" s="30" t="inlineStr">
        <is>
          <t>Cyclical in an Upturn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Cyclical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Volatile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Above 40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More than 20%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Less than 1.5</t>
        </is>
      </c>
      <c r="BU250" s="30">
        <f>IF(BT250="Above 2",0,IF(BT250="Between 1.5 to 2",5,IF(BT250="Less than 1.5",10,0)))</f>
        <v/>
      </c>
      <c r="BV250" s="30" t="inlineStr">
        <is>
          <t>Less than 50%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IF(B251=0,"",RANK(B251,$B$2:$B$405,0))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ANTELOPUS</t>
        </is>
      </c>
      <c r="D251" s="30" t="inlineStr">
        <is>
          <t>Antelopus Selan Energy Ltd</t>
        </is>
      </c>
      <c r="E251" s="30" t="inlineStr">
        <is>
          <t>energy</t>
        </is>
      </c>
      <c r="F251" s="30" t="inlineStr">
        <is>
          <t>oil drilling / allied services</t>
        </is>
      </c>
      <c r="G251" s="30" t="inlineStr">
        <is>
          <t>smallcap</t>
        </is>
      </c>
      <c r="H251" s="31" t="n">
        <v>3071.96</v>
      </c>
      <c r="I251" s="31" t="n">
        <v>860.4</v>
      </c>
      <c r="J251" s="31" t="n">
        <v>-1.52</v>
      </c>
      <c r="K251" s="31" t="n">
        <v>138558</v>
      </c>
      <c r="L251" s="30" t="n">
        <v>70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61.19</v>
      </c>
      <c r="P251" s="31" t="n">
        <v>50.15</v>
      </c>
      <c r="Q251" s="31" t="n">
        <v>621.4299999999999</v>
      </c>
      <c r="R251" s="30" t="inlineStr">
        <is>
          <t>Near 52W High Breakout</t>
        </is>
      </c>
      <c r="S251" s="30" t="inlineStr">
        <is>
          <t>Nifty Energy</t>
        </is>
      </c>
      <c r="T251" s="31" t="n">
        <v>9.720000000000001</v>
      </c>
      <c r="U251" s="31" t="n">
        <v>38.48</v>
      </c>
      <c r="V251" s="31" t="n">
        <v>26.22</v>
      </c>
      <c r="W251" s="31" t="n">
        <v>16.41</v>
      </c>
      <c r="X251" s="30" t="inlineStr">
        <is>
          <t>Cyclical in an Upturn</t>
        </is>
      </c>
      <c r="Y251" s="30">
        <f>IF(X251="Growing Industry",10,IF(X251="Cyclical in an Upturn",5,0))</f>
        <v/>
      </c>
      <c r="Z251" s="30" t="inlineStr">
        <is>
          <t>Oligopoly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Yes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Cyclical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Volatile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Above 40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No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IF(B252=0,"",RANK(B252,$B$2:$B$405,0))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TBOTEK</t>
        </is>
      </c>
      <c r="D252" s="30" t="inlineStr">
        <is>
          <t>TBO Tek Ltd</t>
        </is>
      </c>
      <c r="E252" s="30" t="inlineStr">
        <is>
          <t>i.t</t>
        </is>
      </c>
      <c r="F252" s="30" t="inlineStr">
        <is>
          <t>travel agencies</t>
        </is>
      </c>
      <c r="G252" s="30" t="inlineStr">
        <is>
          <t>midcap</t>
        </is>
      </c>
      <c r="H252" s="31" t="n">
        <v>18107.01</v>
      </c>
      <c r="I252" s="31" t="n">
        <v>1623.1</v>
      </c>
      <c r="J252" s="31" t="n">
        <v>-2.66</v>
      </c>
      <c r="K252" s="31" t="n">
        <v>110389</v>
      </c>
      <c r="L252" s="30" t="n">
        <v>54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64.93000000000001</v>
      </c>
      <c r="P252" s="31" t="n">
        <v>18.14</v>
      </c>
      <c r="Q252" s="31" t="n">
        <v>1266.94</v>
      </c>
      <c r="R252" s="30" t="inlineStr">
        <is>
          <t>Volume Spike &amp; Near 52W High Breakout</t>
        </is>
      </c>
      <c r="S252" s="30" t="inlineStr">
        <is>
          <t>Nifty IT</t>
        </is>
      </c>
      <c r="T252" s="31" t="n">
        <v>-9.289999999999999</v>
      </c>
      <c r="U252" s="31" t="n">
        <v>20.18</v>
      </c>
      <c r="V252" s="31" t="n">
        <v>32.49</v>
      </c>
      <c r="W252" s="31" t="n">
        <v>11.58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0 to 20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Above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IF(B253=0,"",RANK(B253,$B$2:$B$405,0))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SMLMAH</t>
        </is>
      </c>
      <c r="D253" s="30" t="inlineStr">
        <is>
          <t>SML Mahindra Ltd</t>
        </is>
      </c>
      <c r="E253" s="30" t="inlineStr">
        <is>
          <t>auto</t>
        </is>
      </c>
      <c r="F253" s="30" t="inlineStr">
        <is>
          <t>automobiles - lcvs / hcvs</t>
        </is>
      </c>
      <c r="G253" s="30" t="inlineStr">
        <is>
          <t>midcap</t>
        </is>
      </c>
      <c r="H253" s="31" t="n">
        <v>8563.6</v>
      </c>
      <c r="I253" s="31" t="n">
        <v>5672.5</v>
      </c>
      <c r="J253" s="31" t="n">
        <v>-4.14</v>
      </c>
      <c r="K253" s="31" t="n">
        <v>188084</v>
      </c>
      <c r="L253" s="30" t="n">
        <v>81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71.68000000000001</v>
      </c>
      <c r="P253" s="31" t="n">
        <v>9.44</v>
      </c>
      <c r="Q253" s="31" t="n">
        <v>4143.44</v>
      </c>
      <c r="R253" s="30" t="inlineStr">
        <is>
          <t>Near 52W High Breakout</t>
        </is>
      </c>
      <c r="S253" s="30" t="inlineStr">
        <is>
          <t>Nifty Auto</t>
        </is>
      </c>
      <c r="T253" s="31" t="n">
        <v>22.44</v>
      </c>
      <c r="U253" s="31" t="n">
        <v>52.4</v>
      </c>
      <c r="V253" s="31" t="n">
        <v>24.48</v>
      </c>
      <c r="W253" s="31" t="n">
        <v>21.42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0 to 20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Blue sky scenario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Less than 12%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Yes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IF(B254=0,"",RANK(B254,$B$2:$B$405,0))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2" t="inlineStr">
        <is>
          <t>APLLTD</t>
        </is>
      </c>
      <c r="D254" s="32" t="inlineStr">
        <is>
          <t>Alembic Pharmaceuticals Limited</t>
        </is>
      </c>
      <c r="E254" s="30" t="inlineStr">
        <is>
          <t>healthcare</t>
        </is>
      </c>
      <c r="F254" s="30" t="inlineStr">
        <is>
          <t>pharmaceuticals - indian - bulk drugs &amp; formln</t>
        </is>
      </c>
      <c r="G254" s="30" t="inlineStr">
        <is>
          <t>midcap</t>
        </is>
      </c>
      <c r="H254" s="31" t="n">
        <v>16082.79</v>
      </c>
      <c r="I254" s="31" t="n">
        <v>834.45</v>
      </c>
      <c r="J254" s="31" t="n">
        <v>1.99</v>
      </c>
      <c r="K254" s="31" t="n">
        <v>210314</v>
      </c>
      <c r="L254" s="30" t="n">
        <v>5</v>
      </c>
      <c r="M254" s="30" t="inlineStr">
        <is>
          <t>Underperforming</t>
        </is>
      </c>
      <c r="N254" s="31">
        <f>IF(M254="Underperforming",-5,IF(L254&gt;=95,15,IF(L254&gt;=90,10,IF(L254&gt;=80,5,0))))</f>
        <v/>
      </c>
      <c r="O254" s="31" t="n">
        <v>59.06</v>
      </c>
      <c r="P254" s="31" t="n">
        <v>12.93</v>
      </c>
      <c r="Q254" s="31" t="n">
        <v>680.98</v>
      </c>
      <c r="R254" s="30" t="inlineStr">
        <is>
          <t>Earnings / Momentum Support</t>
        </is>
      </c>
      <c r="S254" s="30" t="inlineStr">
        <is>
          <t>Nifty Pharma</t>
        </is>
      </c>
      <c r="T254" s="31" t="n">
        <v>24.42</v>
      </c>
      <c r="U254" s="31" t="n">
        <v>-10.14</v>
      </c>
      <c r="V254" s="31" t="n">
        <v>-27.78</v>
      </c>
      <c r="W254" s="31" t="n">
        <v>-0.51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Yes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No</t>
        </is>
      </c>
      <c r="AQ254" s="30">
        <f>IF(AP254="Yes",10,0)</f>
        <v/>
      </c>
      <c r="AR254" s="30" t="inlineStr">
        <is>
          <t>Higher Annuity, Lower One Time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0 to 20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More than 20%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No</t>
        </is>
      </c>
      <c r="BS254" s="30">
        <f>IF(BR254="NO",5,0)</f>
        <v/>
      </c>
      <c r="BT254" s="30" t="inlineStr">
        <is>
          <t>Less than 1.5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IF(B255=0,"",RANK(B255,$B$2:$B$405,0))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APOLLOHOSP</t>
        </is>
      </c>
      <c r="D255" s="30" t="inlineStr">
        <is>
          <t>Apollo Hospitals Enterprise Limited</t>
        </is>
      </c>
      <c r="E255" s="30" t="inlineStr">
        <is>
          <t>healthcare</t>
        </is>
      </c>
      <c r="F255" s="30" t="inlineStr">
        <is>
          <t>healthcare</t>
        </is>
      </c>
      <c r="G255" s="30" t="inlineStr">
        <is>
          <t>largecap</t>
        </is>
      </c>
      <c r="H255" s="31" t="n">
        <v>128112.13</v>
      </c>
      <c r="I255" s="31" t="n">
        <v>8974.5</v>
      </c>
      <c r="J255" s="31" t="n">
        <v>0.72</v>
      </c>
      <c r="K255" s="31" t="n">
        <v>780514</v>
      </c>
      <c r="L255" s="30" t="n">
        <v>35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69.3</v>
      </c>
      <c r="P255" s="31" t="n">
        <v>29.88</v>
      </c>
      <c r="Q255" s="31" t="n">
        <v>8024.64</v>
      </c>
      <c r="R255" s="30" t="inlineStr">
        <is>
          <t>Near 52W High Breakout</t>
        </is>
      </c>
      <c r="S255" s="30" t="inlineStr">
        <is>
          <t>Nifty Pharma</t>
        </is>
      </c>
      <c r="T255" s="31" t="n">
        <v>24.42</v>
      </c>
      <c r="U255" s="31" t="n">
        <v>26.21</v>
      </c>
      <c r="V255" s="31" t="n">
        <v>1.44</v>
      </c>
      <c r="W255" s="31" t="n">
        <v>7.05</v>
      </c>
      <c r="X255" s="30" t="inlineStr">
        <is>
          <t>Cyclical in an Upturn</t>
        </is>
      </c>
      <c r="Y255" s="30">
        <f>IF(X255="Growing Industry",10,IF(X255="Cyclical in an Upturn",5,0))</f>
        <v/>
      </c>
      <c r="Z255" s="30" t="inlineStr">
        <is>
          <t>Oligopoly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Cyclical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B2C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Fully One Time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Above 40</t>
        </is>
      </c>
      <c r="AY255" s="30">
        <f>IF(AX255="Above 40",20,IF(AX255="20 to 40",10,IF(AX255="0 to 20",-5,0)))</f>
        <v/>
      </c>
      <c r="AZ255" s="30" t="inlineStr">
        <is>
          <t>Above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Yes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Between 1.5 to 2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IF(B256=0,"",RANK(B256,$B$2:$B$405,0))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UNITDSPR</t>
        </is>
      </c>
      <c r="D256" s="30" t="inlineStr">
        <is>
          <t>United Spirits Ltd</t>
        </is>
      </c>
      <c r="E256" s="30" t="inlineStr">
        <is>
          <t>fmcg</t>
        </is>
      </c>
      <c r="F256" s="30" t="inlineStr">
        <is>
          <t>breweries &amp; distilleries</t>
        </is>
      </c>
      <c r="G256" s="30" t="inlineStr">
        <is>
          <t>largecap</t>
        </is>
      </c>
      <c r="H256" s="31" t="n">
        <v>110557.33</v>
      </c>
      <c r="I256" s="31" t="n">
        <v>1525</v>
      </c>
      <c r="J256" s="31" t="n">
        <v>0.33</v>
      </c>
      <c r="K256" s="31" t="n">
        <v>787600</v>
      </c>
      <c r="L256" s="30" t="n">
        <v>28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66.94</v>
      </c>
      <c r="P256" s="31" t="n">
        <v>19.2</v>
      </c>
      <c r="Q256" s="31" t="n">
        <v>1321.49</v>
      </c>
      <c r="R256" s="30" t="inlineStr">
        <is>
          <t>Near 52W High Breakout</t>
        </is>
      </c>
      <c r="S256" s="30" t="inlineStr">
        <is>
          <t>Nifty FMCG</t>
        </is>
      </c>
      <c r="T256" s="31" t="n">
        <v>-9.75</v>
      </c>
      <c r="U256" s="31" t="n">
        <v>18.2</v>
      </c>
      <c r="V256" s="31" t="n">
        <v>30.97</v>
      </c>
      <c r="W256" s="31" t="n">
        <v>5.49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B2C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Annuity, Lower One Time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0 to 20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Less than 12%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IF(B257=0,"",RANK(B257,$B$2:$B$405,0))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BLISSGVS</t>
        </is>
      </c>
      <c r="D257" s="30" t="inlineStr">
        <is>
          <t>Bliss Gvs Pharma Limited</t>
        </is>
      </c>
      <c r="E257" s="30" t="inlineStr">
        <is>
          <t>healthcare</t>
        </is>
      </c>
      <c r="F257" s="30" t="inlineStr">
        <is>
          <t>pharmaceuticals - indian - formulations</t>
        </is>
      </c>
      <c r="G257" s="30" t="inlineStr">
        <is>
          <t>midcap</t>
        </is>
      </c>
      <c r="H257" s="31" t="n">
        <v>5270.99</v>
      </c>
      <c r="I257" s="31" t="n">
        <v>493.65</v>
      </c>
      <c r="J257" s="31" t="n">
        <v>-0.67</v>
      </c>
      <c r="K257" s="31" t="n">
        <v>192402</v>
      </c>
      <c r="L257" s="30" t="n">
        <v>97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74.40000000000001</v>
      </c>
      <c r="P257" s="31" t="n">
        <v>74.55</v>
      </c>
      <c r="Q257" s="31" t="n">
        <v>395.89</v>
      </c>
      <c r="R257" s="30" t="inlineStr">
        <is>
          <t>Earnings / Momentum Support</t>
        </is>
      </c>
      <c r="S257" s="30" t="inlineStr">
        <is>
          <t>Nifty Pharma</t>
        </is>
      </c>
      <c r="T257" s="31" t="n">
        <v>24.42</v>
      </c>
      <c r="U257" s="31" t="n">
        <v>179.25</v>
      </c>
      <c r="V257" s="31" t="n">
        <v>124.45</v>
      </c>
      <c r="W257" s="31" t="n">
        <v>45.91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Yes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No</t>
        </is>
      </c>
      <c r="AQ257" s="30">
        <f>IF(AP257="Yes",10,0)</f>
        <v/>
      </c>
      <c r="AR257" s="30" t="inlineStr">
        <is>
          <t>Higher Annuity, Lower One Time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Above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Negative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More than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Yes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IF(B258=0,"",RANK(B258,$B$2:$B$405,0))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APOLLOPIPE</t>
        </is>
      </c>
      <c r="D258" s="30" t="inlineStr">
        <is>
          <t>Apollo Pipes Ltd</t>
        </is>
      </c>
      <c r="E258" s="30" t="inlineStr">
        <is>
          <t>plastic products</t>
        </is>
      </c>
      <c r="F258" s="30" t="inlineStr">
        <is>
          <t>plastics products</t>
        </is>
      </c>
      <c r="G258" s="30" t="inlineStr">
        <is>
          <t>smallcap</t>
        </is>
      </c>
      <c r="H258" s="31" t="n">
        <v>2352.83</v>
      </c>
      <c r="I258" s="31" t="n">
        <v>527.25</v>
      </c>
      <c r="J258" s="31" t="n">
        <v>-1.29</v>
      </c>
      <c r="K258" s="31" t="n">
        <v>829417</v>
      </c>
      <c r="L258" s="30" t="n">
        <v>57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67.70999999999999</v>
      </c>
      <c r="P258" s="31" t="n">
        <v>46.83</v>
      </c>
      <c r="Q258" s="31" t="n">
        <v>404.29</v>
      </c>
      <c r="R258" s="30" t="inlineStr">
        <is>
          <t>Volume Spike &amp; Near 52W High Breakout</t>
        </is>
      </c>
      <c r="S258" s="30" t="inlineStr">
        <is>
          <t>Nifty Infra</t>
        </is>
      </c>
      <c r="T258" s="31" t="n">
        <v>4.3</v>
      </c>
      <c r="U258" s="31" t="n">
        <v>25.72</v>
      </c>
      <c r="V258" s="31" t="n">
        <v>20.54</v>
      </c>
      <c r="W258" s="31" t="n">
        <v>12.65</v>
      </c>
      <c r="X258" s="30" t="inlineStr">
        <is>
          <t>Cyclical in an Upturn</t>
        </is>
      </c>
      <c r="Y258" s="30">
        <f>IF(X258="Growing Industry",10,IF(X258="Cyclical in an Upturn",5,0))</f>
        <v/>
      </c>
      <c r="Z258" s="30" t="inlineStr">
        <is>
          <t>Oligopoly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Cyclical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B2C</t>
        </is>
      </c>
      <c r="AO258" s="30">
        <f>IF(AN258="B2C",10,IF(AN258="B2B",5,0))</f>
        <v/>
      </c>
      <c r="AP258" s="30" t="inlineStr">
        <is>
          <t>Yes</t>
        </is>
      </c>
      <c r="AQ258" s="30">
        <f>IF(AP258="Yes",10,0)</f>
        <v/>
      </c>
      <c r="AR258" s="30" t="inlineStr">
        <is>
          <t>Fully One Time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Above 40</t>
        </is>
      </c>
      <c r="AY258" s="30">
        <f>IF(AX258="Above 40",20,IF(AX258="20 to 40",10,IF(AX258="0 to 20",-5,0)))</f>
        <v/>
      </c>
      <c r="AZ258" s="30" t="inlineStr">
        <is>
          <t>Above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Yes</t>
        </is>
      </c>
      <c r="BQ258" s="30">
        <f>IF(BP258="No",10,0)</f>
        <v/>
      </c>
      <c r="BR258" s="30" t="inlineStr">
        <is>
          <t>Yes</t>
        </is>
      </c>
      <c r="BS258" s="30">
        <f>IF(BR258="NO",5,0)</f>
        <v/>
      </c>
      <c r="BT258" s="30" t="inlineStr">
        <is>
          <t>Between 1.5 to 2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IF(B259=0,"",RANK(B259,$B$2:$B$405,0))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2" t="inlineStr">
        <is>
          <t>TARSONS</t>
        </is>
      </c>
      <c r="D259" s="32" t="inlineStr">
        <is>
          <t>Tarsons Products Ltd</t>
        </is>
      </c>
      <c r="E259" s="30" t="inlineStr">
        <is>
          <t>healthcare</t>
        </is>
      </c>
      <c r="F259" s="30" t="inlineStr">
        <is>
          <t>miscellaneous</t>
        </is>
      </c>
      <c r="G259" s="30" t="inlineStr">
        <is>
          <t>smallcap</t>
        </is>
      </c>
      <c r="H259" s="31" t="n">
        <v>1745.43</v>
      </c>
      <c r="I259" s="31" t="n">
        <v>317.5</v>
      </c>
      <c r="J259" s="31" t="n">
        <v>-3.22</v>
      </c>
      <c r="K259" s="31" t="n">
        <v>127925</v>
      </c>
      <c r="L259" s="30" t="n">
        <v>46</v>
      </c>
      <c r="M259" s="30" t="inlineStr">
        <is>
          <t>Underperforming</t>
        </is>
      </c>
      <c r="N259" s="31">
        <f>IF(M259="Underperforming",-5,IF(L259&gt;=95,15,IF(L259&gt;=90,10,IF(L259&gt;=80,5,0))))</f>
        <v/>
      </c>
      <c r="O259" s="31" t="n">
        <v>71.01000000000001</v>
      </c>
      <c r="P259" s="31" t="n">
        <v>32.43</v>
      </c>
      <c r="Q259" s="31" t="n">
        <v>241.14</v>
      </c>
      <c r="R259" s="30" t="inlineStr">
        <is>
          <t>Near 52W High Breakout</t>
        </is>
      </c>
      <c r="S259" s="30" t="inlineStr">
        <is>
          <t>Nifty Pharma</t>
        </is>
      </c>
      <c r="T259" s="31" t="n">
        <v>24.42</v>
      </c>
      <c r="U259" s="31" t="n">
        <v>-7.46</v>
      </c>
      <c r="V259" s="31" t="n">
        <v>-25.62</v>
      </c>
      <c r="W259" s="31" t="n">
        <v>10.12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Yes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Yes</t>
        </is>
      </c>
      <c r="AQ259" s="30">
        <f>IF(AP259="Yes",10,0)</f>
        <v/>
      </c>
      <c r="AR259" s="30" t="inlineStr">
        <is>
          <t>Higher Annuity, Lower One Time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20 to 40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Less than 12%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IF(B260=0,"",RANK(B260,$B$2:$B$405,0))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2" t="inlineStr">
        <is>
          <t>MANAKSTEEL</t>
        </is>
      </c>
      <c r="D260" s="32" t="inlineStr">
        <is>
          <t>Manaksia Steels Limited</t>
        </is>
      </c>
      <c r="E260" s="30" t="inlineStr">
        <is>
          <t>metals &amp; mining</t>
        </is>
      </c>
      <c r="F260" s="30" t="inlineStr">
        <is>
          <t>steel - medium / small</t>
        </is>
      </c>
      <c r="G260" s="30" t="inlineStr">
        <is>
          <t>smallcap</t>
        </is>
      </c>
      <c r="H260" s="31" t="n">
        <v>533.05</v>
      </c>
      <c r="I260" s="31" t="n">
        <v>88.13</v>
      </c>
      <c r="J260" s="31" t="n">
        <v>8.35</v>
      </c>
      <c r="K260" s="31" t="n">
        <v>497159</v>
      </c>
      <c r="L260" s="30" t="n">
        <v>47</v>
      </c>
      <c r="M260" s="30" t="inlineStr">
        <is>
          <t>Underperforming</t>
        </is>
      </c>
      <c r="N260" s="31">
        <f>IF(M260="Underperforming",-5,IF(L260&gt;=95,15,IF(L260&gt;=90,10,IF(L260&gt;=80,5,0))))</f>
        <v/>
      </c>
      <c r="O260" s="31" t="n">
        <v>65.75</v>
      </c>
      <c r="P260" s="31" t="n">
        <v>38.22</v>
      </c>
      <c r="Q260" s="31" t="n">
        <v>59.91</v>
      </c>
      <c r="R260" s="30" t="inlineStr">
        <is>
          <t>Volume Spike &amp; Near 52W High Breakout</t>
        </is>
      </c>
      <c r="S260" s="30" t="inlineStr">
        <is>
          <t>Nifty Metal</t>
        </is>
      </c>
      <c r="T260" s="31" t="n">
        <v>39.44</v>
      </c>
      <c r="U260" s="31" t="n">
        <v>39.38</v>
      </c>
      <c r="V260" s="31" t="n">
        <v>-0.04</v>
      </c>
      <c r="W260" s="31" t="n">
        <v>10.27</v>
      </c>
      <c r="X260" s="30" t="inlineStr">
        <is>
          <t>Cyclical in an Upturn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Cyclical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Volatile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Yes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20 to 40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Blue sky scenario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No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IF(B261=0,"",RANK(B261,$B$2:$B$405,0))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MMFL</t>
        </is>
      </c>
      <c r="D261" s="30" t="inlineStr">
        <is>
          <t>Mm Forgings Limited</t>
        </is>
      </c>
      <c r="E261" s="30" t="inlineStr">
        <is>
          <t>industrials</t>
        </is>
      </c>
      <c r="F261" s="30" t="inlineStr">
        <is>
          <t>castings &amp; forgings</t>
        </is>
      </c>
      <c r="G261" s="30" t="inlineStr">
        <is>
          <t>smallcap</t>
        </is>
      </c>
      <c r="H261" s="31" t="n">
        <v>2754.71</v>
      </c>
      <c r="I261" s="31" t="n">
        <v>603.55</v>
      </c>
      <c r="J261" s="31" t="n">
        <v>5.78</v>
      </c>
      <c r="K261" s="31" t="n">
        <v>468390</v>
      </c>
      <c r="L261" s="30" t="n">
        <v>77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73.79000000000001</v>
      </c>
      <c r="P261" s="31" t="n">
        <v>19.09</v>
      </c>
      <c r="Q261" s="31" t="n">
        <v>465.44</v>
      </c>
      <c r="R261" s="30" t="inlineStr">
        <is>
          <t>Near 52W High Breakout</t>
        </is>
      </c>
      <c r="S261" s="30" t="inlineStr">
        <is>
          <t>Nifty 50</t>
        </is>
      </c>
      <c r="T261" s="31" t="n">
        <v>1.09</v>
      </c>
      <c r="U261" s="31" t="n">
        <v>94.14</v>
      </c>
      <c r="V261" s="31" t="n">
        <v>92.06</v>
      </c>
      <c r="W261" s="31" t="n">
        <v>19.68</v>
      </c>
      <c r="X261" s="30" t="inlineStr">
        <is>
          <t>Cyclical in an Upturn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0 to 20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Blue sky scenario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No</t>
        </is>
      </c>
      <c r="BS261" s="30">
        <f>IF(BR261="NO",5,0)</f>
        <v/>
      </c>
      <c r="BT261" s="30" t="inlineStr">
        <is>
          <t>Less than 1.5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More than 1.2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IF(B262=0,"",RANK(B262,$B$2:$B$405,0))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TDPOWERSYS</t>
        </is>
      </c>
      <c r="D262" s="30" t="inlineStr">
        <is>
          <t>Td Power Systems Limited</t>
        </is>
      </c>
      <c r="E262" s="30" t="inlineStr">
        <is>
          <t>industrials</t>
        </is>
      </c>
      <c r="F262" s="30" t="inlineStr">
        <is>
          <t>electric equipment</t>
        </is>
      </c>
      <c r="G262" s="30" t="inlineStr">
        <is>
          <t>midcap</t>
        </is>
      </c>
      <c r="H262" s="31" t="n">
        <v>18777.1</v>
      </c>
      <c r="I262" s="31" t="n">
        <v>1227.7</v>
      </c>
      <c r="J262" s="31" t="n">
        <v>2.15</v>
      </c>
      <c r="K262" s="31" t="n">
        <v>1125206</v>
      </c>
      <c r="L262" s="30" t="n">
        <v>84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59.78</v>
      </c>
      <c r="P262" s="31" t="n">
        <v>35.86</v>
      </c>
      <c r="Q262" s="31" t="n">
        <v>939.1799999999999</v>
      </c>
      <c r="R262" s="30" t="inlineStr">
        <is>
          <t>Earnings / Momentum Support</t>
        </is>
      </c>
      <c r="S262" s="30" t="inlineStr">
        <is>
          <t>Nifty 50</t>
        </is>
      </c>
      <c r="T262" s="31" t="n">
        <v>1.09</v>
      </c>
      <c r="U262" s="31" t="n">
        <v>157.11</v>
      </c>
      <c r="V262" s="31" t="n">
        <v>154.35</v>
      </c>
      <c r="W262" s="31" t="n">
        <v>24.09</v>
      </c>
      <c r="X262" s="30" t="inlineStr">
        <is>
          <t>Cyclical in an Upturn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20 to 40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Less than 50%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IF(B263=0,"",RANK(B263,$B$2:$B$405,0))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VRLLOG</t>
        </is>
      </c>
      <c r="D263" s="30" t="inlineStr">
        <is>
          <t>Vrl Logistics Limited</t>
        </is>
      </c>
      <c r="E263" s="30" t="inlineStr">
        <is>
          <t>transportation</t>
        </is>
      </c>
      <c r="F263" s="30" t="inlineStr">
        <is>
          <t>miscellaneous</t>
        </is>
      </c>
      <c r="G263" s="30" t="inlineStr">
        <is>
          <t>smallcap</t>
        </is>
      </c>
      <c r="H263" s="31" t="n">
        <v>4880.74</v>
      </c>
      <c r="I263" s="31" t="n">
        <v>284.65</v>
      </c>
      <c r="J263" s="31" t="n">
        <v>2.03</v>
      </c>
      <c r="K263" s="31" t="n">
        <v>1192983</v>
      </c>
      <c r="L263" s="30" t="n">
        <v>14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63.33</v>
      </c>
      <c r="P263" s="31" t="n">
        <v>10.64</v>
      </c>
      <c r="Q263" s="31" t="n">
        <v>230.3</v>
      </c>
      <c r="R263" s="30" t="inlineStr">
        <is>
          <t>Volume Spike &amp; Near 52W High Breakout</t>
        </is>
      </c>
      <c r="S263" s="30" t="inlineStr">
        <is>
          <t>Nifty 50</t>
        </is>
      </c>
      <c r="T263" s="31" t="n">
        <v>1.09</v>
      </c>
      <c r="U263" s="31" t="n">
        <v>3.43</v>
      </c>
      <c r="V263" s="31" t="n">
        <v>2.32</v>
      </c>
      <c r="W263" s="31" t="n">
        <v>2.2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Headwind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0 to 20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More than 20%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No</t>
        </is>
      </c>
      <c r="BS263" s="30">
        <f>IF(BR263="NO",5,0)</f>
        <v/>
      </c>
      <c r="BT263" s="30" t="inlineStr">
        <is>
          <t>Less than 1.5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Between 0.7 to 1.2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IF(B264=0,"",RANK(B264,$B$2:$B$405,0))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GRAPHITE</t>
        </is>
      </c>
      <c r="D264" s="30" t="inlineStr">
        <is>
          <t>Graphite India Limited</t>
        </is>
      </c>
      <c r="E264" s="30" t="inlineStr">
        <is>
          <t>industrials</t>
        </is>
      </c>
      <c r="F264" s="30" t="inlineStr">
        <is>
          <t>electrodes - graphites</t>
        </is>
      </c>
      <c r="G264" s="30" t="inlineStr">
        <is>
          <t>midcap</t>
        </is>
      </c>
      <c r="H264" s="31" t="n">
        <v>13855.06</v>
      </c>
      <c r="I264" s="31" t="n">
        <v>722.05</v>
      </c>
      <c r="J264" s="31" t="n">
        <v>1.82</v>
      </c>
      <c r="K264" s="31" t="n">
        <v>1656611</v>
      </c>
      <c r="L264" s="30" t="n">
        <v>34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59.92</v>
      </c>
      <c r="P264" s="31" t="n">
        <v>18.11</v>
      </c>
      <c r="Q264" s="31" t="n">
        <v>584.86</v>
      </c>
      <c r="R264" s="30" t="inlineStr">
        <is>
          <t>Volume Spike / Accumulation</t>
        </is>
      </c>
      <c r="S264" s="30" t="inlineStr">
        <is>
          <t>Nifty 50</t>
        </is>
      </c>
      <c r="T264" s="31" t="n">
        <v>1.09</v>
      </c>
      <c r="U264" s="31" t="n">
        <v>39.82</v>
      </c>
      <c r="V264" s="31" t="n">
        <v>38.32</v>
      </c>
      <c r="W264" s="31" t="n">
        <v>6.73</v>
      </c>
      <c r="X264" s="30" t="inlineStr">
        <is>
          <t>Cyclical in an Upturn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0 to 20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Yes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Above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IF(B265=0,"",RANK(B265,$B$2:$B$405,0))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EMIL</t>
        </is>
      </c>
      <c r="D265" s="30" t="inlineStr">
        <is>
          <t>Electronics Mart India Ltd</t>
        </is>
      </c>
      <c r="E265" s="30" t="inlineStr">
        <is>
          <t>consumer discretionary</t>
        </is>
      </c>
      <c r="F265" s="30" t="inlineStr">
        <is>
          <t>trading</t>
        </is>
      </c>
      <c r="G265" s="30" t="inlineStr">
        <is>
          <t>midcap</t>
        </is>
      </c>
      <c r="H265" s="31" t="n">
        <v>5677.35</v>
      </c>
      <c r="I265" s="31" t="n">
        <v>149.78</v>
      </c>
      <c r="J265" s="31" t="n">
        <v>1.5</v>
      </c>
      <c r="K265" s="31" t="n">
        <v>9559297</v>
      </c>
      <c r="L265" s="30" t="n">
        <v>57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67.76000000000001</v>
      </c>
      <c r="P265" s="31" t="n">
        <v>23.46</v>
      </c>
      <c r="Q265" s="31" t="n">
        <v>113.44</v>
      </c>
      <c r="R265" s="30" t="inlineStr">
        <is>
          <t>Volume Spike &amp; Near 52W High Breakout</t>
        </is>
      </c>
      <c r="S265" s="30" t="inlineStr">
        <is>
          <t>Nifty 50</t>
        </is>
      </c>
      <c r="T265" s="31" t="n">
        <v>1.09</v>
      </c>
      <c r="U265" s="31" t="n">
        <v>24.3</v>
      </c>
      <c r="V265" s="31" t="n">
        <v>22.96</v>
      </c>
      <c r="W265" s="31" t="n">
        <v>12.75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Yes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20 to 40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More than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Yes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More than 1.2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IF(B266=0,"",RANK(B266,$B$2:$B$405,0))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HARSHA</t>
        </is>
      </c>
      <c r="D266" s="30" t="inlineStr">
        <is>
          <t>Harsha Engineers International Ltd</t>
        </is>
      </c>
      <c r="E266" s="30" t="inlineStr">
        <is>
          <t>industrials</t>
        </is>
      </c>
      <c r="F266" s="30" t="inlineStr">
        <is>
          <t>engineering</t>
        </is>
      </c>
      <c r="G266" s="30" t="inlineStr">
        <is>
          <t>smallcap</t>
        </is>
      </c>
      <c r="H266" s="31" t="n">
        <v>3821.58</v>
      </c>
      <c r="I266" s="31" t="n">
        <v>425.7</v>
      </c>
      <c r="J266" s="31" t="n">
        <v>1.42</v>
      </c>
      <c r="K266" s="31" t="n">
        <v>110076</v>
      </c>
      <c r="L266" s="30" t="n">
        <v>18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57.49</v>
      </c>
      <c r="P266" s="31" t="n">
        <v>40.87</v>
      </c>
      <c r="Q266" s="31" t="n">
        <v>340.96</v>
      </c>
      <c r="R266" s="30" t="inlineStr">
        <is>
          <t>Near 52W High Breakout</t>
        </is>
      </c>
      <c r="S266" s="30" t="inlineStr">
        <is>
          <t>Nifty Infra</t>
        </is>
      </c>
      <c r="T266" s="31" t="n">
        <v>4.3</v>
      </c>
      <c r="U266" s="31" t="n">
        <v>4.34</v>
      </c>
      <c r="V266" s="31" t="n">
        <v>0.04</v>
      </c>
      <c r="W266" s="31" t="n">
        <v>3.41</v>
      </c>
      <c r="X266" s="30" t="inlineStr">
        <is>
          <t>Cyclical in an Upturn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Above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Negative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Less than 1.5</t>
        </is>
      </c>
      <c r="BU266" s="30">
        <f>IF(BT266="Above 2",0,IF(BT266="Between 1.5 to 2",5,IF(BT266="Less than 1.5",10,0)))</f>
        <v/>
      </c>
      <c r="BV266" s="30" t="inlineStr">
        <is>
          <t>Less than 50%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IF(B267=0,"",RANK(B267,$B$2:$B$405,0))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ATUL</t>
        </is>
      </c>
      <c r="D267" s="30" t="inlineStr">
        <is>
          <t>Atul Limited</t>
        </is>
      </c>
      <c r="E267" s="30" t="inlineStr">
        <is>
          <t>chemicals</t>
        </is>
      </c>
      <c r="F267" s="30" t="inlineStr">
        <is>
          <t>chemicals</t>
        </is>
      </c>
      <c r="G267" s="30" t="inlineStr">
        <is>
          <t>largecap</t>
        </is>
      </c>
      <c r="H267" s="31" t="n">
        <v>20002.73</v>
      </c>
      <c r="I267" s="31" t="n">
        <v>6796.5</v>
      </c>
      <c r="J267" s="31" t="n">
        <v>0.04</v>
      </c>
      <c r="K267" s="31" t="n">
        <v>85917</v>
      </c>
      <c r="L267" s="30" t="n">
        <v>7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58.05</v>
      </c>
      <c r="P267" s="31" t="n">
        <v>12.58</v>
      </c>
      <c r="Q267" s="31" t="n">
        <v>5939.27</v>
      </c>
      <c r="R267" s="30" t="inlineStr">
        <is>
          <t>Near 52W High Breakout</t>
        </is>
      </c>
      <c r="S267" s="30" t="inlineStr">
        <is>
          <t>Nifty 50</t>
        </is>
      </c>
      <c r="T267" s="31" t="n">
        <v>1.09</v>
      </c>
      <c r="U267" s="31" t="n">
        <v>3.61</v>
      </c>
      <c r="V267" s="31" t="n">
        <v>2.49</v>
      </c>
      <c r="W267" s="31" t="n">
        <v>0.57</v>
      </c>
      <c r="X267" s="30" t="inlineStr">
        <is>
          <t>Growing Industry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Yes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0 to 20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1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Less than 1.5</t>
        </is>
      </c>
      <c r="BU267" s="30">
        <f>IF(BT267="Above 2",0,IF(BT267="Between 1.5 to 2",5,IF(BT267="Less than 1.5",10,0)))</f>
        <v/>
      </c>
      <c r="BV267" s="30" t="inlineStr">
        <is>
          <t>Above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Less than 0.7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IF(B268=0,"",RANK(B268,$B$2:$B$405,0))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RAYMOND</t>
        </is>
      </c>
      <c r="D268" s="30" t="inlineStr">
        <is>
          <t>Raymond Limited</t>
        </is>
      </c>
      <c r="E268" s="30" t="inlineStr">
        <is>
          <t>transportation</t>
        </is>
      </c>
      <c r="F268" s="30" t="inlineStr">
        <is>
          <t>transport - airlines</t>
        </is>
      </c>
      <c r="G268" s="30" t="inlineStr">
        <is>
          <t>smallcap</t>
        </is>
      </c>
      <c r="H268" s="31" t="n">
        <v>4190.15</v>
      </c>
      <c r="I268" s="31" t="n">
        <v>627.6</v>
      </c>
      <c r="J268" s="31" t="n">
        <v>-0.29</v>
      </c>
      <c r="K268" s="31" t="n">
        <v>450599</v>
      </c>
      <c r="L268" s="30" t="n">
        <v>36</v>
      </c>
      <c r="M268" s="30" t="inlineStr">
        <is>
          <t>Outperforming</t>
        </is>
      </c>
      <c r="N268" s="31">
        <f>IF(M268="Underperforming",-5,IF(L268&gt;=95,15,IF(L268&gt;=90,10,IF(L268&gt;=80,5,0))))</f>
        <v/>
      </c>
      <c r="O268" s="31" t="n">
        <v>63.16</v>
      </c>
      <c r="P268" s="31" t="n">
        <v>38.4</v>
      </c>
      <c r="Q268" s="31" t="n">
        <v>480.73</v>
      </c>
      <c r="R268" s="30" t="inlineStr">
        <is>
          <t>Near 52W High Breakout</t>
        </is>
      </c>
      <c r="S268" s="30" t="inlineStr">
        <is>
          <t>Nifty 50</t>
        </is>
      </c>
      <c r="T268" s="31" t="n">
        <v>1.09</v>
      </c>
      <c r="U268" s="31" t="n">
        <v>2.29</v>
      </c>
      <c r="V268" s="31" t="n">
        <v>1.19</v>
      </c>
      <c r="W268" s="31" t="n">
        <v>7.14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20 to 40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Less than 12%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Yes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Less than 50%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IF(B269=0,"",RANK(B269,$B$2:$B$405,0))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2" t="inlineStr">
        <is>
          <t>ENDURANCE</t>
        </is>
      </c>
      <c r="D269" s="32" t="inlineStr">
        <is>
          <t>Endurance Technologies Limited</t>
        </is>
      </c>
      <c r="E269" s="30" t="inlineStr">
        <is>
          <t>auto</t>
        </is>
      </c>
      <c r="F269" s="30" t="inlineStr">
        <is>
          <t>auto ancillaries</t>
        </is>
      </c>
      <c r="G269" s="30" t="inlineStr">
        <is>
          <t>largecap</t>
        </is>
      </c>
      <c r="H269" s="31" t="n">
        <v>40699.39</v>
      </c>
      <c r="I269" s="31" t="n">
        <v>2877.7</v>
      </c>
      <c r="J269" s="31" t="n">
        <v>-0.54</v>
      </c>
      <c r="K269" s="31" t="n">
        <v>143187</v>
      </c>
      <c r="L269" s="30" t="n">
        <v>41</v>
      </c>
      <c r="M269" s="30" t="inlineStr">
        <is>
          <t>Underperforming</t>
        </is>
      </c>
      <c r="N269" s="31">
        <f>IF(M269="Underperforming",-5,IF(L269&gt;=95,15,IF(L269&gt;=90,10,IF(L269&gt;=80,5,0))))</f>
        <v/>
      </c>
      <c r="O269" s="31" t="n">
        <v>63.39</v>
      </c>
      <c r="P269" s="31" t="n">
        <v>15.59</v>
      </c>
      <c r="Q269" s="31" t="n">
        <v>2343.92</v>
      </c>
      <c r="R269" s="30" t="inlineStr">
        <is>
          <t>Near 52W High Breakout</t>
        </is>
      </c>
      <c r="S269" s="30" t="inlineStr">
        <is>
          <t>Nifty Auto</t>
        </is>
      </c>
      <c r="T269" s="31" t="n">
        <v>22.44</v>
      </c>
      <c r="U269" s="31" t="n">
        <v>13.47</v>
      </c>
      <c r="V269" s="31" t="n">
        <v>-7.32</v>
      </c>
      <c r="W269" s="31" t="n">
        <v>8.81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0 to 20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Blue sky scenario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Between 12 to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Yes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Above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Less than 0.7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IF(B270=0,"",RANK(B270,$B$2:$B$405,0))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TRAVELFOOD</t>
        </is>
      </c>
      <c r="D270" s="30" t="inlineStr">
        <is>
          <t>Travel Food Services Ltd</t>
        </is>
      </c>
      <c r="E270" s="30" t="inlineStr">
        <is>
          <t>consumer discretionary</t>
        </is>
      </c>
      <c r="F270" s="30" t="inlineStr">
        <is>
          <t>hotels</t>
        </is>
      </c>
      <c r="G270" s="30" t="inlineStr">
        <is>
          <t>midcap</t>
        </is>
      </c>
      <c r="H270" s="31" t="n">
        <v>17750.39</v>
      </c>
      <c r="I270" s="31" t="n">
        <v>1337.2</v>
      </c>
      <c r="J270" s="31" t="n">
        <v>-0.8</v>
      </c>
      <c r="K270" s="31" t="n">
        <v>80631</v>
      </c>
      <c r="L270" s="30" t="n">
        <v>30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58.99</v>
      </c>
      <c r="P270" s="31" t="n">
        <v>9.359999999999999</v>
      </c>
      <c r="Q270" s="31" t="n">
        <v>1084.52</v>
      </c>
      <c r="R270" s="30" t="inlineStr">
        <is>
          <t>Near 52W High Breakout</t>
        </is>
      </c>
      <c r="S270" s="30" t="inlineStr">
        <is>
          <t>Nifty 50</t>
        </is>
      </c>
      <c r="T270" s="31" t="n">
        <v>1.09</v>
      </c>
      <c r="U270" s="31" t="n">
        <v>20.59</v>
      </c>
      <c r="V270" s="31" t="n">
        <v>19.29</v>
      </c>
      <c r="W270" s="31" t="n">
        <v>6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Yes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0 to 20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Blue sky scenario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Between 12 to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Yes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Between 50% to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IF(B271=0,"",RANK(B271,$B$2:$B$405,0))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0" t="inlineStr">
        <is>
          <t>IGIL</t>
        </is>
      </c>
      <c r="D271" s="30" t="inlineStr">
        <is>
          <t>International Gemmological Institute (India) Ltd</t>
        </is>
      </c>
      <c r="E271" s="30" t="inlineStr">
        <is>
          <t>miscellaneous</t>
        </is>
      </c>
      <c r="F271" s="30" t="inlineStr">
        <is>
          <t>miscellaneous</t>
        </is>
      </c>
      <c r="G271" s="30" t="inlineStr">
        <is>
          <t>midcap</t>
        </is>
      </c>
      <c r="H271" s="31" t="n">
        <v>15724.13</v>
      </c>
      <c r="I271" s="31" t="n">
        <v>360.35</v>
      </c>
      <c r="J271" s="31" t="n">
        <v>-0.96</v>
      </c>
      <c r="K271" s="31" t="n">
        <v>713810</v>
      </c>
      <c r="L271" s="30" t="n">
        <v>13</v>
      </c>
      <c r="M271" s="30" t="inlineStr">
        <is>
          <t>Outperforming</t>
        </is>
      </c>
      <c r="N271" s="31">
        <f>IF(M271="Underperforming",-5,IF(L271&gt;=95,15,IF(L271&gt;=90,10,IF(L271&gt;=80,5,0))))</f>
        <v/>
      </c>
      <c r="O271" s="31" t="n">
        <v>54.78</v>
      </c>
      <c r="P271" s="31" t="n">
        <v>14.84</v>
      </c>
      <c r="Q271" s="31" t="n">
        <v>291.1</v>
      </c>
      <c r="R271" s="30" t="inlineStr">
        <is>
          <t>Near 52W High Breakout</t>
        </is>
      </c>
      <c r="S271" s="30" t="inlineStr">
        <is>
          <t>Nifty 50</t>
        </is>
      </c>
      <c r="T271" s="31" t="n">
        <v>1.09</v>
      </c>
      <c r="U271" s="31" t="n">
        <v>6.81</v>
      </c>
      <c r="V271" s="31" t="n">
        <v>5.66</v>
      </c>
      <c r="W271" s="31" t="n">
        <v>2.11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Yes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0 to 20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1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No</t>
        </is>
      </c>
      <c r="BS271" s="30">
        <f>IF(BR271="NO",5,0)</f>
        <v/>
      </c>
      <c r="BT271" s="30" t="inlineStr">
        <is>
          <t>Less than 1.5</t>
        </is>
      </c>
      <c r="BU271" s="30">
        <f>IF(BT271="Above 2",0,IF(BT271="Between 1.5 to 2",5,IF(BT271="Less than 1.5",10,0)))</f>
        <v/>
      </c>
      <c r="BV271" s="30" t="inlineStr">
        <is>
          <t>Above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IF(B272=0,"",RANK(B272,$B$2:$B$405,0))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KECL</t>
        </is>
      </c>
      <c r="D272" s="30" t="inlineStr">
        <is>
          <t>Kirloskar Electric Company Limited</t>
        </is>
      </c>
      <c r="E272" s="30" t="inlineStr">
        <is>
          <t>industrials</t>
        </is>
      </c>
      <c r="F272" s="30" t="inlineStr">
        <is>
          <t>electric equipment</t>
        </is>
      </c>
      <c r="G272" s="30" t="inlineStr">
        <is>
          <t>smallcap</t>
        </is>
      </c>
      <c r="H272" s="31" t="n">
        <v>997.61</v>
      </c>
      <c r="I272" s="31" t="n">
        <v>148.39</v>
      </c>
      <c r="J272" s="31" t="n">
        <v>-1.21</v>
      </c>
      <c r="K272" s="31" t="n">
        <v>905050</v>
      </c>
      <c r="L272" s="30" t="n">
        <v>55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68.89</v>
      </c>
      <c r="P272" s="31" t="n">
        <v>27.3</v>
      </c>
      <c r="Q272" s="31" t="n">
        <v>109.99</v>
      </c>
      <c r="R272" s="30" t="inlineStr">
        <is>
          <t>Volume Spike &amp; Near 52W High Breakout</t>
        </is>
      </c>
      <c r="S272" s="30" t="inlineStr">
        <is>
          <t>Nifty Infra</t>
        </is>
      </c>
      <c r="T272" s="31" t="n">
        <v>4.3</v>
      </c>
      <c r="U272" s="31" t="n">
        <v>15.48</v>
      </c>
      <c r="V272" s="31" t="n">
        <v>10.72</v>
      </c>
      <c r="W272" s="31" t="n">
        <v>11.74</v>
      </c>
      <c r="X272" s="30" t="inlineStr">
        <is>
          <t>Cyclical in an Upturn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Yes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20 to 40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More than 20%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Yes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Between 50% to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Between 0.7 to 1.2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IF(B273=0,"",RANK(B273,$B$2:$B$405,0))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TVSMOTOR</t>
        </is>
      </c>
      <c r="D273" s="30" t="inlineStr">
        <is>
          <t>Tvs Motor Company Limited</t>
        </is>
      </c>
      <c r="E273" s="30" t="inlineStr">
        <is>
          <t>auto</t>
        </is>
      </c>
      <c r="F273" s="30" t="inlineStr">
        <is>
          <t>automobiles - motorcycles / mopeds</t>
        </is>
      </c>
      <c r="G273" s="30" t="inlineStr">
        <is>
          <t>largecap</t>
        </is>
      </c>
      <c r="H273" s="31" t="n">
        <v>211660.81</v>
      </c>
      <c r="I273" s="31" t="n">
        <v>4375</v>
      </c>
      <c r="J273" s="31" t="n">
        <v>-1.8</v>
      </c>
      <c r="K273" s="31" t="n">
        <v>2240960</v>
      </c>
      <c r="L273" s="30" t="n">
        <v>68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71.87</v>
      </c>
      <c r="P273" s="31" t="n">
        <v>16.05</v>
      </c>
      <c r="Q273" s="31" t="n">
        <v>3672.32</v>
      </c>
      <c r="R273" s="30" t="inlineStr">
        <is>
          <t>Near 52W High Breakout</t>
        </is>
      </c>
      <c r="S273" s="30" t="inlineStr">
        <is>
          <t>Nifty Auto</t>
        </is>
      </c>
      <c r="T273" s="31" t="n">
        <v>22.44</v>
      </c>
      <c r="U273" s="31" t="n">
        <v>58.65</v>
      </c>
      <c r="V273" s="31" t="n">
        <v>29.58</v>
      </c>
      <c r="W273" s="31" t="n">
        <v>15.69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Yes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0 to 20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Blue sky scenario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More than 20%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Yes</t>
        </is>
      </c>
      <c r="BS273" s="30">
        <f>IF(BR273="NO",5,0)</f>
        <v/>
      </c>
      <c r="BT273" s="30" t="inlineStr">
        <is>
          <t>Less than 1.5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More than 1.2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IF(B274=0,"",RANK(B274,$B$2:$B$405,0))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HIRECT</t>
        </is>
      </c>
      <c r="D274" s="30" t="inlineStr">
        <is>
          <t>Hind Rectifiers Limited</t>
        </is>
      </c>
      <c r="E274" s="30" t="inlineStr">
        <is>
          <t>consumer discretionary</t>
        </is>
      </c>
      <c r="F274" s="30" t="inlineStr">
        <is>
          <t>electronics - components</t>
        </is>
      </c>
      <c r="G274" s="30" t="inlineStr">
        <is>
          <t>smallcap</t>
        </is>
      </c>
      <c r="H274" s="31" t="n">
        <v>4717.41</v>
      </c>
      <c r="I274" s="31" t="n">
        <v>1297.2</v>
      </c>
      <c r="J274" s="31" t="n">
        <v>-2.5</v>
      </c>
      <c r="K274" s="31" t="n">
        <v>88624</v>
      </c>
      <c r="L274" s="30" t="n">
        <v>88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77.05</v>
      </c>
      <c r="P274" s="31" t="n">
        <v>32.28</v>
      </c>
      <c r="Q274" s="31" t="n">
        <v>952.11</v>
      </c>
      <c r="R274" s="30" t="inlineStr">
        <is>
          <t>Near 52W High Breakout</t>
        </is>
      </c>
      <c r="S274" s="30" t="inlineStr">
        <is>
          <t>Nifty Infra</t>
        </is>
      </c>
      <c r="T274" s="31" t="n">
        <v>4.3</v>
      </c>
      <c r="U274" s="31" t="n">
        <v>95.94</v>
      </c>
      <c r="V274" s="31" t="n">
        <v>87.86</v>
      </c>
      <c r="W274" s="31" t="n">
        <v>27.09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Yes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Above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Blue sky scenario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Less than 12%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Yes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Between 0.7 to 1.2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IF(B275=0,"",RANK(B275,$B$2:$B$405,0))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ONMOBILE</t>
        </is>
      </c>
      <c r="D275" s="30" t="inlineStr">
        <is>
          <t>Onmobile Global Limited</t>
        </is>
      </c>
      <c r="E275" s="30" t="inlineStr">
        <is>
          <t>telecom-service</t>
        </is>
      </c>
      <c r="F275" s="30" t="inlineStr">
        <is>
          <t>telecommunications - service provider</t>
        </is>
      </c>
      <c r="G275" s="30" t="inlineStr">
        <is>
          <t>smallcap</t>
        </is>
      </c>
      <c r="H275" s="31" t="n">
        <v>780.29</v>
      </c>
      <c r="I275" s="31" t="n">
        <v>71.09</v>
      </c>
      <c r="J275" s="31" t="n">
        <v>-3.13</v>
      </c>
      <c r="K275" s="31" t="n">
        <v>168784</v>
      </c>
      <c r="L275" s="30" t="n">
        <v>59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61.91</v>
      </c>
      <c r="P275" s="31" t="n">
        <v>32.01</v>
      </c>
      <c r="Q275" s="31" t="n">
        <v>57.72</v>
      </c>
      <c r="R275" s="30" t="inlineStr">
        <is>
          <t>Earnings / Momentum Support</t>
        </is>
      </c>
      <c r="S275" s="30" t="inlineStr">
        <is>
          <t>Nifty 50</t>
        </is>
      </c>
      <c r="T275" s="31" t="n">
        <v>1.09</v>
      </c>
      <c r="U275" s="31" t="n">
        <v>35.8</v>
      </c>
      <c r="V275" s="31" t="n">
        <v>34.34</v>
      </c>
      <c r="W275" s="31" t="n">
        <v>13.14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Oligopoly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Yes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No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20 to 40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Less than 1.5</t>
        </is>
      </c>
      <c r="BU275" s="30">
        <f>IF(BT275="Above 2",0,IF(BT275="Between 1.5 to 2",5,IF(BT275="Less than 1.5",10,0)))</f>
        <v/>
      </c>
      <c r="BV275" s="30" t="inlineStr">
        <is>
          <t>Negative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IF(B276=0,"",RANK(B276,$B$2:$B$405,0))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2" t="inlineStr">
        <is>
          <t>APOLLOTYRE</t>
        </is>
      </c>
      <c r="D276" s="32" t="inlineStr">
        <is>
          <t>Apollo Tyres Limited</t>
        </is>
      </c>
      <c r="E276" s="30" t="inlineStr">
        <is>
          <t>auto</t>
        </is>
      </c>
      <c r="F276" s="30" t="inlineStr">
        <is>
          <t>tyres</t>
        </is>
      </c>
      <c r="G276" s="30" t="inlineStr">
        <is>
          <t>largecap</t>
        </is>
      </c>
      <c r="H276" s="31" t="n">
        <v>28255.64</v>
      </c>
      <c r="I276" s="31" t="n">
        <v>451.2</v>
      </c>
      <c r="J276" s="31" t="n">
        <v>1.42</v>
      </c>
      <c r="K276" s="31" t="n">
        <v>907493</v>
      </c>
      <c r="L276" s="30" t="n">
        <v>12</v>
      </c>
      <c r="M276" s="30" t="inlineStr">
        <is>
          <t>Underperforming</t>
        </is>
      </c>
      <c r="N276" s="31">
        <f>IF(M276="Underperforming",-5,IF(L276&gt;=95,15,IF(L276&gt;=90,10,IF(L276&gt;=80,5,0))))</f>
        <v/>
      </c>
      <c r="O276" s="31" t="n">
        <v>55.74</v>
      </c>
      <c r="P276" s="31" t="n">
        <v>17.89</v>
      </c>
      <c r="Q276" s="31" t="n">
        <v>368.15</v>
      </c>
      <c r="R276" s="30" t="inlineStr">
        <is>
          <t>Earnings / Momentum Support</t>
        </is>
      </c>
      <c r="S276" s="30" t="inlineStr">
        <is>
          <t>Nifty Auto</t>
        </is>
      </c>
      <c r="T276" s="31" t="n">
        <v>22.44</v>
      </c>
      <c r="U276" s="31" t="n">
        <v>0.28</v>
      </c>
      <c r="V276" s="31" t="n">
        <v>-18.09</v>
      </c>
      <c r="W276" s="31" t="n">
        <v>1.81</v>
      </c>
      <c r="X276" s="30" t="inlineStr">
        <is>
          <t>Cyclical in an Upturn</t>
        </is>
      </c>
      <c r="Y276" s="30">
        <f>IF(X276="Growing Industry",10,IF(X276="Cyclical in an Upturn",5,0))</f>
        <v/>
      </c>
      <c r="Z276" s="30" t="inlineStr">
        <is>
          <t>Oligopoly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Cyclical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B2C</t>
        </is>
      </c>
      <c r="AO276" s="30">
        <f>IF(AN276="B2C",10,IF(AN276="B2B",5,0))</f>
        <v/>
      </c>
      <c r="AP276" s="30" t="inlineStr">
        <is>
          <t>Yes</t>
        </is>
      </c>
      <c r="AQ276" s="30">
        <f>IF(AP276="Yes",10,0)</f>
        <v/>
      </c>
      <c r="AR276" s="30" t="inlineStr">
        <is>
          <t>Fully One Time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Above 40</t>
        </is>
      </c>
      <c r="AY276" s="30">
        <f>IF(AX276="Above 40",20,IF(AX276="20 to 40",10,IF(AX276="0 to 20",-5,0)))</f>
        <v/>
      </c>
      <c r="AZ276" s="30" t="inlineStr">
        <is>
          <t>Above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Yes</t>
        </is>
      </c>
      <c r="BQ276" s="30">
        <f>IF(BP276="No",10,0)</f>
        <v/>
      </c>
      <c r="BR276" s="30" t="inlineStr">
        <is>
          <t>Yes</t>
        </is>
      </c>
      <c r="BS276" s="30">
        <f>IF(BR276="NO",5,0)</f>
        <v/>
      </c>
      <c r="BT276" s="30" t="inlineStr">
        <is>
          <t>Between 1.5 to 2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IF(B277=0,"",RANK(B277,$B$2:$B$405,0))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MAGADSUGAR</t>
        </is>
      </c>
      <c r="D277" s="30" t="inlineStr">
        <is>
          <t>Magadh Sugar &amp; Energy Ltd</t>
        </is>
      </c>
      <c r="E277" s="30" t="inlineStr">
        <is>
          <t>fmcg</t>
        </is>
      </c>
      <c r="F277" s="30" t="inlineStr">
        <is>
          <t>sugar</t>
        </is>
      </c>
      <c r="G277" s="30" t="inlineStr">
        <is>
          <t>smallcap</t>
        </is>
      </c>
      <c r="H277" s="31" t="n">
        <v>721.84</v>
      </c>
      <c r="I277" s="31" t="n">
        <v>514.5</v>
      </c>
      <c r="J277" s="31" t="n">
        <v>0.44</v>
      </c>
      <c r="K277" s="31" t="n">
        <v>157298</v>
      </c>
      <c r="L277" s="30" t="n">
        <v>9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63.04</v>
      </c>
      <c r="P277" s="31" t="n">
        <v>14.22</v>
      </c>
      <c r="Q277" s="31" t="n">
        <v>411.25</v>
      </c>
      <c r="R277" s="30" t="inlineStr">
        <is>
          <t>Volume Spike / Accumulation</t>
        </is>
      </c>
      <c r="S277" s="30" t="inlineStr">
        <is>
          <t>Nifty FMCG</t>
        </is>
      </c>
      <c r="T277" s="31" t="n">
        <v>-9.75</v>
      </c>
      <c r="U277" s="31" t="n">
        <v>-3.53</v>
      </c>
      <c r="V277" s="31" t="n">
        <v>6.89</v>
      </c>
      <c r="W277" s="31" t="n">
        <v>1.34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B2C</t>
        </is>
      </c>
      <c r="AO277" s="30">
        <f>IF(AN277="B2C",10,IF(AN277="B2B",5,0))</f>
        <v/>
      </c>
      <c r="AP277" s="30" t="inlineStr">
        <is>
          <t>Yes</t>
        </is>
      </c>
      <c r="AQ277" s="30">
        <f>IF(AP277="Yes",10,0)</f>
        <v/>
      </c>
      <c r="AR277" s="30" t="inlineStr">
        <is>
          <t>Higher Annuity, Lower One Time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0 to 20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Less than 12%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No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Above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Between 0.7 to 1.2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IF(B278=0,"",RANK(B278,$B$2:$B$405,0))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2" t="inlineStr">
        <is>
          <t>GLAXO</t>
        </is>
      </c>
      <c r="D278" s="32" t="inlineStr">
        <is>
          <t>Glaxosmithkline Pharmaceuticals Limited</t>
        </is>
      </c>
      <c r="E278" s="30" t="inlineStr">
        <is>
          <t>healthcare</t>
        </is>
      </c>
      <c r="F278" s="30" t="inlineStr">
        <is>
          <t>pharmaceuticals - multinational</t>
        </is>
      </c>
      <c r="G278" s="30" t="inlineStr">
        <is>
          <t>largecap</t>
        </is>
      </c>
      <c r="H278" s="31" t="n">
        <v>43532.27</v>
      </c>
      <c r="I278" s="31" t="n">
        <v>2579.5</v>
      </c>
      <c r="J278" s="31" t="n">
        <v>0.38</v>
      </c>
      <c r="K278" s="31" t="n">
        <v>40361</v>
      </c>
      <c r="L278" s="30" t="n">
        <v>10</v>
      </c>
      <c r="M278" s="30" t="inlineStr">
        <is>
          <t>Underperforming</t>
        </is>
      </c>
      <c r="N278" s="31">
        <f>IF(M278="Underperforming",-5,IF(L278&gt;=95,15,IF(L278&gt;=90,10,IF(L278&gt;=80,5,0))))</f>
        <v/>
      </c>
      <c r="O278" s="31" t="n">
        <v>59</v>
      </c>
      <c r="P278" s="31" t="n">
        <v>20.02</v>
      </c>
      <c r="Q278" s="31" t="n">
        <v>2227.75</v>
      </c>
      <c r="R278" s="30" t="inlineStr">
        <is>
          <t>Earnings / Momentum Support</t>
        </is>
      </c>
      <c r="S278" s="30" t="inlineStr">
        <is>
          <t>Nifty Pharma</t>
        </is>
      </c>
      <c r="T278" s="31" t="n">
        <v>24.42</v>
      </c>
      <c r="U278" s="31" t="n">
        <v>-0.12</v>
      </c>
      <c r="V278" s="31" t="n">
        <v>-19.73</v>
      </c>
      <c r="W278" s="31" t="n">
        <v>1.42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Yes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No</t>
        </is>
      </c>
      <c r="AQ278" s="30">
        <f>IF(AP278="Yes",10,0)</f>
        <v/>
      </c>
      <c r="AR278" s="30" t="inlineStr">
        <is>
          <t>Higher Annuity, Lower One Time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20 to 40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Between 12 to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Yes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Above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IF(B279=0,"",RANK(B279,$B$2:$B$405,0))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ONEPOINT</t>
        </is>
      </c>
      <c r="D279" s="30" t="inlineStr">
        <is>
          <t>One Point One Solutions Ltd</t>
        </is>
      </c>
      <c r="E279" s="30" t="inlineStr">
        <is>
          <t>i.t</t>
        </is>
      </c>
      <c r="F279" s="30" t="inlineStr">
        <is>
          <t>computers - software - medium / small</t>
        </is>
      </c>
      <c r="G279" s="30" t="inlineStr">
        <is>
          <t>smallcap</t>
        </is>
      </c>
      <c r="H279" s="31" t="n">
        <v>1503.74</v>
      </c>
      <c r="I279" s="31" t="n">
        <v>57.1</v>
      </c>
      <c r="J279" s="31" t="n">
        <v>-0.16</v>
      </c>
      <c r="K279" s="31" t="n">
        <v>537920</v>
      </c>
      <c r="L279" s="30" t="n">
        <v>17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53.95</v>
      </c>
      <c r="P279" s="31" t="n">
        <v>19.51</v>
      </c>
      <c r="Q279" s="31" t="n">
        <v>48.93</v>
      </c>
      <c r="R279" s="30" t="inlineStr">
        <is>
          <t>Earnings / Momentum Support</t>
        </is>
      </c>
      <c r="S279" s="30" t="inlineStr">
        <is>
          <t>Nifty IT</t>
        </is>
      </c>
      <c r="T279" s="31" t="n">
        <v>-9.289999999999999</v>
      </c>
      <c r="U279" s="31" t="n">
        <v>22.05</v>
      </c>
      <c r="V279" s="31" t="n">
        <v>34.55</v>
      </c>
      <c r="W279" s="31" t="n">
        <v>3.27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No</t>
        </is>
      </c>
      <c r="AQ279" s="30">
        <f>IF(AP279="Yes",10,0)</f>
        <v/>
      </c>
      <c r="AR279" s="30" t="inlineStr">
        <is>
          <t>Higher Annuity, Lower One Time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0 to 20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Close to 52 week high or retracement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Between 12 to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No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Less than 0.7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IF(B280=0,"",RANK(B280,$B$2:$B$405,0))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2" t="inlineStr">
        <is>
          <t>APLAPOLLO</t>
        </is>
      </c>
      <c r="D280" s="32" t="inlineStr">
        <is>
          <t>Apl Apollo Tubes Limited</t>
        </is>
      </c>
      <c r="E280" s="30" t="inlineStr">
        <is>
          <t>industrials</t>
        </is>
      </c>
      <c r="F280" s="30" t="inlineStr">
        <is>
          <t>steel - large</t>
        </is>
      </c>
      <c r="G280" s="30" t="inlineStr">
        <is>
          <t>largecap</t>
        </is>
      </c>
      <c r="H280" s="31" t="n">
        <v>54101.74</v>
      </c>
      <c r="I280" s="31" t="n">
        <v>1945</v>
      </c>
      <c r="J280" s="31" t="n">
        <v>-0.18</v>
      </c>
      <c r="K280" s="31" t="n">
        <v>1607461</v>
      </c>
      <c r="L280" s="30" t="n">
        <v>26</v>
      </c>
      <c r="M280" s="30" t="inlineStr">
        <is>
          <t>Underperforming</t>
        </is>
      </c>
      <c r="N280" s="31">
        <f>IF(M280="Underperforming",-5,IF(L280&gt;=95,15,IF(L280&gt;=90,10,IF(L280&gt;=80,5,0))))</f>
        <v/>
      </c>
      <c r="O280" s="31" t="n">
        <v>56.14</v>
      </c>
      <c r="P280" s="31" t="n">
        <v>10.14</v>
      </c>
      <c r="Q280" s="31" t="n">
        <v>1640.9</v>
      </c>
      <c r="R280" s="30" t="inlineStr">
        <is>
          <t>Volume Spike / Accumulation</t>
        </is>
      </c>
      <c r="S280" s="30" t="inlineStr">
        <is>
          <t>Nifty Metal</t>
        </is>
      </c>
      <c r="T280" s="31" t="n">
        <v>39.44</v>
      </c>
      <c r="U280" s="31" t="n">
        <v>28.23</v>
      </c>
      <c r="V280" s="31" t="n">
        <v>-8.039999999999999</v>
      </c>
      <c r="W280" s="31" t="n">
        <v>5.01</v>
      </c>
      <c r="X280" s="30" t="inlineStr">
        <is>
          <t>Cyclical in an Upturn</t>
        </is>
      </c>
      <c r="Y280" s="30">
        <f>IF(X280="Growing Industry",10,IF(X280="Cyclical in an Upturn",5,0))</f>
        <v/>
      </c>
      <c r="Z280" s="30" t="inlineStr">
        <is>
          <t>Oligopoly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Cyclical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B2C</t>
        </is>
      </c>
      <c r="AO280" s="30">
        <f>IF(AN280="B2C",10,IF(AN280="B2B",5,0))</f>
        <v/>
      </c>
      <c r="AP280" s="30" t="inlineStr">
        <is>
          <t>Yes</t>
        </is>
      </c>
      <c r="AQ280" s="30">
        <f>IF(AP280="Yes",10,0)</f>
        <v/>
      </c>
      <c r="AR280" s="30" t="inlineStr">
        <is>
          <t>Fully One Time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Above 40</t>
        </is>
      </c>
      <c r="AY280" s="30">
        <f>IF(AX280="Above 40",20,IF(AX280="20 to 40",10,IF(AX280="0 to 20",-5,0)))</f>
        <v/>
      </c>
      <c r="AZ280" s="30" t="inlineStr">
        <is>
          <t>Above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Yes</t>
        </is>
      </c>
      <c r="BQ280" s="30">
        <f>IF(BP280="No",10,0)</f>
        <v/>
      </c>
      <c r="BR280" s="30" t="inlineStr">
        <is>
          <t>Yes</t>
        </is>
      </c>
      <c r="BS280" s="30">
        <f>IF(BR280="NO",5,0)</f>
        <v/>
      </c>
      <c r="BT280" s="30" t="inlineStr">
        <is>
          <t>Between 1.5 to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IF(B281=0,"",RANK(B281,$B$2:$B$405,0))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DHAMPURSUG</t>
        </is>
      </c>
      <c r="D281" s="30" t="inlineStr">
        <is>
          <t>Dhampur Sugar Mills Limited</t>
        </is>
      </c>
      <c r="E281" s="30" t="inlineStr">
        <is>
          <t>fmcg</t>
        </is>
      </c>
      <c r="F281" s="30" t="inlineStr">
        <is>
          <t>sugar</t>
        </is>
      </c>
      <c r="G281" s="30" t="inlineStr">
        <is>
          <t>smallcap</t>
        </is>
      </c>
      <c r="H281" s="31" t="n">
        <v>960.1</v>
      </c>
      <c r="I281" s="31" t="n">
        <v>148.1</v>
      </c>
      <c r="J281" s="31" t="n">
        <v>-0.8</v>
      </c>
      <c r="K281" s="31" t="n">
        <v>252333</v>
      </c>
      <c r="L281" s="30" t="n">
        <v>18</v>
      </c>
      <c r="M281" s="30" t="inlineStr">
        <is>
          <t>Outperforming</t>
        </is>
      </c>
      <c r="N281" s="31">
        <f>IF(M281="Underperforming",-5,IF(L281&gt;=95,15,IF(L281&gt;=90,10,IF(L281&gt;=80,5,0))))</f>
        <v/>
      </c>
      <c r="O281" s="31" t="n">
        <v>60.58</v>
      </c>
      <c r="P281" s="31" t="n">
        <v>17.67</v>
      </c>
      <c r="Q281" s="31" t="n">
        <v>115.01</v>
      </c>
      <c r="R281" s="30" t="inlineStr">
        <is>
          <t>Volume Spike &amp; Near 52W High Breakout</t>
        </is>
      </c>
      <c r="S281" s="30" t="inlineStr">
        <is>
          <t>Nifty FMCG</t>
        </is>
      </c>
      <c r="T281" s="31" t="n">
        <v>-9.75</v>
      </c>
      <c r="U281" s="31" t="n">
        <v>4.69</v>
      </c>
      <c r="V281" s="31" t="n">
        <v>16</v>
      </c>
      <c r="W281" s="31" t="n">
        <v>3.36</v>
      </c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B2C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Annuity, Lower One Time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0 to 20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Less than 12%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Above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Between 0.7 to 1.2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IF(B282=0,"",RANK(B282,$B$2:$B$405,0))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0" t="inlineStr">
        <is>
          <t>TI</t>
        </is>
      </c>
      <c r="D282" s="30" t="inlineStr">
        <is>
          <t>Tilaknagar Industries Limited</t>
        </is>
      </c>
      <c r="E282" s="30" t="inlineStr">
        <is>
          <t>fmcg</t>
        </is>
      </c>
      <c r="F282" s="30" t="inlineStr">
        <is>
          <t>breweries &amp; distilleries</t>
        </is>
      </c>
      <c r="G282" s="30" t="inlineStr">
        <is>
          <t>midcap</t>
        </is>
      </c>
      <c r="H282" s="31" t="n">
        <v>12397.2</v>
      </c>
      <c r="I282" s="31" t="n">
        <v>488.45</v>
      </c>
      <c r="J282" s="31" t="n">
        <v>-2.5</v>
      </c>
      <c r="K282" s="31" t="n">
        <v>1100172</v>
      </c>
      <c r="L282" s="30" t="n">
        <v>15</v>
      </c>
      <c r="M282" s="30" t="inlineStr">
        <is>
          <t>Outperforming</t>
        </is>
      </c>
      <c r="N282" s="31">
        <f>IF(M282="Underperforming",-5,IF(L282&gt;=95,15,IF(L282&gt;=90,10,IF(L282&gt;=80,5,0))))</f>
        <v/>
      </c>
      <c r="O282" s="31" t="n">
        <v>62.68</v>
      </c>
      <c r="P282" s="31" t="n">
        <v>7.72</v>
      </c>
      <c r="Q282" s="31" t="n">
        <v>399.52</v>
      </c>
      <c r="R282" s="30" t="inlineStr">
        <is>
          <t>Volume Spike / Accumulation</t>
        </is>
      </c>
      <c r="S282" s="30" t="inlineStr">
        <is>
          <t>Nifty FMCG</t>
        </is>
      </c>
      <c r="T282" s="31" t="n">
        <v>-9.75</v>
      </c>
      <c r="U282" s="31" t="n">
        <v>0.2</v>
      </c>
      <c r="V282" s="31" t="n">
        <v>11.02</v>
      </c>
      <c r="W282" s="31" t="n">
        <v>2.6</v>
      </c>
      <c r="X282" s="30" t="inlineStr">
        <is>
          <t>Growing Industry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B2C</t>
        </is>
      </c>
      <c r="AO282" s="30">
        <f>IF(AN282="B2C",10,IF(AN282="B2B",5,0))</f>
        <v/>
      </c>
      <c r="AP282" s="30" t="inlineStr">
        <is>
          <t>Yes</t>
        </is>
      </c>
      <c r="AQ282" s="30">
        <f>IF(AP282="Yes",10,0)</f>
        <v/>
      </c>
      <c r="AR282" s="30" t="inlineStr">
        <is>
          <t>Higher Annuity, Lower One Time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0 to 20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Less than 12%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No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Above 70%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Between 0.7 to 1.2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IF(B283=0,"",RANK(B283,$B$2:$B$405,0))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PVRINOX</t>
        </is>
      </c>
      <c r="D283" s="30" t="inlineStr">
        <is>
          <t>PVR Inox Ltd</t>
        </is>
      </c>
      <c r="E283" s="30" t="inlineStr">
        <is>
          <t>media</t>
        </is>
      </c>
      <c r="F283" s="30" t="inlineStr">
        <is>
          <t>entertainment / electronic media software</t>
        </is>
      </c>
      <c r="G283" s="30" t="inlineStr">
        <is>
          <t>midcap</t>
        </is>
      </c>
      <c r="H283" s="31" t="n">
        <v>11409.85</v>
      </c>
      <c r="I283" s="31" t="n">
        <v>1131</v>
      </c>
      <c r="J283" s="31" t="n">
        <v>-2.66</v>
      </c>
      <c r="K283" s="31" t="n">
        <v>157049</v>
      </c>
      <c r="L283" s="30" t="n">
        <v>20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67.53</v>
      </c>
      <c r="P283" s="31" t="n">
        <v>13.43</v>
      </c>
      <c r="Q283" s="31" t="n">
        <v>968.14</v>
      </c>
      <c r="R283" s="30" t="inlineStr">
        <is>
          <t>Near 52W High Breakout</t>
        </is>
      </c>
      <c r="S283" s="30" t="inlineStr">
        <is>
          <t>Nifty IT</t>
        </is>
      </c>
      <c r="T283" s="31" t="n">
        <v>-9.289999999999999</v>
      </c>
      <c r="U283" s="31" t="n">
        <v>8.56</v>
      </c>
      <c r="V283" s="31" t="n">
        <v>19.67</v>
      </c>
      <c r="W283" s="31" t="n">
        <v>3.64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Annuity, Lower One Time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0 to 20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More than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Yes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Above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Between 0.7 to 1.2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IF(B284=0,"",RANK(B284,$B$2:$B$405,0))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NAVINFLUOR</t>
        </is>
      </c>
      <c r="D284" s="30" t="inlineStr">
        <is>
          <t>Navin Fluorine International Limited</t>
        </is>
      </c>
      <c r="E284" s="30" t="inlineStr">
        <is>
          <t>chemicals</t>
        </is>
      </c>
      <c r="F284" s="30" t="inlineStr">
        <is>
          <t>chemicals</t>
        </is>
      </c>
      <c r="G284" s="30" t="inlineStr">
        <is>
          <t>largecap</t>
        </is>
      </c>
      <c r="H284" s="31" t="n">
        <v>39030.01</v>
      </c>
      <c r="I284" s="31" t="n">
        <v>8650</v>
      </c>
      <c r="J284" s="31" t="n">
        <v>13.67</v>
      </c>
      <c r="K284" s="31" t="n">
        <v>3853522</v>
      </c>
      <c r="L284" s="30" t="n">
        <v>69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75.73</v>
      </c>
      <c r="P284" s="31" t="n">
        <v>53.81</v>
      </c>
      <c r="Q284" s="31" t="n">
        <v>6994.13</v>
      </c>
      <c r="R284" s="30" t="inlineStr">
        <is>
          <t>Volume Spike &amp; Near 52W High Breakout</t>
        </is>
      </c>
      <c r="S284" s="30" t="inlineStr">
        <is>
          <t>Nifty 50</t>
        </is>
      </c>
      <c r="T284" s="31" t="n">
        <v>1.09</v>
      </c>
      <c r="U284" s="31" t="n">
        <v>75.76000000000001</v>
      </c>
      <c r="V284" s="31" t="n">
        <v>73.87</v>
      </c>
      <c r="W284" s="31" t="n">
        <v>16.28</v>
      </c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Oligopoly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Shallow Cyclical (2 to 3 Years Growth)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20 to 40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3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Yes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Between 50% to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IF(B285=0,"",RANK(B285,$B$2:$B$405,0))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2" t="inlineStr">
        <is>
          <t>RAMRAT</t>
        </is>
      </c>
      <c r="D285" s="32" t="inlineStr">
        <is>
          <t>Ram Ratna Wires Ltd</t>
        </is>
      </c>
      <c r="E285" s="30" t="inlineStr">
        <is>
          <t>metals &amp; mining</t>
        </is>
      </c>
      <c r="F285" s="30" t="inlineStr">
        <is>
          <t>mining / minerals / metals</t>
        </is>
      </c>
      <c r="G285" s="30" t="inlineStr">
        <is>
          <t>smallcap</t>
        </is>
      </c>
      <c r="H285" s="31" t="n">
        <v>4077.95</v>
      </c>
      <c r="I285" s="31" t="n">
        <v>467.15</v>
      </c>
      <c r="J285" s="31" t="n">
        <v>6.94</v>
      </c>
      <c r="K285" s="31" t="n">
        <v>941695</v>
      </c>
      <c r="L285" s="30" t="n">
        <v>55</v>
      </c>
      <c r="M285" s="30" t="inlineStr">
        <is>
          <t>Underperforming</t>
        </is>
      </c>
      <c r="N285" s="31">
        <f>IF(M285="Underperforming",-5,IF(L285&gt;=95,15,IF(L285&gt;=90,10,IF(L285&gt;=80,5,0))))</f>
        <v/>
      </c>
      <c r="O285" s="31" t="n">
        <v>68.31</v>
      </c>
      <c r="P285" s="31" t="n">
        <v>44.23</v>
      </c>
      <c r="Q285" s="31" t="n">
        <v>346.92</v>
      </c>
      <c r="R285" s="30" t="inlineStr">
        <is>
          <t>Volume Spike &amp; Near 52W High Breakout</t>
        </is>
      </c>
      <c r="S285" s="30" t="inlineStr">
        <is>
          <t>Nifty Metal</t>
        </is>
      </c>
      <c r="T285" s="31" t="n">
        <v>39.44</v>
      </c>
      <c r="U285" s="31" t="n">
        <v>34.21</v>
      </c>
      <c r="V285" s="31" t="n">
        <v>-3.75</v>
      </c>
      <c r="W285" s="31" t="n">
        <v>11.81</v>
      </c>
      <c r="X285" s="30" t="inlineStr">
        <is>
          <t>Cyclical in an Upturn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Cyclical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Volatile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Yes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Above 40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Blue sky scenario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More than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Yes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Between 0.7 to 1.2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IF(B286=0,"",RANK(B286,$B$2:$B$405,0))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KALYANKJIL</t>
        </is>
      </c>
      <c r="D286" s="30" t="inlineStr">
        <is>
          <t>Kalyan Jewellers India Ltd</t>
        </is>
      </c>
      <c r="E286" s="30" t="inlineStr">
        <is>
          <t>consumer discretionary</t>
        </is>
      </c>
      <c r="F286" s="30" t="inlineStr">
        <is>
          <t>diamond cutting / jewellery</t>
        </is>
      </c>
      <c r="G286" s="30" t="inlineStr">
        <is>
          <t>largecap</t>
        </is>
      </c>
      <c r="H286" s="31" t="n">
        <v>58814.55</v>
      </c>
      <c r="I286" s="31" t="n">
        <v>598</v>
      </c>
      <c r="J286" s="31" t="n">
        <v>5</v>
      </c>
      <c r="K286" s="31" t="n">
        <v>49077111</v>
      </c>
      <c r="L286" s="30" t="n">
        <v>48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65.61</v>
      </c>
      <c r="P286" s="31" t="n">
        <v>29.53</v>
      </c>
      <c r="Q286" s="31" t="n">
        <v>462.5</v>
      </c>
      <c r="R286" s="30" t="inlineStr">
        <is>
          <t>Earnings / Momentum Support</t>
        </is>
      </c>
      <c r="S286" s="30" t="inlineStr">
        <is>
          <t>Nifty 50</t>
        </is>
      </c>
      <c r="T286" s="31" t="n">
        <v>1.09</v>
      </c>
      <c r="U286" s="31" t="n">
        <v>8.6</v>
      </c>
      <c r="V286" s="31" t="n">
        <v>7.43</v>
      </c>
      <c r="W286" s="31" t="n">
        <v>10.52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No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20 to 40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More than 20%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Yes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Between 50% to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Between 0.7 to 1.2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IF(B287=0,"",RANK(B287,$B$2:$B$405,0))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2" t="inlineStr">
        <is>
          <t>SICALLOG</t>
        </is>
      </c>
      <c r="D287" s="32" t="inlineStr">
        <is>
          <t>Sical Logistics Ltd</t>
        </is>
      </c>
      <c r="E287" s="30" t="inlineStr">
        <is>
          <t>transportation</t>
        </is>
      </c>
      <c r="F287" s="30" t="inlineStr">
        <is>
          <t>miscellaneous</t>
        </is>
      </c>
      <c r="G287" s="30" t="inlineStr">
        <is>
          <t>smallcap</t>
        </is>
      </c>
      <c r="H287" s="31" t="n">
        <v>796.01</v>
      </c>
      <c r="I287" s="31" t="n">
        <v>103.99</v>
      </c>
      <c r="J287" s="31" t="n">
        <v>4.23</v>
      </c>
      <c r="K287" s="31" t="n">
        <v>51645</v>
      </c>
      <c r="L287" s="30" t="n">
        <v>60</v>
      </c>
      <c r="M287" s="30" t="inlineStr">
        <is>
          <t>Underperforming</t>
        </is>
      </c>
      <c r="N287" s="31">
        <f>IF(M287="Underperforming",-5,IF(L287&gt;=95,15,IF(L287&gt;=90,10,IF(L287&gt;=80,5,0))))</f>
        <v/>
      </c>
      <c r="O287" s="31" t="n">
        <v>61.02</v>
      </c>
      <c r="P287" s="31" t="n">
        <v>27.87</v>
      </c>
      <c r="Q287" s="31" t="n">
        <v>86.72</v>
      </c>
      <c r="R287" s="30" t="inlineStr">
        <is>
          <t>Earnings / Momentum Support</t>
        </is>
      </c>
      <c r="S287" s="30" t="inlineStr">
        <is>
          <t>Nifty 50</t>
        </is>
      </c>
      <c r="T287" s="31" t="n">
        <v>1.09</v>
      </c>
      <c r="U287" s="31" t="n">
        <v>-3.05</v>
      </c>
      <c r="V287" s="31" t="n">
        <v>-4.09</v>
      </c>
      <c r="W287" s="31" t="n">
        <v>13.18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20 to 40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More than 20%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No</t>
        </is>
      </c>
      <c r="BS287" s="30">
        <f>IF(BR287="NO",5,0)</f>
        <v/>
      </c>
      <c r="BT287" s="30" t="inlineStr">
        <is>
          <t>Less than 1.5</t>
        </is>
      </c>
      <c r="BU287" s="30">
        <f>IF(BT287="Above 2",0,IF(BT287="Between 1.5 to 2",5,IF(BT287="Less than 1.5",10,0)))</f>
        <v/>
      </c>
      <c r="BV287" s="30" t="inlineStr">
        <is>
          <t>Between 50% to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More than 1.2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IF(B288=0,"",RANK(B288,$B$2:$B$405,0))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SRM</t>
        </is>
      </c>
      <c r="D288" s="30" t="inlineStr">
        <is>
          <t>SRM Contractors Ltd</t>
        </is>
      </c>
      <c r="E288" s="30" t="inlineStr">
        <is>
          <t>realty</t>
        </is>
      </c>
      <c r="F288" s="30" t="inlineStr">
        <is>
          <t>construction</t>
        </is>
      </c>
      <c r="G288" s="30" t="inlineStr">
        <is>
          <t>smallcap</t>
        </is>
      </c>
      <c r="H288" s="31" t="n">
        <v>1171.42</v>
      </c>
      <c r="I288" s="31" t="n">
        <v>529.05</v>
      </c>
      <c r="J288" s="31" t="n">
        <v>3.62</v>
      </c>
      <c r="K288" s="31" t="n">
        <v>282926</v>
      </c>
      <c r="L288" s="30" t="n">
        <v>20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58.47</v>
      </c>
      <c r="P288" s="31" t="n">
        <v>6.1</v>
      </c>
      <c r="Q288" s="31" t="n">
        <v>397.4</v>
      </c>
      <c r="R288" s="30" t="inlineStr">
        <is>
          <t>Earnings / Momentum Support</t>
        </is>
      </c>
      <c r="S288" s="30" t="inlineStr">
        <is>
          <t>Nifty Realty</t>
        </is>
      </c>
      <c r="T288" s="31" t="n">
        <v>-6.42</v>
      </c>
      <c r="U288" s="31" t="n">
        <v>13.52</v>
      </c>
      <c r="V288" s="31" t="n">
        <v>21.31</v>
      </c>
      <c r="W288" s="31" t="n">
        <v>3.7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No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0 to 20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More than 20%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No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Between 50% to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IF(B289=0,"",RANK(B289,$B$2:$B$405,0))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2" t="inlineStr">
        <is>
          <t>THEJO</t>
        </is>
      </c>
      <c r="D289" s="32" t="inlineStr">
        <is>
          <t>Thejo Engineering Ltd</t>
        </is>
      </c>
      <c r="E289" s="30" t="inlineStr">
        <is>
          <t>industrials</t>
        </is>
      </c>
      <c r="F289" s="30" t="inlineStr">
        <is>
          <t>engineering</t>
        </is>
      </c>
      <c r="G289" s="30" t="inlineStr">
        <is>
          <t>smallcap</t>
        </is>
      </c>
      <c r="H289" s="31" t="n">
        <v>2278.19</v>
      </c>
      <c r="I289" s="31" t="n">
        <v>2159.1</v>
      </c>
      <c r="J289" s="31" t="n">
        <v>2.8</v>
      </c>
      <c r="K289" s="31" t="n">
        <v>6757</v>
      </c>
      <c r="L289" s="30" t="n">
        <v>16</v>
      </c>
      <c r="M289" s="30" t="inlineStr">
        <is>
          <t>Underperforming</t>
        </is>
      </c>
      <c r="N289" s="31">
        <f>IF(M289="Underperforming",-5,IF(L289&gt;=95,15,IF(L289&gt;=90,10,IF(L289&gt;=80,5,0))))</f>
        <v/>
      </c>
      <c r="O289" s="31" t="n">
        <v>68.06999999999999</v>
      </c>
      <c r="P289" s="31" t="n">
        <v>23.06</v>
      </c>
      <c r="Q289" s="31" t="n">
        <v>1667.56</v>
      </c>
      <c r="R289" s="30" t="inlineStr">
        <is>
          <t>Near 52W High Breakout</t>
        </is>
      </c>
      <c r="S289" s="30" t="inlineStr">
        <is>
          <t>Nifty 50</t>
        </is>
      </c>
      <c r="T289" s="31" t="n">
        <v>1.09</v>
      </c>
      <c r="U289" s="31" t="n">
        <v>-6.47</v>
      </c>
      <c r="V289" s="31" t="n">
        <v>-7.48</v>
      </c>
      <c r="W289" s="31" t="n">
        <v>2.8</v>
      </c>
      <c r="X289" s="30" t="inlineStr">
        <is>
          <t>Cyclical in an Upturn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20 to 40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Less than 12%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Yes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Between 50% to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IF(B290=0,"",RANK(B290,$B$2:$B$405,0))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2" t="inlineStr">
        <is>
          <t>UNOMINDA</t>
        </is>
      </c>
      <c r="D290" s="32" t="inlineStr">
        <is>
          <t>Uno Minda Ltd</t>
        </is>
      </c>
      <c r="E290" s="30" t="inlineStr">
        <is>
          <t>auto</t>
        </is>
      </c>
      <c r="F290" s="30" t="inlineStr">
        <is>
          <t>auto ancillaries</t>
        </is>
      </c>
      <c r="G290" s="30" t="inlineStr">
        <is>
          <t>largecap</t>
        </is>
      </c>
      <c r="H290" s="31" t="n">
        <v>72183.39999999999</v>
      </c>
      <c r="I290" s="31" t="n">
        <v>1278</v>
      </c>
      <c r="J290" s="31" t="n">
        <v>2.24</v>
      </c>
      <c r="K290" s="31" t="n">
        <v>1514691</v>
      </c>
      <c r="L290" s="30" t="n">
        <v>31</v>
      </c>
      <c r="M290" s="30" t="inlineStr">
        <is>
          <t>Underperforming</t>
        </is>
      </c>
      <c r="N290" s="31">
        <f>IF(M290="Underperforming",-5,IF(L290&gt;=95,15,IF(L290&gt;=90,10,IF(L290&gt;=80,5,0))))</f>
        <v/>
      </c>
      <c r="O290" s="31" t="n">
        <v>62.36</v>
      </c>
      <c r="P290" s="31" t="n">
        <v>16.86</v>
      </c>
      <c r="Q290" s="31" t="n">
        <v>1030.02</v>
      </c>
      <c r="R290" s="30" t="inlineStr">
        <is>
          <t>Near 52W High Breakout</t>
        </is>
      </c>
      <c r="S290" s="30" t="inlineStr">
        <is>
          <t>Nifty Auto</t>
        </is>
      </c>
      <c r="T290" s="31" t="n">
        <v>22.44</v>
      </c>
      <c r="U290" s="31" t="n">
        <v>16.68</v>
      </c>
      <c r="V290" s="31" t="n">
        <v>-4.7</v>
      </c>
      <c r="W290" s="31" t="n">
        <v>6.22</v>
      </c>
      <c r="X290" s="30" t="inlineStr">
        <is>
          <t>Growing Industry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Yes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0 to 20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Blue sky scenario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Less than 12%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Yes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Above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IF(B291=0,"",RANK(B291,$B$2:$B$405,0))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ETERNAL</t>
        </is>
      </c>
      <c r="D291" s="30" t="inlineStr">
        <is>
          <t>Eternal Ltd</t>
        </is>
      </c>
      <c r="E291" s="30" t="inlineStr">
        <is>
          <t>i.t</t>
        </is>
      </c>
      <c r="F291" s="30" t="inlineStr">
        <is>
          <t>miscellaneous</t>
        </is>
      </c>
      <c r="G291" s="30" t="inlineStr">
        <is>
          <t>largecap</t>
        </is>
      </c>
      <c r="H291" s="31" t="n">
        <v>299498.63</v>
      </c>
      <c r="I291" s="31" t="n">
        <v>316.25</v>
      </c>
      <c r="J291" s="31" t="n">
        <v>1.9</v>
      </c>
      <c r="K291" s="31" t="n">
        <v>59257286</v>
      </c>
      <c r="L291" s="30" t="n">
        <v>32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65.36</v>
      </c>
      <c r="P291" s="31" t="n">
        <v>16.08</v>
      </c>
      <c r="Q291" s="31" t="n">
        <v>250.81</v>
      </c>
      <c r="R291" s="30" t="inlineStr">
        <is>
          <t>Earnings / Momentum Support</t>
        </is>
      </c>
      <c r="S291" s="30" t="inlineStr">
        <is>
          <t>Nifty IT</t>
        </is>
      </c>
      <c r="T291" s="31" t="n">
        <v>-9.289999999999999</v>
      </c>
      <c r="U291" s="31" t="n">
        <v>5</v>
      </c>
      <c r="V291" s="31" t="n">
        <v>15.76</v>
      </c>
      <c r="W291" s="31" t="n">
        <v>6.25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No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0 to 20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More than 20%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Yes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Above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IF(B292=0,"",RANK(B292,$B$2:$B$405,0))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0" t="inlineStr">
        <is>
          <t>HONASA</t>
        </is>
      </c>
      <c r="D292" s="30" t="inlineStr">
        <is>
          <t>Honasa Consumer Ltd</t>
        </is>
      </c>
      <c r="E292" s="30" t="inlineStr">
        <is>
          <t>services</t>
        </is>
      </c>
      <c r="F292" s="30" t="inlineStr">
        <is>
          <t>trading</t>
        </is>
      </c>
      <c r="G292" s="30" t="inlineStr">
        <is>
          <t>midcap</t>
        </is>
      </c>
      <c r="H292" s="31" t="n">
        <v>14985.7</v>
      </c>
      <c r="I292" s="31" t="n">
        <v>465.65</v>
      </c>
      <c r="J292" s="31" t="n">
        <v>1.31</v>
      </c>
      <c r="K292" s="31" t="n">
        <v>628711</v>
      </c>
      <c r="L292" s="30" t="n">
        <v>75</v>
      </c>
      <c r="M292" s="30" t="inlineStr">
        <is>
          <t>Outperforming</t>
        </is>
      </c>
      <c r="N292" s="31">
        <f>IF(M292="Underperforming",-5,IF(L292&gt;=95,15,IF(L292&gt;=90,10,IF(L292&gt;=80,5,0))))</f>
        <v/>
      </c>
      <c r="O292" s="31" t="n">
        <v>74.17</v>
      </c>
      <c r="P292" s="31" t="n">
        <v>55.82</v>
      </c>
      <c r="Q292" s="31" t="n">
        <v>385.5</v>
      </c>
      <c r="R292" s="30" t="inlineStr">
        <is>
          <t>Near 52W High Breakout</t>
        </is>
      </c>
      <c r="S292" s="30" t="inlineStr">
        <is>
          <t>Nifty 50</t>
        </is>
      </c>
      <c r="T292" s="31" t="n">
        <v>1.09</v>
      </c>
      <c r="U292" s="31" t="n">
        <v>80.05</v>
      </c>
      <c r="V292" s="31" t="n">
        <v>78.12</v>
      </c>
      <c r="W292" s="31" t="n">
        <v>19.05</v>
      </c>
      <c r="X292" s="30" t="inlineStr">
        <is>
          <t>Growing Industry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Yes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Above 40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Negative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More than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Yes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Between 50% to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IF(B293=0,"",RANK(B293,$B$2:$B$405,0))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2" t="inlineStr">
        <is>
          <t>SHALPAINTS</t>
        </is>
      </c>
      <c r="D293" s="32" t="inlineStr">
        <is>
          <t>Shalimar Paints Limited</t>
        </is>
      </c>
      <c r="E293" s="30" t="inlineStr">
        <is>
          <t>building materials</t>
        </is>
      </c>
      <c r="F293" s="30" t="inlineStr">
        <is>
          <t>paints / varnishes</t>
        </is>
      </c>
      <c r="G293" s="30" t="inlineStr">
        <is>
          <t>smallcap</t>
        </is>
      </c>
      <c r="H293" s="31" t="n">
        <v>721.51</v>
      </c>
      <c r="I293" s="31" t="n">
        <v>87.25</v>
      </c>
      <c r="J293" s="31" t="n">
        <v>1.23</v>
      </c>
      <c r="K293" s="31" t="n">
        <v>763795</v>
      </c>
      <c r="L293" s="30" t="n">
        <v>76</v>
      </c>
      <c r="M293" s="30" t="inlineStr">
        <is>
          <t>Underperforming</t>
        </is>
      </c>
      <c r="N293" s="31">
        <f>IF(M293="Underperforming",-5,IF(L293&gt;=95,15,IF(L293&gt;=90,10,IF(L293&gt;=80,5,0))))</f>
        <v/>
      </c>
      <c r="O293" s="31" t="n">
        <v>71.84999999999999</v>
      </c>
      <c r="P293" s="31" t="n">
        <v>15.04</v>
      </c>
      <c r="Q293" s="31" t="n">
        <v>61.86</v>
      </c>
      <c r="R293" s="30" t="inlineStr">
        <is>
          <t>Volume Spike &amp; Near 52W High Breakout</t>
        </is>
      </c>
      <c r="S293" s="30" t="inlineStr">
        <is>
          <t>Nifty Infra</t>
        </is>
      </c>
      <c r="T293" s="31" t="n">
        <v>4.3</v>
      </c>
      <c r="U293" s="31" t="n">
        <v>1.75</v>
      </c>
      <c r="V293" s="31" t="n">
        <v>-2.44</v>
      </c>
      <c r="W293" s="31" t="n">
        <v>19.25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Yes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0 to 20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Positive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No</t>
        </is>
      </c>
      <c r="BS293" s="30">
        <f>IF(BR293="NO",5,0)</f>
        <v/>
      </c>
      <c r="BT293" s="30" t="inlineStr">
        <is>
          <t>Less than 1.5</t>
        </is>
      </c>
      <c r="BU293" s="30">
        <f>IF(BT293="Above 2",0,IF(BT293="Between 1.5 to 2",5,IF(BT293="Less than 1.5",10,0)))</f>
        <v/>
      </c>
      <c r="BV293" s="30" t="inlineStr">
        <is>
          <t>Negative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IF(B294=0,"",RANK(B294,$B$2:$B$405,0))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2" t="inlineStr">
        <is>
          <t>RATNAVEER</t>
        </is>
      </c>
      <c r="D294" s="32" t="inlineStr">
        <is>
          <t>Ratnaveer Precision Engineering Ltd</t>
        </is>
      </c>
      <c r="E294" s="30" t="inlineStr">
        <is>
          <t>metals &amp; mining</t>
        </is>
      </c>
      <c r="F294" s="30" t="inlineStr">
        <is>
          <t>steel - medium / small</t>
        </is>
      </c>
      <c r="G294" s="30" t="inlineStr">
        <is>
          <t>smallcap</t>
        </is>
      </c>
      <c r="H294" s="31" t="n">
        <v>1451.75</v>
      </c>
      <c r="I294" s="31" t="n">
        <v>205.61</v>
      </c>
      <c r="J294" s="31" t="n">
        <v>1.16</v>
      </c>
      <c r="K294" s="31" t="n">
        <v>5915374</v>
      </c>
      <c r="L294" s="30" t="n">
        <v>69</v>
      </c>
      <c r="M294" s="30" t="inlineStr">
        <is>
          <t>Underperforming</t>
        </is>
      </c>
      <c r="N294" s="31">
        <f>IF(M294="Underperforming",-5,IF(L294&gt;=95,15,IF(L294&gt;=90,10,IF(L294&gt;=80,5,0))))</f>
        <v/>
      </c>
      <c r="O294" s="31" t="n">
        <v>66.88</v>
      </c>
      <c r="P294" s="31" t="n">
        <v>50.16</v>
      </c>
      <c r="Q294" s="31" t="n">
        <v>148.49</v>
      </c>
      <c r="R294" s="30" t="inlineStr">
        <is>
          <t>Volume Spike &amp; Near 52W High Breakout</t>
        </is>
      </c>
      <c r="S294" s="30" t="inlineStr">
        <is>
          <t>Nifty Metal</t>
        </is>
      </c>
      <c r="T294" s="31" t="n">
        <v>39.44</v>
      </c>
      <c r="U294" s="31" t="n">
        <v>33.76</v>
      </c>
      <c r="V294" s="31" t="n">
        <v>-4.08</v>
      </c>
      <c r="W294" s="31" t="n">
        <v>16.06</v>
      </c>
      <c r="X294" s="30" t="inlineStr">
        <is>
          <t>Cyclical in an Upturn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Cyclical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Volatile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Above 40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Less than 12%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No</t>
        </is>
      </c>
      <c r="BS294" s="30">
        <f>IF(BR294="NO",5,0)</f>
        <v/>
      </c>
      <c r="BT294" s="30" t="inlineStr">
        <is>
          <t>Above 2</t>
        </is>
      </c>
      <c r="BU294" s="30">
        <f>IF(BT294="Above 2",0,IF(BT294="Between 1.5 to 2",5,IF(BT294="Less than 1.5",10,0)))</f>
        <v/>
      </c>
      <c r="BV294" s="30" t="inlineStr">
        <is>
          <t>Above 70%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IF(B295=0,"",RANK(B295,$B$2:$B$405,0))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0" t="inlineStr">
        <is>
          <t>TITAGARH</t>
        </is>
      </c>
      <c r="D295" s="30" t="inlineStr">
        <is>
          <t>Titagarh Rail Systems Ltd</t>
        </is>
      </c>
      <c r="E295" s="30" t="inlineStr">
        <is>
          <t>industrials</t>
        </is>
      </c>
      <c r="F295" s="30" t="inlineStr">
        <is>
          <t>engineering</t>
        </is>
      </c>
      <c r="G295" s="30" t="inlineStr">
        <is>
          <t>midcap</t>
        </is>
      </c>
      <c r="H295" s="31" t="n">
        <v>11487</v>
      </c>
      <c r="I295" s="31" t="n">
        <v>861.65</v>
      </c>
      <c r="J295" s="31" t="n">
        <v>1.02</v>
      </c>
      <c r="K295" s="31" t="n">
        <v>418636</v>
      </c>
      <c r="L295" s="30" t="n">
        <v>14</v>
      </c>
      <c r="M295" s="30" t="inlineStr">
        <is>
          <t>Outperforming</t>
        </is>
      </c>
      <c r="N295" s="31">
        <f>IF(M295="Underperforming",-5,IF(L295&gt;=95,15,IF(L295&gt;=90,10,IF(L295&gt;=80,5,0))))</f>
        <v/>
      </c>
      <c r="O295" s="31" t="n">
        <v>56.07</v>
      </c>
      <c r="P295" s="31" t="n">
        <v>25.74</v>
      </c>
      <c r="Q295" s="31" t="n">
        <v>730.08</v>
      </c>
      <c r="R295" s="30" t="inlineStr">
        <is>
          <t>Earnings / Momentum Support</t>
        </is>
      </c>
      <c r="S295" s="30" t="inlineStr">
        <is>
          <t>Nifty 50</t>
        </is>
      </c>
      <c r="T295" s="31" t="n">
        <v>1.09</v>
      </c>
      <c r="U295" s="31" t="n">
        <v>7.84</v>
      </c>
      <c r="V295" s="31" t="n">
        <v>6.68</v>
      </c>
      <c r="W295" s="31" t="n">
        <v>2.25</v>
      </c>
      <c r="X295" s="30" t="inlineStr">
        <is>
          <t>Cyclical in an Upturn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Tailwind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20 to 40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Less than 12%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Yes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Above 70%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IF(B296=0,"",RANK(B296,$B$2:$B$405,0))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0" t="inlineStr">
        <is>
          <t>PTC</t>
        </is>
      </c>
      <c r="D296" s="30" t="inlineStr">
        <is>
          <t>Ptc India Limited</t>
        </is>
      </c>
      <c r="E296" s="30" t="inlineStr">
        <is>
          <t>power &amp; utilities</t>
        </is>
      </c>
      <c r="F296" s="30" t="inlineStr">
        <is>
          <t>trading</t>
        </is>
      </c>
      <c r="G296" s="30" t="inlineStr">
        <is>
          <t>midcap</t>
        </is>
      </c>
      <c r="H296" s="31" t="n">
        <v>5871.62</v>
      </c>
      <c r="I296" s="31" t="n">
        <v>200.17</v>
      </c>
      <c r="J296" s="31" t="n">
        <v>0.91</v>
      </c>
      <c r="K296" s="31" t="n">
        <v>7809024</v>
      </c>
      <c r="L296" s="30" t="n">
        <v>12</v>
      </c>
      <c r="M296" s="30" t="inlineStr">
        <is>
          <t>Outperforming</t>
        </is>
      </c>
      <c r="N296" s="31">
        <f>IF(M296="Underperforming",-5,IF(L296&gt;=95,15,IF(L296&gt;=90,10,IF(L296&gt;=80,5,0))))</f>
        <v/>
      </c>
      <c r="O296" s="31" t="n">
        <v>60.28</v>
      </c>
      <c r="P296" s="31" t="n">
        <v>20.36</v>
      </c>
      <c r="Q296" s="31" t="n">
        <v>182.23</v>
      </c>
      <c r="R296" s="30" t="inlineStr">
        <is>
          <t>Volume Spike / Accumulation</t>
        </is>
      </c>
      <c r="S296" s="30" t="inlineStr">
        <is>
          <t>Nifty IT</t>
        </is>
      </c>
      <c r="T296" s="31" t="n">
        <v>-9.289999999999999</v>
      </c>
      <c r="U296" s="31" t="n">
        <v>16.62</v>
      </c>
      <c r="V296" s="31" t="n">
        <v>28.56</v>
      </c>
      <c r="W296" s="31" t="n">
        <v>1.79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Yes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20 to 40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1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Less than 12%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No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Above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IF(B297=0,"",RANK(B297,$B$2:$B$405,0))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0" t="inlineStr">
        <is>
          <t>ENGINERSIN</t>
        </is>
      </c>
      <c r="D297" s="30" t="inlineStr">
        <is>
          <t>Engineers India Limited</t>
        </is>
      </c>
      <c r="E297" s="30" t="inlineStr">
        <is>
          <t>realty</t>
        </is>
      </c>
      <c r="F297" s="30" t="inlineStr">
        <is>
          <t>engineering - turnkey services</t>
        </is>
      </c>
      <c r="G297" s="30" t="inlineStr">
        <is>
          <t>midcap</t>
        </is>
      </c>
      <c r="H297" s="31" t="n">
        <v>13504.19</v>
      </c>
      <c r="I297" s="31" t="n">
        <v>242.39</v>
      </c>
      <c r="J297" s="31" t="n">
        <v>0.88</v>
      </c>
      <c r="K297" s="31" t="n">
        <v>4137200</v>
      </c>
      <c r="L297" s="30" t="n">
        <v>21</v>
      </c>
      <c r="M297" s="30" t="inlineStr">
        <is>
          <t>Outperforming</t>
        </is>
      </c>
      <c r="N297" s="31">
        <f>IF(M297="Underperforming",-5,IF(L297&gt;=95,15,IF(L297&gt;=90,10,IF(L297&gt;=80,5,0))))</f>
        <v/>
      </c>
      <c r="O297" s="31" t="n">
        <v>57.16</v>
      </c>
      <c r="P297" s="31" t="n">
        <v>13.52</v>
      </c>
      <c r="Q297" s="31" t="n">
        <v>199.95</v>
      </c>
      <c r="R297" s="30" t="inlineStr">
        <is>
          <t>Near 52W High Breakout</t>
        </is>
      </c>
      <c r="S297" s="30" t="inlineStr">
        <is>
          <t>Nifty Realty</t>
        </is>
      </c>
      <c r="T297" s="31" t="n">
        <v>-6.42</v>
      </c>
      <c r="U297" s="31" t="n">
        <v>8.84</v>
      </c>
      <c r="V297" s="31" t="n">
        <v>16.3</v>
      </c>
      <c r="W297" s="31" t="n">
        <v>3.9</v>
      </c>
      <c r="X297" s="30" t="inlineStr">
        <is>
          <t>Growing Industry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Yes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0 to 20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Blue sky scenario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Less than 12%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No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Less than 50%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IF(B298=0,"",RANK(B298,$B$2:$B$405,0))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RBZJEWEL</t>
        </is>
      </c>
      <c r="D298" s="30" t="inlineStr">
        <is>
          <t>RBZ Jewellers Ltd</t>
        </is>
      </c>
      <c r="E298" s="30" t="inlineStr">
        <is>
          <t>consumer discretionary</t>
        </is>
      </c>
      <c r="F298" s="30" t="inlineStr">
        <is>
          <t>diamond cutting / jewellery</t>
        </is>
      </c>
      <c r="G298" s="30" t="inlineStr">
        <is>
          <t>smallcap</t>
        </is>
      </c>
      <c r="H298" s="31" t="n">
        <v>599.04</v>
      </c>
      <c r="I298" s="31" t="n">
        <v>150.7</v>
      </c>
      <c r="J298" s="31" t="n">
        <v>0.63</v>
      </c>
      <c r="K298" s="31" t="n">
        <v>67821</v>
      </c>
      <c r="L298" s="30" t="n">
        <v>18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56.57</v>
      </c>
      <c r="P298" s="31" t="n">
        <v>26.93</v>
      </c>
      <c r="Q298" s="31" t="n">
        <v>109.16</v>
      </c>
      <c r="R298" s="30" t="inlineStr">
        <is>
          <t>Near 52W High Breakout</t>
        </is>
      </c>
      <c r="S298" s="30" t="inlineStr">
        <is>
          <t>Nifty 50</t>
        </is>
      </c>
      <c r="T298" s="31" t="n">
        <v>1.09</v>
      </c>
      <c r="U298" s="31" t="n">
        <v>16.49</v>
      </c>
      <c r="V298" s="31" t="n">
        <v>15.23</v>
      </c>
      <c r="W298" s="31" t="n">
        <v>3.41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Headwind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Yes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20 to 40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Negative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No</t>
        </is>
      </c>
      <c r="BS298" s="30">
        <f>IF(BR298="NO",5,0)</f>
        <v/>
      </c>
      <c r="BT298" s="30" t="inlineStr">
        <is>
          <t>Less than 1.5</t>
        </is>
      </c>
      <c r="BU298" s="30">
        <f>IF(BT298="Above 2",0,IF(BT298="Between 1.5 to 2",5,IF(BT298="Less than 1.5",10,0)))</f>
        <v/>
      </c>
      <c r="BV298" s="30" t="inlineStr">
        <is>
          <t>Above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IF(B299=0,"",RANK(B299,$B$2:$B$405,0))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2" t="inlineStr">
        <is>
          <t>TIMETECHNO</t>
        </is>
      </c>
      <c r="D299" s="32" t="inlineStr">
        <is>
          <t>Time Technoplast Limited</t>
        </is>
      </c>
      <c r="E299" s="30" t="inlineStr">
        <is>
          <t>plastic products</t>
        </is>
      </c>
      <c r="F299" s="30" t="inlineStr">
        <is>
          <t>plastics products</t>
        </is>
      </c>
      <c r="G299" s="30" t="inlineStr">
        <is>
          <t>midcap</t>
        </is>
      </c>
      <c r="H299" s="31" t="n">
        <v>10231.09</v>
      </c>
      <c r="I299" s="31" t="n">
        <v>206.82</v>
      </c>
      <c r="J299" s="31" t="n">
        <v>-0.21</v>
      </c>
      <c r="K299" s="31" t="n">
        <v>4332234</v>
      </c>
      <c r="L299" s="30" t="n">
        <v>8</v>
      </c>
      <c r="M299" s="30" t="inlineStr">
        <is>
          <t>Underperforming</t>
        </is>
      </c>
      <c r="N299" s="31">
        <f>IF(M299="Underperforming",-5,IF(L299&gt;=95,15,IF(L299&gt;=90,10,IF(L299&gt;=80,5,0))))</f>
        <v/>
      </c>
      <c r="O299" s="31" t="n">
        <v>62.3</v>
      </c>
      <c r="P299" s="31" t="n">
        <v>12.31</v>
      </c>
      <c r="Q299" s="31" t="n">
        <v>164.91</v>
      </c>
      <c r="R299" s="30" t="inlineStr">
        <is>
          <t>Earnings / Momentum Support</t>
        </is>
      </c>
      <c r="S299" s="30" t="inlineStr">
        <is>
          <t>Nifty 50</t>
        </is>
      </c>
      <c r="T299" s="31" t="n">
        <v>1.09</v>
      </c>
      <c r="U299" s="31" t="n">
        <v>-8.27</v>
      </c>
      <c r="V299" s="31" t="n">
        <v>-9.26</v>
      </c>
      <c r="W299" s="31" t="n">
        <v>0.91</v>
      </c>
      <c r="X299" s="30" t="inlineStr">
        <is>
          <t>Growing Industry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No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0 to 20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Between 12 to 20%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No</t>
        </is>
      </c>
      <c r="BS299" s="30">
        <f>IF(BR299="NO",5,0)</f>
        <v/>
      </c>
      <c r="BT299" s="30" t="inlineStr">
        <is>
          <t>Between 1.5 to 2</t>
        </is>
      </c>
      <c r="BU299" s="30">
        <f>IF(BT299="Above 2",0,IF(BT299="Between 1.5 to 2",5,IF(BT299="Less than 1.5",10,0)))</f>
        <v/>
      </c>
      <c r="BV299" s="30" t="inlineStr">
        <is>
          <t>Above 70%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IF(B300=0,"",RANK(B300,$B$2:$B$405,0))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0" t="inlineStr">
        <is>
          <t>RAYMONDREL</t>
        </is>
      </c>
      <c r="D300" s="30" t="inlineStr">
        <is>
          <t>Raymond Realty Ltd</t>
        </is>
      </c>
      <c r="E300" s="30" t="inlineStr">
        <is>
          <t>realty</t>
        </is>
      </c>
      <c r="F300" s="30" t="inlineStr">
        <is>
          <t>construction</t>
        </is>
      </c>
      <c r="G300" s="30" t="inlineStr">
        <is>
          <t>smallcap</t>
        </is>
      </c>
      <c r="H300" s="31" t="n">
        <v>4610.56</v>
      </c>
      <c r="I300" s="31" t="n">
        <v>688.2</v>
      </c>
      <c r="J300" s="31" t="n">
        <v>-0.63</v>
      </c>
      <c r="K300" s="31" t="n">
        <v>273345</v>
      </c>
      <c r="L300" s="30" t="n">
        <v>66</v>
      </c>
      <c r="M300" s="30" t="inlineStr">
        <is>
          <t>Outperforming</t>
        </is>
      </c>
      <c r="N300" s="31">
        <f>IF(M300="Underperforming",-5,IF(L300&gt;=95,15,IF(L300&gt;=90,10,IF(L300&gt;=80,5,0))))</f>
        <v/>
      </c>
      <c r="O300" s="31" t="n">
        <v>61.07</v>
      </c>
      <c r="P300" s="31" t="n">
        <v>48.93</v>
      </c>
      <c r="Q300" s="31" t="n">
        <v>500.2</v>
      </c>
      <c r="R300" s="30" t="inlineStr">
        <is>
          <t>Near 52W High Breakout</t>
        </is>
      </c>
      <c r="S300" s="30" t="inlineStr">
        <is>
          <t>Nifty Realty</t>
        </is>
      </c>
      <c r="T300" s="31" t="n">
        <v>-6.42</v>
      </c>
      <c r="U300" s="31" t="n">
        <v>-3</v>
      </c>
      <c r="V300" s="31" t="n">
        <v>3.65</v>
      </c>
      <c r="W300" s="31" t="n">
        <v>15.35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Above 40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Negative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No</t>
        </is>
      </c>
      <c r="BS300" s="30">
        <f>IF(BR300="NO",5,0)</f>
        <v/>
      </c>
      <c r="BT300" s="30" t="inlineStr">
        <is>
          <t>Less than 1.5</t>
        </is>
      </c>
      <c r="BU300" s="30">
        <f>IF(BT300="Above 2",0,IF(BT300="Between 1.5 to 2",5,IF(BT300="Less than 1.5",10,0)))</f>
        <v/>
      </c>
      <c r="BV300" s="30" t="inlineStr">
        <is>
          <t>Negative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IF(B301=0,"",RANK(B301,$B$2:$B$405,0))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0" t="inlineStr">
        <is>
          <t>SETL</t>
        </is>
      </c>
      <c r="D301" s="30" t="inlineStr">
        <is>
          <t>Standard Enginnering Technology Ltd</t>
        </is>
      </c>
      <c r="E301" s="30" t="inlineStr">
        <is>
          <t>industrials</t>
        </is>
      </c>
      <c r="F301" s="30" t="inlineStr">
        <is>
          <t>engineering</t>
        </is>
      </c>
      <c r="G301" s="30" t="inlineStr">
        <is>
          <t>midcap</t>
        </is>
      </c>
      <c r="H301" s="31" t="n">
        <v>5545.87</v>
      </c>
      <c r="I301" s="31" t="n">
        <v>274.65</v>
      </c>
      <c r="J301" s="31" t="n">
        <v>-1.21</v>
      </c>
      <c r="K301" s="31" t="n">
        <v>826134</v>
      </c>
      <c r="L301" s="30" t="n">
        <v>95</v>
      </c>
      <c r="M301" s="30" t="inlineStr">
        <is>
          <t>Outperforming</t>
        </is>
      </c>
      <c r="N301" s="31">
        <f>IF(M301="Underperforming",-5,IF(L301&gt;=95,15,IF(L301&gt;=90,10,IF(L301&gt;=80,5,0))))</f>
        <v/>
      </c>
      <c r="O301" s="31" t="n">
        <v>78.42</v>
      </c>
      <c r="P301" s="31" t="n">
        <v>43.25</v>
      </c>
      <c r="Q301" s="31" t="n">
        <v>218.39</v>
      </c>
      <c r="R301" s="30" t="inlineStr">
        <is>
          <t>Near 52W High Breakout</t>
        </is>
      </c>
      <c r="S301" s="30" t="inlineStr">
        <is>
          <t>Nifty Infra</t>
        </is>
      </c>
      <c r="T301" s="31" t="n">
        <v>4.3</v>
      </c>
      <c r="U301" s="31" t="n">
        <v>61.47</v>
      </c>
      <c r="V301" s="31" t="n">
        <v>54.82</v>
      </c>
      <c r="W301" s="31" t="n">
        <v>38.41</v>
      </c>
      <c r="X301" s="30" t="inlineStr">
        <is>
          <t>Cyclical in an Upturn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Yes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Above 40</t>
        </is>
      </c>
      <c r="AY301" s="30">
        <f>IF(AX301="Above 40",20,IF(AX301="20 to 40",10,IF(AX301="0 to 20",-5,0)))</f>
        <v/>
      </c>
      <c r="AZ301" s="30" t="inlineStr">
        <is>
          <t>Above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Negative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Blue sky scenario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More than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Yes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Less than 50%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IF(B302=0,"",RANK(B302,$B$2:$B$405,0))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SENCO</t>
        </is>
      </c>
      <c r="D302" s="30" t="inlineStr">
        <is>
          <t>Senco Gold Ltd</t>
        </is>
      </c>
      <c r="E302" s="30" t="inlineStr">
        <is>
          <t>consumer discretionary</t>
        </is>
      </c>
      <c r="F302" s="30" t="inlineStr">
        <is>
          <t>diamond cutting / jewellery</t>
        </is>
      </c>
      <c r="G302" s="30" t="inlineStr">
        <is>
          <t>midcap</t>
        </is>
      </c>
      <c r="H302" s="31" t="n">
        <v>6537.98</v>
      </c>
      <c r="I302" s="31" t="n">
        <v>391.6</v>
      </c>
      <c r="J302" s="31" t="n">
        <v>-1.87</v>
      </c>
      <c r="K302" s="31" t="n">
        <v>1362727</v>
      </c>
      <c r="L302" s="30" t="n">
        <v>30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65.66</v>
      </c>
      <c r="P302" s="31" t="n">
        <v>29.35</v>
      </c>
      <c r="Q302" s="31" t="n">
        <v>304.65</v>
      </c>
      <c r="R302" s="30" t="inlineStr">
        <is>
          <t>Near 52W High Breakout</t>
        </is>
      </c>
      <c r="S302" s="30" t="inlineStr">
        <is>
          <t>Nifty 50</t>
        </is>
      </c>
      <c r="T302" s="31" t="n">
        <v>1.09</v>
      </c>
      <c r="U302" s="31" t="n">
        <v>21.46</v>
      </c>
      <c r="V302" s="31" t="n">
        <v>20.16</v>
      </c>
      <c r="W302" s="31" t="n">
        <v>6.06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Yes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20 to 40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Close to 52 week high or retracement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More than 20%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No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Negative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Between 0.7 to 1.2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IF(B303=0,"",RANK(B303,$B$2:$B$405,0))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0" t="inlineStr">
        <is>
          <t>DEEPINDS</t>
        </is>
      </c>
      <c r="D303" s="30" t="inlineStr">
        <is>
          <t>Deep Industries Ltd</t>
        </is>
      </c>
      <c r="E303" s="30" t="inlineStr">
        <is>
          <t>energy</t>
        </is>
      </c>
      <c r="F303" s="30" t="inlineStr">
        <is>
          <t>oil drilling / allied services</t>
        </is>
      </c>
      <c r="G303" s="30" t="inlineStr">
        <is>
          <t>smallcap</t>
        </is>
      </c>
      <c r="H303" s="31" t="n">
        <v>4119.04</v>
      </c>
      <c r="I303" s="31" t="n">
        <v>627</v>
      </c>
      <c r="J303" s="31" t="n">
        <v>-2.58</v>
      </c>
      <c r="K303" s="31" t="n">
        <v>526380</v>
      </c>
      <c r="L303" s="30" t="n">
        <v>64</v>
      </c>
      <c r="M303" s="30" t="inlineStr">
        <is>
          <t>Outperforming</t>
        </is>
      </c>
      <c r="N303" s="31">
        <f>IF(M303="Underperforming",-5,IF(L303&gt;=95,15,IF(L303&gt;=90,10,IF(L303&gt;=80,5,0))))</f>
        <v/>
      </c>
      <c r="O303" s="31" t="n">
        <v>72.2</v>
      </c>
      <c r="P303" s="31" t="n">
        <v>16.02</v>
      </c>
      <c r="Q303" s="31" t="n">
        <v>472.12</v>
      </c>
      <c r="R303" s="30" t="inlineStr">
        <is>
          <t>Volume Spike &amp; Near 52W High Breakout</t>
        </is>
      </c>
      <c r="S303" s="30" t="inlineStr">
        <is>
          <t>Nifty Energy</t>
        </is>
      </c>
      <c r="T303" s="31" t="n">
        <v>9.720000000000001</v>
      </c>
      <c r="U303" s="31" t="n">
        <v>39.02</v>
      </c>
      <c r="V303" s="31" t="n">
        <v>26.71</v>
      </c>
      <c r="W303" s="31" t="n">
        <v>14.75</v>
      </c>
      <c r="X303" s="30" t="inlineStr">
        <is>
          <t>Cyclical in an Upturn</t>
        </is>
      </c>
      <c r="Y303" s="30">
        <f>IF(X303="Growing Industry",10,IF(X303="Cyclical in an Upturn",5,0))</f>
        <v/>
      </c>
      <c r="Z303" s="30" t="inlineStr">
        <is>
          <t>Oligopoly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Yes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Cyclical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Volatile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Yes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0 to 20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Blue sky scenario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More than 20%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Less than 1.5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IF(B304=0,"",RANK(B304,$B$2:$B$405,0))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0" t="inlineStr">
        <is>
          <t>MAHASTEEL</t>
        </is>
      </c>
      <c r="D304" s="30" t="inlineStr">
        <is>
          <t>Mahamaya Steel Industries Limited</t>
        </is>
      </c>
      <c r="E304" s="30" t="inlineStr">
        <is>
          <t>metals &amp; mining</t>
        </is>
      </c>
      <c r="F304" s="30" t="inlineStr">
        <is>
          <t>steel - medium / small</t>
        </is>
      </c>
      <c r="G304" s="30" t="inlineStr">
        <is>
          <t>smallcap</t>
        </is>
      </c>
      <c r="H304" s="31" t="n">
        <v>1769.82</v>
      </c>
      <c r="I304" s="31" t="n">
        <v>1022.2</v>
      </c>
      <c r="J304" s="31" t="n">
        <v>-5.08</v>
      </c>
      <c r="K304" s="31" t="n">
        <v>7047</v>
      </c>
      <c r="L304" s="30" t="n">
        <v>91</v>
      </c>
      <c r="M304" s="30" t="inlineStr">
        <is>
          <t>Outperforming</t>
        </is>
      </c>
      <c r="N304" s="31">
        <f>IF(M304="Underperforming",-5,IF(L304&gt;=95,15,IF(L304&gt;=90,10,IF(L304&gt;=80,5,0))))</f>
        <v/>
      </c>
      <c r="O304" s="31" t="n">
        <v>64.12</v>
      </c>
      <c r="P304" s="31" t="n">
        <v>17.35</v>
      </c>
      <c r="Q304" s="31" t="n">
        <v>742.13</v>
      </c>
      <c r="R304" s="30" t="inlineStr">
        <is>
          <t>Volume Spike &amp; Near 52W High Breakout</t>
        </is>
      </c>
      <c r="S304" s="30" t="inlineStr">
        <is>
          <t>Nifty Metal</t>
        </is>
      </c>
      <c r="T304" s="31" t="n">
        <v>39.44</v>
      </c>
      <c r="U304" s="31" t="n">
        <v>191.97</v>
      </c>
      <c r="V304" s="31" t="n">
        <v>109.39</v>
      </c>
      <c r="W304" s="31" t="n">
        <v>30.79</v>
      </c>
      <c r="X304" s="30" t="inlineStr">
        <is>
          <t>Cyclical in an Upturn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Cyclical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Volatile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Yes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0 to 20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Blue sky scenario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More than 20%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Yes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Above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IF(B305=0,"",RANK(B305,$B$2:$B$405,0))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2" t="inlineStr">
        <is>
          <t>MEDANTA</t>
        </is>
      </c>
      <c r="D305" s="32" t="inlineStr">
        <is>
          <t>Global Health Ltd</t>
        </is>
      </c>
      <c r="E305" s="30" t="inlineStr">
        <is>
          <t>healthcare</t>
        </is>
      </c>
      <c r="F305" s="30" t="inlineStr">
        <is>
          <t>healthcare</t>
        </is>
      </c>
      <c r="G305" s="30" t="inlineStr">
        <is>
          <t>largecap</t>
        </is>
      </c>
      <c r="H305" s="31" t="n">
        <v>37918.99</v>
      </c>
      <c r="I305" s="31" t="n">
        <v>1444.3</v>
      </c>
      <c r="J305" s="31" t="n">
        <v>2.41</v>
      </c>
      <c r="K305" s="31" t="n">
        <v>362612</v>
      </c>
      <c r="L305" s="30" t="n">
        <v>24</v>
      </c>
      <c r="M305" s="30" t="inlineStr">
        <is>
          <t>Underperforming</t>
        </is>
      </c>
      <c r="N305" s="31">
        <f>IF(M305="Underperforming",-5,IF(L305&gt;=95,15,IF(L305&gt;=90,10,IF(L305&gt;=80,5,0))))</f>
        <v/>
      </c>
      <c r="O305" s="31" t="n">
        <v>70.63</v>
      </c>
      <c r="P305" s="31" t="n">
        <v>19.64</v>
      </c>
      <c r="Q305" s="31" t="n">
        <v>1211.79</v>
      </c>
      <c r="R305" s="30" t="inlineStr">
        <is>
          <t>Near 52W High Breakout</t>
        </is>
      </c>
      <c r="S305" s="30" t="inlineStr">
        <is>
          <t>Nifty Pharma</t>
        </is>
      </c>
      <c r="T305" s="31" t="n">
        <v>24.42</v>
      </c>
      <c r="U305" s="31" t="n">
        <v>0.86</v>
      </c>
      <c r="V305" s="31" t="n">
        <v>-18.94</v>
      </c>
      <c r="W305" s="31" t="n">
        <v>4.67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Yes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Yes</t>
        </is>
      </c>
      <c r="AQ305" s="30">
        <f>IF(AP305="Yes",10,0)</f>
        <v/>
      </c>
      <c r="AR305" s="30" t="inlineStr">
        <is>
          <t>Higher Annuity, Lower One Time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0 to 20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2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Blue sky scenario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Less than 12%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Yes</t>
        </is>
      </c>
      <c r="BS305" s="30">
        <f>IF(BR305="NO",5,0)</f>
        <v/>
      </c>
      <c r="BT305" s="30" t="inlineStr">
        <is>
          <t>Above 2</t>
        </is>
      </c>
      <c r="BU305" s="30">
        <f>IF(BT305="Above 2",0,IF(BT305="Between 1.5 to 2",5,IF(BT305="Less than 1.5",10,0)))</f>
        <v/>
      </c>
      <c r="BV305" s="30" t="inlineStr">
        <is>
          <t>Above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IF(B306=0,"",RANK(B306,$B$2:$B$405,0))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2" t="inlineStr">
        <is>
          <t>BCLIND</t>
        </is>
      </c>
      <c r="D306" s="32" t="inlineStr">
        <is>
          <t>BCL Industries Ltd</t>
        </is>
      </c>
      <c r="E306" s="30" t="inlineStr">
        <is>
          <t>fmcg</t>
        </is>
      </c>
      <c r="F306" s="30" t="inlineStr">
        <is>
          <t>breweries &amp; distilleries</t>
        </is>
      </c>
      <c r="G306" s="30" t="inlineStr">
        <is>
          <t>smallcap</t>
        </is>
      </c>
      <c r="H306" s="31" t="n">
        <v>1087.68</v>
      </c>
      <c r="I306" s="31" t="n">
        <v>36.75</v>
      </c>
      <c r="J306" s="31" t="n">
        <v>-0.27</v>
      </c>
      <c r="K306" s="31" t="n">
        <v>514126</v>
      </c>
      <c r="L306" s="30" t="n">
        <v>5</v>
      </c>
      <c r="M306" s="30" t="inlineStr">
        <is>
          <t>Underperforming</t>
        </is>
      </c>
      <c r="N306" s="31">
        <f>IF(M306="Underperforming",-5,IF(L306&gt;=95,15,IF(L306&gt;=90,10,IF(L306&gt;=80,5,0))))</f>
        <v/>
      </c>
      <c r="O306" s="31" t="n">
        <v>56.73</v>
      </c>
      <c r="P306" s="31" t="n">
        <v>13.67</v>
      </c>
      <c r="Q306" s="31" t="n">
        <v>27.85</v>
      </c>
      <c r="R306" s="30" t="inlineStr">
        <is>
          <t>Earnings / Momentum Support</t>
        </is>
      </c>
      <c r="S306" s="30" t="inlineStr">
        <is>
          <t>Nifty FMCG</t>
        </is>
      </c>
      <c r="T306" s="31" t="n">
        <v>-9.75</v>
      </c>
      <c r="U306" s="31" t="n">
        <v>-16.26</v>
      </c>
      <c r="V306" s="31" t="n">
        <v>-7.22</v>
      </c>
      <c r="W306" s="31" t="n">
        <v>0.06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B2C</t>
        </is>
      </c>
      <c r="AO306" s="30">
        <f>IF(AN306="B2C",10,IF(AN306="B2B",5,0))</f>
        <v/>
      </c>
      <c r="AP306" s="30" t="inlineStr">
        <is>
          <t>No</t>
        </is>
      </c>
      <c r="AQ306" s="30">
        <f>IF(AP306="Yes",10,0)</f>
        <v/>
      </c>
      <c r="AR306" s="30" t="inlineStr">
        <is>
          <t>Higher Annuity, Lower One Time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0 to 20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Less than 12%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No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Above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IF(B307=0,"",RANK(B307,$B$2:$B$405,0))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0" t="inlineStr">
        <is>
          <t>PERSISTENT</t>
        </is>
      </c>
      <c r="D307" s="30" t="inlineStr">
        <is>
          <t>Persistent Systems Limited</t>
        </is>
      </c>
      <c r="E307" s="30" t="inlineStr">
        <is>
          <t>i.t</t>
        </is>
      </c>
      <c r="F307" s="30" t="inlineStr">
        <is>
          <t>computers - software - large</t>
        </is>
      </c>
      <c r="G307" s="30" t="inlineStr">
        <is>
          <t>largecap</t>
        </is>
      </c>
      <c r="H307" s="31" t="n">
        <v>87078</v>
      </c>
      <c r="I307" s="31" t="n">
        <v>5459.5</v>
      </c>
      <c r="J307" s="31" t="n">
        <v>-1.1</v>
      </c>
      <c r="K307" s="31" t="n">
        <v>466174</v>
      </c>
      <c r="L307" s="30" t="n">
        <v>19</v>
      </c>
      <c r="M307" s="30" t="inlineStr">
        <is>
          <t>Outperforming</t>
        </is>
      </c>
      <c r="N307" s="31">
        <f>IF(M307="Underperforming",-5,IF(L307&gt;=95,15,IF(L307&gt;=90,10,IF(L307&gt;=80,5,0))))</f>
        <v/>
      </c>
      <c r="O307" s="31" t="n">
        <v>56.67</v>
      </c>
      <c r="P307" s="31" t="n">
        <v>9.140000000000001</v>
      </c>
      <c r="Q307" s="31" t="n">
        <v>4284.01</v>
      </c>
      <c r="R307" s="30" t="inlineStr">
        <is>
          <t>Earnings / Momentum Support</t>
        </is>
      </c>
      <c r="S307" s="30" t="inlineStr">
        <is>
          <t>Nifty IT</t>
        </is>
      </c>
      <c r="T307" s="31" t="n">
        <v>-9.289999999999999</v>
      </c>
      <c r="U307" s="31" t="n">
        <v>8.4</v>
      </c>
      <c r="V307" s="31" t="n">
        <v>19.5</v>
      </c>
      <c r="W307" s="31" t="n">
        <v>3.58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No</t>
        </is>
      </c>
      <c r="AQ307" s="30">
        <f>IF(AP307="Yes",10,0)</f>
        <v/>
      </c>
      <c r="AR307" s="30" t="inlineStr">
        <is>
          <t>Higher Annuity, Lower One Time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0 to 20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Between 12 to 20%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Yes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Above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IF(B308=0,"",RANK(B308,$B$2:$B$405,0))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0" t="inlineStr">
        <is>
          <t>APCOTEXIND</t>
        </is>
      </c>
      <c r="D308" s="30" t="inlineStr">
        <is>
          <t>Apcotex Industries Limited</t>
        </is>
      </c>
      <c r="E308" s="30" t="inlineStr">
        <is>
          <t>chemicals</t>
        </is>
      </c>
      <c r="F308" s="30" t="inlineStr">
        <is>
          <t>miscellaneous</t>
        </is>
      </c>
      <c r="G308" s="30" t="inlineStr">
        <is>
          <t>smallcap</t>
        </is>
      </c>
      <c r="H308" s="31" t="n">
        <v>3263.64</v>
      </c>
      <c r="I308" s="31" t="n">
        <v>620.6</v>
      </c>
      <c r="J308" s="31" t="n">
        <v>-1.41</v>
      </c>
      <c r="K308" s="31" t="n">
        <v>192334</v>
      </c>
      <c r="L308" s="30" t="n">
        <v>64</v>
      </c>
      <c r="M308" s="30" t="inlineStr">
        <is>
          <t>Outperforming</t>
        </is>
      </c>
      <c r="N308" s="31">
        <f>IF(M308="Underperforming",-5,IF(L308&gt;=95,15,IF(L308&gt;=90,10,IF(L308&gt;=80,5,0))))</f>
        <v/>
      </c>
      <c r="O308" s="31" t="n">
        <v>74.34</v>
      </c>
      <c r="P308" s="31" t="n">
        <v>63.36</v>
      </c>
      <c r="Q308" s="31" t="n">
        <v>465.66</v>
      </c>
      <c r="R308" s="30" t="inlineStr">
        <is>
          <t>Near 52W High Breakout</t>
        </is>
      </c>
      <c r="S308" s="30" t="inlineStr">
        <is>
          <t>Nifty 50</t>
        </is>
      </c>
      <c r="T308" s="31" t="n">
        <v>1.09</v>
      </c>
      <c r="U308" s="31" t="n">
        <v>55.38</v>
      </c>
      <c r="V308" s="31" t="n">
        <v>53.71</v>
      </c>
      <c r="W308" s="31" t="n">
        <v>14.71</v>
      </c>
      <c r="X308" s="30" t="inlineStr">
        <is>
          <t>Growing Industry</t>
        </is>
      </c>
      <c r="Y308" s="30">
        <f>IF(X308="Growing Industry",10,IF(X308="Cyclical in an Upturn",5,0))</f>
        <v/>
      </c>
      <c r="Z308" s="30" t="inlineStr">
        <is>
          <t>Oligopoly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No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Cyclical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Yes</t>
        </is>
      </c>
      <c r="AQ308" s="30">
        <f>IF(AP308="Yes",10,0)</f>
        <v/>
      </c>
      <c r="AR308" s="30" t="inlineStr">
        <is>
          <t>Fully One Time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Above 40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1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Sideways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Overhead supply in last 2 years in last 2 years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More than 20%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No</t>
        </is>
      </c>
      <c r="BS308" s="30">
        <f>IF(BR308="NO",5,0)</f>
        <v/>
      </c>
      <c r="BT308" s="30" t="inlineStr">
        <is>
          <t>Less than 1.5</t>
        </is>
      </c>
      <c r="BU308" s="30">
        <f>IF(BT308="Above 2",0,IF(BT308="Between 1.5 to 2",5,IF(BT308="Less than 1.5",10,0)))</f>
        <v/>
      </c>
      <c r="BV308" s="30" t="inlineStr">
        <is>
          <t>Between 50% to 70%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Less than 0.7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IF(B309=0,"",RANK(B309,$B$2:$B$405,0))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0" t="inlineStr">
        <is>
          <t>SALSTEEL</t>
        </is>
      </c>
      <c r="D309" s="30" t="inlineStr">
        <is>
          <t>SAL Steel</t>
        </is>
      </c>
      <c r="E309" s="30" t="inlineStr">
        <is>
          <t>metals &amp; mining</t>
        </is>
      </c>
      <c r="F309" s="30" t="inlineStr">
        <is>
          <t>steel - sponge iron</t>
        </is>
      </c>
      <c r="G309" s="30" t="inlineStr">
        <is>
          <t>smallcap</t>
        </is>
      </c>
      <c r="H309" s="31" t="n">
        <v>865.5599999999999</v>
      </c>
      <c r="I309" s="31" t="n">
        <v>62.77</v>
      </c>
      <c r="J309" s="31" t="n">
        <v>4.98</v>
      </c>
      <c r="K309" s="31" t="n">
        <v>242873</v>
      </c>
      <c r="L309" s="30" t="n">
        <v>96</v>
      </c>
      <c r="M309" s="30" t="inlineStr">
        <is>
          <t>Outperforming</t>
        </is>
      </c>
      <c r="N309" s="31">
        <f>IF(M309="Underperforming",-5,IF(L309&gt;=95,15,IF(L309&gt;=90,10,IF(L309&gt;=80,5,0))))</f>
        <v/>
      </c>
      <c r="O309" s="31" t="n">
        <v>65.67</v>
      </c>
      <c r="P309" s="31" t="n">
        <v>22.73</v>
      </c>
      <c r="Q309" s="31" t="n">
        <v>43.85</v>
      </c>
      <c r="R309" s="30" t="inlineStr">
        <is>
          <t>Near 52W High Breakout</t>
        </is>
      </c>
      <c r="S309" s="30" t="inlineStr">
        <is>
          <t>Nifty Metal</t>
        </is>
      </c>
      <c r="T309" s="31" t="n">
        <v>39.44</v>
      </c>
      <c r="U309" s="31" t="n">
        <v>294.04</v>
      </c>
      <c r="V309" s="31" t="n">
        <v>182.58</v>
      </c>
      <c r="W309" s="31" t="n">
        <v>40.12</v>
      </c>
      <c r="X309" s="30" t="inlineStr">
        <is>
          <t>Cyclical in an Upturn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Cyclical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Volatile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Yes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20 to 40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2</t>
        </is>
      </c>
      <c r="BC309" s="30">
        <f>IF(BB309="Stage 2",20,IF(BB309="Stage 1",0,IF(BB309="Stage 3",5,IF(BB309="Stage 4",-5,0))))</f>
        <v/>
      </c>
      <c r="BD309" s="30" t="inlineStr">
        <is>
          <t>Positive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Blue sky scenario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More than 20%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No</t>
        </is>
      </c>
      <c r="BS309" s="30">
        <f>IF(BR309="NO",5,0)</f>
        <v/>
      </c>
      <c r="BT309" s="30" t="inlineStr">
        <is>
          <t>Less than 1.5</t>
        </is>
      </c>
      <c r="BU309" s="30">
        <f>IF(BT309="Above 2",0,IF(BT309="Between 1.5 to 2",5,IF(BT309="Less than 1.5",10,0)))</f>
        <v/>
      </c>
      <c r="BV309" s="30" t="inlineStr">
        <is>
          <t>Negative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More than 1.2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IF(B310=0,"",RANK(B310,$B$2:$B$405,0))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2" t="inlineStr">
        <is>
          <t>CASTROLIND</t>
        </is>
      </c>
      <c r="D310" s="32" t="inlineStr">
        <is>
          <t>Castrol India Limited</t>
        </is>
      </c>
      <c r="E310" s="30" t="inlineStr">
        <is>
          <t>chemicals</t>
        </is>
      </c>
      <c r="F310" s="30" t="inlineStr">
        <is>
          <t>chemicals</t>
        </is>
      </c>
      <c r="G310" s="30" t="inlineStr">
        <is>
          <t>midcap</t>
        </is>
      </c>
      <c r="H310" s="31" t="n">
        <v>18945.65</v>
      </c>
      <c r="I310" s="31" t="n">
        <v>194.17</v>
      </c>
      <c r="J310" s="31" t="n">
        <v>1.37</v>
      </c>
      <c r="K310" s="31" t="n">
        <v>9762712</v>
      </c>
      <c r="L310" s="30" t="n">
        <v>6</v>
      </c>
      <c r="M310" s="30" t="inlineStr">
        <is>
          <t>Underperforming</t>
        </is>
      </c>
      <c r="N310" s="31">
        <f>IF(M310="Underperforming",-5,IF(L310&gt;=95,15,IF(L310&gt;=90,10,IF(L310&gt;=80,5,0))))</f>
        <v/>
      </c>
      <c r="O310" s="31" t="n">
        <v>67.14</v>
      </c>
      <c r="P310" s="31" t="n">
        <v>14.42</v>
      </c>
      <c r="Q310" s="31" t="n">
        <v>178.69</v>
      </c>
      <c r="R310" s="30" t="inlineStr">
        <is>
          <t>Volume Spike &amp; Near 52W High Breakout</t>
        </is>
      </c>
      <c r="S310" s="30" t="inlineStr">
        <is>
          <t>Nifty 50</t>
        </is>
      </c>
      <c r="T310" s="31" t="n">
        <v>1.09</v>
      </c>
      <c r="U310" s="31" t="n">
        <v>-4.87</v>
      </c>
      <c r="V310" s="31" t="n">
        <v>-5.9</v>
      </c>
      <c r="W310" s="31" t="n">
        <v>0.08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Yes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0 to 20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1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More than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No</t>
        </is>
      </c>
      <c r="BS310" s="30">
        <f>IF(BR310="NO",5,0)</f>
        <v/>
      </c>
      <c r="BT310" s="30" t="inlineStr">
        <is>
          <t>Less than 1.5</t>
        </is>
      </c>
      <c r="BU310" s="30">
        <f>IF(BT310="Above 2",0,IF(BT310="Between 1.5 to 2",5,IF(BT310="Less than 1.5",10,0)))</f>
        <v/>
      </c>
      <c r="BV310" s="30" t="inlineStr">
        <is>
          <t>Between 50% to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Less than 0.7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IF(B311=0,"",RANK(B311,$B$2:$B$405,0))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0" t="inlineStr">
        <is>
          <t>IMFA</t>
        </is>
      </c>
      <c r="D311" s="30" t="inlineStr">
        <is>
          <t>Indian Metals &amp; Ferro Alloys Limited</t>
        </is>
      </c>
      <c r="E311" s="30" t="inlineStr">
        <is>
          <t>metals &amp; mining</t>
        </is>
      </c>
      <c r="F311" s="30" t="inlineStr">
        <is>
          <t>mining / minerals / metals</t>
        </is>
      </c>
      <c r="G311" s="30" t="inlineStr">
        <is>
          <t>midcap</t>
        </is>
      </c>
      <c r="H311" s="31" t="n">
        <v>8038.62</v>
      </c>
      <c r="I311" s="31" t="n">
        <v>1510.1</v>
      </c>
      <c r="J311" s="31" t="n">
        <v>1.36</v>
      </c>
      <c r="K311" s="31" t="n">
        <v>388975</v>
      </c>
      <c r="L311" s="30" t="n">
        <v>72</v>
      </c>
      <c r="M311" s="30" t="inlineStr">
        <is>
          <t>Outperforming</t>
        </is>
      </c>
      <c r="N311" s="31">
        <f>IF(M311="Underperforming",-5,IF(L311&gt;=95,15,IF(L311&gt;=90,10,IF(L311&gt;=80,5,0))))</f>
        <v/>
      </c>
      <c r="O311" s="31" t="n">
        <v>59.89</v>
      </c>
      <c r="P311" s="31" t="n">
        <v>15.02</v>
      </c>
      <c r="Q311" s="31" t="n">
        <v>1138</v>
      </c>
      <c r="R311" s="30" t="inlineStr">
        <is>
          <t>Volume Spike &amp; Near 52W High Breakout</t>
        </is>
      </c>
      <c r="S311" s="30" t="inlineStr">
        <is>
          <t>Nifty Metal</t>
        </is>
      </c>
      <c r="T311" s="31" t="n">
        <v>39.44</v>
      </c>
      <c r="U311" s="31" t="n">
        <v>107.8</v>
      </c>
      <c r="V311" s="31" t="n">
        <v>49.02</v>
      </c>
      <c r="W311" s="31" t="n">
        <v>17.69</v>
      </c>
      <c r="X311" s="30" t="inlineStr">
        <is>
          <t>Cyclical in an Upturn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Cyclical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Volatile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Yes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Blue sky scenario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More than 20%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No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Above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Less than 0.7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IF(B312=0,"",RANK(B312,$B$2:$B$405,0))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0" t="inlineStr">
        <is>
          <t>LINDEINDIA</t>
        </is>
      </c>
      <c r="D312" s="30" t="inlineStr">
        <is>
          <t>Linde India Limited</t>
        </is>
      </c>
      <c r="E312" s="30" t="inlineStr">
        <is>
          <t>chemicals</t>
        </is>
      </c>
      <c r="F312" s="30" t="inlineStr">
        <is>
          <t>chemicals</t>
        </is>
      </c>
      <c r="G312" s="30" t="inlineStr">
        <is>
          <t>largecap</t>
        </is>
      </c>
      <c r="H312" s="31" t="n">
        <v>60449.46</v>
      </c>
      <c r="I312" s="31" t="n">
        <v>7152.5</v>
      </c>
      <c r="J312" s="31" t="n">
        <v>0.91</v>
      </c>
      <c r="K312" s="31" t="n">
        <v>14507</v>
      </c>
      <c r="L312" s="30" t="n">
        <v>10</v>
      </c>
      <c r="M312" s="30" t="inlineStr">
        <is>
          <t>Outperforming</t>
        </is>
      </c>
      <c r="N312" s="31">
        <f>IF(M312="Underperforming",-5,IF(L312&gt;=95,15,IF(L312&gt;=90,10,IF(L312&gt;=80,5,0))))</f>
        <v/>
      </c>
      <c r="O312" s="31" t="n">
        <v>53.46</v>
      </c>
      <c r="P312" s="31" t="n">
        <v>23.07</v>
      </c>
      <c r="Q312" s="31" t="n">
        <v>6429.67</v>
      </c>
      <c r="R312" s="30" t="inlineStr">
        <is>
          <t>Earnings / Momentum Support</t>
        </is>
      </c>
      <c r="S312" s="30" t="inlineStr">
        <is>
          <t>Nifty 50</t>
        </is>
      </c>
      <c r="T312" s="31" t="n">
        <v>1.09</v>
      </c>
      <c r="U312" s="31" t="n">
        <v>11.94</v>
      </c>
      <c r="V312" s="31" t="n">
        <v>10.73</v>
      </c>
      <c r="W312" s="31" t="n">
        <v>1.38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20 to 40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1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More than 20%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Yes</t>
        </is>
      </c>
      <c r="BS312" s="30">
        <f>IF(BR312="NO",5,0)</f>
        <v/>
      </c>
      <c r="BT312" s="30" t="inlineStr">
        <is>
          <t>Above 2</t>
        </is>
      </c>
      <c r="BU312" s="30">
        <f>IF(BT312="Above 2",0,IF(BT312="Between 1.5 to 2",5,IF(BT312="Less than 1.5",10,0)))</f>
        <v/>
      </c>
      <c r="BV312" s="30" t="inlineStr">
        <is>
          <t>Above 70%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IF(B313=0,"",RANK(B313,$B$2:$B$405,0))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0" t="inlineStr">
        <is>
          <t>ANDHRSUGAR</t>
        </is>
      </c>
      <c r="D313" s="30" t="inlineStr">
        <is>
          <t>The Andhra Sugars Limited</t>
        </is>
      </c>
      <c r="E313" s="30" t="inlineStr">
        <is>
          <t>chemicals</t>
        </is>
      </c>
      <c r="F313" s="30" t="inlineStr">
        <is>
          <t>chlor alkali / soda ash</t>
        </is>
      </c>
      <c r="G313" s="30" t="inlineStr">
        <is>
          <t>smallcap</t>
        </is>
      </c>
      <c r="H313" s="31" t="n">
        <v>1175.63</v>
      </c>
      <c r="I313" s="31" t="n">
        <v>87.15000000000001</v>
      </c>
      <c r="J313" s="31" t="n">
        <v>0.47</v>
      </c>
      <c r="K313" s="31" t="n">
        <v>128432</v>
      </c>
      <c r="L313" s="30" t="n">
        <v>8</v>
      </c>
      <c r="M313" s="30" t="inlineStr">
        <is>
          <t>Outperforming</t>
        </is>
      </c>
      <c r="N313" s="31">
        <f>IF(M313="Underperforming",-5,IF(L313&gt;=95,15,IF(L313&gt;=90,10,IF(L313&gt;=80,5,0))))</f>
        <v/>
      </c>
      <c r="O313" s="31" t="n">
        <v>54.62</v>
      </c>
      <c r="P313" s="31" t="n">
        <v>15.41</v>
      </c>
      <c r="Q313" s="31" t="n">
        <v>77.68000000000001</v>
      </c>
      <c r="R313" s="30" t="inlineStr">
        <is>
          <t>Earnings / Momentum Support</t>
        </is>
      </c>
      <c r="S313" s="30" t="inlineStr">
        <is>
          <t>Nifty 50</t>
        </is>
      </c>
      <c r="T313" s="31" t="n">
        <v>1.09</v>
      </c>
      <c r="U313" s="31" t="n">
        <v>12.06</v>
      </c>
      <c r="V313" s="31" t="n">
        <v>10.85</v>
      </c>
      <c r="W313" s="31" t="n">
        <v>0.99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Tailwind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Less than 12%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No</t>
        </is>
      </c>
      <c r="BS313" s="30">
        <f>IF(BR313="NO",5,0)</f>
        <v/>
      </c>
      <c r="BT313" s="30" t="inlineStr">
        <is>
          <t>Above 2</t>
        </is>
      </c>
      <c r="BU313" s="30">
        <f>IF(BT313="Above 2",0,IF(BT313="Between 1.5 to 2",5,IF(BT313="Less than 1.5",10,0)))</f>
        <v/>
      </c>
      <c r="BV313" s="30" t="inlineStr">
        <is>
          <t>Above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Less than 0.7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IF(B314=0,"",RANK(B314,$B$2:$B$405,0))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0" t="inlineStr">
        <is>
          <t>LANDMARK</t>
        </is>
      </c>
      <c r="D314" s="30" t="inlineStr">
        <is>
          <t>Landmark Cars Ltd</t>
        </is>
      </c>
      <c r="E314" s="30" t="inlineStr">
        <is>
          <t>consumer discretionary</t>
        </is>
      </c>
      <c r="F314" s="30" t="inlineStr">
        <is>
          <t>trading</t>
        </is>
      </c>
      <c r="G314" s="30" t="inlineStr">
        <is>
          <t>smallcap</t>
        </is>
      </c>
      <c r="H314" s="31" t="n">
        <v>2268.34</v>
      </c>
      <c r="I314" s="31" t="n">
        <v>546.9</v>
      </c>
      <c r="J314" s="31" t="n">
        <v>-0.03</v>
      </c>
      <c r="K314" s="31" t="n">
        <v>140202</v>
      </c>
      <c r="L314" s="30" t="n">
        <v>58</v>
      </c>
      <c r="M314" s="30" t="inlineStr">
        <is>
          <t>Outperforming</t>
        </is>
      </c>
      <c r="N314" s="31">
        <f>IF(M314="Underperforming",-5,IF(L314&gt;=95,15,IF(L314&gt;=90,10,IF(L314&gt;=80,5,0))))</f>
        <v/>
      </c>
      <c r="O314" s="31" t="n">
        <v>66.98</v>
      </c>
      <c r="P314" s="31" t="n">
        <v>20.82</v>
      </c>
      <c r="Q314" s="31" t="n">
        <v>406.57</v>
      </c>
      <c r="R314" s="30" t="inlineStr">
        <is>
          <t>Earnings / Momentum Support</t>
        </is>
      </c>
      <c r="S314" s="30" t="inlineStr">
        <is>
          <t>Nifty 50</t>
        </is>
      </c>
      <c r="T314" s="31" t="n">
        <v>1.09</v>
      </c>
      <c r="U314" s="31" t="n">
        <v>12.39</v>
      </c>
      <c r="V314" s="31" t="n">
        <v>11.18</v>
      </c>
      <c r="W314" s="31" t="n">
        <v>12.83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No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20 to 40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More than 20%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Yes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Above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More than 1.2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IF(B315=0,"",RANK(B315,$B$2:$B$405,0))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0" t="inlineStr">
        <is>
          <t>RKFORGE</t>
        </is>
      </c>
      <c r="D315" s="30" t="inlineStr">
        <is>
          <t>Ramkrishna Forgings Limited</t>
        </is>
      </c>
      <c r="E315" s="30" t="inlineStr">
        <is>
          <t>industrials</t>
        </is>
      </c>
      <c r="F315" s="30" t="inlineStr">
        <is>
          <t>castings &amp; forgings</t>
        </is>
      </c>
      <c r="G315" s="30" t="inlineStr">
        <is>
          <t>midcap</t>
        </is>
      </c>
      <c r="H315" s="31" t="n">
        <v>12869.4</v>
      </c>
      <c r="I315" s="31" t="n">
        <v>700.5</v>
      </c>
      <c r="J315" s="31" t="n">
        <v>-0.84</v>
      </c>
      <c r="K315" s="31" t="n">
        <v>1444907</v>
      </c>
      <c r="L315" s="30" t="n">
        <v>36</v>
      </c>
      <c r="M315" s="30" t="inlineStr">
        <is>
          <t>Outperforming</t>
        </is>
      </c>
      <c r="N315" s="31">
        <f>IF(M315="Underperforming",-5,IF(L315&gt;=95,15,IF(L315&gt;=90,10,IF(L315&gt;=80,5,0))))</f>
        <v/>
      </c>
      <c r="O315" s="31" t="n">
        <v>70</v>
      </c>
      <c r="P315" s="31" t="n">
        <v>10.35</v>
      </c>
      <c r="Q315" s="31" t="n">
        <v>564.38</v>
      </c>
      <c r="R315" s="30" t="inlineStr">
        <is>
          <t>Near 52W High Breakout</t>
        </is>
      </c>
      <c r="S315" s="30" t="inlineStr">
        <is>
          <t>Nifty 50</t>
        </is>
      </c>
      <c r="T315" s="31" t="n">
        <v>1.09</v>
      </c>
      <c r="U315" s="31" t="n">
        <v>20.4</v>
      </c>
      <c r="V315" s="31" t="n">
        <v>19.1</v>
      </c>
      <c r="W315" s="31" t="n">
        <v>7.17</v>
      </c>
      <c r="X315" s="30" t="inlineStr">
        <is>
          <t>Cyclical in an Upturn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Structural (10 Years Consistency)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Stable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Yes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0 to 20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More than 20%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Yes</t>
        </is>
      </c>
      <c r="BS315" s="30">
        <f>IF(BR315="NO",5,0)</f>
        <v/>
      </c>
      <c r="BT315" s="30" t="inlineStr">
        <is>
          <t>Above 2</t>
        </is>
      </c>
      <c r="BU315" s="30">
        <f>IF(BT315="Above 2",0,IF(BT315="Between 1.5 to 2",5,IF(BT315="Less than 1.5",10,0)))</f>
        <v/>
      </c>
      <c r="BV315" s="30" t="inlineStr">
        <is>
          <t>Above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Between 0.7 to 1.2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IF(B316=0,"",RANK(B316,$B$2:$B$405,0))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2" t="inlineStr">
        <is>
          <t>ULTRACEMCO</t>
        </is>
      </c>
      <c r="D316" s="32" t="inlineStr">
        <is>
          <t>Ultratech Cement Limited</t>
        </is>
      </c>
      <c r="E316" s="30" t="inlineStr">
        <is>
          <t>building materials</t>
        </is>
      </c>
      <c r="F316" s="30" t="inlineStr">
        <is>
          <t>cement - north india</t>
        </is>
      </c>
      <c r="G316" s="30" t="inlineStr">
        <is>
          <t>largecap</t>
        </is>
      </c>
      <c r="H316" s="31" t="n">
        <v>359213.91</v>
      </c>
      <c r="I316" s="31" t="n">
        <v>12075</v>
      </c>
      <c r="J316" s="31" t="n">
        <v>-0.9399999999999999</v>
      </c>
      <c r="K316" s="31" t="n">
        <v>406872</v>
      </c>
      <c r="L316" s="30" t="n">
        <v>7</v>
      </c>
      <c r="M316" s="30" t="inlineStr">
        <is>
          <t>Underperforming</t>
        </is>
      </c>
      <c r="N316" s="31">
        <f>IF(M316="Underperforming",-5,IF(L316&gt;=95,15,IF(L316&gt;=90,10,IF(L316&gt;=80,5,0))))</f>
        <v/>
      </c>
      <c r="O316" s="31" t="n">
        <v>59.5</v>
      </c>
      <c r="P316" s="31" t="n">
        <v>14.06</v>
      </c>
      <c r="Q316" s="31" t="n">
        <v>10488.96</v>
      </c>
      <c r="R316" s="30" t="inlineStr">
        <is>
          <t>Near 52W High Breakout</t>
        </is>
      </c>
      <c r="S316" s="30" t="inlineStr">
        <is>
          <t>Nifty Infra</t>
        </is>
      </c>
      <c r="T316" s="31" t="n">
        <v>4.3</v>
      </c>
      <c r="U316" s="31" t="n">
        <v>0.78</v>
      </c>
      <c r="V316" s="31" t="n">
        <v>-3.38</v>
      </c>
      <c r="W316" s="31" t="n">
        <v>0.77</v>
      </c>
      <c r="X316" s="30" t="inlineStr">
        <is>
          <t>Growing Industry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Headwind</t>
        </is>
      </c>
      <c r="AE316" s="30">
        <f>IF(AD316="Tailwind",10,0)</f>
        <v/>
      </c>
      <c r="AF316" s="30" t="inlineStr">
        <is>
          <t>Structural (10 Years Consistency)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Yes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0 to 20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2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Blue sky scenario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Between 12 to 20%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Yes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Above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Less than 0.7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IF(B317=0,"",RANK(B317,$B$2:$B$405,0))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2" t="inlineStr">
        <is>
          <t>JSWSTEEL</t>
        </is>
      </c>
      <c r="D317" s="32" t="inlineStr">
        <is>
          <t>Jsw Steel Limited</t>
        </is>
      </c>
      <c r="E317" s="30" t="inlineStr">
        <is>
          <t>metals &amp; mining</t>
        </is>
      </c>
      <c r="F317" s="30" t="inlineStr">
        <is>
          <t>steel - large</t>
        </is>
      </c>
      <c r="G317" s="30" t="inlineStr">
        <is>
          <t>largecap</t>
        </is>
      </c>
      <c r="H317" s="31" t="n">
        <v>325245.38</v>
      </c>
      <c r="I317" s="31" t="n">
        <v>1307.9</v>
      </c>
      <c r="J317" s="31" t="n">
        <v>-1.66</v>
      </c>
      <c r="K317" s="31" t="n">
        <v>4499180</v>
      </c>
      <c r="L317" s="30" t="n">
        <v>32</v>
      </c>
      <c r="M317" s="30" t="inlineStr">
        <is>
          <t>Underperforming</t>
        </is>
      </c>
      <c r="N317" s="31">
        <f>IF(M317="Underperforming",-5,IF(L317&gt;=95,15,IF(L317&gt;=90,10,IF(L317&gt;=80,5,0))))</f>
        <v/>
      </c>
      <c r="O317" s="31" t="n">
        <v>64.38</v>
      </c>
      <c r="P317" s="31" t="n">
        <v>29.33</v>
      </c>
      <c r="Q317" s="31" t="n">
        <v>1143.13</v>
      </c>
      <c r="R317" s="30" t="inlineStr">
        <is>
          <t>Near 52W High Breakout</t>
        </is>
      </c>
      <c r="S317" s="30" t="inlineStr">
        <is>
          <t>Nifty Metal</t>
        </is>
      </c>
      <c r="T317" s="31" t="n">
        <v>39.44</v>
      </c>
      <c r="U317" s="31" t="n">
        <v>28.82</v>
      </c>
      <c r="V317" s="31" t="n">
        <v>-7.62</v>
      </c>
      <c r="W317" s="31" t="n">
        <v>6.34</v>
      </c>
      <c r="X317" s="30" t="inlineStr">
        <is>
          <t>Cyclical in an Upturn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No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Cyclical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Volatile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Yes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20 to 40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2</t>
        </is>
      </c>
      <c r="BC317" s="30">
        <f>IF(BB317="Stage 2",20,IF(BB317="Stage 1",0,IF(BB317="Stage 3",5,IF(BB317="Stage 4",-5,0))))</f>
        <v/>
      </c>
      <c r="BD317" s="30" t="inlineStr">
        <is>
          <t>Positive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Blue sky scenario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More than 20%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No</t>
        </is>
      </c>
      <c r="BS317" s="30">
        <f>IF(BR317="NO",5,0)</f>
        <v/>
      </c>
      <c r="BT317" s="30" t="inlineStr">
        <is>
          <t>Above 2</t>
        </is>
      </c>
      <c r="BU317" s="30">
        <f>IF(BT317="Above 2",0,IF(BT317="Between 1.5 to 2",5,IF(BT317="Less than 1.5",10,0)))</f>
        <v/>
      </c>
      <c r="BV317" s="30" t="inlineStr">
        <is>
          <t>Above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Between 0.7 to 1.2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IF(B318=0,"",RANK(B318,$B$2:$B$405,0))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0" t="inlineStr">
        <is>
          <t>ASIANENE</t>
        </is>
      </c>
      <c r="D318" s="30" t="inlineStr">
        <is>
          <t>Asian Energy Services Ltd</t>
        </is>
      </c>
      <c r="E318" s="30" t="inlineStr">
        <is>
          <t>energy</t>
        </is>
      </c>
      <c r="F318" s="30" t="inlineStr">
        <is>
          <t>oil drilling / allied services</t>
        </is>
      </c>
      <c r="G318" s="30" t="inlineStr">
        <is>
          <t>smallcap</t>
        </is>
      </c>
      <c r="H318" s="31" t="n">
        <v>1954.91</v>
      </c>
      <c r="I318" s="31" t="n">
        <v>391.65</v>
      </c>
      <c r="J318" s="31" t="n">
        <v>-2.57</v>
      </c>
      <c r="K318" s="31" t="n">
        <v>259676</v>
      </c>
      <c r="L318" s="30" t="n">
        <v>66</v>
      </c>
      <c r="M318" s="30" t="inlineStr">
        <is>
          <t>Outperforming</t>
        </is>
      </c>
      <c r="N318" s="31">
        <f>IF(M318="Underperforming",-5,IF(L318&gt;=95,15,IF(L318&gt;=90,10,IF(L318&gt;=80,5,0))))</f>
        <v/>
      </c>
      <c r="O318" s="31" t="n">
        <v>64.90000000000001</v>
      </c>
      <c r="P318" s="31" t="n">
        <v>16.28</v>
      </c>
      <c r="Q318" s="31" t="n">
        <v>290.29</v>
      </c>
      <c r="R318" s="30" t="inlineStr">
        <is>
          <t>Near 52W High Breakout</t>
        </is>
      </c>
      <c r="S318" s="30" t="inlineStr">
        <is>
          <t>Nifty Energy</t>
        </is>
      </c>
      <c r="T318" s="31" t="n">
        <v>9.720000000000001</v>
      </c>
      <c r="U318" s="31" t="n">
        <v>39.49</v>
      </c>
      <c r="V318" s="31" t="n">
        <v>27.14</v>
      </c>
      <c r="W318" s="31" t="n">
        <v>15.29</v>
      </c>
      <c r="X318" s="30" t="inlineStr">
        <is>
          <t>Cyclical in an Upturn</t>
        </is>
      </c>
      <c r="Y318" s="30">
        <f>IF(X318="Growing Industry",10,IF(X318="Cyclical in an Upturn",5,0))</f>
        <v/>
      </c>
      <c r="Z318" s="30" t="inlineStr">
        <is>
          <t>Oligopoly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Yes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Cyclical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Volatile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Yes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0 to 20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2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Blue sky scenario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More than 20%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No</t>
        </is>
      </c>
      <c r="BS318" s="30">
        <f>IF(BR318="NO",5,0)</f>
        <v/>
      </c>
      <c r="BT318" s="30" t="inlineStr">
        <is>
          <t>Less than 1.5</t>
        </is>
      </c>
      <c r="BU318" s="30">
        <f>IF(BT318="Above 2",0,IF(BT318="Between 1.5 to 2",5,IF(BT318="Less than 1.5",10,0)))</f>
        <v/>
      </c>
      <c r="BV318" s="30" t="inlineStr">
        <is>
          <t>Between 50% to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Less than 0.7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IF(B319=0,"",RANK(B319,$B$2:$B$405,0))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2" t="inlineStr">
        <is>
          <t>RAJRATAN</t>
        </is>
      </c>
      <c r="D319" s="32" t="inlineStr">
        <is>
          <t>Rajratan Global Wire Ltd</t>
        </is>
      </c>
      <c r="E319" s="30" t="inlineStr">
        <is>
          <t>metals &amp; mining</t>
        </is>
      </c>
      <c r="F319" s="30" t="inlineStr">
        <is>
          <t>steel - medium / small</t>
        </is>
      </c>
      <c r="G319" s="30" t="inlineStr">
        <is>
          <t>smallcap</t>
        </is>
      </c>
      <c r="H319" s="31" t="n">
        <v>2724.88</v>
      </c>
      <c r="I319" s="31" t="n">
        <v>521.95</v>
      </c>
      <c r="J319" s="31" t="n">
        <v>-2.75</v>
      </c>
      <c r="K319" s="31" t="n">
        <v>168860</v>
      </c>
      <c r="L319" s="30" t="n">
        <v>54</v>
      </c>
      <c r="M319" s="30" t="inlineStr">
        <is>
          <t>Underperforming</t>
        </is>
      </c>
      <c r="N319" s="31">
        <f>IF(M319="Underperforming",-5,IF(L319&gt;=95,15,IF(L319&gt;=90,10,IF(L319&gt;=80,5,0))))</f>
        <v/>
      </c>
      <c r="O319" s="31" t="n">
        <v>67.48999999999999</v>
      </c>
      <c r="P319" s="31" t="n">
        <v>16.16</v>
      </c>
      <c r="Q319" s="31" t="n">
        <v>389.56</v>
      </c>
      <c r="R319" s="30" t="inlineStr">
        <is>
          <t>Near 52W High Breakout</t>
        </is>
      </c>
      <c r="S319" s="30" t="inlineStr">
        <is>
          <t>Nifty Metal</t>
        </is>
      </c>
      <c r="T319" s="31" t="n">
        <v>39.44</v>
      </c>
      <c r="U319" s="31" t="n">
        <v>31.83</v>
      </c>
      <c r="V319" s="31" t="n">
        <v>-5.46</v>
      </c>
      <c r="W319" s="31" t="n">
        <v>11.63</v>
      </c>
      <c r="X319" s="30" t="inlineStr">
        <is>
          <t>Cyclical in an Upturn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Cyclical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Volatile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Yes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0 to 20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More than 20%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No</t>
        </is>
      </c>
      <c r="BS319" s="30">
        <f>IF(BR319="NO",5,0)</f>
        <v/>
      </c>
      <c r="BT319" s="30" t="inlineStr">
        <is>
          <t>Less than 1.5</t>
        </is>
      </c>
      <c r="BU319" s="30">
        <f>IF(BT319="Above 2",0,IF(BT319="Between 1.5 to 2",5,IF(BT319="Less than 1.5",10,0)))</f>
        <v/>
      </c>
      <c r="BV319" s="30" t="inlineStr">
        <is>
          <t>Above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Less than 0.7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IF(B320=0,"",RANK(B320,$B$2:$B$405,0))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2" t="inlineStr">
        <is>
          <t>GRPLTD</t>
        </is>
      </c>
      <c r="D320" s="32" t="inlineStr">
        <is>
          <t>Grp Limited</t>
        </is>
      </c>
      <c r="E320" s="30" t="inlineStr">
        <is>
          <t>fmcg</t>
        </is>
      </c>
      <c r="F320" s="30" t="inlineStr">
        <is>
          <t>miscellaneous</t>
        </is>
      </c>
      <c r="G320" s="30" t="inlineStr">
        <is>
          <t>smallcap</t>
        </is>
      </c>
      <c r="H320" s="31" t="n">
        <v>1054.56</v>
      </c>
      <c r="I320" s="31" t="n">
        <v>2072</v>
      </c>
      <c r="J320" s="31" t="n">
        <v>4.79</v>
      </c>
      <c r="K320" s="31" t="n">
        <v>6011</v>
      </c>
      <c r="L320" s="30" t="n">
        <v>3</v>
      </c>
      <c r="M320" s="30" t="inlineStr">
        <is>
          <t>Underperforming</t>
        </is>
      </c>
      <c r="N320" s="31">
        <f>IF(M320="Underperforming",-5,IF(L320&gt;=95,15,IF(L320&gt;=90,10,IF(L320&gt;=80,5,0))))</f>
        <v/>
      </c>
      <c r="O320" s="31" t="n">
        <v>57.74</v>
      </c>
      <c r="P320" s="31" t="n">
        <v>16.24</v>
      </c>
      <c r="Q320" s="31" t="n">
        <v>1530.96</v>
      </c>
      <c r="R320" s="30" t="inlineStr">
        <is>
          <t>Earnings / Momentum Support</t>
        </is>
      </c>
      <c r="S320" s="30" t="inlineStr">
        <is>
          <t>Nifty FMCG</t>
        </is>
      </c>
      <c r="T320" s="31" t="n">
        <v>-9.75</v>
      </c>
      <c r="U320" s="31" t="n">
        <v>-16.02</v>
      </c>
      <c r="V320" s="31" t="n">
        <v>-6.95</v>
      </c>
      <c r="W320" s="31" t="n">
        <v>-0.87</v>
      </c>
      <c r="X320" s="30" t="inlineStr">
        <is>
          <t>Growing Industry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No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Structural (10 Years Consistency)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Stable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B2C</t>
        </is>
      </c>
      <c r="AO320" s="30">
        <f>IF(AN320="B2C",10,IF(AN320="B2B",5,0))</f>
        <v/>
      </c>
      <c r="AP320" s="30" t="inlineStr">
        <is>
          <t>No</t>
        </is>
      </c>
      <c r="AQ320" s="30">
        <f>IF(AP320="Yes",10,0)</f>
        <v/>
      </c>
      <c r="AR320" s="30" t="inlineStr">
        <is>
          <t>Higher Annuity, Lower One Time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0 to 20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2</t>
        </is>
      </c>
      <c r="BC320" s="30">
        <f>IF(BB320="Stage 2",20,IF(BB320="Stage 1",0,IF(BB320="Stage 3",5,IF(BB320="Stage 4",-5,0))))</f>
        <v/>
      </c>
      <c r="BD320" s="30" t="inlineStr">
        <is>
          <t>Positive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More than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Yes</t>
        </is>
      </c>
      <c r="BS320" s="30">
        <f>IF(BR320="NO",5,0)</f>
        <v/>
      </c>
      <c r="BT320" s="30" t="inlineStr">
        <is>
          <t>Above 2</t>
        </is>
      </c>
      <c r="BU320" s="30">
        <f>IF(BT320="Above 2",0,IF(BT320="Between 1.5 to 2",5,IF(BT320="Less than 1.5",10,0)))</f>
        <v/>
      </c>
      <c r="BV320" s="30" t="inlineStr">
        <is>
          <t>Above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Between 0.7 to 1.2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IF(B321=0,"",RANK(B321,$B$2:$B$405,0))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0" t="inlineStr">
        <is>
          <t>PRICOLLTD</t>
        </is>
      </c>
      <c r="D321" s="30" t="inlineStr">
        <is>
          <t>Pricol Ltd.</t>
        </is>
      </c>
      <c r="E321" s="30" t="inlineStr">
        <is>
          <t>auto</t>
        </is>
      </c>
      <c r="F321" s="30" t="inlineStr">
        <is>
          <t>auto ancillaries</t>
        </is>
      </c>
      <c r="G321" s="30" t="inlineStr">
        <is>
          <t>midcap</t>
        </is>
      </c>
      <c r="H321" s="31" t="n">
        <v>9344.65</v>
      </c>
      <c r="I321" s="31" t="n">
        <v>761.45</v>
      </c>
      <c r="J321" s="31" t="n">
        <v>-0.68</v>
      </c>
      <c r="K321" s="31" t="n">
        <v>361195</v>
      </c>
      <c r="L321" s="30" t="n">
        <v>73</v>
      </c>
      <c r="M321" s="30" t="inlineStr">
        <is>
          <t>Outperforming</t>
        </is>
      </c>
      <c r="N321" s="31">
        <f>IF(M321="Underperforming",-5,IF(L321&gt;=95,15,IF(L321&gt;=90,10,IF(L321&gt;=80,5,0))))</f>
        <v/>
      </c>
      <c r="O321" s="31" t="n">
        <v>72.98</v>
      </c>
      <c r="P321" s="31" t="n">
        <v>23.71</v>
      </c>
      <c r="Q321" s="31" t="n">
        <v>611.42</v>
      </c>
      <c r="R321" s="30" t="inlineStr">
        <is>
          <t>Near 52W High Breakout</t>
        </is>
      </c>
      <c r="S321" s="30" t="inlineStr">
        <is>
          <t>Nifty Auto</t>
        </is>
      </c>
      <c r="T321" s="31" t="n">
        <v>22.44</v>
      </c>
      <c r="U321" s="31" t="n">
        <v>74.38</v>
      </c>
      <c r="V321" s="31" t="n">
        <v>42.43</v>
      </c>
      <c r="W321" s="31" t="n">
        <v>17.82</v>
      </c>
      <c r="X321" s="30" t="inlineStr">
        <is>
          <t>Cyclical in an Upturn</t>
        </is>
      </c>
      <c r="Y321" s="30">
        <f>IF(X321="Growing Industry",10,IF(X321="Cyclical in an Upturn",5,0))</f>
        <v/>
      </c>
      <c r="Z321" s="30" t="inlineStr">
        <is>
          <t>Oligopoly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Shallow Cyclical (2 to 3 Years Growth)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Yes</t>
        </is>
      </c>
      <c r="AQ321" s="30">
        <f>IF(AP321="Yes",10,0)</f>
        <v/>
      </c>
      <c r="AR321" s="30" t="inlineStr">
        <is>
          <t>Fully One Time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Allocated capital in Non-core Areas</t>
        </is>
      </c>
      <c r="AU321" s="30">
        <f>IF(AT321="Good",10,0)</f>
        <v/>
      </c>
      <c r="AV321" s="30" t="inlineStr">
        <is>
          <t>Yes only for next 1 to 2 years</t>
        </is>
      </c>
      <c r="AW321" s="30">
        <f>IF(AV321="Yes for more than 2 years",10,IF(AV321="Yes only for next 1 to 2 years",5,0))</f>
        <v/>
      </c>
      <c r="AX321" s="30" t="inlineStr">
        <is>
          <t>20 to 40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Positive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Blue sky scenario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Between 12 to 20%</t>
        </is>
      </c>
      <c r="BO321" s="30">
        <f>IF(BN321="More than 20%",10,IF(BN321="Between 12 to 20%",5,IF(BN321="Less than 12%",0,0)))</f>
        <v/>
      </c>
      <c r="BP321" s="30" t="inlineStr">
        <is>
          <t>Yes</t>
        </is>
      </c>
      <c r="BQ321" s="30">
        <f>IF(BP321="No",10,0)</f>
        <v/>
      </c>
      <c r="BR321" s="30" t="inlineStr">
        <is>
          <t>No</t>
        </is>
      </c>
      <c r="BS321" s="30">
        <f>IF(BR321="NO",5,0)</f>
        <v/>
      </c>
      <c r="BT321" s="30" t="inlineStr">
        <is>
          <t>Between 1.5 to 2</t>
        </is>
      </c>
      <c r="BU321" s="30">
        <f>IF(BT321="Above 2",0,IF(BT321="Between 1.5 to 2",5,IF(BT321="Less than 1.5",10,0)))</f>
        <v/>
      </c>
      <c r="BV321" s="30" t="inlineStr">
        <is>
          <t>Between 50% to 70%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Less than 0.7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IF(B322=0,"",RANK(B322,$B$2:$B$405,0))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0" t="inlineStr">
        <is>
          <t>BORANA</t>
        </is>
      </c>
      <c r="D322" s="30" t="inlineStr">
        <is>
          <t>Borana Weaves Ltd</t>
        </is>
      </c>
      <c r="E322" s="30" t="inlineStr">
        <is>
          <t>textiles</t>
        </is>
      </c>
      <c r="F322" s="30" t="inlineStr">
        <is>
          <t>textiles - processing</t>
        </is>
      </c>
      <c r="G322" s="30" t="inlineStr">
        <is>
          <t>smallcap</t>
        </is>
      </c>
      <c r="H322" s="31" t="n">
        <v>877.96</v>
      </c>
      <c r="I322" s="31" t="n">
        <v>344.95</v>
      </c>
      <c r="J322" s="31" t="n">
        <v>4.69</v>
      </c>
      <c r="K322" s="31" t="n">
        <v>103927</v>
      </c>
      <c r="L322" s="30" t="n">
        <v>51</v>
      </c>
      <c r="M322" s="30" t="inlineStr">
        <is>
          <t>Outperforming</t>
        </is>
      </c>
      <c r="N322" s="31">
        <f>IF(M322="Underperforming",-5,IF(L322&gt;=95,15,IF(L322&gt;=90,10,IF(L322&gt;=80,5,0))))</f>
        <v/>
      </c>
      <c r="O322" s="31" t="n">
        <v>55.8</v>
      </c>
      <c r="P322" s="31" t="n">
        <v>13.06</v>
      </c>
      <c r="Q322" s="31" t="n">
        <v>253.82</v>
      </c>
      <c r="R322" s="30" t="inlineStr">
        <is>
          <t>Earnings / Momentum Support</t>
        </is>
      </c>
      <c r="S322" s="30" t="inlineStr">
        <is>
          <t>Nifty 50</t>
        </is>
      </c>
      <c r="T322" s="31" t="n">
        <v>1.09</v>
      </c>
      <c r="U322" s="31" t="n">
        <v>53.6</v>
      </c>
      <c r="V322" s="31" t="n">
        <v>51.95</v>
      </c>
      <c r="W322" s="31" t="n">
        <v>11.1</v>
      </c>
      <c r="X322" s="30" t="inlineStr">
        <is>
          <t>Growing Industry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Headwind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0 to 20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2</t>
        </is>
      </c>
      <c r="BC322" s="30">
        <f>IF(BB322="Stage 2",20,IF(BB322="Stage 1",0,IF(BB322="Stage 3",5,IF(BB322="Stage 4",-5,0))))</f>
        <v/>
      </c>
      <c r="BD322" s="30" t="inlineStr">
        <is>
          <t>Positive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Between 12 to 20%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No</t>
        </is>
      </c>
      <c r="BS322" s="30">
        <f>IF(BR322="NO",5,0)</f>
        <v/>
      </c>
      <c r="BT322" s="30" t="inlineStr">
        <is>
          <t>Less than 1.5</t>
        </is>
      </c>
      <c r="BU322" s="30">
        <f>IF(BT322="Above 2",0,IF(BT322="Between 1.5 to 2",5,IF(BT322="Less than 1.5",10,0)))</f>
        <v/>
      </c>
      <c r="BV322" s="30" t="inlineStr">
        <is>
          <t>Less than 50%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IF(B323=0,"",RANK(B323,$B$2:$B$405,0))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2" t="inlineStr">
        <is>
          <t>TTKHLTCARE</t>
        </is>
      </c>
      <c r="D323" s="32" t="inlineStr">
        <is>
          <t>Ttk Healthcare Limited</t>
        </is>
      </c>
      <c r="E323" s="30" t="inlineStr">
        <is>
          <t>miscellaneous</t>
        </is>
      </c>
      <c r="F323" s="30" t="inlineStr">
        <is>
          <t>diversified - medium / small</t>
        </is>
      </c>
      <c r="G323" s="30" t="inlineStr">
        <is>
          <t>smallcap</t>
        </is>
      </c>
      <c r="H323" s="31" t="n">
        <v>1477.89</v>
      </c>
      <c r="I323" s="31" t="n">
        <v>1094.1</v>
      </c>
      <c r="J323" s="31" t="n">
        <v>4.61</v>
      </c>
      <c r="K323" s="31" t="n">
        <v>211813</v>
      </c>
      <c r="L323" s="30" t="n">
        <v>18</v>
      </c>
      <c r="M323" s="30" t="inlineStr">
        <is>
          <t>Underperforming</t>
        </is>
      </c>
      <c r="N323" s="31">
        <f>IF(M323="Underperforming",-5,IF(L323&gt;=95,15,IF(L323&gt;=90,10,IF(L323&gt;=80,5,0))))</f>
        <v/>
      </c>
      <c r="O323" s="31" t="n">
        <v>65.64</v>
      </c>
      <c r="P323" s="31" t="n">
        <v>15.23</v>
      </c>
      <c r="Q323" s="31" t="n">
        <v>855.1900000000001</v>
      </c>
      <c r="R323" s="30" t="inlineStr">
        <is>
          <t>Earnings / Momentum Support</t>
        </is>
      </c>
      <c r="S323" s="30" t="inlineStr">
        <is>
          <t>Nifty 50</t>
        </is>
      </c>
      <c r="T323" s="31" t="n">
        <v>1.09</v>
      </c>
      <c r="U323" s="31" t="n">
        <v>-4.17</v>
      </c>
      <c r="V323" s="31" t="n">
        <v>-5.2</v>
      </c>
      <c r="W323" s="31" t="n">
        <v>3.41</v>
      </c>
      <c r="X323" s="30" t="inlineStr">
        <is>
          <t>Growing Industry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No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0 to 20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2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More than 20%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Less than 1.5</t>
        </is>
      </c>
      <c r="BU323" s="30">
        <f>IF(BT323="Above 2",0,IF(BT323="Between 1.5 to 2",5,IF(BT323="Less than 1.5",10,0)))</f>
        <v/>
      </c>
      <c r="BV323" s="30" t="inlineStr">
        <is>
          <t>Negative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IF(B324=0,"",RANK(B324,$B$2:$B$405,0))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0" t="inlineStr">
        <is>
          <t>TRITURBINE</t>
        </is>
      </c>
      <c r="D324" s="30" t="inlineStr">
        <is>
          <t>Triveni Turbine Limited</t>
        </is>
      </c>
      <c r="E324" s="30" t="inlineStr">
        <is>
          <t>industrials</t>
        </is>
      </c>
      <c r="F324" s="30" t="inlineStr">
        <is>
          <t>electric equipment</t>
        </is>
      </c>
      <c r="G324" s="30" t="inlineStr">
        <is>
          <t>midcap</t>
        </is>
      </c>
      <c r="H324" s="31" t="n">
        <v>19819.16</v>
      </c>
      <c r="I324" s="31" t="n">
        <v>646.35</v>
      </c>
      <c r="J324" s="31" t="n">
        <v>3.67</v>
      </c>
      <c r="K324" s="31" t="n">
        <v>1270213</v>
      </c>
      <c r="L324" s="30" t="n">
        <v>33</v>
      </c>
      <c r="M324" s="30" t="inlineStr">
        <is>
          <t>Outperforming</t>
        </is>
      </c>
      <c r="N324" s="31">
        <f>IF(M324="Underperforming",-5,IF(L324&gt;=95,15,IF(L324&gt;=90,10,IF(L324&gt;=80,5,0))))</f>
        <v/>
      </c>
      <c r="O324" s="31" t="n">
        <v>59.28</v>
      </c>
      <c r="P324" s="31" t="n">
        <v>38.74</v>
      </c>
      <c r="Q324" s="31" t="n">
        <v>582.64</v>
      </c>
      <c r="R324" s="30" t="inlineStr">
        <is>
          <t>Earnings / Momentum Support</t>
        </is>
      </c>
      <c r="S324" s="30" t="inlineStr">
        <is>
          <t>Nifty 50</t>
        </is>
      </c>
      <c r="T324" s="31" t="n">
        <v>1.09</v>
      </c>
      <c r="U324" s="31" t="n">
        <v>23.74</v>
      </c>
      <c r="V324" s="31" t="n">
        <v>22.41</v>
      </c>
      <c r="W324" s="31" t="n">
        <v>6.35</v>
      </c>
      <c r="X324" s="30" t="inlineStr">
        <is>
          <t>Cyclical in an Upturn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Structural (10 Years Consistency)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No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20 to 40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Close to 52 week high or retracement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Less than 12%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Yes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Less than 50%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IF(B325=0,"",RANK(B325,$B$2:$B$405,0))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2" t="inlineStr">
        <is>
          <t>SUNFLAG</t>
        </is>
      </c>
      <c r="D325" s="32" t="inlineStr">
        <is>
          <t>Sunflag Iron And Steel Company Limited</t>
        </is>
      </c>
      <c r="E325" s="30" t="inlineStr">
        <is>
          <t>metals &amp; mining</t>
        </is>
      </c>
      <c r="F325" s="30" t="inlineStr">
        <is>
          <t>steel - medium / small</t>
        </is>
      </c>
      <c r="G325" s="30" t="inlineStr">
        <is>
          <t>midcap</t>
        </is>
      </c>
      <c r="H325" s="31" t="n">
        <v>6763.64</v>
      </c>
      <c r="I325" s="31" t="n">
        <v>388.95</v>
      </c>
      <c r="J325" s="31" t="n">
        <v>3.64</v>
      </c>
      <c r="K325" s="31" t="n">
        <v>896517</v>
      </c>
      <c r="L325" s="30" t="n">
        <v>67</v>
      </c>
      <c r="M325" s="30" t="inlineStr">
        <is>
          <t>Underperforming</t>
        </is>
      </c>
      <c r="N325" s="31">
        <f>IF(M325="Underperforming",-5,IF(L325&gt;=95,15,IF(L325&gt;=90,10,IF(L325&gt;=80,5,0))))</f>
        <v/>
      </c>
      <c r="O325" s="31" t="n">
        <v>67.67</v>
      </c>
      <c r="P325" s="31" t="n">
        <v>45.22</v>
      </c>
      <c r="Q325" s="31" t="n">
        <v>317.8</v>
      </c>
      <c r="R325" s="30" t="inlineStr">
        <is>
          <t>Earnings / Momentum Support</t>
        </is>
      </c>
      <c r="S325" s="30" t="inlineStr">
        <is>
          <t>Nifty Metal</t>
        </is>
      </c>
      <c r="T325" s="31" t="n">
        <v>39.44</v>
      </c>
      <c r="U325" s="31" t="n">
        <v>38.32</v>
      </c>
      <c r="V325" s="31" t="n">
        <v>-0.8</v>
      </c>
      <c r="W325" s="31" t="n">
        <v>15.39</v>
      </c>
      <c r="X325" s="30" t="inlineStr">
        <is>
          <t>Cyclical in an Upturn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Tailwind</t>
        </is>
      </c>
      <c r="AE325" s="30">
        <f>IF(AD325="Tailwind",10,0)</f>
        <v/>
      </c>
      <c r="AF325" s="30" t="inlineStr">
        <is>
          <t>Cyclical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Volatile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No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Above 40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2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Less than 12%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No</t>
        </is>
      </c>
      <c r="BS325" s="30">
        <f>IF(BR325="NO",5,0)</f>
        <v/>
      </c>
      <c r="BT325" s="30" t="inlineStr">
        <is>
          <t>Above 2</t>
        </is>
      </c>
      <c r="BU325" s="30">
        <f>IF(BT325="Above 2",0,IF(BT325="Between 1.5 to 2",5,IF(BT325="Less than 1.5",10,0)))</f>
        <v/>
      </c>
      <c r="BV325" s="30" t="inlineStr">
        <is>
          <t>Above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IF(B326=0,"",RANK(B326,$B$2:$B$405,0))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2" t="inlineStr">
        <is>
          <t>INDIGOPNTS</t>
        </is>
      </c>
      <c r="D326" s="32" t="inlineStr">
        <is>
          <t>Indigo Paints Ltd</t>
        </is>
      </c>
      <c r="E326" s="30" t="inlineStr">
        <is>
          <t>building materials</t>
        </is>
      </c>
      <c r="F326" s="30" t="inlineStr">
        <is>
          <t>paints / varnishes</t>
        </is>
      </c>
      <c r="G326" s="30" t="inlineStr">
        <is>
          <t>midcap</t>
        </is>
      </c>
      <c r="H326" s="31" t="n">
        <v>5200.46</v>
      </c>
      <c r="I326" s="31" t="n">
        <v>1128.6</v>
      </c>
      <c r="J326" s="31" t="n">
        <v>3.47</v>
      </c>
      <c r="K326" s="31" t="n">
        <v>94430</v>
      </c>
      <c r="L326" s="30" t="n">
        <v>35</v>
      </c>
      <c r="M326" s="30" t="inlineStr">
        <is>
          <t>Underperforming</t>
        </is>
      </c>
      <c r="N326" s="31">
        <f>IF(M326="Underperforming",-5,IF(L326&gt;=95,15,IF(L326&gt;=90,10,IF(L326&gt;=80,5,0))))</f>
        <v/>
      </c>
      <c r="O326" s="31" t="n">
        <v>62.88</v>
      </c>
      <c r="P326" s="31" t="n">
        <v>10.82</v>
      </c>
      <c r="Q326" s="31" t="n">
        <v>896.24</v>
      </c>
      <c r="R326" s="30" t="inlineStr">
        <is>
          <t>Earnings / Momentum Support</t>
        </is>
      </c>
      <c r="S326" s="30" t="inlineStr">
        <is>
          <t>Nifty Infra</t>
        </is>
      </c>
      <c r="T326" s="31" t="n">
        <v>4.3</v>
      </c>
      <c r="U326" s="31" t="n">
        <v>-1.31</v>
      </c>
      <c r="V326" s="31" t="n">
        <v>-5.38</v>
      </c>
      <c r="W326" s="31" t="n">
        <v>7.06</v>
      </c>
      <c r="X326" s="30" t="inlineStr">
        <is>
          <t>Growing Industry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No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0 to 20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2</t>
        </is>
      </c>
      <c r="BC326" s="30">
        <f>IF(BB326="Stage 2",20,IF(BB326="Stage 1",0,IF(BB326="Stage 3",5,IF(BB326="Stage 4",-5,0))))</f>
        <v/>
      </c>
      <c r="BD326" s="30" t="inlineStr">
        <is>
          <t>Positive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Less than 12%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No</t>
        </is>
      </c>
      <c r="BS326" s="30">
        <f>IF(BR326="NO",5,0)</f>
        <v/>
      </c>
      <c r="BT326" s="30" t="inlineStr">
        <is>
          <t>Above 2</t>
        </is>
      </c>
      <c r="BU326" s="30">
        <f>IF(BT326="Above 2",0,IF(BT326="Between 1.5 to 2",5,IF(BT326="Less than 1.5",10,0)))</f>
        <v/>
      </c>
      <c r="BV326" s="30" t="inlineStr">
        <is>
          <t>Above 70%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IF(B327=0,"",RANK(B327,$B$2:$B$405,0))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0" t="inlineStr">
        <is>
          <t>REDTAPE</t>
        </is>
      </c>
      <c r="D327" s="30" t="inlineStr">
        <is>
          <t>Redtape Ltd</t>
        </is>
      </c>
      <c r="E327" s="30" t="inlineStr">
        <is>
          <t>consumer discretionary</t>
        </is>
      </c>
      <c r="F327" s="30" t="inlineStr">
        <is>
          <t>trading</t>
        </is>
      </c>
      <c r="G327" s="30" t="inlineStr">
        <is>
          <t>midcap</t>
        </is>
      </c>
      <c r="H327" s="31" t="n">
        <v>7420.89</v>
      </c>
      <c r="I327" s="31" t="n">
        <v>136.86</v>
      </c>
      <c r="J327" s="31" t="n">
        <v>1.95</v>
      </c>
      <c r="K327" s="31" t="n">
        <v>564470</v>
      </c>
      <c r="L327" s="30" t="n">
        <v>21</v>
      </c>
      <c r="M327" s="30" t="inlineStr">
        <is>
          <t>Outperforming</t>
        </is>
      </c>
      <c r="N327" s="31">
        <f>IF(M327="Underperforming",-5,IF(L327&gt;=95,15,IF(L327&gt;=90,10,IF(L327&gt;=80,5,0))))</f>
        <v/>
      </c>
      <c r="O327" s="31" t="n">
        <v>55.72</v>
      </c>
      <c r="P327" s="31" t="n">
        <v>31.89</v>
      </c>
      <c r="Q327" s="31" t="n">
        <v>104.76</v>
      </c>
      <c r="R327" s="30" t="inlineStr">
        <is>
          <t>Earnings / Momentum Support</t>
        </is>
      </c>
      <c r="S327" s="30" t="inlineStr">
        <is>
          <t>Nifty 50</t>
        </is>
      </c>
      <c r="T327" s="31" t="n">
        <v>1.09</v>
      </c>
      <c r="U327" s="31" t="n">
        <v>15.16</v>
      </c>
      <c r="V327" s="31" t="n">
        <v>13.92</v>
      </c>
      <c r="W327" s="31" t="n">
        <v>3.93</v>
      </c>
      <c r="X327" s="30" t="inlineStr">
        <is>
          <t>Growing Industry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No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20 to 40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1</t>
        </is>
      </c>
      <c r="BC327" s="30">
        <f>IF(BB327="Stage 2",20,IF(BB327="Stage 1",0,IF(BB327="Stage 3",5,IF(BB327="Stage 4",-5,0))))</f>
        <v/>
      </c>
      <c r="BD327" s="30" t="inlineStr">
        <is>
          <t>Positive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More than 20%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No</t>
        </is>
      </c>
      <c r="BS327" s="30">
        <f>IF(BR327="NO",5,0)</f>
        <v/>
      </c>
      <c r="BT327" s="30" t="inlineStr">
        <is>
          <t>Less than 1.5</t>
        </is>
      </c>
      <c r="BU327" s="30">
        <f>IF(BT327="Above 2",0,IF(BT327="Between 1.5 to 2",5,IF(BT327="Less than 1.5",10,0)))</f>
        <v/>
      </c>
      <c r="BV327" s="30" t="inlineStr">
        <is>
          <t>Less than 50%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Between 0.7 to 1.2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IF(B328=0,"",RANK(B328,$B$2:$B$405,0))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2" t="inlineStr">
        <is>
          <t>EXICOM</t>
        </is>
      </c>
      <c r="D328" s="32" t="inlineStr">
        <is>
          <t>Exicom Tele-Systems Ltd</t>
        </is>
      </c>
      <c r="E328" s="30" t="inlineStr">
        <is>
          <t>industrials</t>
        </is>
      </c>
      <c r="F328" s="30" t="inlineStr">
        <is>
          <t>electric equipment</t>
        </is>
      </c>
      <c r="G328" s="30" t="inlineStr">
        <is>
          <t>smallcap</t>
        </is>
      </c>
      <c r="H328" s="31" t="n">
        <v>2316.23</v>
      </c>
      <c r="I328" s="31" t="n">
        <v>169.56</v>
      </c>
      <c r="J328" s="31" t="n">
        <v>1.81</v>
      </c>
      <c r="K328" s="31" t="n">
        <v>1784433</v>
      </c>
      <c r="L328" s="30" t="n">
        <v>58</v>
      </c>
      <c r="M328" s="30" t="inlineStr">
        <is>
          <t>Underperforming</t>
        </is>
      </c>
      <c r="N328" s="31">
        <f>IF(M328="Underperforming",-5,IF(L328&gt;=95,15,IF(L328&gt;=90,10,IF(L328&gt;=80,5,0))))</f>
        <v/>
      </c>
      <c r="O328" s="31" t="n">
        <v>61.19</v>
      </c>
      <c r="P328" s="31" t="n">
        <v>38.81</v>
      </c>
      <c r="Q328" s="31" t="n">
        <v>116.87</v>
      </c>
      <c r="R328" s="30" t="inlineStr">
        <is>
          <t>Near 52W High Breakout</t>
        </is>
      </c>
      <c r="S328" s="30" t="inlineStr">
        <is>
          <t>Nifty Infra</t>
        </is>
      </c>
      <c r="T328" s="31" t="n">
        <v>4.3</v>
      </c>
      <c r="U328" s="31" t="n">
        <v>3.65</v>
      </c>
      <c r="V328" s="31" t="n">
        <v>-0.62</v>
      </c>
      <c r="W328" s="31" t="n">
        <v>12.82</v>
      </c>
      <c r="X328" s="30" t="inlineStr">
        <is>
          <t>Cyclical in an Upturn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Yes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20 to 40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Negative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More than 20%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No</t>
        </is>
      </c>
      <c r="BS328" s="30">
        <f>IF(BR328="NO",5,0)</f>
        <v/>
      </c>
      <c r="BT328" s="30" t="inlineStr">
        <is>
          <t>Less than 1.5</t>
        </is>
      </c>
      <c r="BU328" s="30">
        <f>IF(BT328="Above 2",0,IF(BT328="Between 1.5 to 2",5,IF(BT328="Less than 1.5",10,0)))</f>
        <v/>
      </c>
      <c r="BV328" s="30" t="inlineStr">
        <is>
          <t>Above 70%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Between 0.7 to 1.2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IF(B329=0,"",RANK(B329,$B$2:$B$405,0))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0" t="inlineStr">
        <is>
          <t>SIS</t>
        </is>
      </c>
      <c r="D329" s="30" t="inlineStr">
        <is>
          <t>Security &amp; Intelligence Services India</t>
        </is>
      </c>
      <c r="E329" s="30" t="inlineStr">
        <is>
          <t>miscellaneous</t>
        </is>
      </c>
      <c r="F329" s="30" t="inlineStr">
        <is>
          <t>miscellaneous</t>
        </is>
      </c>
      <c r="G329" s="30" t="inlineStr">
        <is>
          <t>midcap</t>
        </is>
      </c>
      <c r="H329" s="31" t="n">
        <v>6083.7</v>
      </c>
      <c r="I329" s="31" t="n">
        <v>436</v>
      </c>
      <c r="J329" s="31" t="n">
        <v>1.27</v>
      </c>
      <c r="K329" s="31" t="n">
        <v>264788</v>
      </c>
      <c r="L329" s="30" t="n">
        <v>31</v>
      </c>
      <c r="M329" s="30" t="inlineStr">
        <is>
          <t>Outperforming</t>
        </is>
      </c>
      <c r="N329" s="31">
        <f>IF(M329="Underperforming",-5,IF(L329&gt;=95,15,IF(L329&gt;=90,10,IF(L329&gt;=80,5,0))))</f>
        <v/>
      </c>
      <c r="O329" s="31" t="n">
        <v>69.2</v>
      </c>
      <c r="P329" s="31" t="n">
        <v>56.94</v>
      </c>
      <c r="Q329" s="31" t="n">
        <v>355.05</v>
      </c>
      <c r="R329" s="30" t="inlineStr">
        <is>
          <t>Near 52W High Breakout</t>
        </is>
      </c>
      <c r="S329" s="30" t="inlineStr">
        <is>
          <t>Nifty 50</t>
        </is>
      </c>
      <c r="T329" s="31" t="n">
        <v>1.09</v>
      </c>
      <c r="U329" s="31" t="n">
        <v>18.89</v>
      </c>
      <c r="V329" s="31" t="n">
        <v>17.61</v>
      </c>
      <c r="W329" s="31" t="n">
        <v>6.17</v>
      </c>
      <c r="X329" s="30" t="inlineStr">
        <is>
          <t>Growing Industry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Tailwind</t>
        </is>
      </c>
      <c r="AE329" s="30">
        <f>IF(AD329="Tailwind",10,0)</f>
        <v/>
      </c>
      <c r="AF329" s="30" t="inlineStr">
        <is>
          <t>Structural (10 Years Consistency)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Stable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Yes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Above 40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2</t>
        </is>
      </c>
      <c r="BC329" s="30">
        <f>IF(BB329="Stage 2",20,IF(BB329="Stage 1",0,IF(BB329="Stage 3",5,IF(BB329="Stage 4",-5,0))))</f>
        <v/>
      </c>
      <c r="BD329" s="30" t="inlineStr">
        <is>
          <t>Negative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Blue sky scenario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Less than 12%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Yes</t>
        </is>
      </c>
      <c r="BS329" s="30">
        <f>IF(BR329="NO",5,0)</f>
        <v/>
      </c>
      <c r="BT329" s="30" t="inlineStr">
        <is>
          <t>Above 2</t>
        </is>
      </c>
      <c r="BU329" s="30">
        <f>IF(BT329="Above 2",0,IF(BT329="Between 1.5 to 2",5,IF(BT329="Less than 1.5",10,0)))</f>
        <v/>
      </c>
      <c r="BV329" s="30" t="inlineStr">
        <is>
          <t>Above 70%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Between 0.7 to 1.2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IF(B330=0,"",RANK(B330,$B$2:$B$405,0))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2" t="inlineStr">
        <is>
          <t>DEEPAKNTR</t>
        </is>
      </c>
      <c r="D330" s="32" t="inlineStr">
        <is>
          <t>Deepak Nitrite Limited</t>
        </is>
      </c>
      <c r="E330" s="30" t="inlineStr">
        <is>
          <t>chemicals</t>
        </is>
      </c>
      <c r="F330" s="30" t="inlineStr">
        <is>
          <t>chemicals</t>
        </is>
      </c>
      <c r="G330" s="30" t="inlineStr">
        <is>
          <t>largecap</t>
        </is>
      </c>
      <c r="H330" s="31" t="n">
        <v>23687.38</v>
      </c>
      <c r="I330" s="31" t="n">
        <v>1750.4</v>
      </c>
      <c r="J330" s="31" t="n">
        <v>0.79</v>
      </c>
      <c r="K330" s="31" t="n">
        <v>429334</v>
      </c>
      <c r="L330" s="30" t="n">
        <v>2</v>
      </c>
      <c r="M330" s="30" t="inlineStr">
        <is>
          <t>Underperforming</t>
        </is>
      </c>
      <c r="N330" s="31">
        <f>IF(M330="Underperforming",-5,IF(L330&gt;=95,15,IF(L330&gt;=90,10,IF(L330&gt;=80,5,0))))</f>
        <v/>
      </c>
      <c r="O330" s="31" t="n">
        <v>56.91</v>
      </c>
      <c r="P330" s="31" t="n">
        <v>13.8</v>
      </c>
      <c r="Q330" s="31" t="n">
        <v>1525.17</v>
      </c>
      <c r="R330" s="30" t="inlineStr">
        <is>
          <t>Volume Spike / Accumulation</t>
        </is>
      </c>
      <c r="S330" s="30" t="inlineStr">
        <is>
          <t>Nifty 50</t>
        </is>
      </c>
      <c r="T330" s="31" t="n">
        <v>1.09</v>
      </c>
      <c r="U330" s="31" t="n">
        <v>-2.56</v>
      </c>
      <c r="V330" s="31" t="n">
        <v>-3.61</v>
      </c>
      <c r="W330" s="31" t="n">
        <v>-1.43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Tailwind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Yes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0 to 20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2</t>
        </is>
      </c>
      <c r="BC330" s="30">
        <f>IF(BB330="Stage 2",20,IF(BB330="Stage 1",0,IF(BB330="Stage 3",5,IF(BB330="Stage 4",-5,0))))</f>
        <v/>
      </c>
      <c r="BD330" s="30" t="inlineStr">
        <is>
          <t>Positive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Less than 12%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Yes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Between 50% to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Less than 0.7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IF(B331=0,"",RANK(B331,$B$2:$B$405,0))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2" t="inlineStr">
        <is>
          <t>MUKANDLTD</t>
        </is>
      </c>
      <c r="D331" s="32" t="inlineStr">
        <is>
          <t>Mukand Limited</t>
        </is>
      </c>
      <c r="E331" s="30" t="inlineStr">
        <is>
          <t>metals &amp; mining</t>
        </is>
      </c>
      <c r="F331" s="30" t="inlineStr">
        <is>
          <t>steel - medium / small</t>
        </is>
      </c>
      <c r="G331" s="30" t="inlineStr">
        <is>
          <t>smallcap</t>
        </is>
      </c>
      <c r="H331" s="31" t="n">
        <v>2054.29</v>
      </c>
      <c r="I331" s="31" t="n">
        <v>143.29</v>
      </c>
      <c r="J331" s="31" t="n">
        <v>0.79</v>
      </c>
      <c r="K331" s="31" t="n">
        <v>85729</v>
      </c>
      <c r="L331" s="30" t="n">
        <v>12</v>
      </c>
      <c r="M331" s="30" t="inlineStr">
        <is>
          <t>Underperforming</t>
        </is>
      </c>
      <c r="N331" s="31">
        <f>IF(M331="Underperforming",-5,IF(L331&gt;=95,15,IF(L331&gt;=90,10,IF(L331&gt;=80,5,0))))</f>
        <v/>
      </c>
      <c r="O331" s="31" t="n">
        <v>58.37</v>
      </c>
      <c r="P331" s="31" t="n">
        <v>41.88</v>
      </c>
      <c r="Q331" s="31" t="n">
        <v>116.46</v>
      </c>
      <c r="R331" s="30" t="inlineStr">
        <is>
          <t>Near 52W High Breakout</t>
        </is>
      </c>
      <c r="S331" s="30" t="inlineStr">
        <is>
          <t>Nifty Metal</t>
        </is>
      </c>
      <c r="T331" s="31" t="n">
        <v>39.44</v>
      </c>
      <c r="U331" s="31" t="n">
        <v>3.42</v>
      </c>
      <c r="V331" s="31" t="n">
        <v>-25.84</v>
      </c>
      <c r="W331" s="31" t="n">
        <v>1.71</v>
      </c>
      <c r="X331" s="30" t="inlineStr">
        <is>
          <t>Cyclical in an Upturn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Cyclical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Volatile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Yes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Above 40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2</t>
        </is>
      </c>
      <c r="BC331" s="30">
        <f>IF(BB331="Stage 2",20,IF(BB331="Stage 1",0,IF(BB331="Stage 3",5,IF(BB331="Stage 4",-5,0))))</f>
        <v/>
      </c>
      <c r="BD331" s="30" t="inlineStr">
        <is>
          <t>Positive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More than 20%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No</t>
        </is>
      </c>
      <c r="BS331" s="30">
        <f>IF(BR331="NO",5,0)</f>
        <v/>
      </c>
      <c r="BT331" s="30" t="inlineStr">
        <is>
          <t>Less than 1.5</t>
        </is>
      </c>
      <c r="BU331" s="30">
        <f>IF(BT331="Above 2",0,IF(BT331="Between 1.5 to 2",5,IF(BT331="Less than 1.5",10,0)))</f>
        <v/>
      </c>
      <c r="BV331" s="30" t="inlineStr">
        <is>
          <t>Negative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Between 0.7 to 1.2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IF(B332=0,"",RANK(B332,$B$2:$B$405,0))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0" t="inlineStr">
        <is>
          <t>PTCIL</t>
        </is>
      </c>
      <c r="D332" s="30" t="inlineStr">
        <is>
          <t>PTC Industries Ltd</t>
        </is>
      </c>
      <c r="E332" s="30" t="inlineStr">
        <is>
          <t>industrials</t>
        </is>
      </c>
      <c r="F332" s="30" t="inlineStr">
        <is>
          <t>castings &amp; forgings</t>
        </is>
      </c>
      <c r="G332" s="30" t="inlineStr">
        <is>
          <t>largecap</t>
        </is>
      </c>
      <c r="H332" s="31" t="n">
        <v>27124.52</v>
      </c>
      <c r="I332" s="31" t="n">
        <v>18190</v>
      </c>
      <c r="J332" s="31" t="n">
        <v>0.54</v>
      </c>
      <c r="K332" s="31" t="n">
        <v>25380</v>
      </c>
      <c r="L332" s="30" t="n">
        <v>32</v>
      </c>
      <c r="M332" s="30" t="inlineStr">
        <is>
          <t>Outperforming</t>
        </is>
      </c>
      <c r="N332" s="31">
        <f>IF(M332="Underperforming",-5,IF(L332&gt;=95,15,IF(L332&gt;=90,10,IF(L332&gt;=80,5,0))))</f>
        <v/>
      </c>
      <c r="O332" s="31" t="n">
        <v>58.6</v>
      </c>
      <c r="P332" s="31" t="n">
        <v>16.95</v>
      </c>
      <c r="Q332" s="31" t="n">
        <v>14961.99</v>
      </c>
      <c r="R332" s="30" t="inlineStr">
        <is>
          <t>Near 52W High Breakout</t>
        </is>
      </c>
      <c r="S332" s="30" t="inlineStr">
        <is>
          <t>Nifty 50</t>
        </is>
      </c>
      <c r="T332" s="31" t="n">
        <v>1.09</v>
      </c>
      <c r="U332" s="31" t="n">
        <v>22.17</v>
      </c>
      <c r="V332" s="31" t="n">
        <v>20.86</v>
      </c>
      <c r="W332" s="31" t="n">
        <v>6.32</v>
      </c>
      <c r="X332" s="30" t="inlineStr">
        <is>
          <t>Cyclical in an Upturn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Tailwind</t>
        </is>
      </c>
      <c r="AE332" s="30">
        <f>IF(AD332="Tailwind",10,0)</f>
        <v/>
      </c>
      <c r="AF332" s="30" t="inlineStr">
        <is>
          <t>Structural (10 Years Consistency)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Stable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Yes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0 to 20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2</t>
        </is>
      </c>
      <c r="BC332" s="30">
        <f>IF(BB332="Stage 2",20,IF(BB332="Stage 1",0,IF(BB332="Stage 3",5,IF(BB332="Stage 4",-5,0))))</f>
        <v/>
      </c>
      <c r="BD332" s="30" t="inlineStr">
        <is>
          <t>Positive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Blue sky scenario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More than 20%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Yes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Negative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Less than 0.7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IF(B333=0,"",RANK(B333,$B$2:$B$405,0))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0" t="inlineStr">
        <is>
          <t>SANATHAN</t>
        </is>
      </c>
      <c r="D333" s="30" t="inlineStr">
        <is>
          <t>Sanathan Textiles Ltd</t>
        </is>
      </c>
      <c r="E333" s="30" t="inlineStr">
        <is>
          <t>textiles</t>
        </is>
      </c>
      <c r="F333" s="30" t="inlineStr">
        <is>
          <t>textiles - cotton/blended</t>
        </is>
      </c>
      <c r="G333" s="30" t="inlineStr">
        <is>
          <t>smallcap</t>
        </is>
      </c>
      <c r="H333" s="31" t="n">
        <v>4023.96</v>
      </c>
      <c r="I333" s="31" t="n">
        <v>476</v>
      </c>
      <c r="J333" s="31" t="n">
        <v>-0.16</v>
      </c>
      <c r="K333" s="31" t="n">
        <v>21890</v>
      </c>
      <c r="L333" s="30" t="n">
        <v>11</v>
      </c>
      <c r="M333" s="30" t="inlineStr">
        <is>
          <t>Outperforming</t>
        </is>
      </c>
      <c r="N333" s="31">
        <f>IF(M333="Underperforming",-5,IF(L333&gt;=95,15,IF(L333&gt;=90,10,IF(L333&gt;=80,5,0))))</f>
        <v/>
      </c>
      <c r="O333" s="31" t="n">
        <v>60.62</v>
      </c>
      <c r="P333" s="31" t="n">
        <v>14.65</v>
      </c>
      <c r="Q333" s="31" t="n">
        <v>375.2</v>
      </c>
      <c r="R333" s="30" t="inlineStr">
        <is>
          <t>Volume Spike / Accumulation</t>
        </is>
      </c>
      <c r="S333" s="30" t="inlineStr">
        <is>
          <t>Nifty 50</t>
        </is>
      </c>
      <c r="T333" s="31" t="n">
        <v>1.09</v>
      </c>
      <c r="U333" s="31" t="n">
        <v>1.66</v>
      </c>
      <c r="V333" s="31" t="n">
        <v>0.5600000000000001</v>
      </c>
      <c r="W333" s="31" t="n">
        <v>1.46</v>
      </c>
      <c r="X333" s="30" t="inlineStr">
        <is>
          <t>Growing Industry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Structural (10 Years Consistency)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Stable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Yes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0 to 20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2</t>
        </is>
      </c>
      <c r="BC333" s="30">
        <f>IF(BB333="Stage 2",20,IF(BB333="Stage 1",0,IF(BB333="Stage 3",5,IF(BB333="Stage 4",-5,0))))</f>
        <v/>
      </c>
      <c r="BD333" s="30" t="inlineStr">
        <is>
          <t>Positive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Less than 12%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Yes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Above 70%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Between 0.7 to 1.2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IF(B334=0,"",RANK(B334,$B$2:$B$405,0))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0" t="inlineStr">
        <is>
          <t>SIEMENS</t>
        </is>
      </c>
      <c r="D334" s="30" t="inlineStr">
        <is>
          <t>Siemens Limited</t>
        </is>
      </c>
      <c r="E334" s="30" t="inlineStr">
        <is>
          <t>industrials</t>
        </is>
      </c>
      <c r="F334" s="30" t="inlineStr">
        <is>
          <t>electric equipment</t>
        </is>
      </c>
      <c r="G334" s="30" t="inlineStr">
        <is>
          <t>largecap</t>
        </is>
      </c>
      <c r="H334" s="31" t="n">
        <v>141735.96</v>
      </c>
      <c r="I334" s="31" t="n">
        <v>3952</v>
      </c>
      <c r="J334" s="31" t="n">
        <v>-0.7</v>
      </c>
      <c r="K334" s="31" t="n">
        <v>420756</v>
      </c>
      <c r="L334" s="30" t="n">
        <v>34</v>
      </c>
      <c r="M334" s="30" t="inlineStr">
        <is>
          <t>Outperforming</t>
        </is>
      </c>
      <c r="N334" s="31">
        <f>IF(M334="Underperforming",-5,IF(L334&gt;=95,15,IF(L334&gt;=90,10,IF(L334&gt;=80,5,0))))</f>
        <v/>
      </c>
      <c r="O334" s="31" t="n">
        <v>63.97</v>
      </c>
      <c r="P334" s="31" t="n">
        <v>23.69</v>
      </c>
      <c r="Q334" s="31" t="n">
        <v>3234.94</v>
      </c>
      <c r="R334" s="30" t="inlineStr">
        <is>
          <t>Near 52W High Breakout</t>
        </is>
      </c>
      <c r="S334" s="30" t="inlineStr">
        <is>
          <t>Nifty 50</t>
        </is>
      </c>
      <c r="T334" s="31" t="n">
        <v>1.09</v>
      </c>
      <c r="U334" s="31" t="n">
        <v>31.4</v>
      </c>
      <c r="V334" s="31" t="n">
        <v>29.99</v>
      </c>
      <c r="W334" s="31" t="n">
        <v>6.71</v>
      </c>
      <c r="X334" s="30" t="inlineStr">
        <is>
          <t>Cyclical in an Upturn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Structural (10 Years Consistency)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Stable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Yes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20 to 40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2</t>
        </is>
      </c>
      <c r="BC334" s="30">
        <f>IF(BB334="Stage 2",20,IF(BB334="Stage 1",0,IF(BB334="Stage 3",5,IF(BB334="Stage 4",-5,0))))</f>
        <v/>
      </c>
      <c r="BD334" s="30" t="inlineStr">
        <is>
          <t>Positive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Less than 12%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Yes</t>
        </is>
      </c>
      <c r="BS334" s="30">
        <f>IF(BR334="NO",5,0)</f>
        <v/>
      </c>
      <c r="BT334" s="30" t="inlineStr">
        <is>
          <t>Above 2</t>
        </is>
      </c>
      <c r="BU334" s="30">
        <f>IF(BT334="Above 2",0,IF(BT334="Between 1.5 to 2",5,IF(BT334="Less than 1.5",10,0)))</f>
        <v/>
      </c>
      <c r="BV334" s="30" t="inlineStr">
        <is>
          <t>Negative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Less than 0.7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IF(B335=0,"",RANK(B335,$B$2:$B$405,0))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2" t="inlineStr">
        <is>
          <t>CONCOR</t>
        </is>
      </c>
      <c r="D335" s="32" t="inlineStr">
        <is>
          <t>Container Corporation Of India Limited</t>
        </is>
      </c>
      <c r="E335" s="30" t="inlineStr">
        <is>
          <t>transportation</t>
        </is>
      </c>
      <c r="F335" s="30" t="inlineStr">
        <is>
          <t>miscellaneous</t>
        </is>
      </c>
      <c r="G335" s="30" t="inlineStr">
        <is>
          <t>largecap</t>
        </is>
      </c>
      <c r="H335" s="31" t="n">
        <v>39326.14</v>
      </c>
      <c r="I335" s="31" t="n">
        <v>512</v>
      </c>
      <c r="J335" s="31" t="n">
        <v>-0.84</v>
      </c>
      <c r="K335" s="31" t="n">
        <v>1561053</v>
      </c>
      <c r="L335" s="30" t="n">
        <v>2</v>
      </c>
      <c r="M335" s="30" t="inlineStr">
        <is>
          <t>Underperforming</t>
        </is>
      </c>
      <c r="N335" s="31">
        <f>IF(M335="Underperforming",-5,IF(L335&gt;=95,15,IF(L335&gt;=90,10,IF(L335&gt;=80,5,0))))</f>
        <v/>
      </c>
      <c r="O335" s="31" t="n">
        <v>55.03</v>
      </c>
      <c r="P335" s="31" t="n">
        <v>13.07</v>
      </c>
      <c r="Q335" s="31" t="n">
        <v>441.98</v>
      </c>
      <c r="R335" s="30" t="inlineStr">
        <is>
          <t>Earnings / Momentum Support</t>
        </is>
      </c>
      <c r="S335" s="30" t="inlineStr">
        <is>
          <t>Nifty 50</t>
        </is>
      </c>
      <c r="T335" s="31" t="n">
        <v>1.09</v>
      </c>
      <c r="U335" s="31" t="n">
        <v>-6.24</v>
      </c>
      <c r="V335" s="31" t="n">
        <v>-7.25</v>
      </c>
      <c r="W335" s="31" t="n">
        <v>-1.97</v>
      </c>
      <c r="X335" s="30" t="inlineStr">
        <is>
          <t>Growing Industry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Tailwind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No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0 to 20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2</t>
        </is>
      </c>
      <c r="BC335" s="30">
        <f>IF(BB335="Stage 2",20,IF(BB335="Stage 1",0,IF(BB335="Stage 3",5,IF(BB335="Stage 4",-5,0))))</f>
        <v/>
      </c>
      <c r="BD335" s="30" t="inlineStr">
        <is>
          <t>Positive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Less than 12%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No</t>
        </is>
      </c>
      <c r="BS335" s="30">
        <f>IF(BR335="NO",5,0)</f>
        <v/>
      </c>
      <c r="BT335" s="30" t="inlineStr">
        <is>
          <t>Above 2</t>
        </is>
      </c>
      <c r="BU335" s="30">
        <f>IF(BT335="Above 2",0,IF(BT335="Between 1.5 to 2",5,IF(BT335="Less than 1.5",10,0)))</f>
        <v/>
      </c>
      <c r="BV335" s="30" t="inlineStr">
        <is>
          <t>Above 70%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IF(B336=0,"",RANK(B336,$B$2:$B$405,0))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2" t="inlineStr">
        <is>
          <t>ALKYLAMINE</t>
        </is>
      </c>
      <c r="D336" s="32" t="inlineStr">
        <is>
          <t>Alkyl Amines Chemicals Limited</t>
        </is>
      </c>
      <c r="E336" s="30" t="inlineStr">
        <is>
          <t>chemicals</t>
        </is>
      </c>
      <c r="F336" s="30" t="inlineStr">
        <is>
          <t>chemicals</t>
        </is>
      </c>
      <c r="G336" s="30" t="inlineStr">
        <is>
          <t>midcap</t>
        </is>
      </c>
      <c r="H336" s="31" t="n">
        <v>9921.34</v>
      </c>
      <c r="I336" s="31" t="n">
        <v>1921.9</v>
      </c>
      <c r="J336" s="31" t="n">
        <v>-0.92</v>
      </c>
      <c r="K336" s="31" t="n">
        <v>91905</v>
      </c>
      <c r="L336" s="30" t="n">
        <v>14</v>
      </c>
      <c r="M336" s="30" t="inlineStr">
        <is>
          <t>Underperforming</t>
        </is>
      </c>
      <c r="N336" s="31">
        <f>IF(M336="Underperforming",-5,IF(L336&gt;=95,15,IF(L336&gt;=90,10,IF(L336&gt;=80,5,0))))</f>
        <v/>
      </c>
      <c r="O336" s="31" t="n">
        <v>63.81</v>
      </c>
      <c r="P336" s="31" t="n">
        <v>40.04</v>
      </c>
      <c r="Q336" s="31" t="n">
        <v>1477.01</v>
      </c>
      <c r="R336" s="30" t="inlineStr">
        <is>
          <t>Volume Spike / Accumulation</t>
        </is>
      </c>
      <c r="S336" s="30" t="inlineStr">
        <is>
          <t>Nifty 50</t>
        </is>
      </c>
      <c r="T336" s="31" t="n">
        <v>1.09</v>
      </c>
      <c r="U336" s="31" t="n">
        <v>-5.65</v>
      </c>
      <c r="V336" s="31" t="n">
        <v>-6.67</v>
      </c>
      <c r="W336" s="31" t="n">
        <v>2.37</v>
      </c>
      <c r="X336" s="30" t="inlineStr">
        <is>
          <t>Growing Industry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Tailwind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Yes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Above 40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2</t>
        </is>
      </c>
      <c r="BC336" s="30">
        <f>IF(BB336="Stage 2",20,IF(BB336="Stage 1",0,IF(BB336="Stage 3",5,IF(BB336="Stage 4",-5,0))))</f>
        <v/>
      </c>
      <c r="BD336" s="30" t="inlineStr">
        <is>
          <t>Negative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Less than 12%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Yes</t>
        </is>
      </c>
      <c r="BS336" s="30">
        <f>IF(BR336="NO",5,0)</f>
        <v/>
      </c>
      <c r="BT336" s="30" t="inlineStr">
        <is>
          <t>Above 2</t>
        </is>
      </c>
      <c r="BU336" s="30">
        <f>IF(BT336="Above 2",0,IF(BT336="Between 1.5 to 2",5,IF(BT336="Less than 1.5",10,0)))</f>
        <v/>
      </c>
      <c r="BV336" s="30" t="inlineStr">
        <is>
          <t>Above 70%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IF(B337=0,"",RANK(B337,$B$2:$B$405,0))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2" t="inlineStr">
        <is>
          <t>FMGOETZE</t>
        </is>
      </c>
      <c r="D337" s="32" t="inlineStr">
        <is>
          <t>Federal-mogul Goetze (india) Limited.</t>
        </is>
      </c>
      <c r="E337" s="30" t="inlineStr">
        <is>
          <t>auto</t>
        </is>
      </c>
      <c r="F337" s="30" t="inlineStr">
        <is>
          <t>auto ancillaries</t>
        </is>
      </c>
      <c r="G337" s="30" t="inlineStr">
        <is>
          <t>smallcap</t>
        </is>
      </c>
      <c r="H337" s="31" t="n">
        <v>2707.89</v>
      </c>
      <c r="I337" s="31" t="n">
        <v>482</v>
      </c>
      <c r="J337" s="31" t="n">
        <v>-0.98</v>
      </c>
      <c r="K337" s="31" t="n">
        <v>51348</v>
      </c>
      <c r="L337" s="30" t="n">
        <v>4</v>
      </c>
      <c r="M337" s="30" t="inlineStr">
        <is>
          <t>Underperforming</t>
        </is>
      </c>
      <c r="N337" s="31">
        <f>IF(M337="Underperforming",-5,IF(L337&gt;=95,15,IF(L337&gt;=90,10,IF(L337&gt;=80,5,0))))</f>
        <v/>
      </c>
      <c r="O337" s="31" t="n">
        <v>58.2</v>
      </c>
      <c r="P337" s="31" t="n">
        <v>12.92</v>
      </c>
      <c r="Q337" s="31" t="n">
        <v>380.08</v>
      </c>
      <c r="R337" s="30" t="inlineStr">
        <is>
          <t>Earnings / Momentum Support</t>
        </is>
      </c>
      <c r="S337" s="30" t="inlineStr">
        <is>
          <t>Nifty Auto</t>
        </is>
      </c>
      <c r="T337" s="31" t="n">
        <v>22.44</v>
      </c>
      <c r="U337" s="31" t="n">
        <v>-18.1</v>
      </c>
      <c r="V337" s="31" t="n">
        <v>-33.11</v>
      </c>
      <c r="W337" s="31" t="n">
        <v>-0.59</v>
      </c>
      <c r="X337" s="30" t="inlineStr">
        <is>
          <t>Growing Industry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Tailwind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No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0 to 20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2</t>
        </is>
      </c>
      <c r="BC337" s="30">
        <f>IF(BB337="Stage 2",20,IF(BB337="Stage 1",0,IF(BB337="Stage 3",5,IF(BB337="Stage 4",-5,0))))</f>
        <v/>
      </c>
      <c r="BD337" s="30" t="inlineStr">
        <is>
          <t>Positive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Less than 12%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No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Above 70%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Less than 0.7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IF(B338=0,"",RANK(B338,$B$2:$B$405,0))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0" t="inlineStr">
        <is>
          <t>ANANTRAJ</t>
        </is>
      </c>
      <c r="D338" s="30" t="inlineStr">
        <is>
          <t>Anant Raj Limited</t>
        </is>
      </c>
      <c r="E338" s="30" t="inlineStr">
        <is>
          <t>realty</t>
        </is>
      </c>
      <c r="F338" s="30" t="inlineStr">
        <is>
          <t>construction</t>
        </is>
      </c>
      <c r="G338" s="30" t="inlineStr">
        <is>
          <t>largecap</t>
        </is>
      </c>
      <c r="H338" s="31" t="n">
        <v>22607.47</v>
      </c>
      <c r="I338" s="31" t="n">
        <v>617.4</v>
      </c>
      <c r="J338" s="31" t="n">
        <v>-1.72</v>
      </c>
      <c r="K338" s="31" t="n">
        <v>1198644</v>
      </c>
      <c r="L338" s="30" t="n">
        <v>46</v>
      </c>
      <c r="M338" s="30" t="inlineStr">
        <is>
          <t>Outperforming</t>
        </is>
      </c>
      <c r="N338" s="31">
        <f>IF(M338="Underperforming",-5,IF(L338&gt;=95,15,IF(L338&gt;=90,10,IF(L338&gt;=80,5,0))))</f>
        <v/>
      </c>
      <c r="O338" s="31" t="n">
        <v>60.84</v>
      </c>
      <c r="P338" s="31" t="n">
        <v>19.15</v>
      </c>
      <c r="Q338" s="31" t="n">
        <v>477.48</v>
      </c>
      <c r="R338" s="30" t="inlineStr">
        <is>
          <t>Earnings / Momentum Support</t>
        </is>
      </c>
      <c r="S338" s="30" t="inlineStr">
        <is>
          <t>Nifty Realty</t>
        </is>
      </c>
      <c r="T338" s="31" t="n">
        <v>-6.42</v>
      </c>
      <c r="U338" s="31" t="n">
        <v>8.33</v>
      </c>
      <c r="V338" s="31" t="n">
        <v>15.76</v>
      </c>
      <c r="W338" s="31" t="n">
        <v>9.960000000000001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Tailwind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No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2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More than 20%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No</t>
        </is>
      </c>
      <c r="BS338" s="30">
        <f>IF(BR338="NO",5,0)</f>
        <v/>
      </c>
      <c r="BT338" s="30" t="inlineStr">
        <is>
          <t>Between 1.5 to 2</t>
        </is>
      </c>
      <c r="BU338" s="30">
        <f>IF(BT338="Above 2",0,IF(BT338="Between 1.5 to 2",5,IF(BT338="Less than 1.5",10,0)))</f>
        <v/>
      </c>
      <c r="BV338" s="30" t="inlineStr">
        <is>
          <t>Negative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Less than 0.7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IF(B339=0,"",RANK(B339,$B$2:$B$405,0))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0" t="inlineStr">
        <is>
          <t>RGL</t>
        </is>
      </c>
      <c r="D339" s="30" t="inlineStr">
        <is>
          <t>Renaissance Global Ltd</t>
        </is>
      </c>
      <c r="E339" s="30" t="inlineStr">
        <is>
          <t>consumer discretionary</t>
        </is>
      </c>
      <c r="F339" s="30" t="inlineStr">
        <is>
          <t>diamond cutting / jewellery</t>
        </is>
      </c>
      <c r="G339" s="30" t="inlineStr">
        <is>
          <t>smallcap</t>
        </is>
      </c>
      <c r="H339" s="31" t="n">
        <v>1341.57</v>
      </c>
      <c r="I339" s="31" t="n">
        <v>122.48</v>
      </c>
      <c r="J339" s="31" t="n">
        <v>-1.98</v>
      </c>
      <c r="K339" s="31" t="n">
        <v>519950</v>
      </c>
      <c r="L339" s="30" t="n">
        <v>29</v>
      </c>
      <c r="M339" s="30" t="inlineStr">
        <is>
          <t>Outperforming</t>
        </is>
      </c>
      <c r="N339" s="31">
        <f>IF(M339="Underperforming",-5,IF(L339&gt;=95,15,IF(L339&gt;=90,10,IF(L339&gt;=80,5,0))))</f>
        <v/>
      </c>
      <c r="O339" s="31" t="n">
        <v>59.51</v>
      </c>
      <c r="P339" s="31" t="n">
        <v>14.54</v>
      </c>
      <c r="Q339" s="31" t="n">
        <v>93.75</v>
      </c>
      <c r="R339" s="30" t="inlineStr">
        <is>
          <t>Earnings / Momentum Support</t>
        </is>
      </c>
      <c r="S339" s="30" t="inlineStr">
        <is>
          <t>Nifty 50</t>
        </is>
      </c>
      <c r="T339" s="31" t="n">
        <v>1.09</v>
      </c>
      <c r="U339" s="31" t="n">
        <v>15.99</v>
      </c>
      <c r="V339" s="31" t="n">
        <v>14.74</v>
      </c>
      <c r="W339" s="31" t="n">
        <v>5.64</v>
      </c>
      <c r="X339" s="30" t="inlineStr">
        <is>
          <t>Growing Industry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No</t>
        </is>
      </c>
      <c r="AC339" s="30">
        <f>IF(AB339="No",5,0)</f>
        <v/>
      </c>
      <c r="AD339" s="30" t="inlineStr">
        <is>
          <t>Tailwind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No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0 to 20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2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More than 20%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Yes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Less than 50%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IF(B340=0,"",RANK(B340,$B$2:$B$405,0))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0" t="inlineStr">
        <is>
          <t>KAPSTON</t>
        </is>
      </c>
      <c r="D340" s="30" t="inlineStr">
        <is>
          <t>Kapston Services Ltd</t>
        </is>
      </c>
      <c r="E340" s="30" t="inlineStr">
        <is>
          <t>miscellaneous</t>
        </is>
      </c>
      <c r="F340" s="30" t="inlineStr">
        <is>
          <t>miscellaneous</t>
        </is>
      </c>
      <c r="G340" s="30" t="inlineStr">
        <is>
          <t>smallcap</t>
        </is>
      </c>
      <c r="H340" s="31" t="n">
        <v>1621.58</v>
      </c>
      <c r="I340" s="31" t="n">
        <v>522.15</v>
      </c>
      <c r="J340" s="31" t="n">
        <v>-2.01</v>
      </c>
      <c r="K340" s="31" t="n">
        <v>80051</v>
      </c>
      <c r="L340" s="30" t="n">
        <v>89</v>
      </c>
      <c r="M340" s="30" t="inlineStr">
        <is>
          <t>Outperforming</t>
        </is>
      </c>
      <c r="N340" s="31">
        <f>IF(M340="Underperforming",-5,IF(L340&gt;=95,15,IF(L340&gt;=90,10,IF(L340&gt;=80,5,0))))</f>
        <v/>
      </c>
      <c r="O340" s="31" t="n">
        <v>80.20999999999999</v>
      </c>
      <c r="P340" s="31" t="n">
        <v>26.78</v>
      </c>
      <c r="Q340" s="31" t="n">
        <v>406.06</v>
      </c>
      <c r="R340" s="30" t="inlineStr">
        <is>
          <t>Volume Spike &amp; Near 52W High Breakout</t>
        </is>
      </c>
      <c r="S340" s="30" t="inlineStr">
        <is>
          <t>Nifty 50</t>
        </is>
      </c>
      <c r="T340" s="31" t="n">
        <v>1.09</v>
      </c>
      <c r="U340" s="31" t="n">
        <v>107.89</v>
      </c>
      <c r="V340" s="31" t="n">
        <v>105.65</v>
      </c>
      <c r="W340" s="31" t="n">
        <v>29.05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No</t>
        </is>
      </c>
      <c r="AC340" s="30">
        <f>IF(AB340="No",5,0)</f>
        <v/>
      </c>
      <c r="AD340" s="30" t="inlineStr">
        <is>
          <t>Tailwind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Yes</t>
        </is>
      </c>
      <c r="AQ340" s="30">
        <f>IF(AP340="Yes",10,0)</f>
        <v/>
      </c>
      <c r="AR340" s="30" t="inlineStr">
        <is>
          <t>Higher One Time, Lower Annuity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20 to 40</t>
        </is>
      </c>
      <c r="AY340" s="30">
        <f>IF(AX340="Above 40",20,IF(AX340="20 to 40",10,IF(AX340="0 to 20",-5,0)))</f>
        <v/>
      </c>
      <c r="AZ340" s="30" t="inlineStr">
        <is>
          <t>Above 75</t>
        </is>
      </c>
      <c r="BA340" s="30">
        <f>IF(AZ340="Between 50 to 75",10,IF(AZ340="Above 75",0,0))</f>
        <v/>
      </c>
      <c r="BB340" s="30" t="inlineStr">
        <is>
          <t>Stage 2</t>
        </is>
      </c>
      <c r="BC340" s="30">
        <f>IF(BB340="Stage 2",20,IF(BB340="Stage 1",0,IF(BB340="Stage 3",5,IF(BB340="Stage 4",-5,0))))</f>
        <v/>
      </c>
      <c r="BD340" s="30" t="inlineStr">
        <is>
          <t>Positive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Blue sky scenario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More than 20%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Yes</t>
        </is>
      </c>
      <c r="BS340" s="30">
        <f>IF(BR340="NO",5,0)</f>
        <v/>
      </c>
      <c r="BT340" s="30" t="inlineStr">
        <is>
          <t>Above 2</t>
        </is>
      </c>
      <c r="BU340" s="30">
        <f>IF(BT340="Above 2",0,IF(BT340="Between 1.5 to 2",5,IF(BT340="Less than 1.5",10,0)))</f>
        <v/>
      </c>
      <c r="BV340" s="30" t="inlineStr">
        <is>
          <t>Less than 50% and Borrowings are increasing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More than 1.2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IF(B341=0,"",RANK(B341,$B$2:$B$405,0))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2" t="inlineStr">
        <is>
          <t>CIPLA</t>
        </is>
      </c>
      <c r="D341" s="32" t="inlineStr">
        <is>
          <t>Cipla Limited</t>
        </is>
      </c>
      <c r="E341" s="30" t="inlineStr">
        <is>
          <t>healthcare</t>
        </is>
      </c>
      <c r="F341" s="30" t="inlineStr">
        <is>
          <t>pharmaceuticals - indian - bulk drugs &amp; formln</t>
        </is>
      </c>
      <c r="G341" s="30" t="inlineStr">
        <is>
          <t>largecap</t>
        </is>
      </c>
      <c r="H341" s="31" t="n">
        <v>117848.47</v>
      </c>
      <c r="I341" s="31" t="n">
        <v>1477</v>
      </c>
      <c r="J341" s="31" t="n">
        <v>1.25</v>
      </c>
      <c r="K341" s="31" t="n">
        <v>2883870</v>
      </c>
      <c r="L341" s="30" t="n">
        <v>15</v>
      </c>
      <c r="M341" s="30" t="inlineStr">
        <is>
          <t>Underperforming</t>
        </is>
      </c>
      <c r="N341" s="31">
        <f>IF(M341="Underperforming",-5,IF(L341&gt;=95,15,IF(L341&gt;=90,10,IF(L341&gt;=80,5,0))))</f>
        <v/>
      </c>
      <c r="O341" s="31" t="n">
        <v>61.09</v>
      </c>
      <c r="P341" s="31" t="n">
        <v>9.08</v>
      </c>
      <c r="Q341" s="31" t="n">
        <v>1278.87</v>
      </c>
      <c r="R341" s="30" t="inlineStr">
        <is>
          <t>Earnings / Momentum Support</t>
        </is>
      </c>
      <c r="S341" s="30" t="inlineStr">
        <is>
          <t>Nifty Pharma</t>
        </is>
      </c>
      <c r="T341" s="31" t="n">
        <v>24.42</v>
      </c>
      <c r="U341" s="31" t="n">
        <v>0.37</v>
      </c>
      <c r="V341" s="31" t="n">
        <v>-19.33</v>
      </c>
      <c r="W341" s="31" t="n">
        <v>2.48</v>
      </c>
      <c r="X341" s="30" t="inlineStr">
        <is>
          <t>Growing Industry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Yes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No</t>
        </is>
      </c>
      <c r="AQ341" s="30">
        <f>IF(AP341="Yes",10,0)</f>
        <v/>
      </c>
      <c r="AR341" s="30" t="inlineStr">
        <is>
          <t>Higher Annuity, Lower One Time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0 to 20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2</t>
        </is>
      </c>
      <c r="BC341" s="30">
        <f>IF(BB341="Stage 2",20,IF(BB341="Stage 1",0,IF(BB341="Stage 3",5,IF(BB341="Stage 4",-5,0))))</f>
        <v/>
      </c>
      <c r="BD341" s="30" t="inlineStr">
        <is>
          <t>Positive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Less than 12%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No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Above 70%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Less than 0.7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IF(B342=0,"",RANK(B342,$B$2:$B$405,0))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2" t="inlineStr">
        <is>
          <t>LTFOODS</t>
        </is>
      </c>
      <c r="D342" s="32" t="inlineStr">
        <is>
          <t>L T Foods Ltd</t>
        </is>
      </c>
      <c r="E342" s="30" t="inlineStr">
        <is>
          <t>fmcg</t>
        </is>
      </c>
      <c r="F342" s="30" t="inlineStr">
        <is>
          <t>food - processing - indian</t>
        </is>
      </c>
      <c r="G342" s="30" t="inlineStr">
        <is>
          <t>midcap</t>
        </is>
      </c>
      <c r="H342" s="31" t="n">
        <v>14485.66</v>
      </c>
      <c r="I342" s="31" t="n">
        <v>419.4</v>
      </c>
      <c r="J342" s="31" t="n">
        <v>0.54</v>
      </c>
      <c r="K342" s="31" t="n">
        <v>256000</v>
      </c>
      <c r="L342" s="30" t="n">
        <v>2</v>
      </c>
      <c r="M342" s="30" t="inlineStr">
        <is>
          <t>Underperforming</t>
        </is>
      </c>
      <c r="N342" s="31">
        <f>IF(M342="Underperforming",-5,IF(L342&gt;=95,15,IF(L342&gt;=90,10,IF(L342&gt;=80,5,0))))</f>
        <v/>
      </c>
      <c r="O342" s="31" t="n">
        <v>57.18</v>
      </c>
      <c r="P342" s="31" t="n">
        <v>14.11</v>
      </c>
      <c r="Q342" s="31" t="n">
        <v>349.18</v>
      </c>
      <c r="R342" s="30" t="inlineStr">
        <is>
          <t>Earnings / Momentum Support</t>
        </is>
      </c>
      <c r="S342" s="30" t="inlineStr">
        <is>
          <t>Nifty FMCG</t>
        </is>
      </c>
      <c r="T342" s="31" t="n">
        <v>-9.75</v>
      </c>
      <c r="U342" s="31" t="n">
        <v>-13.92</v>
      </c>
      <c r="V342" s="31" t="n">
        <v>-4.62</v>
      </c>
      <c r="W342" s="31" t="n">
        <v>-2.14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Headwind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B2C</t>
        </is>
      </c>
      <c r="AO342" s="30">
        <f>IF(AN342="B2C",10,IF(AN342="B2B",5,0))</f>
        <v/>
      </c>
      <c r="AP342" s="30" t="inlineStr">
        <is>
          <t>No</t>
        </is>
      </c>
      <c r="AQ342" s="30">
        <f>IF(AP342="Yes",10,0)</f>
        <v/>
      </c>
      <c r="AR342" s="30" t="inlineStr">
        <is>
          <t>Higher Annuity, Lower One Time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0 to 20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1</t>
        </is>
      </c>
      <c r="BC342" s="30">
        <f>IF(BB342="Stage 2",20,IF(BB342="Stage 1",0,IF(BB342="Stage 3",5,IF(BB342="Stage 4",-5,0))))</f>
        <v/>
      </c>
      <c r="BD342" s="30" t="inlineStr">
        <is>
          <t>Positive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More than 20%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No</t>
        </is>
      </c>
      <c r="BS342" s="30">
        <f>IF(BR342="NO",5,0)</f>
        <v/>
      </c>
      <c r="BT342" s="30" t="inlineStr">
        <is>
          <t>Less than 1.5</t>
        </is>
      </c>
      <c r="BU342" s="30">
        <f>IF(BT342="Above 2",0,IF(BT342="Between 1.5 to 2",5,IF(BT342="Less than 1.5",10,0)))</f>
        <v/>
      </c>
      <c r="BV342" s="30" t="inlineStr">
        <is>
          <t>Above 70%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IF(B343=0,"",RANK(B343,$B$2:$B$405,0))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0" t="inlineStr">
        <is>
          <t>VIYASH</t>
        </is>
      </c>
      <c r="D343" s="30" t="inlineStr">
        <is>
          <t>Viyash Scientific Ltd</t>
        </is>
      </c>
      <c r="E343" s="30" t="inlineStr">
        <is>
          <t>healthcare</t>
        </is>
      </c>
      <c r="F343" s="30" t="inlineStr">
        <is>
          <t>pharmaceuticals - indian - bulk drugs &amp; formln</t>
        </is>
      </c>
      <c r="G343" s="30" t="inlineStr">
        <is>
          <t>midcap</t>
        </is>
      </c>
      <c r="H343" s="31" t="n">
        <v>11961.65</v>
      </c>
      <c r="I343" s="31" t="n">
        <v>272.65</v>
      </c>
      <c r="J343" s="31" t="n">
        <v>-0.42</v>
      </c>
      <c r="K343" s="31" t="n">
        <v>1336576</v>
      </c>
      <c r="L343" s="30" t="n">
        <v>68</v>
      </c>
      <c r="M343" s="30" t="inlineStr">
        <is>
          <t>Outperforming</t>
        </is>
      </c>
      <c r="N343" s="31">
        <f>IF(M343="Underperforming",-5,IF(L343&gt;=95,15,IF(L343&gt;=90,10,IF(L343&gt;=80,5,0))))</f>
        <v/>
      </c>
      <c r="O343" s="31" t="n">
        <v>61.89</v>
      </c>
      <c r="P343" s="31" t="n">
        <v>47.48</v>
      </c>
      <c r="Q343" s="31" t="n">
        <v>228.01</v>
      </c>
      <c r="R343" s="30" t="inlineStr">
        <is>
          <t>Earnings / Momentum Support</t>
        </is>
      </c>
      <c r="S343" s="30" t="inlineStr">
        <is>
          <t>Nifty Pharma</t>
        </is>
      </c>
      <c r="T343" s="31" t="n">
        <v>24.42</v>
      </c>
      <c r="U343" s="31" t="n">
        <v>62.19</v>
      </c>
      <c r="V343" s="31" t="n">
        <v>30.36</v>
      </c>
      <c r="W343" s="31" t="n">
        <v>15.77</v>
      </c>
      <c r="X343" s="30" t="inlineStr">
        <is>
          <t>Growing Industry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Yes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Structural (10 Years Consistency)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Stable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No</t>
        </is>
      </c>
      <c r="AQ343" s="30">
        <f>IF(AP343="Yes",10,0)</f>
        <v/>
      </c>
      <c r="AR343" s="30" t="inlineStr">
        <is>
          <t>Higher Annuity, Lower One Time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Above 40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2</t>
        </is>
      </c>
      <c r="BC343" s="30">
        <f>IF(BB343="Stage 2",20,IF(BB343="Stage 1",0,IF(BB343="Stage 3",5,IF(BB343="Stage 4",-5,0))))</f>
        <v/>
      </c>
      <c r="BD343" s="30" t="inlineStr">
        <is>
          <t>Negative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More than 20%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Yes</t>
        </is>
      </c>
      <c r="BS343" s="30">
        <f>IF(BR343="NO",5,0)</f>
        <v/>
      </c>
      <c r="BT343" s="30" t="inlineStr">
        <is>
          <t>Above 2</t>
        </is>
      </c>
      <c r="BU343" s="30">
        <f>IF(BT343="Above 2",0,IF(BT343="Between 1.5 to 2",5,IF(BT343="Less than 1.5",10,0)))</f>
        <v/>
      </c>
      <c r="BV343" s="30" t="inlineStr">
        <is>
          <t>Between 50% to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Less than 0.7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IF(B344=0,"",RANK(B344,$B$2:$B$405,0))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0" t="inlineStr">
        <is>
          <t>PVP</t>
        </is>
      </c>
      <c r="D344" s="30" t="inlineStr">
        <is>
          <t>Pvp Ventures Limited</t>
        </is>
      </c>
      <c r="E344" s="30" t="inlineStr">
        <is>
          <t>realty</t>
        </is>
      </c>
      <c r="F344" s="30" t="inlineStr">
        <is>
          <t>construction</t>
        </is>
      </c>
      <c r="G344" s="30" t="inlineStr">
        <is>
          <t>smallcap</t>
        </is>
      </c>
      <c r="H344" s="31" t="n">
        <v>721.58</v>
      </c>
      <c r="I344" s="31" t="n">
        <v>33.14</v>
      </c>
      <c r="J344" s="31" t="n">
        <v>19.6</v>
      </c>
      <c r="K344" s="31" t="n">
        <v>10496593</v>
      </c>
      <c r="L344" s="30" t="n">
        <v>42</v>
      </c>
      <c r="M344" s="30" t="inlineStr">
        <is>
          <t>Outperforming</t>
        </is>
      </c>
      <c r="N344" s="31">
        <f>IF(M344="Underperforming",-5,IF(L344&gt;=95,15,IF(L344&gt;=90,10,IF(L344&gt;=80,5,0))))</f>
        <v/>
      </c>
      <c r="O344" s="31" t="n">
        <v>54.28</v>
      </c>
      <c r="P344" s="31" t="n">
        <v>9.41</v>
      </c>
      <c r="Q344" s="31" t="n">
        <v>21.53</v>
      </c>
      <c r="R344" s="30" t="inlineStr">
        <is>
          <t>Volume Spike / Accumulation</t>
        </is>
      </c>
      <c r="S344" s="30" t="inlineStr">
        <is>
          <t>Nifty Realty</t>
        </is>
      </c>
      <c r="T344" s="31" t="n">
        <v>-6.42</v>
      </c>
      <c r="U344" s="31" t="n">
        <v>47.4</v>
      </c>
      <c r="V344" s="31" t="n">
        <v>57.5</v>
      </c>
      <c r="W344" s="31" t="n">
        <v>8.94</v>
      </c>
      <c r="X344" s="30" t="inlineStr">
        <is>
          <t>Growing Industry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Tailwind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Yes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0 to 20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1</t>
        </is>
      </c>
      <c r="BC344" s="30">
        <f>IF(BB344="Stage 2",20,IF(BB344="Stage 1",0,IF(BB344="Stage 3",5,IF(BB344="Stage 4",-5,0))))</f>
        <v/>
      </c>
      <c r="BD344" s="30" t="inlineStr">
        <is>
          <t>Positive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More than 20%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No</t>
        </is>
      </c>
      <c r="BS344" s="30">
        <f>IF(BR344="NO",5,0)</f>
        <v/>
      </c>
      <c r="BT344" s="30" t="inlineStr">
        <is>
          <t>Less than 1.5</t>
        </is>
      </c>
      <c r="BU344" s="30">
        <f>IF(BT344="Above 2",0,IF(BT344="Between 1.5 to 2",5,IF(BT344="Less than 1.5",10,0)))</f>
        <v/>
      </c>
      <c r="BV344" s="30" t="inlineStr">
        <is>
          <t>Negative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Less than 0.7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IF(B345=0,"",RANK(B345,$B$2:$B$405,0))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0" t="inlineStr">
        <is>
          <t>DDEVPLSTIK</t>
        </is>
      </c>
      <c r="D345" s="30" t="inlineStr">
        <is>
          <t>DDev Plastiks Industries Ltd</t>
        </is>
      </c>
      <c r="E345" s="30" t="inlineStr">
        <is>
          <t>chemicals</t>
        </is>
      </c>
      <c r="F345" s="30" t="inlineStr">
        <is>
          <t>chemicals</t>
        </is>
      </c>
      <c r="G345" s="30" t="inlineStr">
        <is>
          <t>smallcap</t>
        </is>
      </c>
      <c r="H345" s="31" t="n">
        <v>2984.27</v>
      </c>
      <c r="I345" s="31" t="n">
        <v>310.6</v>
      </c>
      <c r="J345" s="31" t="n">
        <v>7.7</v>
      </c>
      <c r="K345" s="31" t="n">
        <v>748894</v>
      </c>
      <c r="L345" s="30" t="n">
        <v>36</v>
      </c>
      <c r="M345" s="30" t="inlineStr">
        <is>
          <t>Outperforming</t>
        </is>
      </c>
      <c r="N345" s="31">
        <f>IF(M345="Underperforming",-5,IF(L345&gt;=95,15,IF(L345&gt;=90,10,IF(L345&gt;=80,5,0))))</f>
        <v/>
      </c>
      <c r="O345" s="31" t="n">
        <v>63.25</v>
      </c>
      <c r="P345" s="31" t="n">
        <v>11.84</v>
      </c>
      <c r="Q345" s="31" t="n">
        <v>237.96</v>
      </c>
      <c r="R345" s="30" t="inlineStr">
        <is>
          <t>Earnings / Momentum Support</t>
        </is>
      </c>
      <c r="S345" s="30" t="inlineStr">
        <is>
          <t>Nifty 50</t>
        </is>
      </c>
      <c r="T345" s="31" t="n">
        <v>1.09</v>
      </c>
      <c r="U345" s="31" t="n">
        <v>8.69</v>
      </c>
      <c r="V345" s="31" t="n">
        <v>7.52</v>
      </c>
      <c r="W345" s="31" t="n">
        <v>7.28</v>
      </c>
      <c r="X345" s="30" t="inlineStr">
        <is>
          <t>Growing Industry</t>
        </is>
      </c>
      <c r="Y345" s="30">
        <f>IF(X345="Growing Industry",10,IF(X345="Cyclical in an Upturn",5,0))</f>
        <v/>
      </c>
      <c r="Z345" s="30" t="inlineStr">
        <is>
          <t>Too Many Players with High ROCE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No</t>
        </is>
      </c>
      <c r="AC345" s="30">
        <f>IF(AB345="No",5,0)</f>
        <v/>
      </c>
      <c r="AD345" s="30" t="inlineStr">
        <is>
          <t>Tailwind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No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0 to 20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2</t>
        </is>
      </c>
      <c r="BC345" s="30">
        <f>IF(BB345="Stage 2",20,IF(BB345="Stage 1",0,IF(BB345="Stage 3",5,IF(BB345="Stage 4",-5,0))))</f>
        <v/>
      </c>
      <c r="BD345" s="30" t="inlineStr">
        <is>
          <t>Positive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Less than 12%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No</t>
        </is>
      </c>
      <c r="BS345" s="30">
        <f>IF(BR345="NO",5,0)</f>
        <v/>
      </c>
      <c r="BT345" s="30" t="inlineStr">
        <is>
          <t>Above 2</t>
        </is>
      </c>
      <c r="BU345" s="30">
        <f>IF(BT345="Above 2",0,IF(BT345="Between 1.5 to 2",5,IF(BT345="Less than 1.5",10,0)))</f>
        <v/>
      </c>
      <c r="BV345" s="30" t="inlineStr">
        <is>
          <t>Less than 50%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Less than 0.7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IF(B346=0,"",RANK(B346,$B$2:$B$405,0))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2" t="inlineStr">
        <is>
          <t>MAZDOCK</t>
        </is>
      </c>
      <c r="D346" s="32" t="inlineStr">
        <is>
          <t>Mazagon Dock Shipbuilders Ltd</t>
        </is>
      </c>
      <c r="E346" s="30" t="inlineStr">
        <is>
          <t>aerospace &amp; defence</t>
        </is>
      </c>
      <c r="F346" s="30" t="inlineStr">
        <is>
          <t>miscellaneous</t>
        </is>
      </c>
      <c r="G346" s="30" t="inlineStr">
        <is>
          <t>largecap</t>
        </is>
      </c>
      <c r="H346" s="31" t="n">
        <v>96024.61</v>
      </c>
      <c r="I346" s="31" t="n">
        <v>2530</v>
      </c>
      <c r="J346" s="31" t="n">
        <v>6.28</v>
      </c>
      <c r="K346" s="31" t="n">
        <v>8349270</v>
      </c>
      <c r="L346" s="30" t="n">
        <v>2</v>
      </c>
      <c r="M346" s="30" t="inlineStr">
        <is>
          <t>Underperforming</t>
        </is>
      </c>
      <c r="N346" s="31">
        <f>IF(M346="Underperforming",-5,IF(L346&gt;=95,15,IF(L346&gt;=90,10,IF(L346&gt;=80,5,0))))</f>
        <v/>
      </c>
      <c r="O346" s="31" t="n">
        <v>52.94</v>
      </c>
      <c r="P346" s="31" t="n">
        <v>7.33</v>
      </c>
      <c r="Q346" s="31" t="n">
        <v>2161.94</v>
      </c>
      <c r="R346" s="30" t="inlineStr">
        <is>
          <t>Earnings / Momentum Support</t>
        </is>
      </c>
      <c r="S346" s="30" t="inlineStr">
        <is>
          <t>Nifty 50</t>
        </is>
      </c>
      <c r="T346" s="31" t="n">
        <v>1.09</v>
      </c>
      <c r="U346" s="31" t="n">
        <v>-3.29</v>
      </c>
      <c r="V346" s="31" t="n">
        <v>-4.33</v>
      </c>
      <c r="W346" s="31" t="n">
        <v>-1.35</v>
      </c>
      <c r="X346" s="30" t="inlineStr">
        <is>
          <t>Growing Industry</t>
        </is>
      </c>
      <c r="Y346" s="30">
        <f>IF(X346="Growing Industry",10,IF(X346="Cyclical in an Upturn",5,0))</f>
        <v/>
      </c>
      <c r="Z346" s="30" t="inlineStr">
        <is>
          <t>Too Many Players with High ROCE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No</t>
        </is>
      </c>
      <c r="AC346" s="30">
        <f>IF(AB346="No",5,0)</f>
        <v/>
      </c>
      <c r="AD346" s="30" t="inlineStr">
        <is>
          <t>Tailwind</t>
        </is>
      </c>
      <c r="AE346" s="30">
        <f>IF(AD346="Tailwind",10,0)</f>
        <v/>
      </c>
      <c r="AF346" s="30" t="inlineStr">
        <is>
          <t>Structural (10 Years Consistency)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Stable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No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0 to 20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1</t>
        </is>
      </c>
      <c r="BC346" s="30">
        <f>IF(BB346="Stage 2",20,IF(BB346="Stage 1",0,IF(BB346="Stage 3",5,IF(BB346="Stage 4",-5,0))))</f>
        <v/>
      </c>
      <c r="BD346" s="30" t="inlineStr">
        <is>
          <t>Positive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More than 20%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No</t>
        </is>
      </c>
      <c r="BS346" s="30">
        <f>IF(BR346="NO",5,0)</f>
        <v/>
      </c>
      <c r="BT346" s="30" t="inlineStr">
        <is>
          <t>Between 1.5 to 2</t>
        </is>
      </c>
      <c r="BU346" s="30">
        <f>IF(BT346="Above 2",0,IF(BT346="Between 1.5 to 2",5,IF(BT346="Less than 1.5",10,0)))</f>
        <v/>
      </c>
      <c r="BV346" s="30" t="inlineStr">
        <is>
          <t>Above 70%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Less than 0.7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IF(B347=0,"",RANK(B347,$B$2:$B$405,0))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0" t="inlineStr">
        <is>
          <t>DYNAMATECH</t>
        </is>
      </c>
      <c r="D347" s="30" t="inlineStr">
        <is>
          <t>Dynamatic Technologies Limited</t>
        </is>
      </c>
      <c r="E347" s="30" t="inlineStr">
        <is>
          <t>industrials</t>
        </is>
      </c>
      <c r="F347" s="30" t="inlineStr">
        <is>
          <t>engineering</t>
        </is>
      </c>
      <c r="G347" s="30" t="inlineStr">
        <is>
          <t>midcap</t>
        </is>
      </c>
      <c r="H347" s="31" t="n">
        <v>7465.83</v>
      </c>
      <c r="I347" s="31" t="n">
        <v>11403</v>
      </c>
      <c r="J347" s="31" t="n">
        <v>3.73</v>
      </c>
      <c r="K347" s="31" t="n">
        <v>20384</v>
      </c>
      <c r="L347" s="30" t="n">
        <v>52</v>
      </c>
      <c r="M347" s="30" t="inlineStr">
        <is>
          <t>Outperforming</t>
        </is>
      </c>
      <c r="N347" s="31">
        <f>IF(M347="Underperforming",-5,IF(L347&gt;=95,15,IF(L347&gt;=90,10,IF(L347&gt;=80,5,0))))</f>
        <v/>
      </c>
      <c r="O347" s="31" t="n">
        <v>58.27</v>
      </c>
      <c r="P347" s="31" t="n">
        <v>21.35</v>
      </c>
      <c r="Q347" s="31" t="n">
        <v>9526.82</v>
      </c>
      <c r="R347" s="30" t="inlineStr">
        <is>
          <t>Earnings / Momentum Support</t>
        </is>
      </c>
      <c r="S347" s="30" t="inlineStr">
        <is>
          <t>Nifty 50</t>
        </is>
      </c>
      <c r="T347" s="31" t="n">
        <v>1.09</v>
      </c>
      <c r="U347" s="31" t="n">
        <v>70.69</v>
      </c>
      <c r="V347" s="31" t="n">
        <v>68.84999999999999</v>
      </c>
      <c r="W347" s="31" t="n">
        <v>11.31</v>
      </c>
      <c r="X347" s="30" t="inlineStr">
        <is>
          <t>Cyclical in an Upturn</t>
        </is>
      </c>
      <c r="Y347" s="30">
        <f>IF(X347="Growing Industry",10,IF(X347="Cyclical in an Upturn",5,0))</f>
        <v/>
      </c>
      <c r="Z347" s="30" t="inlineStr">
        <is>
          <t>Too Many Players with High ROCE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No</t>
        </is>
      </c>
      <c r="AC347" s="30">
        <f>IF(AB347="No",5,0)</f>
        <v/>
      </c>
      <c r="AD347" s="30" t="inlineStr">
        <is>
          <t>Tailwind</t>
        </is>
      </c>
      <c r="AE347" s="30">
        <f>IF(AD347="Tailwind",10,0)</f>
        <v/>
      </c>
      <c r="AF347" s="30" t="inlineStr">
        <is>
          <t>Structural (10 Years Consistency)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Stable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No</t>
        </is>
      </c>
      <c r="AQ347" s="30">
        <f>IF(AP347="Yes",10,0)</f>
        <v/>
      </c>
      <c r="AR347" s="30" t="inlineStr">
        <is>
          <t>Higher One Time, Lower Annuity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20 to 40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2</t>
        </is>
      </c>
      <c r="BC347" s="30">
        <f>IF(BB347="Stage 2",20,IF(BB347="Stage 1",0,IF(BB347="Stage 3",5,IF(BB347="Stage 4",-5,0))))</f>
        <v/>
      </c>
      <c r="BD347" s="30" t="inlineStr">
        <is>
          <t>Positive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Less than 12%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Yes</t>
        </is>
      </c>
      <c r="BS347" s="30">
        <f>IF(BR347="NO",5,0)</f>
        <v/>
      </c>
      <c r="BT347" s="30" t="inlineStr">
        <is>
          <t>Above 2</t>
        </is>
      </c>
      <c r="BU347" s="30">
        <f>IF(BT347="Above 2",0,IF(BT347="Between 1.5 to 2",5,IF(BT347="Less than 1.5",10,0)))</f>
        <v/>
      </c>
      <c r="BV347" s="30" t="inlineStr">
        <is>
          <t>Between 50% to 70%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Between 0.7 to 1.2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IF(B348=0,"",RANK(B348,$B$2:$B$405,0))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0" t="inlineStr">
        <is>
          <t>TIMKEN</t>
        </is>
      </c>
      <c r="D348" s="30" t="inlineStr">
        <is>
          <t>Timken India Limited</t>
        </is>
      </c>
      <c r="E348" s="30" t="inlineStr">
        <is>
          <t>industrials</t>
        </is>
      </c>
      <c r="F348" s="30" t="inlineStr">
        <is>
          <t>bearings</t>
        </is>
      </c>
      <c r="G348" s="30" t="inlineStr">
        <is>
          <t>largecap</t>
        </is>
      </c>
      <c r="H348" s="31" t="n">
        <v>24892.89</v>
      </c>
      <c r="I348" s="31" t="n">
        <v>3343.1</v>
      </c>
      <c r="J348" s="31" t="n">
        <v>1.02</v>
      </c>
      <c r="K348" s="31" t="n">
        <v>66428</v>
      </c>
      <c r="L348" s="30" t="n">
        <v>12</v>
      </c>
      <c r="M348" s="30" t="inlineStr">
        <is>
          <t>Outperforming</t>
        </is>
      </c>
      <c r="N348" s="31">
        <f>IF(M348="Underperforming",-5,IF(L348&gt;=95,15,IF(L348&gt;=90,10,IF(L348&gt;=80,5,0))))</f>
        <v/>
      </c>
      <c r="O348" s="31" t="n">
        <v>50.29</v>
      </c>
      <c r="P348" s="31" t="n">
        <v>24.72</v>
      </c>
      <c r="Q348" s="31" t="n">
        <v>3081</v>
      </c>
      <c r="R348" s="30" t="inlineStr">
        <is>
          <t>Earnings / Momentum Support</t>
        </is>
      </c>
      <c r="S348" s="30" t="inlineStr">
        <is>
          <t>Nifty 50</t>
        </is>
      </c>
      <c r="T348" s="31" t="n">
        <v>1.09</v>
      </c>
      <c r="U348" s="31" t="n">
        <v>16.97</v>
      </c>
      <c r="V348" s="31" t="n">
        <v>15.71</v>
      </c>
      <c r="W348" s="31" t="n">
        <v>2.04</v>
      </c>
      <c r="X348" s="30" t="inlineStr">
        <is>
          <t>Cyclical in an Upturn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No</t>
        </is>
      </c>
      <c r="AC348" s="30">
        <f>IF(AB348="No",5,0)</f>
        <v/>
      </c>
      <c r="AD348" s="30" t="inlineStr">
        <is>
          <t>Tailwind</t>
        </is>
      </c>
      <c r="AE348" s="30">
        <f>IF(AD348="Tailwind",10,0)</f>
        <v/>
      </c>
      <c r="AF348" s="30" t="inlineStr">
        <is>
          <t>Structural (10 Years Consistency)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Stable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No</t>
        </is>
      </c>
      <c r="AQ348" s="30">
        <f>IF(AP348="Yes",10,0)</f>
        <v/>
      </c>
      <c r="AR348" s="30" t="inlineStr">
        <is>
          <t>Higher One Time, Lower Annuity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20 to 40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1</t>
        </is>
      </c>
      <c r="BC348" s="30">
        <f>IF(BB348="Stage 2",20,IF(BB348="Stage 1",0,IF(BB348="Stage 3",5,IF(BB348="Stage 4",-5,0))))</f>
        <v/>
      </c>
      <c r="BD348" s="30" t="inlineStr">
        <is>
          <t>Positive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Between 12 to 20%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Yes</t>
        </is>
      </c>
      <c r="BS348" s="30">
        <f>IF(BR348="NO",5,0)</f>
        <v/>
      </c>
      <c r="BT348" s="30" t="inlineStr">
        <is>
          <t>Above 2</t>
        </is>
      </c>
      <c r="BU348" s="30">
        <f>IF(BT348="Above 2",0,IF(BT348="Between 1.5 to 2",5,IF(BT348="Less than 1.5",10,0)))</f>
        <v/>
      </c>
      <c r="BV348" s="30" t="inlineStr">
        <is>
          <t>Above 70%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Less than 0.7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IF(B349=0,"",RANK(B349,$B$2:$B$405,0))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2" t="inlineStr">
        <is>
          <t>JYOTICNC</t>
        </is>
      </c>
      <c r="D349" s="32" t="inlineStr">
        <is>
          <t>Jyoti CNC Automation Ltd</t>
        </is>
      </c>
      <c r="E349" s="30" t="inlineStr">
        <is>
          <t>industrials</t>
        </is>
      </c>
      <c r="F349" s="30" t="inlineStr">
        <is>
          <t>engineering</t>
        </is>
      </c>
      <c r="G349" s="30" t="inlineStr">
        <is>
          <t>midcap</t>
        </is>
      </c>
      <c r="H349" s="31" t="n">
        <v>19552.7</v>
      </c>
      <c r="I349" s="31" t="n">
        <v>865.05</v>
      </c>
      <c r="J349" s="31" t="n">
        <v>0.62</v>
      </c>
      <c r="K349" s="31" t="n">
        <v>442570</v>
      </c>
      <c r="L349" s="30" t="n">
        <v>7</v>
      </c>
      <c r="M349" s="30" t="inlineStr">
        <is>
          <t>Underperforming</t>
        </is>
      </c>
      <c r="N349" s="31">
        <f>IF(M349="Underperforming",-5,IF(L349&gt;=95,15,IF(L349&gt;=90,10,IF(L349&gt;=80,5,0))))</f>
        <v/>
      </c>
      <c r="O349" s="31" t="n">
        <v>58.36</v>
      </c>
      <c r="P349" s="31" t="n">
        <v>21.83</v>
      </c>
      <c r="Q349" s="31" t="n">
        <v>662.42</v>
      </c>
      <c r="R349" s="30" t="inlineStr">
        <is>
          <t>Earnings / Momentum Support</t>
        </is>
      </c>
      <c r="S349" s="30" t="inlineStr">
        <is>
          <t>Nifty 50</t>
        </is>
      </c>
      <c r="T349" s="31" t="n">
        <v>1.09</v>
      </c>
      <c r="U349" s="31" t="n">
        <v>-10.12</v>
      </c>
      <c r="V349" s="31" t="n">
        <v>-11.09</v>
      </c>
      <c r="W349" s="31" t="n">
        <v>0.54</v>
      </c>
      <c r="X349" s="30" t="inlineStr">
        <is>
          <t>Cyclical in an Upturn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No</t>
        </is>
      </c>
      <c r="AC349" s="30">
        <f>IF(AB349="No",5,0)</f>
        <v/>
      </c>
      <c r="AD349" s="30" t="inlineStr">
        <is>
          <t>Tailwind</t>
        </is>
      </c>
      <c r="AE349" s="30">
        <f>IF(AD349="Tailwind",10,0)</f>
        <v/>
      </c>
      <c r="AF349" s="30" t="inlineStr">
        <is>
          <t>Structural (10 Years Consistency)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Stable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One Time, Lower Annuity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20 to 40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2</t>
        </is>
      </c>
      <c r="BC349" s="30">
        <f>IF(BB349="Stage 2",20,IF(BB349="Stage 1",0,IF(BB349="Stage 3",5,IF(BB349="Stage 4",-5,0))))</f>
        <v/>
      </c>
      <c r="BD349" s="30" t="inlineStr">
        <is>
          <t>Positive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Less than 12%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Yes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Less than 50%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Less than 0.7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IF(B350=0,"",RANK(B350,$B$2:$B$405,0))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0" t="inlineStr">
        <is>
          <t>TEXINFRA</t>
        </is>
      </c>
      <c r="D350" s="30" t="inlineStr">
        <is>
          <t>Texmaco Infrastructure &amp; Holdings Limited</t>
        </is>
      </c>
      <c r="E350" s="30" t="inlineStr">
        <is>
          <t>realty</t>
        </is>
      </c>
      <c r="F350" s="30" t="inlineStr">
        <is>
          <t>construction</t>
        </is>
      </c>
      <c r="G350" s="30" t="inlineStr">
        <is>
          <t>smallcap</t>
        </is>
      </c>
      <c r="H350" s="31" t="n">
        <v>1439.16</v>
      </c>
      <c r="I350" s="31" t="n">
        <v>113.5</v>
      </c>
      <c r="J350" s="31" t="n">
        <v>0.5</v>
      </c>
      <c r="K350" s="31" t="n">
        <v>168133</v>
      </c>
      <c r="L350" s="30" t="n">
        <v>32</v>
      </c>
      <c r="M350" s="30" t="inlineStr">
        <is>
          <t>Outperforming</t>
        </is>
      </c>
      <c r="N350" s="31">
        <f>IF(M350="Underperforming",-5,IF(L350&gt;=95,15,IF(L350&gt;=90,10,IF(L350&gt;=80,5,0))))</f>
        <v/>
      </c>
      <c r="O350" s="31" t="n">
        <v>61.92</v>
      </c>
      <c r="P350" s="31" t="n">
        <v>36.02</v>
      </c>
      <c r="Q350" s="31" t="n">
        <v>94.91</v>
      </c>
      <c r="R350" s="30" t="inlineStr">
        <is>
          <t>Near 52W High Breakout</t>
        </is>
      </c>
      <c r="S350" s="30" t="inlineStr">
        <is>
          <t>Nifty Realty</t>
        </is>
      </c>
      <c r="T350" s="31" t="n">
        <v>-6.42</v>
      </c>
      <c r="U350" s="31" t="n">
        <v>14.02</v>
      </c>
      <c r="V350" s="31" t="n">
        <v>21.84</v>
      </c>
      <c r="W350" s="31" t="n">
        <v>6.23</v>
      </c>
      <c r="X350" s="30" t="inlineStr">
        <is>
          <t>Growing Industry</t>
        </is>
      </c>
      <c r="Y350" s="30">
        <f>IF(X350="Growing Industry",10,IF(X350="Cyclical in an Upturn",5,0))</f>
        <v/>
      </c>
      <c r="Z350" s="30" t="inlineStr">
        <is>
          <t>Too Many Players with High ROCE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No</t>
        </is>
      </c>
      <c r="AC350" s="30">
        <f>IF(AB350="No",5,0)</f>
        <v/>
      </c>
      <c r="AD350" s="30" t="inlineStr">
        <is>
          <t>Tailwind</t>
        </is>
      </c>
      <c r="AE350" s="30">
        <f>IF(AD350="Tailwind",10,0)</f>
        <v/>
      </c>
      <c r="AF350" s="30" t="inlineStr">
        <is>
          <t>Structural (10 Years Consistency)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Stable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Yes</t>
        </is>
      </c>
      <c r="AQ350" s="30">
        <f>IF(AP350="Yes",10,0)</f>
        <v/>
      </c>
      <c r="AR350" s="30" t="inlineStr">
        <is>
          <t>Higher One Time, Lower Annuity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20 to 40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2</t>
        </is>
      </c>
      <c r="BC350" s="30">
        <f>IF(BB350="Stage 2",20,IF(BB350="Stage 1",0,IF(BB350="Stage 3",5,IF(BB350="Stage 4",-5,0))))</f>
        <v/>
      </c>
      <c r="BD350" s="30" t="inlineStr">
        <is>
          <t>Negative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Less than 12%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Yes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Above 70%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Less than 0.7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IF(B351=0,"",RANK(B351,$B$2:$B$405,0))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2" t="inlineStr">
        <is>
          <t>NMDC</t>
        </is>
      </c>
      <c r="D351" s="32" t="inlineStr">
        <is>
          <t>Nmdc Limited</t>
        </is>
      </c>
      <c r="E351" s="30" t="inlineStr">
        <is>
          <t>metals &amp; mining</t>
        </is>
      </c>
      <c r="F351" s="30" t="inlineStr">
        <is>
          <t>mining / minerals / metals</t>
        </is>
      </c>
      <c r="G351" s="30" t="inlineStr">
        <is>
          <t>largecap</t>
        </is>
      </c>
      <c r="H351" s="31" t="n">
        <v>75433.78999999999</v>
      </c>
      <c r="I351" s="31" t="n">
        <v>86.2</v>
      </c>
      <c r="J351" s="31" t="n">
        <v>0.47</v>
      </c>
      <c r="K351" s="31" t="n">
        <v>51885359</v>
      </c>
      <c r="L351" s="30" t="n">
        <v>23</v>
      </c>
      <c r="M351" s="30" t="inlineStr">
        <is>
          <t>Underperforming</t>
        </is>
      </c>
      <c r="N351" s="31">
        <f>IF(M351="Underperforming",-5,IF(L351&gt;=95,15,IF(L351&gt;=90,10,IF(L351&gt;=80,5,0))))</f>
        <v/>
      </c>
      <c r="O351" s="31" t="n">
        <v>53.65</v>
      </c>
      <c r="P351" s="31" t="n">
        <v>45.16</v>
      </c>
      <c r="Q351" s="31" t="n">
        <v>78.72</v>
      </c>
      <c r="R351" s="30" t="inlineStr">
        <is>
          <t>Earnings / Momentum Support</t>
        </is>
      </c>
      <c r="S351" s="30" t="inlineStr">
        <is>
          <t>Nifty Metal</t>
        </is>
      </c>
      <c r="T351" s="31" t="n">
        <v>39.44</v>
      </c>
      <c r="U351" s="31" t="n">
        <v>25.43</v>
      </c>
      <c r="V351" s="31" t="n">
        <v>-10.05</v>
      </c>
      <c r="W351" s="31" t="n">
        <v>4.22</v>
      </c>
      <c r="X351" s="30" t="inlineStr">
        <is>
          <t>Cyclical in an Upturn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No</t>
        </is>
      </c>
      <c r="AC351" s="30">
        <f>IF(AB351="No",5,0)</f>
        <v/>
      </c>
      <c r="AD351" s="30" t="inlineStr">
        <is>
          <t>Tailwind</t>
        </is>
      </c>
      <c r="AE351" s="30">
        <f>IF(AD351="Tailwind",10,0)</f>
        <v/>
      </c>
      <c r="AF351" s="30" t="inlineStr">
        <is>
          <t>Cyclical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Volatile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No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Above 40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1</t>
        </is>
      </c>
      <c r="BC351" s="30">
        <f>IF(BB351="Stage 2",20,IF(BB351="Stage 1",0,IF(BB351="Stage 3",5,IF(BB351="Stage 4",-5,0))))</f>
        <v/>
      </c>
      <c r="BD351" s="30" t="inlineStr">
        <is>
          <t>Positive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More than 20%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No</t>
        </is>
      </c>
      <c r="BS351" s="30">
        <f>IF(BR351="NO",5,0)</f>
        <v/>
      </c>
      <c r="BT351" s="30" t="inlineStr">
        <is>
          <t>Less than 1.5</t>
        </is>
      </c>
      <c r="BU351" s="30">
        <f>IF(BT351="Above 2",0,IF(BT351="Between 1.5 to 2",5,IF(BT351="Less than 1.5",10,0)))</f>
        <v/>
      </c>
      <c r="BV351" s="30" t="inlineStr">
        <is>
          <t>Between 50% to 70%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Less than 0.7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IF(B352=0,"",RANK(B352,$B$2:$B$405,0))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0" t="inlineStr">
        <is>
          <t>PANACHE</t>
        </is>
      </c>
      <c r="D352" s="30" t="inlineStr">
        <is>
          <t>Panache Digilife Ltd</t>
        </is>
      </c>
      <c r="E352" s="30" t="inlineStr">
        <is>
          <t>i.t</t>
        </is>
      </c>
      <c r="F352" s="30" t="inlineStr">
        <is>
          <t>computers - hardware</t>
        </is>
      </c>
      <c r="G352" s="30" t="inlineStr">
        <is>
          <t>smallcap</t>
        </is>
      </c>
      <c r="H352" s="31" t="n">
        <v>704.62</v>
      </c>
      <c r="I352" s="31" t="n">
        <v>440</v>
      </c>
      <c r="J352" s="31" t="n">
        <v>0</v>
      </c>
      <c r="K352" s="31" t="n">
        <v>11722</v>
      </c>
      <c r="L352" s="30" t="n">
        <v>82</v>
      </c>
      <c r="M352" s="30" t="inlineStr">
        <is>
          <t>Outperforming</t>
        </is>
      </c>
      <c r="N352" s="31">
        <f>IF(M352="Underperforming",-5,IF(L352&gt;=95,15,IF(L352&gt;=90,10,IF(L352&gt;=80,5,0))))</f>
        <v/>
      </c>
      <c r="O352" s="31" t="n">
        <v>63.05</v>
      </c>
      <c r="P352" s="31" t="n">
        <v>23.12</v>
      </c>
      <c r="Q352" s="31" t="n">
        <v>320.31</v>
      </c>
      <c r="R352" s="30" t="inlineStr">
        <is>
          <t>Near 52W High Breakout</t>
        </is>
      </c>
      <c r="S352" s="30" t="inlineStr">
        <is>
          <t>Nifty IT</t>
        </is>
      </c>
      <c r="T352" s="31" t="n">
        <v>-9.289999999999999</v>
      </c>
      <c r="U352" s="31" t="n">
        <v>75.51000000000001</v>
      </c>
      <c r="V352" s="31" t="n">
        <v>93.48</v>
      </c>
      <c r="W352" s="31" t="n">
        <v>22.68</v>
      </c>
      <c r="X352" s="30" t="inlineStr">
        <is>
          <t>Growing Industry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Tailwind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Yes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20 to 40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2</t>
        </is>
      </c>
      <c r="BC352" s="30">
        <f>IF(BB352="Stage 2",20,IF(BB352="Stage 1",0,IF(BB352="Stage 3",5,IF(BB352="Stage 4",-5,0))))</f>
        <v/>
      </c>
      <c r="BD352" s="30" t="inlineStr">
        <is>
          <t>Negative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Blue sky scenario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More than 20%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Yes</t>
        </is>
      </c>
      <c r="BS352" s="30">
        <f>IF(BR352="NO",5,0)</f>
        <v/>
      </c>
      <c r="BT352" s="30" t="inlineStr">
        <is>
          <t>Above 2</t>
        </is>
      </c>
      <c r="BU352" s="30">
        <f>IF(BT352="Above 2",0,IF(BT352="Between 1.5 to 2",5,IF(BT352="Less than 1.5",10,0)))</f>
        <v/>
      </c>
      <c r="BV352" s="30" t="inlineStr">
        <is>
          <t>Negative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Less than 0.7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IF(B353=0,"",RANK(B353,$B$2:$B$405,0))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0" t="inlineStr">
        <is>
          <t>NATIONALUM</t>
        </is>
      </c>
      <c r="D353" s="30" t="inlineStr">
        <is>
          <t>National Aluminium Company Limited</t>
        </is>
      </c>
      <c r="E353" s="30" t="inlineStr">
        <is>
          <t>metals &amp; mining</t>
        </is>
      </c>
      <c r="F353" s="30" t="inlineStr">
        <is>
          <t>aluminium and aluminium products</t>
        </is>
      </c>
      <c r="G353" s="30" t="inlineStr">
        <is>
          <t>largecap</t>
        </is>
      </c>
      <c r="H353" s="31" t="n">
        <v>69975.67</v>
      </c>
      <c r="I353" s="31" t="n">
        <v>381</v>
      </c>
      <c r="J353" s="31" t="n">
        <v>0</v>
      </c>
      <c r="K353" s="31" t="n">
        <v>13129890</v>
      </c>
      <c r="L353" s="30" t="n">
        <v>65</v>
      </c>
      <c r="M353" s="30" t="inlineStr">
        <is>
          <t>Outperforming</t>
        </is>
      </c>
      <c r="N353" s="31">
        <f>IF(M353="Underperforming",-5,IF(L353&gt;=95,15,IF(L353&gt;=90,10,IF(L353&gt;=80,5,0))))</f>
        <v/>
      </c>
      <c r="O353" s="31" t="n">
        <v>54.83</v>
      </c>
      <c r="P353" s="31" t="n">
        <v>25.41</v>
      </c>
      <c r="Q353" s="31" t="n">
        <v>334.86</v>
      </c>
      <c r="R353" s="30" t="inlineStr">
        <is>
          <t>Earnings / Momentum Support</t>
        </is>
      </c>
      <c r="S353" s="30" t="inlineStr">
        <is>
          <t>Nifty Metal</t>
        </is>
      </c>
      <c r="T353" s="31" t="n">
        <v>39.44</v>
      </c>
      <c r="U353" s="31" t="n">
        <v>103.71</v>
      </c>
      <c r="V353" s="31" t="n">
        <v>46.09</v>
      </c>
      <c r="W353" s="31" t="n">
        <v>15.14</v>
      </c>
      <c r="X353" s="30" t="inlineStr">
        <is>
          <t>Cyclical in an Upturn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Tailwind</t>
        </is>
      </c>
      <c r="AE353" s="30">
        <f>IF(AD353="Tailwind",10,0)</f>
        <v/>
      </c>
      <c r="AF353" s="30" t="inlineStr">
        <is>
          <t>Cyclical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Volatile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No</t>
        </is>
      </c>
      <c r="AQ353" s="30">
        <f>IF(AP353="Yes",10,0)</f>
        <v/>
      </c>
      <c r="AR353" s="30" t="inlineStr">
        <is>
          <t>Higher One Time, Lower Annuity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20 to 40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1</t>
        </is>
      </c>
      <c r="BC353" s="30">
        <f>IF(BB353="Stage 2",20,IF(BB353="Stage 1",0,IF(BB353="Stage 3",5,IF(BB353="Stage 4",-5,0))))</f>
        <v/>
      </c>
      <c r="BD353" s="30" t="inlineStr">
        <is>
          <t>Positive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More than 20%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No</t>
        </is>
      </c>
      <c r="BS353" s="30">
        <f>IF(BR353="NO",5,0)</f>
        <v/>
      </c>
      <c r="BT353" s="30" t="inlineStr">
        <is>
          <t>Less than 1.5</t>
        </is>
      </c>
      <c r="BU353" s="30">
        <f>IF(BT353="Above 2",0,IF(BT353="Between 1.5 to 2",5,IF(BT353="Less than 1.5",10,0)))</f>
        <v/>
      </c>
      <c r="BV353" s="30" t="inlineStr">
        <is>
          <t>Above 70%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Less than 0.7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IF(B354=0,"",RANK(B354,$B$2:$B$405,0))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0" t="inlineStr">
        <is>
          <t>CCAVENUE</t>
        </is>
      </c>
      <c r="D354" s="30" t="inlineStr">
        <is>
          <t>AvenuesAI Ltd</t>
        </is>
      </c>
      <c r="E354" s="30" t="inlineStr">
        <is>
          <t>i.t</t>
        </is>
      </c>
      <c r="F354" s="30" t="inlineStr">
        <is>
          <t>miscellaneous</t>
        </is>
      </c>
      <c r="G354" s="30" t="inlineStr">
        <is>
          <t>midcap</t>
        </is>
      </c>
      <c r="H354" s="31" t="n">
        <v>6034.82</v>
      </c>
      <c r="I354" s="31" t="n">
        <v>17.13</v>
      </c>
      <c r="J354" s="31" t="n">
        <v>-0.75</v>
      </c>
      <c r="K354" s="31" t="n">
        <v>16128672</v>
      </c>
      <c r="L354" s="30" t="n">
        <v>41</v>
      </c>
      <c r="M354" s="30" t="inlineStr">
        <is>
          <t>Outperforming</t>
        </is>
      </c>
      <c r="N354" s="31">
        <f>IF(M354="Underperforming",-5,IF(L354&gt;=95,15,IF(L354&gt;=90,10,IF(L354&gt;=80,5,0))))</f>
        <v/>
      </c>
      <c r="O354" s="31" t="n">
        <v>57.27</v>
      </c>
      <c r="P354" s="31" t="n">
        <v>18.78</v>
      </c>
      <c r="Q354" s="31" t="n">
        <v>13.6</v>
      </c>
      <c r="R354" s="30" t="inlineStr">
        <is>
          <t>Volume Spike / Accumulation</t>
        </is>
      </c>
      <c r="S354" s="30" t="inlineStr">
        <is>
          <t>Nifty IT</t>
        </is>
      </c>
      <c r="T354" s="31" t="n">
        <v>-9.289999999999999</v>
      </c>
      <c r="U354" s="31" t="n">
        <v>13.94</v>
      </c>
      <c r="V354" s="31" t="n">
        <v>25.61</v>
      </c>
      <c r="W354" s="31" t="n">
        <v>8.720000000000001</v>
      </c>
      <c r="X354" s="30" t="inlineStr">
        <is>
          <t>Growing Industry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Headwind</t>
        </is>
      </c>
      <c r="AE354" s="30">
        <f>IF(AD354="Tailwind",10,0)</f>
        <v/>
      </c>
      <c r="AF354" s="30" t="inlineStr">
        <is>
          <t>Structural (10 Years Consistency)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Stable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Yes</t>
        </is>
      </c>
      <c r="AQ354" s="30">
        <f>IF(AP354="Yes",10,0)</f>
        <v/>
      </c>
      <c r="AR354" s="30" t="inlineStr">
        <is>
          <t>Higher One Time, Lower Annuity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0 to 20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2</t>
        </is>
      </c>
      <c r="BC354" s="30">
        <f>IF(BB354="Stage 2",20,IF(BB354="Stage 1",0,IF(BB354="Stage 3",5,IF(BB354="Stage 4",-5,0))))</f>
        <v/>
      </c>
      <c r="BD354" s="30" t="inlineStr">
        <is>
          <t>Negative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More than 20%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No</t>
        </is>
      </c>
      <c r="BS354" s="30">
        <f>IF(BR354="NO",5,0)</f>
        <v/>
      </c>
      <c r="BT354" s="30" t="inlineStr">
        <is>
          <t>Less than 1.5</t>
        </is>
      </c>
      <c r="BU354" s="30">
        <f>IF(BT354="Above 2",0,IF(BT354="Between 1.5 to 2",5,IF(BT354="Less than 1.5",10,0)))</f>
        <v/>
      </c>
      <c r="BV354" s="30" t="inlineStr">
        <is>
          <t>Above 70%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Less than 0.7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IF(B355=0,"",RANK(B355,$B$2:$B$405,0))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2" t="inlineStr">
        <is>
          <t>DMCC</t>
        </is>
      </c>
      <c r="D355" s="32" t="inlineStr">
        <is>
          <t>DMCC Speciality Chemicals Ltd</t>
        </is>
      </c>
      <c r="E355" s="30" t="inlineStr">
        <is>
          <t>chemicals</t>
        </is>
      </c>
      <c r="F355" s="30" t="inlineStr">
        <is>
          <t>chemicals</t>
        </is>
      </c>
      <c r="G355" s="30" t="inlineStr">
        <is>
          <t>smallcap</t>
        </is>
      </c>
      <c r="H355" s="31" t="n">
        <v>709.54</v>
      </c>
      <c r="I355" s="31" t="n">
        <v>280.5</v>
      </c>
      <c r="J355" s="31" t="n">
        <v>-1.41</v>
      </c>
      <c r="K355" s="31" t="n">
        <v>135103</v>
      </c>
      <c r="L355" s="30" t="n">
        <v>1</v>
      </c>
      <c r="M355" s="30" t="inlineStr">
        <is>
          <t>Underperforming</t>
        </is>
      </c>
      <c r="N355" s="31">
        <f>IF(M355="Underperforming",-5,IF(L355&gt;=95,15,IF(L355&gt;=90,10,IF(L355&gt;=80,5,0))))</f>
        <v/>
      </c>
      <c r="O355" s="31" t="n">
        <v>57.22</v>
      </c>
      <c r="P355" s="31" t="n">
        <v>24.72</v>
      </c>
      <c r="Q355" s="31" t="n">
        <v>239.33</v>
      </c>
      <c r="R355" s="30" t="inlineStr">
        <is>
          <t>Earnings / Momentum Support</t>
        </is>
      </c>
      <c r="S355" s="30" t="inlineStr">
        <is>
          <t>Nifty 50</t>
        </is>
      </c>
      <c r="T355" s="31" t="n">
        <v>1.09</v>
      </c>
      <c r="U355" s="31" t="n">
        <v>-14.06</v>
      </c>
      <c r="V355" s="31" t="n">
        <v>-14.99</v>
      </c>
      <c r="W355" s="31" t="n">
        <v>-2.84</v>
      </c>
      <c r="X355" s="30" t="inlineStr">
        <is>
          <t>Growing Industry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Tailwind</t>
        </is>
      </c>
      <c r="AE355" s="30">
        <f>IF(AD355="Tailwind",10,0)</f>
        <v/>
      </c>
      <c r="AF355" s="30" t="inlineStr">
        <is>
          <t>Structural (10 Years Consistency)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Stable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No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20 to 40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2</t>
        </is>
      </c>
      <c r="BC355" s="30">
        <f>IF(BB355="Stage 2",20,IF(BB355="Stage 1",0,IF(BB355="Stage 3",5,IF(BB355="Stage 4",-5,0))))</f>
        <v/>
      </c>
      <c r="BD355" s="30" t="inlineStr">
        <is>
          <t>Positive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Less than 12%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No</t>
        </is>
      </c>
      <c r="BS355" s="30">
        <f>IF(BR355="NO",5,0)</f>
        <v/>
      </c>
      <c r="BT355" s="30" t="inlineStr">
        <is>
          <t>Above 2</t>
        </is>
      </c>
      <c r="BU355" s="30">
        <f>IF(BT355="Above 2",0,IF(BT355="Between 1.5 to 2",5,IF(BT355="Less than 1.5",10,0)))</f>
        <v/>
      </c>
      <c r="BV355" s="30" t="inlineStr">
        <is>
          <t>Negative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Less than 0.7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IF(B356=0,"",RANK(B356,$B$2:$B$405,0))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2" t="inlineStr">
        <is>
          <t>SANDESH</t>
        </is>
      </c>
      <c r="D356" s="32" t="inlineStr">
        <is>
          <t>The Sandesh Limited</t>
        </is>
      </c>
      <c r="E356" s="30" t="inlineStr">
        <is>
          <t>media</t>
        </is>
      </c>
      <c r="F356" s="30" t="inlineStr">
        <is>
          <t>entertainment / electronic media software</t>
        </is>
      </c>
      <c r="G356" s="30" t="inlineStr">
        <is>
          <t>smallcap</t>
        </is>
      </c>
      <c r="H356" s="31" t="n">
        <v>749.22</v>
      </c>
      <c r="I356" s="31" t="n">
        <v>1187.75</v>
      </c>
      <c r="J356" s="31" t="n">
        <v>20</v>
      </c>
      <c r="K356" s="31" t="n">
        <v>15365</v>
      </c>
      <c r="L356" s="30" t="n">
        <v>4</v>
      </c>
      <c r="M356" s="30" t="inlineStr">
        <is>
          <t>Underperforming</t>
        </is>
      </c>
      <c r="N356" s="31">
        <f>IF(M356="Underperforming",-5,IF(L356&gt;=95,15,IF(L356&gt;=90,10,IF(L356&gt;=80,5,0))))</f>
        <v/>
      </c>
      <c r="O356" s="31" t="n">
        <v>66.5</v>
      </c>
      <c r="P356" s="31" t="n">
        <v>10.31</v>
      </c>
      <c r="Q356" s="31" t="n">
        <v>960.04</v>
      </c>
      <c r="R356" s="30" t="inlineStr">
        <is>
          <t>Volume Spike / Accumulation</t>
        </is>
      </c>
      <c r="S356" s="30" t="inlineStr">
        <is>
          <t>Nifty IT</t>
        </is>
      </c>
      <c r="T356" s="31" t="n">
        <v>-9.289999999999999</v>
      </c>
      <c r="U356" s="31" t="n">
        <v>-13</v>
      </c>
      <c r="V356" s="31" t="n">
        <v>-4.09</v>
      </c>
      <c r="W356" s="31" t="n">
        <v>-0.75</v>
      </c>
      <c r="X356" s="30" t="inlineStr">
        <is>
          <t>Growing Industry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Tailwind</t>
        </is>
      </c>
      <c r="AE356" s="30">
        <f>IF(AD356="Tailwind",10,0)</f>
        <v/>
      </c>
      <c r="AF356" s="30" t="inlineStr">
        <is>
          <t>Structural (10 Years Consistency)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Stable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B2B</t>
        </is>
      </c>
      <c r="AO356" s="30">
        <f>IF(AN356="B2C",10,IF(AN356="B2B",5,0))</f>
        <v/>
      </c>
      <c r="AP356" s="30" t="inlineStr">
        <is>
          <t>Yes</t>
        </is>
      </c>
      <c r="AQ356" s="30">
        <f>IF(AP356="Yes",10,0)</f>
        <v/>
      </c>
      <c r="AR356" s="30" t="inlineStr">
        <is>
          <t>Higher Annuity, Lower One Time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0 to 20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1</t>
        </is>
      </c>
      <c r="BC356" s="30">
        <f>IF(BB356="Stage 2",20,IF(BB356="Stage 1",0,IF(BB356="Stage 3",5,IF(BB356="Stage 4",-5,0))))</f>
        <v/>
      </c>
      <c r="BD356" s="30" t="inlineStr">
        <is>
          <t>Positive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Less than 12%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No</t>
        </is>
      </c>
      <c r="BS356" s="30">
        <f>IF(BR356="NO",5,0)</f>
        <v/>
      </c>
      <c r="BT356" s="30" t="inlineStr">
        <is>
          <t>Above 2</t>
        </is>
      </c>
      <c r="BU356" s="30">
        <f>IF(BT356="Above 2",0,IF(BT356="Between 1.5 to 2",5,IF(BT356="Less than 1.5",10,0)))</f>
        <v/>
      </c>
      <c r="BV356" s="30" t="inlineStr">
        <is>
          <t>Above 70%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Less than 0.7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IF(B357=0,"",RANK(B357,$B$2:$B$405,0))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0" t="inlineStr">
        <is>
          <t>UTTAMSUGAR</t>
        </is>
      </c>
      <c r="D357" s="30" t="inlineStr">
        <is>
          <t>Uttam Sugar Mills Limited</t>
        </is>
      </c>
      <c r="E357" s="30" t="inlineStr">
        <is>
          <t>fmcg</t>
        </is>
      </c>
      <c r="F357" s="30" t="inlineStr">
        <is>
          <t>sugar</t>
        </is>
      </c>
      <c r="G357" s="30" t="inlineStr">
        <is>
          <t>smallcap</t>
        </is>
      </c>
      <c r="H357" s="31" t="n">
        <v>955.13</v>
      </c>
      <c r="I357" s="31" t="n">
        <v>251.8</v>
      </c>
      <c r="J357" s="31" t="n">
        <v>0.54</v>
      </c>
      <c r="K357" s="31" t="n">
        <v>137097</v>
      </c>
      <c r="L357" s="30" t="n">
        <v>4</v>
      </c>
      <c r="M357" s="30" t="inlineStr">
        <is>
          <t>Outperforming</t>
        </is>
      </c>
      <c r="N357" s="31">
        <f>IF(M357="Underperforming",-5,IF(L357&gt;=95,15,IF(L357&gt;=90,10,IF(L357&gt;=80,5,0))))</f>
        <v/>
      </c>
      <c r="O357" s="31" t="n">
        <v>56.71</v>
      </c>
      <c r="P357" s="31" t="n">
        <v>12.3</v>
      </c>
      <c r="Q357" s="31" t="n">
        <v>185.99</v>
      </c>
      <c r="R357" s="30" t="inlineStr">
        <is>
          <t>Volume Spike / Accumulation</t>
        </is>
      </c>
      <c r="S357" s="30" t="inlineStr">
        <is>
          <t>Nifty FMCG</t>
        </is>
      </c>
      <c r="T357" s="31" t="n">
        <v>-9.75</v>
      </c>
      <c r="U357" s="31" t="n">
        <v>-4.78</v>
      </c>
      <c r="V357" s="31" t="n">
        <v>5.5</v>
      </c>
      <c r="W357" s="31" t="n">
        <v>-0.58</v>
      </c>
      <c r="X357" s="30" t="inlineStr">
        <is>
          <t>Growing Industry</t>
        </is>
      </c>
      <c r="Y357" s="30">
        <f>IF(X357="Growing Industry",10,IF(X357="Cyclical in an Upturn",5,0))</f>
        <v/>
      </c>
      <c r="Z357" s="30" t="inlineStr">
        <is>
          <t>Too Many Players with High ROCE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No</t>
        </is>
      </c>
      <c r="AC357" s="30">
        <f>IF(AB357="No",5,0)</f>
        <v/>
      </c>
      <c r="AD357" s="30" t="inlineStr">
        <is>
          <t>Tailwind</t>
        </is>
      </c>
      <c r="AE357" s="30">
        <f>IF(AD357="Tailwind",10,0)</f>
        <v/>
      </c>
      <c r="AF357" s="30" t="inlineStr">
        <is>
          <t>Structural (10 Years Consistency)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B2C</t>
        </is>
      </c>
      <c r="AO357" s="30">
        <f>IF(AN357="B2C",10,IF(AN357="B2B",5,0))</f>
        <v/>
      </c>
      <c r="AP357" s="30" t="inlineStr">
        <is>
          <t>Yes</t>
        </is>
      </c>
      <c r="AQ357" s="30">
        <f>IF(AP357="Yes",10,0)</f>
        <v/>
      </c>
      <c r="AR357" s="30" t="inlineStr">
        <is>
          <t>Higher Annuity, Lower One Time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0 to 20</t>
        </is>
      </c>
      <c r="AY357" s="30">
        <f>IF(AX357="Above 40",20,IF(AX357="20 to 40",10,IF(AX357="0 to 20",-5,0)))</f>
        <v/>
      </c>
      <c r="AZ357" s="30" t="inlineStr">
        <is>
          <t>Between 50 to 75</t>
        </is>
      </c>
      <c r="BA357" s="30">
        <f>IF(AZ357="Between 50 to 75",10,IF(AZ357="Above 75",0,0))</f>
        <v/>
      </c>
      <c r="BB357" s="30" t="inlineStr">
        <is>
          <t>Stage 1</t>
        </is>
      </c>
      <c r="BC357" s="30">
        <f>IF(BB357="Stage 2",20,IF(BB357="Stage 1",0,IF(BB357="Stage 3",5,IF(BB357="Stage 4",-5,0))))</f>
        <v/>
      </c>
      <c r="BD357" s="30" t="inlineStr">
        <is>
          <t>Positive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Less than 12%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No</t>
        </is>
      </c>
      <c r="BS357" s="30">
        <f>IF(BR357="NO",5,0)</f>
        <v/>
      </c>
      <c r="BT357" s="30" t="inlineStr">
        <is>
          <t>Above 2</t>
        </is>
      </c>
      <c r="BU357" s="30">
        <f>IF(BT357="Above 2",0,IF(BT357="Between 1.5 to 2",5,IF(BT357="Less than 1.5",10,0)))</f>
        <v/>
      </c>
      <c r="BV357" s="30" t="inlineStr">
        <is>
          <t>Above 70%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Between 0.7 to 1.2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IF(B358=0,"",RANK(B358,$B$2:$B$405,0))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0" t="inlineStr">
        <is>
          <t>KOLTEPATIL</t>
        </is>
      </c>
      <c r="D358" s="30" t="inlineStr">
        <is>
          <t>Kolte - Patil Developers Limited</t>
        </is>
      </c>
      <c r="E358" s="30" t="inlineStr">
        <is>
          <t>realty</t>
        </is>
      </c>
      <c r="F358" s="30" t="inlineStr">
        <is>
          <t>construction</t>
        </is>
      </c>
      <c r="G358" s="30" t="inlineStr">
        <is>
          <t>smallcap</t>
        </is>
      </c>
      <c r="H358" s="31" t="n">
        <v>3481.58</v>
      </c>
      <c r="I358" s="31" t="n">
        <v>429.3</v>
      </c>
      <c r="J358" s="31" t="n">
        <v>9.35</v>
      </c>
      <c r="K358" s="31" t="n">
        <v>1221264</v>
      </c>
      <c r="L358" s="30" t="n">
        <v>14</v>
      </c>
      <c r="M358" s="30" t="inlineStr">
        <is>
          <t>Outperforming</t>
        </is>
      </c>
      <c r="N358" s="31">
        <f>IF(M358="Underperforming",-5,IF(L358&gt;=95,15,IF(L358&gt;=90,10,IF(L358&gt;=80,5,0))))</f>
        <v/>
      </c>
      <c r="O358" s="31" t="n">
        <v>64.34</v>
      </c>
      <c r="P358" s="31" t="n">
        <v>12.44</v>
      </c>
      <c r="Q358" s="31" t="n">
        <v>339.11</v>
      </c>
      <c r="R358" s="30" t="inlineStr">
        <is>
          <t>Volume Spike / Accumulation</t>
        </is>
      </c>
      <c r="S358" s="30" t="inlineStr">
        <is>
          <t>Nifty Realty</t>
        </is>
      </c>
      <c r="T358" s="31" t="n">
        <v>-6.42</v>
      </c>
      <c r="U358" s="31" t="n">
        <v>-4.1</v>
      </c>
      <c r="V358" s="31" t="n">
        <v>2.48</v>
      </c>
      <c r="W358" s="31" t="n">
        <v>2.36</v>
      </c>
      <c r="X358" s="30" t="inlineStr">
        <is>
          <t>Growing Industry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No</t>
        </is>
      </c>
      <c r="AC358" s="30">
        <f>IF(AB358="No",5,0)</f>
        <v/>
      </c>
      <c r="AD358" s="30" t="inlineStr">
        <is>
          <t>Tailwind</t>
        </is>
      </c>
      <c r="AE358" s="30">
        <f>IF(AD358="Tailwind",10,0)</f>
        <v/>
      </c>
      <c r="AF358" s="30" t="inlineStr">
        <is>
          <t>Structural (10 Years Consistency)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Stable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Yes</t>
        </is>
      </c>
      <c r="AQ358" s="30">
        <f>IF(AP358="Yes",10,0)</f>
        <v/>
      </c>
      <c r="AR358" s="30" t="inlineStr">
        <is>
          <t>Higher One Time, Lower Annuity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0 to 20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2</t>
        </is>
      </c>
      <c r="BC358" s="30">
        <f>IF(BB358="Stage 2",20,IF(BB358="Stage 1",0,IF(BB358="Stage 3",5,IF(BB358="Stage 4",-5,0))))</f>
        <v/>
      </c>
      <c r="BD358" s="30" t="inlineStr">
        <is>
          <t>Positive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More than 20%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Yes</t>
        </is>
      </c>
      <c r="BS358" s="30">
        <f>IF(BR358="NO",5,0)</f>
        <v/>
      </c>
      <c r="BT358" s="30" t="inlineStr">
        <is>
          <t>Above 2</t>
        </is>
      </c>
      <c r="BU358" s="30">
        <f>IF(BT358="Above 2",0,IF(BT358="Between 1.5 to 2",5,IF(BT358="Less than 1.5",10,0)))</f>
        <v/>
      </c>
      <c r="BV358" s="30" t="inlineStr">
        <is>
          <t>Negative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Between 0.7 to 1.2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IF(B359=0,"",RANK(B359,$B$2:$B$405,0))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2" t="inlineStr">
        <is>
          <t>BOSCH-HCIL</t>
        </is>
      </c>
      <c r="D359" s="32" t="inlineStr">
        <is>
          <t>Bosch Home Comfort India Ltd</t>
        </is>
      </c>
      <c r="E359" s="30" t="inlineStr">
        <is>
          <t>consumer discretionary</t>
        </is>
      </c>
      <c r="F359" s="30" t="inlineStr">
        <is>
          <t>air-conditioners</t>
        </is>
      </c>
      <c r="G359" s="30" t="inlineStr">
        <is>
          <t>smallcap</t>
        </is>
      </c>
      <c r="H359" s="31" t="n">
        <v>4143.35</v>
      </c>
      <c r="I359" s="31" t="n">
        <v>1645.2</v>
      </c>
      <c r="J359" s="31" t="n">
        <v>7.97</v>
      </c>
      <c r="K359" s="31" t="n">
        <v>227828</v>
      </c>
      <c r="L359" s="30" t="n">
        <v>9</v>
      </c>
      <c r="M359" s="30" t="inlineStr">
        <is>
          <t>Underperforming</t>
        </is>
      </c>
      <c r="N359" s="31">
        <f>IF(M359="Underperforming",-5,IF(L359&gt;=95,15,IF(L359&gt;=90,10,IF(L359&gt;=80,5,0))))</f>
        <v/>
      </c>
      <c r="O359" s="31" t="n">
        <v>64.47</v>
      </c>
      <c r="P359" s="31" t="n">
        <v>14.65</v>
      </c>
      <c r="Q359" s="31" t="n">
        <v>1280.24</v>
      </c>
      <c r="R359" s="30" t="inlineStr">
        <is>
          <t>Earnings / Momentum Support</t>
        </is>
      </c>
      <c r="S359" s="30" t="inlineStr">
        <is>
          <t>Nifty 50</t>
        </is>
      </c>
      <c r="T359" s="31" t="n">
        <v>1.09</v>
      </c>
      <c r="U359" s="31" t="n">
        <v>-8.119999999999999</v>
      </c>
      <c r="V359" s="31" t="n">
        <v>-9.109999999999999</v>
      </c>
      <c r="W359" s="31" t="n">
        <v>1.26</v>
      </c>
      <c r="X359" s="30" t="inlineStr">
        <is>
          <t>Growing Industry</t>
        </is>
      </c>
      <c r="Y359" s="30">
        <f>IF(X359="Growing Industry",10,IF(X359="Cyclical in an Upturn",5,0))</f>
        <v/>
      </c>
      <c r="Z359" s="30" t="inlineStr">
        <is>
          <t>Too Many Players with High ROCE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No</t>
        </is>
      </c>
      <c r="AC359" s="30">
        <f>IF(AB359="No",5,0)</f>
        <v/>
      </c>
      <c r="AD359" s="30" t="inlineStr">
        <is>
          <t>Tailwind</t>
        </is>
      </c>
      <c r="AE359" s="30">
        <f>IF(AD359="Tailwind",10,0)</f>
        <v/>
      </c>
      <c r="AF359" s="30" t="inlineStr">
        <is>
          <t>Structural (10 Years Consistency)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Stable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No</t>
        </is>
      </c>
      <c r="AQ359" s="30">
        <f>IF(AP359="Yes",10,0)</f>
        <v/>
      </c>
      <c r="AR359" s="30" t="inlineStr">
        <is>
          <t>Higher One Time, Lower Annuity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0 to 20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1</t>
        </is>
      </c>
      <c r="BC359" s="30">
        <f>IF(BB359="Stage 2",20,IF(BB359="Stage 1",0,IF(BB359="Stage 3",5,IF(BB359="Stage 4",-5,0))))</f>
        <v/>
      </c>
      <c r="BD359" s="30" t="inlineStr">
        <is>
          <t>Positive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Close to 52 week high or retracement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Less than 12%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No</t>
        </is>
      </c>
      <c r="BS359" s="30">
        <f>IF(BR359="NO",5,0)</f>
        <v/>
      </c>
      <c r="BT359" s="30" t="inlineStr">
        <is>
          <t>Less than 1.5</t>
        </is>
      </c>
      <c r="BU359" s="30">
        <f>IF(BT359="Above 2",0,IF(BT359="Between 1.5 to 2",5,IF(BT359="Less than 1.5",10,0)))</f>
        <v/>
      </c>
      <c r="BV359" s="30" t="inlineStr">
        <is>
          <t>Above 70%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Less than 0.7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IF(B360=0,"",RANK(B360,$B$2:$B$405,0))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0" t="inlineStr">
        <is>
          <t>GALAPREC</t>
        </is>
      </c>
      <c r="D360" s="30" t="inlineStr">
        <is>
          <t>Gala Precision Engineering Ltd</t>
        </is>
      </c>
      <c r="E360" s="30" t="inlineStr">
        <is>
          <t>industrials</t>
        </is>
      </c>
      <c r="F360" s="30" t="inlineStr">
        <is>
          <t>fasteners</t>
        </is>
      </c>
      <c r="G360" s="30" t="inlineStr">
        <is>
          <t>smallcap</t>
        </is>
      </c>
      <c r="H360" s="31" t="n">
        <v>1441.18</v>
      </c>
      <c r="I360" s="31" t="n">
        <v>1160</v>
      </c>
      <c r="J360" s="31" t="n">
        <v>3.16</v>
      </c>
      <c r="K360" s="31" t="n">
        <v>60231</v>
      </c>
      <c r="L360" s="30" t="n">
        <v>63</v>
      </c>
      <c r="M360" s="30" t="inlineStr">
        <is>
          <t>Outperforming</t>
        </is>
      </c>
      <c r="N360" s="31">
        <f>IF(M360="Underperforming",-5,IF(L360&gt;=95,15,IF(L360&gt;=90,10,IF(L360&gt;=80,5,0))))</f>
        <v/>
      </c>
      <c r="O360" s="31" t="n">
        <v>66.61</v>
      </c>
      <c r="P360" s="31" t="n">
        <v>52.71</v>
      </c>
      <c r="Q360" s="31" t="n">
        <v>881.54</v>
      </c>
      <c r="R360" s="30" t="inlineStr">
        <is>
          <t>Near 52W High Breakout</t>
        </is>
      </c>
      <c r="S360" s="30" t="inlineStr">
        <is>
          <t>Nifty 50</t>
        </is>
      </c>
      <c r="T360" s="31" t="n">
        <v>1.09</v>
      </c>
      <c r="U360" s="31" t="n">
        <v>38.98</v>
      </c>
      <c r="V360" s="31" t="n">
        <v>37.49</v>
      </c>
      <c r="W360" s="31" t="n">
        <v>14.26</v>
      </c>
      <c r="X360" s="30" t="inlineStr">
        <is>
          <t>Cyclical in an Upturn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No</t>
        </is>
      </c>
      <c r="AC360" s="30">
        <f>IF(AB360="No",5,0)</f>
        <v/>
      </c>
      <c r="AD360" s="30" t="inlineStr">
        <is>
          <t>Tailwind</t>
        </is>
      </c>
      <c r="AE360" s="30">
        <f>IF(AD360="Tailwind",10,0)</f>
        <v/>
      </c>
      <c r="AF360" s="30" t="inlineStr">
        <is>
          <t>Structural (10 Years Consistency)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Stable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Yes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Above 40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2</t>
        </is>
      </c>
      <c r="BC360" s="30">
        <f>IF(BB360="Stage 2",20,IF(BB360="Stage 1",0,IF(BB360="Stage 3",5,IF(BB360="Stage 4",-5,0))))</f>
        <v/>
      </c>
      <c r="BD360" s="30" t="inlineStr">
        <is>
          <t>Negative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Close to 52 week high or retracement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Less than 12%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Yes</t>
        </is>
      </c>
      <c r="BS360" s="30">
        <f>IF(BR360="NO",5,0)</f>
        <v/>
      </c>
      <c r="BT360" s="30" t="inlineStr">
        <is>
          <t>Above 2</t>
        </is>
      </c>
      <c r="BU360" s="30">
        <f>IF(BT360="Above 2",0,IF(BT360="Between 1.5 to 2",5,IF(BT360="Less than 1.5",10,0)))</f>
        <v/>
      </c>
      <c r="BV360" s="30" t="inlineStr">
        <is>
          <t>Less than 50%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Less than 0.7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IF(B361=0,"",RANK(B361,$B$2:$B$405,0))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0" t="inlineStr">
        <is>
          <t>GOODLUCK</t>
        </is>
      </c>
      <c r="D361" s="30" t="inlineStr">
        <is>
          <t>Goodluck India Limited</t>
        </is>
      </c>
      <c r="E361" s="30" t="inlineStr">
        <is>
          <t>metals &amp; mining</t>
        </is>
      </c>
      <c r="F361" s="30" t="inlineStr">
        <is>
          <t>steel - medium / small</t>
        </is>
      </c>
      <c r="G361" s="30" t="inlineStr">
        <is>
          <t>smallcap</t>
        </is>
      </c>
      <c r="H361" s="31" t="n">
        <v>4977.8</v>
      </c>
      <c r="I361" s="31" t="n">
        <v>1534.1</v>
      </c>
      <c r="J361" s="31" t="n">
        <v>2.44</v>
      </c>
      <c r="K361" s="31" t="n">
        <v>1035503</v>
      </c>
      <c r="L361" s="30" t="n">
        <v>62</v>
      </c>
      <c r="M361" s="30" t="inlineStr">
        <is>
          <t>Outperforming</t>
        </is>
      </c>
      <c r="N361" s="31">
        <f>IF(M361="Underperforming",-5,IF(L361&gt;=95,15,IF(L361&gt;=90,10,IF(L361&gt;=80,5,0))))</f>
        <v/>
      </c>
      <c r="O361" s="31" t="n">
        <v>61</v>
      </c>
      <c r="P361" s="31" t="n">
        <v>41.87</v>
      </c>
      <c r="Q361" s="31" t="n">
        <v>1200.38</v>
      </c>
      <c r="R361" s="30" t="inlineStr">
        <is>
          <t>Near 52W High Breakout</t>
        </is>
      </c>
      <c r="S361" s="30" t="inlineStr">
        <is>
          <t>Nifty Metal</t>
        </is>
      </c>
      <c r="T361" s="31" t="n">
        <v>39.44</v>
      </c>
      <c r="U361" s="31" t="n">
        <v>43.72</v>
      </c>
      <c r="V361" s="31" t="n">
        <v>3.07</v>
      </c>
      <c r="W361" s="31" t="n">
        <v>13.85</v>
      </c>
      <c r="X361" s="30" t="inlineStr">
        <is>
          <t>Cyclical in an Upturn</t>
        </is>
      </c>
      <c r="Y361" s="30">
        <f>IF(X361="Growing Industry",10,IF(X361="Cyclical in an Upturn",5,0))</f>
        <v/>
      </c>
      <c r="Z361" s="30" t="inlineStr">
        <is>
          <t>Too Many Players with High ROCE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No</t>
        </is>
      </c>
      <c r="AC361" s="30">
        <f>IF(AB361="No",5,0)</f>
        <v/>
      </c>
      <c r="AD361" s="30" t="inlineStr">
        <is>
          <t>Tailwind</t>
        </is>
      </c>
      <c r="AE361" s="30">
        <f>IF(AD361="Tailwind",10,0)</f>
        <v/>
      </c>
      <c r="AF361" s="30" t="inlineStr">
        <is>
          <t>Cyclical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Volatile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Yes</t>
        </is>
      </c>
      <c r="AQ361" s="30">
        <f>IF(AP361="Yes",10,0)</f>
        <v/>
      </c>
      <c r="AR361" s="30" t="inlineStr">
        <is>
          <t>Higher One Time, Lower Annuity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Above 40</t>
        </is>
      </c>
      <c r="AY361" s="30">
        <f>IF(AX361="Above 40",20,IF(AX361="20 to 40",10,IF(AX361="0 to 20",-5,0)))</f>
        <v/>
      </c>
      <c r="AZ361" s="30" t="inlineStr">
        <is>
          <t>Between 50 to 75</t>
        </is>
      </c>
      <c r="BA361" s="30">
        <f>IF(AZ361="Between 50 to 75",10,IF(AZ361="Above 75",0,0))</f>
        <v/>
      </c>
      <c r="BB361" s="30" t="inlineStr">
        <is>
          <t>Stage 2</t>
        </is>
      </c>
      <c r="BC361" s="30">
        <f>IF(BB361="Stage 2",20,IF(BB361="Stage 1",0,IF(BB361="Stage 3",5,IF(BB361="Stage 4",-5,0))))</f>
        <v/>
      </c>
      <c r="BD361" s="30" t="inlineStr">
        <is>
          <t>Negative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Blue sky scenario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More than 20%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No</t>
        </is>
      </c>
      <c r="BS361" s="30">
        <f>IF(BR361="NO",5,0)</f>
        <v/>
      </c>
      <c r="BT361" s="30" t="inlineStr">
        <is>
          <t>Less than 1.5</t>
        </is>
      </c>
      <c r="BU361" s="30">
        <f>IF(BT361="Above 2",0,IF(BT361="Between 1.5 to 2",5,IF(BT361="Less than 1.5",10,0)))</f>
        <v/>
      </c>
      <c r="BV361" s="30" t="inlineStr">
        <is>
          <t>Less than 50%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Between 0.7 to 1.2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IF(B362=0,"",RANK(B362,$B$2:$B$405,0))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0" t="inlineStr">
        <is>
          <t>SHREEPUSHK</t>
        </is>
      </c>
      <c r="D362" s="30" t="inlineStr">
        <is>
          <t>Shree Pushkar Chemicals &amp; Fertilisers Limited</t>
        </is>
      </c>
      <c r="E362" s="30" t="inlineStr">
        <is>
          <t>chemicals</t>
        </is>
      </c>
      <c r="F362" s="30" t="inlineStr">
        <is>
          <t>dyes and pigments</t>
        </is>
      </c>
      <c r="G362" s="30" t="inlineStr">
        <is>
          <t>smallcap</t>
        </is>
      </c>
      <c r="H362" s="31" t="n">
        <v>1346.7</v>
      </c>
      <c r="I362" s="31" t="n">
        <v>423.1</v>
      </c>
      <c r="J362" s="31" t="n">
        <v>1.6</v>
      </c>
      <c r="K362" s="31" t="n">
        <v>36584</v>
      </c>
      <c r="L362" s="30" t="n">
        <v>17</v>
      </c>
      <c r="M362" s="30" t="inlineStr">
        <is>
          <t>Outperforming</t>
        </is>
      </c>
      <c r="N362" s="31">
        <f>IF(M362="Underperforming",-5,IF(L362&gt;=95,15,IF(L362&gt;=90,10,IF(L362&gt;=80,5,0))))</f>
        <v/>
      </c>
      <c r="O362" s="31" t="n">
        <v>57.83</v>
      </c>
      <c r="P362" s="31" t="n">
        <v>34.77</v>
      </c>
      <c r="Q362" s="31" t="n">
        <v>316.74</v>
      </c>
      <c r="R362" s="30" t="inlineStr">
        <is>
          <t>Earnings / Momentum Support</t>
        </is>
      </c>
      <c r="S362" s="30" t="inlineStr">
        <is>
          <t>Nifty IT</t>
        </is>
      </c>
      <c r="T362" s="31" t="n">
        <v>-9.289999999999999</v>
      </c>
      <c r="U362" s="31" t="n">
        <v>12.07</v>
      </c>
      <c r="V362" s="31" t="n">
        <v>23.54</v>
      </c>
      <c r="W362" s="31" t="n">
        <v>3.07</v>
      </c>
      <c r="X362" s="30" t="inlineStr">
        <is>
          <t>Growing Industry</t>
        </is>
      </c>
      <c r="Y362" s="30">
        <f>IF(X362="Growing Industry",10,IF(X362="Cyclical in an Upturn",5,0))</f>
        <v/>
      </c>
      <c r="Z362" s="30" t="inlineStr">
        <is>
          <t>Too Many Players with High ROCE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No</t>
        </is>
      </c>
      <c r="AC362" s="30">
        <f>IF(AB362="No",5,0)</f>
        <v/>
      </c>
      <c r="AD362" s="30" t="inlineStr">
        <is>
          <t>Tailwind</t>
        </is>
      </c>
      <c r="AE362" s="30">
        <f>IF(AD362="Tailwind",10,0)</f>
        <v/>
      </c>
      <c r="AF362" s="30" t="inlineStr">
        <is>
          <t>Structural (10 Years Consistency)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Stable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No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20 to 40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2</t>
        </is>
      </c>
      <c r="BC362" s="30">
        <f>IF(BB362="Stage 2",20,IF(BB362="Stage 1",0,IF(BB362="Stage 3",5,IF(BB362="Stage 4",-5,0))))</f>
        <v/>
      </c>
      <c r="BD362" s="30" t="inlineStr">
        <is>
          <t>Negative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Close to 52 week high or retracement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Less than 12%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No</t>
        </is>
      </c>
      <c r="BS362" s="30">
        <f>IF(BR362="NO",5,0)</f>
        <v/>
      </c>
      <c r="BT362" s="30" t="inlineStr">
        <is>
          <t>Above 2</t>
        </is>
      </c>
      <c r="BU362" s="30">
        <f>IF(BT362="Above 2",0,IF(BT362="Between 1.5 to 2",5,IF(BT362="Less than 1.5",10,0)))</f>
        <v/>
      </c>
      <c r="BV362" s="30" t="inlineStr">
        <is>
          <t>Above 70%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Less than 0.7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IF(B363=0,"",RANK(B363,$B$2:$B$405,0))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0" t="inlineStr">
        <is>
          <t>ARIHANT</t>
        </is>
      </c>
      <c r="D363" s="30" t="inlineStr">
        <is>
          <t>Arihant Foundations &amp; Housing Limited</t>
        </is>
      </c>
      <c r="E363" s="30" t="inlineStr">
        <is>
          <t>realty</t>
        </is>
      </c>
      <c r="F363" s="30" t="inlineStr">
        <is>
          <t>construction</t>
        </is>
      </c>
      <c r="G363" s="30" t="inlineStr">
        <is>
          <t>smallcap</t>
        </is>
      </c>
      <c r="H363" s="31" t="n">
        <v>1132.69</v>
      </c>
      <c r="I363" s="31" t="n">
        <v>1146</v>
      </c>
      <c r="J363" s="31" t="n">
        <v>0.83</v>
      </c>
      <c r="K363" s="31" t="n">
        <v>1815</v>
      </c>
      <c r="L363" s="30" t="n">
        <v>25</v>
      </c>
      <c r="M363" s="30" t="inlineStr">
        <is>
          <t>Outperforming</t>
        </is>
      </c>
      <c r="N363" s="31">
        <f>IF(M363="Underperforming",-5,IF(L363&gt;=95,15,IF(L363&gt;=90,10,IF(L363&gt;=80,5,0))))</f>
        <v/>
      </c>
      <c r="O363" s="31" t="n">
        <v>62.81</v>
      </c>
      <c r="P363" s="31" t="n">
        <v>22.91</v>
      </c>
      <c r="Q363" s="31" t="n">
        <v>697.8099999999999</v>
      </c>
      <c r="R363" s="30" t="inlineStr">
        <is>
          <t>Earnings / Momentum Support</t>
        </is>
      </c>
      <c r="S363" s="30" t="inlineStr">
        <is>
          <t>Nifty Realty</t>
        </is>
      </c>
      <c r="T363" s="31" t="n">
        <v>-6.42</v>
      </c>
      <c r="U363" s="31" t="n">
        <v>-1.45</v>
      </c>
      <c r="V363" s="31" t="n">
        <v>5.31</v>
      </c>
      <c r="W363" s="31" t="n">
        <v>4.89</v>
      </c>
      <c r="X363" s="30" t="inlineStr">
        <is>
          <t>Growing Industry</t>
        </is>
      </c>
      <c r="Y363" s="30">
        <f>IF(X363="Growing Industry",10,IF(X363="Cyclical in an Upturn",5,0))</f>
        <v/>
      </c>
      <c r="Z363" s="30" t="inlineStr">
        <is>
          <t>Too Many Players with High ROCE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No</t>
        </is>
      </c>
      <c r="AC363" s="30">
        <f>IF(AB363="No",5,0)</f>
        <v/>
      </c>
      <c r="AD363" s="30" t="inlineStr">
        <is>
          <t>Headwind</t>
        </is>
      </c>
      <c r="AE363" s="30">
        <f>IF(AD363="Tailwind",10,0)</f>
        <v/>
      </c>
      <c r="AF363" s="30" t="inlineStr">
        <is>
          <t>Structural (10 Years Consistency)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Stable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No</t>
        </is>
      </c>
      <c r="AQ363" s="30">
        <f>IF(AP363="Yes",10,0)</f>
        <v/>
      </c>
      <c r="AR363" s="30" t="inlineStr">
        <is>
          <t>Higher One Time, Lower Annuity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20 to 40</t>
        </is>
      </c>
      <c r="AY363" s="30">
        <f>IF(AX363="Above 40",20,IF(AX363="20 to 40",10,IF(AX363="0 to 20",-5,0)))</f>
        <v/>
      </c>
      <c r="AZ363" s="30" t="inlineStr">
        <is>
          <t>Between 50 to 75</t>
        </is>
      </c>
      <c r="BA363" s="30">
        <f>IF(AZ363="Between 50 to 75",10,IF(AZ363="Above 75",0,0))</f>
        <v/>
      </c>
      <c r="BB363" s="30" t="inlineStr">
        <is>
          <t>Stage 2</t>
        </is>
      </c>
      <c r="BC363" s="30">
        <f>IF(BB363="Stage 2",20,IF(BB363="Stage 1",0,IF(BB363="Stage 3",5,IF(BB363="Stage 4",-5,0))))</f>
        <v/>
      </c>
      <c r="BD363" s="30" t="inlineStr">
        <is>
          <t>Positive Trend</t>
        </is>
      </c>
      <c r="BE363" s="30">
        <f>IF(BD363="Positive Trend",20,IF(BD363="Negative Trend",-10,0))</f>
        <v/>
      </c>
      <c r="BF363" s="30" t="inlineStr">
        <is>
          <t>Uptrend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Close to 52 week high or retracement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Yes</t>
        </is>
      </c>
      <c r="BM363" s="30">
        <f>IF(BL363="Yes",10,0)</f>
        <v/>
      </c>
      <c r="BN363" s="30" t="inlineStr">
        <is>
          <t>Less than 12%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No</t>
        </is>
      </c>
      <c r="BS363" s="30">
        <f>IF(BR363="NO",5,0)</f>
        <v/>
      </c>
      <c r="BT363" s="30" t="inlineStr">
        <is>
          <t>Above 2</t>
        </is>
      </c>
      <c r="BU363" s="30">
        <f>IF(BT363="Above 2",0,IF(BT363="Between 1.5 to 2",5,IF(BT363="Less than 1.5",10,0)))</f>
        <v/>
      </c>
      <c r="BV363" s="30" t="inlineStr">
        <is>
          <t>Above 70%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More than 1.2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IF(B364=0,"",RANK(B364,$B$2:$B$405,0))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0" t="inlineStr">
        <is>
          <t>AZAD</t>
        </is>
      </c>
      <c r="D364" s="30" t="inlineStr">
        <is>
          <t>Azad Engineering Ltd</t>
        </is>
      </c>
      <c r="E364" s="30" t="inlineStr">
        <is>
          <t>aerospace &amp; defence</t>
        </is>
      </c>
      <c r="F364" s="30" t="inlineStr">
        <is>
          <t>engineering</t>
        </is>
      </c>
      <c r="G364" s="30" t="inlineStr">
        <is>
          <t>midcap</t>
        </is>
      </c>
      <c r="H364" s="31" t="n">
        <v>15801.86</v>
      </c>
      <c r="I364" s="31" t="n">
        <v>2455.8</v>
      </c>
      <c r="J364" s="31" t="n">
        <v>0.37</v>
      </c>
      <c r="K364" s="31" t="n">
        <v>292557</v>
      </c>
      <c r="L364" s="30" t="n">
        <v>60</v>
      </c>
      <c r="M364" s="30" t="inlineStr">
        <is>
          <t>Outperforming</t>
        </is>
      </c>
      <c r="N364" s="31">
        <f>IF(M364="Underperforming",-5,IF(L364&gt;=95,15,IF(L364&gt;=90,10,IF(L364&gt;=80,5,0))))</f>
        <v/>
      </c>
      <c r="O364" s="31" t="n">
        <v>63.03</v>
      </c>
      <c r="P364" s="31" t="n">
        <v>31.24</v>
      </c>
      <c r="Q364" s="31" t="n">
        <v>1871.78</v>
      </c>
      <c r="R364" s="30" t="inlineStr">
        <is>
          <t>Near 52W High Breakout</t>
        </is>
      </c>
      <c r="S364" s="30" t="inlineStr">
        <is>
          <t>Nifty 50</t>
        </is>
      </c>
      <c r="T364" s="31" t="n">
        <v>1.09</v>
      </c>
      <c r="U364" s="31" t="n">
        <v>63.56</v>
      </c>
      <c r="V364" s="31" t="n">
        <v>61.8</v>
      </c>
      <c r="W364" s="31" t="n">
        <v>13.53</v>
      </c>
      <c r="X364" s="30" t="inlineStr">
        <is>
          <t>Growing Industry</t>
        </is>
      </c>
      <c r="Y364" s="30">
        <f>IF(X364="Growing Industry",10,IF(X364="Cyclical in an Upturn",5,0))</f>
        <v/>
      </c>
      <c r="Z364" s="30" t="inlineStr">
        <is>
          <t>Too Many Players with High ROCE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No</t>
        </is>
      </c>
      <c r="AC364" s="30">
        <f>IF(AB364="No",5,0)</f>
        <v/>
      </c>
      <c r="AD364" s="30" t="inlineStr">
        <is>
          <t>Tailwind</t>
        </is>
      </c>
      <c r="AE364" s="30">
        <f>IF(AD364="Tailwind",10,0)</f>
        <v/>
      </c>
      <c r="AF364" s="30" t="inlineStr">
        <is>
          <t>Structural (10 Years Consistency)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Stable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Yes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20 to 40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2</t>
        </is>
      </c>
      <c r="BC364" s="30">
        <f>IF(BB364="Stage 2",20,IF(BB364="Stage 1",0,IF(BB364="Stage 3",5,IF(BB364="Stage 4",-5,0))))</f>
        <v/>
      </c>
      <c r="BD364" s="30" t="inlineStr">
        <is>
          <t>Negative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Blue sky scenario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More than 20%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Yes</t>
        </is>
      </c>
      <c r="BS364" s="30">
        <f>IF(BR364="NO",5,0)</f>
        <v/>
      </c>
      <c r="BT364" s="30" t="inlineStr">
        <is>
          <t>Above 2</t>
        </is>
      </c>
      <c r="BU364" s="30">
        <f>IF(BT364="Above 2",0,IF(BT364="Between 1.5 to 2",5,IF(BT364="Less than 1.5",10,0)))</f>
        <v/>
      </c>
      <c r="BV364" s="30" t="inlineStr">
        <is>
          <t>Negative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Less than 0.7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IF(B365=0,"",RANK(B365,$B$2:$B$405,0))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0" t="inlineStr">
        <is>
          <t>SANDHAR</t>
        </is>
      </c>
      <c r="D365" s="30" t="inlineStr">
        <is>
          <t>Sandhar Technologies Limited</t>
        </is>
      </c>
      <c r="E365" s="30" t="inlineStr">
        <is>
          <t>auto</t>
        </is>
      </c>
      <c r="F365" s="30" t="inlineStr">
        <is>
          <t>auto ancillaries</t>
        </is>
      </c>
      <c r="G365" s="30" t="inlineStr">
        <is>
          <t>smallcap</t>
        </is>
      </c>
      <c r="H365" s="31" t="n">
        <v>3940.99</v>
      </c>
      <c r="I365" s="31" t="n">
        <v>656.35</v>
      </c>
      <c r="J365" s="31" t="n">
        <v>0.24</v>
      </c>
      <c r="K365" s="31" t="n">
        <v>145612</v>
      </c>
      <c r="L365" s="30" t="n">
        <v>65</v>
      </c>
      <c r="M365" s="30" t="inlineStr">
        <is>
          <t>Outperforming</t>
        </is>
      </c>
      <c r="N365" s="31">
        <f>IF(M365="Underperforming",-5,IF(L365&gt;=95,15,IF(L365&gt;=90,10,IF(L365&gt;=80,5,0))))</f>
        <v/>
      </c>
      <c r="O365" s="31" t="n">
        <v>58.78</v>
      </c>
      <c r="P365" s="31" t="n">
        <v>35.62</v>
      </c>
      <c r="Q365" s="31" t="n">
        <v>535.1</v>
      </c>
      <c r="R365" s="30" t="inlineStr">
        <is>
          <t>Earnings / Momentum Support</t>
        </is>
      </c>
      <c r="S365" s="30" t="inlineStr">
        <is>
          <t>Nifty Auto</t>
        </is>
      </c>
      <c r="T365" s="31" t="n">
        <v>22.44</v>
      </c>
      <c r="U365" s="31" t="n">
        <v>33.86</v>
      </c>
      <c r="V365" s="31" t="n">
        <v>9.33</v>
      </c>
      <c r="W365" s="31" t="n">
        <v>15.19</v>
      </c>
      <c r="X365" s="30" t="inlineStr">
        <is>
          <t>Growing Industry</t>
        </is>
      </c>
      <c r="Y365" s="30">
        <f>IF(X365="Growing Industry",10,IF(X365="Cyclical in an Upturn",5,0))</f>
        <v/>
      </c>
      <c r="Z365" s="30" t="inlineStr">
        <is>
          <t>Too Many Players with High ROCE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No</t>
        </is>
      </c>
      <c r="AC365" s="30">
        <f>IF(AB365="No",5,0)</f>
        <v/>
      </c>
      <c r="AD365" s="30" t="inlineStr">
        <is>
          <t>Tailwind</t>
        </is>
      </c>
      <c r="AE365" s="30">
        <f>IF(AD365="Tailwind",10,0)</f>
        <v/>
      </c>
      <c r="AF365" s="30" t="inlineStr">
        <is>
          <t>Structural (10 Years Consistency)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Stable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No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20 to 40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2</t>
        </is>
      </c>
      <c r="BC365" s="30">
        <f>IF(BB365="Stage 2",20,IF(BB365="Stage 1",0,IF(BB365="Stage 3",5,IF(BB365="Stage 4",-5,0))))</f>
        <v/>
      </c>
      <c r="BD365" s="30" t="inlineStr">
        <is>
          <t>Negative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Close to 52 week high or retracement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More than 20%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No</t>
        </is>
      </c>
      <c r="BS365" s="30">
        <f>IF(BR365="NO",5,0)</f>
        <v/>
      </c>
      <c r="BT365" s="30" t="inlineStr">
        <is>
          <t>Less than 1.5</t>
        </is>
      </c>
      <c r="BU365" s="30">
        <f>IF(BT365="Above 2",0,IF(BT365="Between 1.5 to 2",5,IF(BT365="Less than 1.5",10,0)))</f>
        <v/>
      </c>
      <c r="BV365" s="30" t="inlineStr">
        <is>
          <t>Less than 50%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Between 0.7 to 1.2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IF(B366=0,"",RANK(B366,$B$2:$B$405,0))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0" t="inlineStr">
        <is>
          <t>LUMAXTECH</t>
        </is>
      </c>
      <c r="D366" s="30" t="inlineStr">
        <is>
          <t>Lumax Auto Technologies Limited</t>
        </is>
      </c>
      <c r="E366" s="30" t="inlineStr">
        <is>
          <t>auto</t>
        </is>
      </c>
      <c r="F366" s="30" t="inlineStr">
        <is>
          <t>auto ancillaries</t>
        </is>
      </c>
      <c r="G366" s="30" t="inlineStr">
        <is>
          <t>midcap</t>
        </is>
      </c>
      <c r="H366" s="31" t="n">
        <v>11572.5</v>
      </c>
      <c r="I366" s="31" t="n">
        <v>1698.3</v>
      </c>
      <c r="J366" s="31" t="n">
        <v>0.02</v>
      </c>
      <c r="K366" s="31" t="n">
        <v>180268</v>
      </c>
      <c r="L366" s="30" t="n">
        <v>52</v>
      </c>
      <c r="M366" s="30" t="inlineStr">
        <is>
          <t>Outperforming</t>
        </is>
      </c>
      <c r="N366" s="31">
        <f>IF(M366="Underperforming",-5,IF(L366&gt;=95,15,IF(L366&gt;=90,10,IF(L366&gt;=80,5,0))))</f>
        <v/>
      </c>
      <c r="O366" s="31" t="n">
        <v>57.73</v>
      </c>
      <c r="P366" s="31" t="n">
        <v>12.42</v>
      </c>
      <c r="Q366" s="31" t="n">
        <v>1278.58</v>
      </c>
      <c r="R366" s="30" t="inlineStr">
        <is>
          <t>Earnings / Momentum Support</t>
        </is>
      </c>
      <c r="S366" s="30" t="inlineStr">
        <is>
          <t>Nifty Auto</t>
        </is>
      </c>
      <c r="T366" s="31" t="n">
        <v>22.44</v>
      </c>
      <c r="U366" s="31" t="n">
        <v>66.56999999999999</v>
      </c>
      <c r="V366" s="31" t="n">
        <v>36.05</v>
      </c>
      <c r="W366" s="31" t="n">
        <v>11.15</v>
      </c>
      <c r="X366" s="30" t="inlineStr">
        <is>
          <t>Growing Industry</t>
        </is>
      </c>
      <c r="Y366" s="30">
        <f>IF(X366="Growing Industry",10,IF(X366="Cyclical in an Upturn",5,0))</f>
        <v/>
      </c>
      <c r="Z366" s="30" t="inlineStr">
        <is>
          <t>Too Many Players with High ROCE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No</t>
        </is>
      </c>
      <c r="AC366" s="30">
        <f>IF(AB366="No",5,0)</f>
        <v/>
      </c>
      <c r="AD366" s="30" t="inlineStr">
        <is>
          <t>Tailwind</t>
        </is>
      </c>
      <c r="AE366" s="30">
        <f>IF(AD366="Tailwind",10,0)</f>
        <v/>
      </c>
      <c r="AF366" s="30" t="inlineStr">
        <is>
          <t>Structural (10 Years Consistency)</t>
        </is>
      </c>
      <c r="AG366" s="30">
        <f>IF(AF366="Structural (10 Years Consistency)",10,IF(AF366="Shallow Cyclical (2 to 3 years growth)",5,0))</f>
        <v/>
      </c>
      <c r="AH366" s="30" t="inlineStr">
        <is>
          <t>No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Stable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B2B</t>
        </is>
      </c>
      <c r="AO366" s="30">
        <f>IF(AN366="B2C",10,IF(AN366="B2B",5,0))</f>
        <v/>
      </c>
      <c r="AP366" s="30" t="inlineStr">
        <is>
          <t>No</t>
        </is>
      </c>
      <c r="AQ366" s="30">
        <f>IF(AP366="Yes",10,0)</f>
        <v/>
      </c>
      <c r="AR366" s="30" t="inlineStr">
        <is>
          <t>Higher One Time, Lower Annuity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Good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0 to 20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1</t>
        </is>
      </c>
      <c r="BC366" s="30">
        <f>IF(BB366="Stage 2",20,IF(BB366="Stage 1",0,IF(BB366="Stage 3",5,IF(BB366="Stage 4",-5,0))))</f>
        <v/>
      </c>
      <c r="BD366" s="30" t="inlineStr">
        <is>
          <t>Positive Trend</t>
        </is>
      </c>
      <c r="BE366" s="30">
        <f>IF(BD366="Positive Trend",20,IF(BD366="Negative Trend",-10,0))</f>
        <v/>
      </c>
      <c r="BF366" s="30" t="inlineStr">
        <is>
          <t>Uptrend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Close to 52 week high or retracement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More than 20%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Yes</t>
        </is>
      </c>
      <c r="BS366" s="30">
        <f>IF(BR366="NO",5,0)</f>
        <v/>
      </c>
      <c r="BT366" s="30" t="inlineStr">
        <is>
          <t>Less than 1.5</t>
        </is>
      </c>
      <c r="BU366" s="30">
        <f>IF(BT366="Above 2",0,IF(BT366="Between 1.5 to 2",5,IF(BT366="Less than 1.5",10,0)))</f>
        <v/>
      </c>
      <c r="BV366" s="30" t="inlineStr">
        <is>
          <t>Above 70%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Between 0.7 to 1.2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Less than 15%</t>
        </is>
      </c>
      <c r="CC366" s="30">
        <f>IF(CB366="More than 15%",-10,IF(CB366="Less than 15%",10,0))</f>
        <v/>
      </c>
      <c r="CD366" s="30" t="inlineStr">
        <is>
          <t>No</t>
        </is>
      </c>
      <c r="CE366" s="30">
        <f>IF(CD366="Yes, more than 10%",-10,IF(CD366="No",10,0))</f>
        <v/>
      </c>
    </row>
    <row r="367">
      <c r="A367" s="30">
        <f>IF(B367=0,"",RANK(B367,$B$2:$B$405,0))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2" t="inlineStr">
        <is>
          <t>OLECTRA</t>
        </is>
      </c>
      <c r="D367" s="32" t="inlineStr">
        <is>
          <t>Olectra Greentech Ltd</t>
        </is>
      </c>
      <c r="E367" s="30" t="inlineStr">
        <is>
          <t>auto</t>
        </is>
      </c>
      <c r="F367" s="30" t="inlineStr">
        <is>
          <t>automobiles - lcvs / hcvs</t>
        </is>
      </c>
      <c r="G367" s="30" t="inlineStr">
        <is>
          <t>midcap</t>
        </is>
      </c>
      <c r="H367" s="31" t="n">
        <v>11486.38</v>
      </c>
      <c r="I367" s="31" t="n">
        <v>1399.4</v>
      </c>
      <c r="J367" s="31" t="n">
        <v>0</v>
      </c>
      <c r="K367" s="31" t="n">
        <v>486029</v>
      </c>
      <c r="L367" s="30" t="n">
        <v>22</v>
      </c>
      <c r="M367" s="30" t="inlineStr">
        <is>
          <t>Underperforming</t>
        </is>
      </c>
      <c r="N367" s="31">
        <f>IF(M367="Underperforming",-5,IF(L367&gt;=95,15,IF(L367&gt;=90,10,IF(L367&gt;=80,5,0))))</f>
        <v/>
      </c>
      <c r="O367" s="31" t="n">
        <v>57.31</v>
      </c>
      <c r="P367" s="31" t="n">
        <v>32.84</v>
      </c>
      <c r="Q367" s="31" t="n">
        <v>1179.86</v>
      </c>
      <c r="R367" s="30" t="inlineStr">
        <is>
          <t>Earnings / Momentum Support</t>
        </is>
      </c>
      <c r="S367" s="30" t="inlineStr">
        <is>
          <t>Nifty Auto</t>
        </is>
      </c>
      <c r="T367" s="31" t="n">
        <v>22.44</v>
      </c>
      <c r="U367" s="31" t="n">
        <v>-5.2</v>
      </c>
      <c r="V367" s="31" t="n">
        <v>-22.57</v>
      </c>
      <c r="W367" s="31" t="n">
        <v>4.08</v>
      </c>
      <c r="X367" s="30" t="inlineStr">
        <is>
          <t>Growing Industry</t>
        </is>
      </c>
      <c r="Y367" s="30">
        <f>IF(X367="Growing Industry",10,IF(X367="Cyclical in an Upturn",5,0))</f>
        <v/>
      </c>
      <c r="Z367" s="30" t="inlineStr">
        <is>
          <t>Too Many Players with High ROCE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No</t>
        </is>
      </c>
      <c r="AC367" s="30">
        <f>IF(AB367="No",5,0)</f>
        <v/>
      </c>
      <c r="AD367" s="30" t="inlineStr">
        <is>
          <t>Tailwind</t>
        </is>
      </c>
      <c r="AE367" s="30">
        <f>IF(AD367="Tailwind",10,0)</f>
        <v/>
      </c>
      <c r="AF367" s="30" t="inlineStr">
        <is>
          <t>Structural (10 Years Consistency)</t>
        </is>
      </c>
      <c r="AG367" s="30">
        <f>IF(AF367="Structural (10 Years Consistency)",10,IF(AF367="Shallow Cyclical (2 to 3 years growth)",5,0))</f>
        <v/>
      </c>
      <c r="AH367" s="30" t="inlineStr">
        <is>
          <t>No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Stable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B2B</t>
        </is>
      </c>
      <c r="AO367" s="30">
        <f>IF(AN367="B2C",10,IF(AN367="B2B",5,0))</f>
        <v/>
      </c>
      <c r="AP367" s="30" t="inlineStr">
        <is>
          <t>No</t>
        </is>
      </c>
      <c r="AQ367" s="30">
        <f>IF(AP367="Yes",10,0)</f>
        <v/>
      </c>
      <c r="AR367" s="30" t="inlineStr">
        <is>
          <t>Higher One Time, Lower Annuity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Good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20 to 40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2</t>
        </is>
      </c>
      <c r="BC367" s="30">
        <f>IF(BB367="Stage 2",20,IF(BB367="Stage 1",0,IF(BB367="Stage 3",5,IF(BB367="Stage 4",-5,0))))</f>
        <v/>
      </c>
      <c r="BD367" s="30" t="inlineStr">
        <is>
          <t>Negative Trend</t>
        </is>
      </c>
      <c r="BE367" s="30">
        <f>IF(BD367="Positive Trend",20,IF(BD367="Negative Trend",-10,0))</f>
        <v/>
      </c>
      <c r="BF367" s="30" t="inlineStr">
        <is>
          <t>Uptrend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Close to 52 week high or retracement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More than 20%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Yes</t>
        </is>
      </c>
      <c r="BS367" s="30">
        <f>IF(BR367="NO",5,0)</f>
        <v/>
      </c>
      <c r="BT367" s="30" t="inlineStr">
        <is>
          <t>Above 2</t>
        </is>
      </c>
      <c r="BU367" s="30">
        <f>IF(BT367="Above 2",0,IF(BT367="Between 1.5 to 2",5,IF(BT367="Less than 1.5",10,0)))</f>
        <v/>
      </c>
      <c r="BV367" s="30" t="inlineStr">
        <is>
          <t>Above 70%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Less than 0.7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Less than 15%</t>
        </is>
      </c>
      <c r="CC367" s="30">
        <f>IF(CB367="More than 15%",-10,IF(CB367="Less than 15%",10,0))</f>
        <v/>
      </c>
      <c r="CD367" s="30" t="inlineStr">
        <is>
          <t>No</t>
        </is>
      </c>
      <c r="CE367" s="30">
        <f>IF(CD367="Yes, more than 10%",-10,IF(CD367="No",10,0))</f>
        <v/>
      </c>
    </row>
    <row r="368">
      <c r="A368" s="30">
        <f>IF(B368=0,"",RANK(B368,$B$2:$B$405,0))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2" t="inlineStr">
        <is>
          <t>JINDALSAW</t>
        </is>
      </c>
      <c r="D368" s="32" t="inlineStr">
        <is>
          <t>Jindal Saw Limited</t>
        </is>
      </c>
      <c r="E368" s="30" t="inlineStr">
        <is>
          <t>industrials</t>
        </is>
      </c>
      <c r="F368" s="30" t="inlineStr">
        <is>
          <t>steel - large</t>
        </is>
      </c>
      <c r="G368" s="30" t="inlineStr">
        <is>
          <t>midcap</t>
        </is>
      </c>
      <c r="H368" s="31" t="n">
        <v>16985.34</v>
      </c>
      <c r="I368" s="31" t="n">
        <v>265.25</v>
      </c>
      <c r="J368" s="31" t="n">
        <v>-0.13</v>
      </c>
      <c r="K368" s="31" t="n">
        <v>1690930</v>
      </c>
      <c r="L368" s="30" t="n">
        <v>38</v>
      </c>
      <c r="M368" s="30" t="inlineStr">
        <is>
          <t>Underperforming</t>
        </is>
      </c>
      <c r="N368" s="31">
        <f>IF(M368="Underperforming",-5,IF(L368&gt;=95,15,IF(L368&gt;=90,10,IF(L368&gt;=80,5,0))))</f>
        <v/>
      </c>
      <c r="O368" s="31" t="n">
        <v>62.01</v>
      </c>
      <c r="P368" s="31" t="n">
        <v>39.15</v>
      </c>
      <c r="Q368" s="31" t="n">
        <v>213.44</v>
      </c>
      <c r="R368" s="30" t="inlineStr">
        <is>
          <t>Near 52W High Breakout</t>
        </is>
      </c>
      <c r="S368" s="30" t="inlineStr">
        <is>
          <t>Nifty Metal</t>
        </is>
      </c>
      <c r="T368" s="31" t="n">
        <v>39.44</v>
      </c>
      <c r="U368" s="31" t="n">
        <v>20.35</v>
      </c>
      <c r="V368" s="31" t="n">
        <v>-13.69</v>
      </c>
      <c r="W368" s="31" t="n">
        <v>7.63</v>
      </c>
      <c r="X368" s="30" t="inlineStr">
        <is>
          <t>Cyclical in an Upturn</t>
        </is>
      </c>
      <c r="Y368" s="30">
        <f>IF(X368="Growing Industry",10,IF(X368="Cyclical in an Upturn",5,0))</f>
        <v/>
      </c>
      <c r="Z368" s="30" t="inlineStr">
        <is>
          <t>Too Many Players with High ROCE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No</t>
        </is>
      </c>
      <c r="AC368" s="30">
        <f>IF(AB368="No",5,0)</f>
        <v/>
      </c>
      <c r="AD368" s="30" t="inlineStr">
        <is>
          <t>Tailwind</t>
        </is>
      </c>
      <c r="AE368" s="30">
        <f>IF(AD368="Tailwind",10,0)</f>
        <v/>
      </c>
      <c r="AF368" s="30" t="inlineStr">
        <is>
          <t>Structural (10 Years Consistency)</t>
        </is>
      </c>
      <c r="AG368" s="30">
        <f>IF(AF368="Structural (10 Years Consistency)",10,IF(AF368="Shallow Cyclical (2 to 3 years growth)",5,0))</f>
        <v/>
      </c>
      <c r="AH368" s="30" t="inlineStr">
        <is>
          <t>No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Stable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Yes</t>
        </is>
      </c>
      <c r="AQ368" s="30">
        <f>IF(AP368="Yes",10,0)</f>
        <v/>
      </c>
      <c r="AR368" s="30" t="inlineStr">
        <is>
          <t>Higher One Time, Lower Annuity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Good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20 to 40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2</t>
        </is>
      </c>
      <c r="BC368" s="30">
        <f>IF(BB368="Stage 2",20,IF(BB368="Stage 1",0,IF(BB368="Stage 3",5,IF(BB368="Stage 4",-5,0))))</f>
        <v/>
      </c>
      <c r="BD368" s="30" t="inlineStr">
        <is>
          <t>Negative Trend</t>
        </is>
      </c>
      <c r="BE368" s="30">
        <f>IF(BD368="Positive Trend",20,IF(BD368="Negative Trend",-10,0))</f>
        <v/>
      </c>
      <c r="BF368" s="30" t="inlineStr">
        <is>
          <t>Uptrend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Close to 52 week high or retracement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Less than 12%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No</t>
        </is>
      </c>
      <c r="BS368" s="30">
        <f>IF(BR368="NO",5,0)</f>
        <v/>
      </c>
      <c r="BT368" s="30" t="inlineStr">
        <is>
          <t>Above 2</t>
        </is>
      </c>
      <c r="BU368" s="30">
        <f>IF(BT368="Above 2",0,IF(BT368="Between 1.5 to 2",5,IF(BT368="Less than 1.5",10,0)))</f>
        <v/>
      </c>
      <c r="BV368" s="30" t="inlineStr">
        <is>
          <t>Above 70%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Less than 0.7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Less than 15%</t>
        </is>
      </c>
      <c r="CC368" s="30">
        <f>IF(CB368="More than 15%",-10,IF(CB368="Less than 15%",10,0))</f>
        <v/>
      </c>
      <c r="CD368" s="30" t="inlineStr">
        <is>
          <t>No</t>
        </is>
      </c>
      <c r="CE368" s="30">
        <f>IF(CD368="Yes, more than 10%",-10,IF(CD368="No",10,0))</f>
        <v/>
      </c>
    </row>
    <row r="369">
      <c r="A369" s="30">
        <f>IF(B369=0,"",RANK(B369,$B$2:$B$405,0))</f>
        <v/>
      </c>
      <c r="B369" s="31">
        <f>SUM(N369,Y369,AA369,AC369,AE369,AG369,AI369,AK369,AM369,AO369,AQ369,AS369,AU369,AW369,AY369,BA369,BC369,BE369,BG369,BI369,BK369,BM369,BO369,BQ369,BS369,BU369,BW369,BY369,CA369,CC369,CE369)</f>
        <v/>
      </c>
      <c r="C369" s="32" t="inlineStr">
        <is>
          <t>M&amp;M</t>
        </is>
      </c>
      <c r="D369" s="32" t="inlineStr">
        <is>
          <t>Mahindra &amp; Mahindra Limited</t>
        </is>
      </c>
      <c r="E369" s="30" t="inlineStr">
        <is>
          <t>auto</t>
        </is>
      </c>
      <c r="F369" s="30" t="inlineStr">
        <is>
          <t>automobiles - passenger cars</t>
        </is>
      </c>
      <c r="G369" s="30" t="inlineStr">
        <is>
          <t>largecap</t>
        </is>
      </c>
      <c r="H369" s="31" t="n">
        <v>429688.95</v>
      </c>
      <c r="I369" s="31" t="n">
        <v>3406</v>
      </c>
      <c r="J369" s="31" t="n">
        <v>-1.43</v>
      </c>
      <c r="K369" s="31" t="n">
        <v>3159858</v>
      </c>
      <c r="L369" s="30" t="n">
        <v>23</v>
      </c>
      <c r="M369" s="30" t="inlineStr">
        <is>
          <t>Underperforming</t>
        </is>
      </c>
      <c r="N369" s="31">
        <f>IF(M369="Underperforming",-5,IF(L369&gt;=95,15,IF(L369&gt;=90,10,IF(L369&gt;=80,5,0))))</f>
        <v/>
      </c>
      <c r="O369" s="31" t="n">
        <v>59.93</v>
      </c>
      <c r="P369" s="31" t="n">
        <v>10.41</v>
      </c>
      <c r="Q369" s="31" t="n">
        <v>2896.07</v>
      </c>
      <c r="R369" s="30" t="inlineStr">
        <is>
          <t>Earnings / Momentum Support</t>
        </is>
      </c>
      <c r="S369" s="30" t="inlineStr">
        <is>
          <t>Nifty Auto</t>
        </is>
      </c>
      <c r="T369" s="31" t="n">
        <v>22.44</v>
      </c>
      <c r="U369" s="31" t="n">
        <v>6.49</v>
      </c>
      <c r="V369" s="31" t="n">
        <v>-13.02</v>
      </c>
      <c r="W369" s="31" t="n">
        <v>4.55</v>
      </c>
      <c r="X369" s="30" t="inlineStr">
        <is>
          <t>Growing Industry</t>
        </is>
      </c>
      <c r="Y369" s="30">
        <f>IF(X369="Growing Industry",10,IF(X369="Cyclical in an Upturn",5,0))</f>
        <v/>
      </c>
      <c r="Z369" s="30" t="inlineStr">
        <is>
          <t>Too Many Players with High ROCE</t>
        </is>
      </c>
      <c r="AA369" s="30">
        <f>IF(Z369="Monopoly",10,IF(Z369="Oligopoly",5,IF(Z369="Duopoly that cooperate",10,IF(Z369="Duopoly that compete",5,IF(Z369="Too many players with High ROCE",5,0)))))</f>
        <v/>
      </c>
      <c r="AB369" s="30" t="inlineStr">
        <is>
          <t>No</t>
        </is>
      </c>
      <c r="AC369" s="30">
        <f>IF(AB369="No",5,0)</f>
        <v/>
      </c>
      <c r="AD369" s="30" t="inlineStr">
        <is>
          <t>Headwind</t>
        </is>
      </c>
      <c r="AE369" s="30">
        <f>IF(AD369="Tailwind",10,0)</f>
        <v/>
      </c>
      <c r="AF369" s="30" t="inlineStr">
        <is>
          <t>Structural (10 Years Consistency)</t>
        </is>
      </c>
      <c r="AG369" s="30">
        <f>IF(AF369="Structural (10 Years Consistency)",10,IF(AF369="Shallow Cyclical (2 to 3 years growth)",5,0))</f>
        <v/>
      </c>
      <c r="AH369" s="30" t="inlineStr">
        <is>
          <t>No</t>
        </is>
      </c>
      <c r="AI369" s="30">
        <f>IF(AH369="Yes due to Product Mix change or Operating Leverage",10,IF(AH369="Yes, these are peak margins",-5,IF(AH369="No",5,0)))</f>
        <v/>
      </c>
      <c r="AJ369" s="30" t="inlineStr">
        <is>
          <t>Stable</t>
        </is>
      </c>
      <c r="AK369" s="30">
        <f>IF(AJ369="Stable",10,0)</f>
        <v/>
      </c>
      <c r="AL369" s="30" t="inlineStr">
        <is>
          <t>Yes</t>
        </is>
      </c>
      <c r="AM369" s="30">
        <f>IF(AL369="Yes",10,0)</f>
        <v/>
      </c>
      <c r="AN369" s="30" t="inlineStr">
        <is>
          <t>B2B</t>
        </is>
      </c>
      <c r="AO369" s="30">
        <f>IF(AN369="B2C",10,IF(AN369="B2B",5,0))</f>
        <v/>
      </c>
      <c r="AP369" s="30" t="inlineStr">
        <is>
          <t>No</t>
        </is>
      </c>
      <c r="AQ369" s="30">
        <f>IF(AP369="Yes",10,0)</f>
        <v/>
      </c>
      <c r="AR369" s="30" t="inlineStr">
        <is>
          <t>Higher One Time, Lower Annuity</t>
        </is>
      </c>
      <c r="AS369" s="30">
        <f>IF(AR369="Fully Annuity",10,IF(AR369="Higher Annuity, Lower One Time",5,IF(AR369="Higher One Time, Lower Annuity",3,0)))</f>
        <v/>
      </c>
      <c r="AT369" s="30" t="inlineStr">
        <is>
          <t>Good</t>
        </is>
      </c>
      <c r="AU369" s="30">
        <f>IF(AT369="Good",10,0)</f>
        <v/>
      </c>
      <c r="AV369" s="30" t="inlineStr">
        <is>
          <t>Yes for more than 2 years</t>
        </is>
      </c>
      <c r="AW369" s="30">
        <f>IF(AV369="Yes for more than 2 years",10,IF(AV369="Yes only for next 1 to 2 years",5,0))</f>
        <v/>
      </c>
      <c r="AX369" s="30" t="inlineStr">
        <is>
          <t>0 to 20</t>
        </is>
      </c>
      <c r="AY369" s="30">
        <f>IF(AX369="Above 40",20,IF(AX369="20 to 40",10,IF(AX369="0 to 20",-5,0)))</f>
        <v/>
      </c>
      <c r="AZ369" s="30" t="inlineStr">
        <is>
          <t>Between 50 to 75</t>
        </is>
      </c>
      <c r="BA369" s="30">
        <f>IF(AZ369="Between 50 to 75",10,IF(AZ369="Above 75",0,0))</f>
        <v/>
      </c>
      <c r="BB369" s="30" t="inlineStr">
        <is>
          <t>Stage 2</t>
        </is>
      </c>
      <c r="BC369" s="30">
        <f>IF(BB369="Stage 2",20,IF(BB369="Stage 1",0,IF(BB369="Stage 3",5,IF(BB369="Stage 4",-5,0))))</f>
        <v/>
      </c>
      <c r="BD369" s="30" t="inlineStr">
        <is>
          <t>Positive Trend</t>
        </is>
      </c>
      <c r="BE369" s="30">
        <f>IF(BD369="Positive Trend",20,IF(BD369="Negative Trend",-10,0))</f>
        <v/>
      </c>
      <c r="BF369" s="30" t="inlineStr">
        <is>
          <t>Uptrend</t>
        </is>
      </c>
      <c r="BG369" s="30">
        <f>IF(BF369="Uptrend",10,IF(BF369="Sideways",5,0))</f>
        <v/>
      </c>
      <c r="BH369" s="30" t="inlineStr">
        <is>
          <t>Uptrend</t>
        </is>
      </c>
      <c r="BI369" s="30">
        <f>IF(BH369="Uptrend",10,IF(BH369="Sideways",5,0))</f>
        <v/>
      </c>
      <c r="BJ369" s="30" t="inlineStr">
        <is>
          <t>Close to 52 week high or retracement</t>
        </is>
      </c>
      <c r="BK369" s="30">
        <f>IF(BJ369="Overhead supply in last 2 years in last 2 years",-5,IF(BJ369="Close to 52 week high or retracement",5,IF(BJ369="Blue sky scenario",10,IF(BJ369="Long term Downtrend",-10,0))))</f>
        <v/>
      </c>
      <c r="BL369" s="30" t="inlineStr">
        <is>
          <t>Yes</t>
        </is>
      </c>
      <c r="BM369" s="30">
        <f>IF(BL369="Yes",10,0)</f>
        <v/>
      </c>
      <c r="BN369" s="30" t="inlineStr">
        <is>
          <t>More than 20%</t>
        </is>
      </c>
      <c r="BO369" s="30">
        <f>IF(BN369="More than 20%",10,IF(BN369="Between 12 to 20%",5,IF(BN369="Less than 12%",0,0)))</f>
        <v/>
      </c>
      <c r="BP369" s="30" t="inlineStr">
        <is>
          <t>No</t>
        </is>
      </c>
      <c r="BQ369" s="30">
        <f>IF(BP369="No",10,0)</f>
        <v/>
      </c>
      <c r="BR369" s="30" t="inlineStr">
        <is>
          <t>No</t>
        </is>
      </c>
      <c r="BS369" s="30">
        <f>IF(BR369="NO",5,0)</f>
        <v/>
      </c>
      <c r="BT369" s="30" t="inlineStr">
        <is>
          <t>Less than 1.5</t>
        </is>
      </c>
      <c r="BU369" s="30">
        <f>IF(BT369="Above 2",0,IF(BT369="Between 1.5 to 2",5,IF(BT369="Less than 1.5",10,0)))</f>
        <v/>
      </c>
      <c r="BV369" s="30" t="inlineStr">
        <is>
          <t>Above 70%</t>
        </is>
      </c>
      <c r="BW369" s="30">
        <f>IF(BV369="Above 70%",10,IF(BV369="Between 50% to 70%",5,IF(BV369="Less than 50%",0,IF(BV369="Negative",-10,IF(BV369="Less than 50% and Borrowings are increasing",-5,0)))))</f>
        <v/>
      </c>
      <c r="BX369" s="30" t="inlineStr">
        <is>
          <t>More than 1.2</t>
        </is>
      </c>
      <c r="BY369" s="30">
        <f>IF(BX369="More than 1.2",-10,IF(BX369="Between 0.7 to 1.2",0,IF(BX369="Less than 0.7",10,0)))</f>
        <v/>
      </c>
      <c r="BZ369" s="30" t="inlineStr">
        <is>
          <t>No</t>
        </is>
      </c>
      <c r="CA369" s="30">
        <f>IF(BZ369="Yes",-10,0)</f>
        <v/>
      </c>
      <c r="CB369" s="30" t="inlineStr">
        <is>
          <t>Less than 15%</t>
        </is>
      </c>
      <c r="CC369" s="30">
        <f>IF(CB369="More than 15%",-10,IF(CB369="Less than 15%",10,0))</f>
        <v/>
      </c>
      <c r="CD369" s="30" t="inlineStr">
        <is>
          <t>No</t>
        </is>
      </c>
      <c r="CE369" s="30">
        <f>IF(CD369="Yes, more than 10%",-10,IF(CD369="No",10,0))</f>
        <v/>
      </c>
    </row>
    <row r="370">
      <c r="A370" s="30">
        <f>IF(B370=0,"",RANK(B370,$B$2:$B$405,0))</f>
        <v/>
      </c>
      <c r="B370" s="31">
        <f>SUM(N370,Y370,AA370,AC370,AE370,AG370,AI370,AK370,AM370,AO370,AQ370,AS370,AU370,AW370,AY370,BA370,BC370,BE370,BG370,BI370,BK370,BM370,BO370,BQ370,BS370,BU370,BW370,BY370,CA370,CC370,CE370)</f>
        <v/>
      </c>
      <c r="C370" s="30" t="inlineStr">
        <is>
          <t>RITCO</t>
        </is>
      </c>
      <c r="D370" s="30" t="inlineStr">
        <is>
          <t>Ritco Logistics Ltd</t>
        </is>
      </c>
      <c r="E370" s="30" t="inlineStr">
        <is>
          <t>transportation</t>
        </is>
      </c>
      <c r="F370" s="30" t="inlineStr">
        <is>
          <t>miscellaneous</t>
        </is>
      </c>
      <c r="G370" s="30" t="inlineStr">
        <is>
          <t>smallcap</t>
        </is>
      </c>
      <c r="H370" s="31" t="n">
        <v>893.3200000000001</v>
      </c>
      <c r="I370" s="31" t="n">
        <v>302.3</v>
      </c>
      <c r="J370" s="31" t="n">
        <v>-3.14</v>
      </c>
      <c r="K370" s="31" t="n">
        <v>162063</v>
      </c>
      <c r="L370" s="30" t="n">
        <v>34</v>
      </c>
      <c r="M370" s="30" t="inlineStr">
        <is>
          <t>Outperforming</t>
        </is>
      </c>
      <c r="N370" s="31">
        <f>IF(M370="Underperforming",-5,IF(L370&gt;=95,15,IF(L370&gt;=90,10,IF(L370&gt;=80,5,0))))</f>
        <v/>
      </c>
      <c r="O370" s="31" t="n">
        <v>65.67</v>
      </c>
      <c r="P370" s="31" t="n">
        <v>35.25</v>
      </c>
      <c r="Q370" s="31" t="n">
        <v>231.37</v>
      </c>
      <c r="R370" s="30" t="inlineStr">
        <is>
          <t>Near 52W High Breakout</t>
        </is>
      </c>
      <c r="S370" s="30" t="inlineStr">
        <is>
          <t>Nifty 50</t>
        </is>
      </c>
      <c r="T370" s="31" t="n">
        <v>1.09</v>
      </c>
      <c r="U370" s="31" t="n">
        <v>7.06</v>
      </c>
      <c r="V370" s="31" t="n">
        <v>5.9</v>
      </c>
      <c r="W370" s="31" t="n">
        <v>6.75</v>
      </c>
      <c r="X370" s="30" t="inlineStr">
        <is>
          <t>Growing Industry</t>
        </is>
      </c>
      <c r="Y370" s="30">
        <f>IF(X370="Growing Industry",10,IF(X370="Cyclical in an Upturn",5,0))</f>
        <v/>
      </c>
      <c r="Z370" s="30" t="inlineStr">
        <is>
          <t>Too Many Players with High ROCE</t>
        </is>
      </c>
      <c r="AA370" s="30">
        <f>IF(Z370="Monopoly",10,IF(Z370="Oligopoly",5,IF(Z370="Duopoly that cooperate",10,IF(Z370="Duopoly that compete",5,IF(Z370="Too many players with High ROCE",5,0)))))</f>
        <v/>
      </c>
      <c r="AB370" s="30" t="inlineStr">
        <is>
          <t>No</t>
        </is>
      </c>
      <c r="AC370" s="30">
        <f>IF(AB370="No",5,0)</f>
        <v/>
      </c>
      <c r="AD370" s="30" t="inlineStr">
        <is>
          <t>Tailwind</t>
        </is>
      </c>
      <c r="AE370" s="30">
        <f>IF(AD370="Tailwind",10,0)</f>
        <v/>
      </c>
      <c r="AF370" s="30" t="inlineStr">
        <is>
          <t>Structural (10 Years Consistency)</t>
        </is>
      </c>
      <c r="AG370" s="30">
        <f>IF(AF370="Structural (10 Years Consistency)",10,IF(AF370="Shallow Cyclical (2 to 3 years growth)",5,0))</f>
        <v/>
      </c>
      <c r="AH370" s="30" t="inlineStr">
        <is>
          <t>No</t>
        </is>
      </c>
      <c r="AI370" s="30">
        <f>IF(AH370="Yes due to Product Mix change or Operating Leverage",10,IF(AH370="Yes, these are peak margins",-5,IF(AH370="No",5,0)))</f>
        <v/>
      </c>
      <c r="AJ370" s="30" t="inlineStr">
        <is>
          <t>Stable</t>
        </is>
      </c>
      <c r="AK370" s="30">
        <f>IF(AJ370="Stable",10,0)</f>
        <v/>
      </c>
      <c r="AL370" s="30" t="inlineStr">
        <is>
          <t>Yes</t>
        </is>
      </c>
      <c r="AM370" s="30">
        <f>IF(AL370="Yes",10,0)</f>
        <v/>
      </c>
      <c r="AN370" s="30" t="inlineStr">
        <is>
          <t>B2B</t>
        </is>
      </c>
      <c r="AO370" s="30">
        <f>IF(AN370="B2C",10,IF(AN370="B2B",5,0))</f>
        <v/>
      </c>
      <c r="AP370" s="30" t="inlineStr">
        <is>
          <t>Yes</t>
        </is>
      </c>
      <c r="AQ370" s="30">
        <f>IF(AP370="Yes",10,0)</f>
        <v/>
      </c>
      <c r="AR370" s="30" t="inlineStr">
        <is>
          <t>Higher One Time, Lower Annuity</t>
        </is>
      </c>
      <c r="AS370" s="30">
        <f>IF(AR370="Fully Annuity",10,IF(AR370="Higher Annuity, Lower One Time",5,IF(AR370="Higher One Time, Lower Annuity",3,0)))</f>
        <v/>
      </c>
      <c r="AT370" s="30" t="inlineStr">
        <is>
          <t>Good</t>
        </is>
      </c>
      <c r="AU370" s="30">
        <f>IF(AT370="Good",10,0)</f>
        <v/>
      </c>
      <c r="AV370" s="30" t="inlineStr">
        <is>
          <t>Yes for more than 2 years</t>
        </is>
      </c>
      <c r="AW370" s="30">
        <f>IF(AV370="Yes for more than 2 years",10,IF(AV370="Yes only for next 1 to 2 years",5,0))</f>
        <v/>
      </c>
      <c r="AX370" s="30" t="inlineStr">
        <is>
          <t>20 to 40</t>
        </is>
      </c>
      <c r="AY370" s="30">
        <f>IF(AX370="Above 40",20,IF(AX370="20 to 40",10,IF(AX370="0 to 20",-5,0)))</f>
        <v/>
      </c>
      <c r="AZ370" s="30" t="inlineStr">
        <is>
          <t>Between 50 to 75</t>
        </is>
      </c>
      <c r="BA370" s="30">
        <f>IF(AZ370="Between 50 to 75",10,IF(AZ370="Above 75",0,0))</f>
        <v/>
      </c>
      <c r="BB370" s="30" t="inlineStr">
        <is>
          <t>Stage 2</t>
        </is>
      </c>
      <c r="BC370" s="30">
        <f>IF(BB370="Stage 2",20,IF(BB370="Stage 1",0,IF(BB370="Stage 3",5,IF(BB370="Stage 4",-5,0))))</f>
        <v/>
      </c>
      <c r="BD370" s="30" t="inlineStr">
        <is>
          <t>Positive Trend</t>
        </is>
      </c>
      <c r="BE370" s="30">
        <f>IF(BD370="Positive Trend",20,IF(BD370="Negative Trend",-10,0))</f>
        <v/>
      </c>
      <c r="BF370" s="30" t="inlineStr">
        <is>
          <t>Uptrend</t>
        </is>
      </c>
      <c r="BG370" s="30">
        <f>IF(BF370="Uptrend",10,IF(BF370="Sideways",5,0))</f>
        <v/>
      </c>
      <c r="BH370" s="30" t="inlineStr">
        <is>
          <t>Uptrend</t>
        </is>
      </c>
      <c r="BI370" s="30">
        <f>IF(BH370="Uptrend",10,IF(BH370="Sideways",5,0))</f>
        <v/>
      </c>
      <c r="BJ370" s="30" t="inlineStr">
        <is>
          <t>Close to 52 week high or retracement</t>
        </is>
      </c>
      <c r="BK370" s="30">
        <f>IF(BJ370="Overhead supply in last 2 years in last 2 years",-5,IF(BJ370="Close to 52 week high or retracement",5,IF(BJ370="Blue sky scenario",10,IF(BJ370="Long term Downtrend",-10,0))))</f>
        <v/>
      </c>
      <c r="BL370" s="30" t="inlineStr">
        <is>
          <t>Yes</t>
        </is>
      </c>
      <c r="BM370" s="30">
        <f>IF(BL370="Yes",10,0)</f>
        <v/>
      </c>
      <c r="BN370" s="30" t="inlineStr">
        <is>
          <t>Less than 12%</t>
        </is>
      </c>
      <c r="BO370" s="30">
        <f>IF(BN370="More than 20%",10,IF(BN370="Between 12 to 20%",5,IF(BN370="Less than 12%",0,0)))</f>
        <v/>
      </c>
      <c r="BP370" s="30" t="inlineStr">
        <is>
          <t>No</t>
        </is>
      </c>
      <c r="BQ370" s="30">
        <f>IF(BP370="No",10,0)</f>
        <v/>
      </c>
      <c r="BR370" s="30" t="inlineStr">
        <is>
          <t>No</t>
        </is>
      </c>
      <c r="BS370" s="30">
        <f>IF(BR370="NO",5,0)</f>
        <v/>
      </c>
      <c r="BT370" s="30" t="inlineStr">
        <is>
          <t>Above 2</t>
        </is>
      </c>
      <c r="BU370" s="30">
        <f>IF(BT370="Above 2",0,IF(BT370="Between 1.5 to 2",5,IF(BT370="Less than 1.5",10,0)))</f>
        <v/>
      </c>
      <c r="BV370" s="30" t="inlineStr">
        <is>
          <t>Negative</t>
        </is>
      </c>
      <c r="BW370" s="30">
        <f>IF(BV370="Above 70%",10,IF(BV370="Between 50% to 70%",5,IF(BV370="Less than 50%",0,IF(BV370="Negative",-10,IF(BV370="Less than 50% and Borrowings are increasing",-5,0)))))</f>
        <v/>
      </c>
      <c r="BX370" s="30" t="inlineStr">
        <is>
          <t>More than 1.2</t>
        </is>
      </c>
      <c r="BY370" s="30">
        <f>IF(BX370="More than 1.2",-10,IF(BX370="Between 0.7 to 1.2",0,IF(BX370="Less than 0.7",10,0)))</f>
        <v/>
      </c>
      <c r="BZ370" s="30" t="inlineStr">
        <is>
          <t>No</t>
        </is>
      </c>
      <c r="CA370" s="30">
        <f>IF(BZ370="Yes",-10,0)</f>
        <v/>
      </c>
      <c r="CB370" s="30" t="inlineStr">
        <is>
          <t>Less than 15%</t>
        </is>
      </c>
      <c r="CC370" s="30">
        <f>IF(CB370="More than 15%",-10,IF(CB370="Less than 15%",10,0))</f>
        <v/>
      </c>
      <c r="CD370" s="30" t="inlineStr">
        <is>
          <t>No</t>
        </is>
      </c>
      <c r="CE370" s="30">
        <f>IF(CD370="Yes, more than 10%",-10,IF(CD370="No",10,0))</f>
        <v/>
      </c>
    </row>
    <row r="371">
      <c r="A371" s="30">
        <f>IF(B371=0,"",RANK(B371,$B$2:$B$405,0))</f>
        <v/>
      </c>
      <c r="B371" s="31">
        <f>SUM(N371,Y371,AA371,AC371,AE371,AG371,AI371,AK371,AM371,AO371,AQ371,AS371,AU371,AW371,AY371,BA371,BC371,BE371,BG371,BI371,BK371,BM371,BO371,BQ371,BS371,BU371,BW371,BY371,CA371,CC371,CE371)</f>
        <v/>
      </c>
      <c r="C371" s="32" t="inlineStr">
        <is>
          <t>INDGN</t>
        </is>
      </c>
      <c r="D371" s="32" t="inlineStr">
        <is>
          <t>Indegene Ltd</t>
        </is>
      </c>
      <c r="E371" s="30" t="inlineStr">
        <is>
          <t>healthcare</t>
        </is>
      </c>
      <c r="F371" s="30" t="inlineStr">
        <is>
          <t>miscellaneous</t>
        </is>
      </c>
      <c r="G371" s="30" t="inlineStr">
        <is>
          <t>midcap</t>
        </is>
      </c>
      <c r="H371" s="31" t="n">
        <v>13018.76</v>
      </c>
      <c r="I371" s="31" t="n">
        <v>550.2</v>
      </c>
      <c r="J371" s="31" t="n">
        <v>1.83</v>
      </c>
      <c r="K371" s="31" t="n">
        <v>3351726</v>
      </c>
      <c r="L371" s="30" t="n">
        <v>5</v>
      </c>
      <c r="M371" s="30" t="inlineStr">
        <is>
          <t>Underperforming</t>
        </is>
      </c>
      <c r="N371" s="31">
        <f>IF(M371="Underperforming",-5,IF(L371&gt;=95,15,IF(L371&gt;=90,10,IF(L371&gt;=80,5,0))))</f>
        <v/>
      </c>
      <c r="O371" s="31" t="n">
        <v>60.03</v>
      </c>
      <c r="P371" s="31" t="n">
        <v>15.16</v>
      </c>
      <c r="Q371" s="31" t="n">
        <v>442.65</v>
      </c>
      <c r="R371" s="30" t="inlineStr">
        <is>
          <t>Volume Spike / Accumulation</t>
        </is>
      </c>
      <c r="S371" s="30" t="inlineStr">
        <is>
          <t>Nifty Pharma</t>
        </is>
      </c>
      <c r="T371" s="31" t="n">
        <v>24.42</v>
      </c>
      <c r="U371" s="31" t="n">
        <v>-4.14</v>
      </c>
      <c r="V371" s="31" t="n">
        <v>-22.96</v>
      </c>
      <c r="W371" s="31" t="n">
        <v>0</v>
      </c>
      <c r="X371" s="30" t="inlineStr">
        <is>
          <t>Growing Industry</t>
        </is>
      </c>
      <c r="Y371" s="30">
        <f>IF(X371="Growing Industry",10,IF(X371="Cyclical in an Upturn",5,0))</f>
        <v/>
      </c>
      <c r="Z371" s="30" t="inlineStr">
        <is>
          <t>Too Many Players with High ROCE</t>
        </is>
      </c>
      <c r="AA371" s="30">
        <f>IF(Z371="Monopoly",10,IF(Z371="Oligopoly",5,IF(Z371="Duopoly that cooperate",10,IF(Z371="Duopoly that compete",5,IF(Z371="Too many players with High ROCE",5,0)))))</f>
        <v/>
      </c>
      <c r="AB371" s="30" t="inlineStr">
        <is>
          <t>Yes</t>
        </is>
      </c>
      <c r="AC371" s="30">
        <f>IF(AB371="No",5,0)</f>
        <v/>
      </c>
      <c r="AD371" s="30" t="inlineStr">
        <is>
          <t>Tailwind</t>
        </is>
      </c>
      <c r="AE371" s="30">
        <f>IF(AD371="Tailwind",10,0)</f>
        <v/>
      </c>
      <c r="AF371" s="30" t="inlineStr">
        <is>
          <t>Structural (10 Years Consistency)</t>
        </is>
      </c>
      <c r="AG371" s="30">
        <f>IF(AF371="Structural (10 Years Consistency)",10,IF(AF371="Shallow Cyclical (2 to 3 years growth)",5,0))</f>
        <v/>
      </c>
      <c r="AH371" s="30" t="inlineStr">
        <is>
          <t>No</t>
        </is>
      </c>
      <c r="AI371" s="30">
        <f>IF(AH371="Yes due to Product Mix change or Operating Leverage",10,IF(AH371="Yes, these are peak margins",-5,IF(AH371="No",5,0)))</f>
        <v/>
      </c>
      <c r="AJ371" s="30" t="inlineStr">
        <is>
          <t>Stable</t>
        </is>
      </c>
      <c r="AK371" s="30">
        <f>IF(AJ371="Stable",10,0)</f>
        <v/>
      </c>
      <c r="AL371" s="30" t="inlineStr">
        <is>
          <t>Yes</t>
        </is>
      </c>
      <c r="AM371" s="30">
        <f>IF(AL371="Yes",10,0)</f>
        <v/>
      </c>
      <c r="AN371" s="30" t="inlineStr">
        <is>
          <t>B2B</t>
        </is>
      </c>
      <c r="AO371" s="30">
        <f>IF(AN371="B2C",10,IF(AN371="B2B",5,0))</f>
        <v/>
      </c>
      <c r="AP371" s="30" t="inlineStr">
        <is>
          <t>Yes</t>
        </is>
      </c>
      <c r="AQ371" s="30">
        <f>IF(AP371="Yes",10,0)</f>
        <v/>
      </c>
      <c r="AR371" s="30" t="inlineStr">
        <is>
          <t>Higher Annuity, Lower One Time</t>
        </is>
      </c>
      <c r="AS371" s="30">
        <f>IF(AR371="Fully Annuity",10,IF(AR371="Higher Annuity, Lower One Time",5,IF(AR371="Higher One Time, Lower Annuity",3,0)))</f>
        <v/>
      </c>
      <c r="AT371" s="30" t="inlineStr">
        <is>
          <t>Good</t>
        </is>
      </c>
      <c r="AU371" s="30">
        <f>IF(AT371="Good",10,0)</f>
        <v/>
      </c>
      <c r="AV371" s="30" t="inlineStr">
        <is>
          <t>Yes for more than 2 years</t>
        </is>
      </c>
      <c r="AW371" s="30">
        <f>IF(AV371="Yes for more than 2 years",10,IF(AV371="Yes only for next 1 to 2 years",5,0))</f>
        <v/>
      </c>
      <c r="AX371" s="30" t="inlineStr">
        <is>
          <t>0 to 20</t>
        </is>
      </c>
      <c r="AY371" s="30">
        <f>IF(AX371="Above 40",20,IF(AX371="20 to 40",10,IF(AX371="0 to 20",-5,0)))</f>
        <v/>
      </c>
      <c r="AZ371" s="30" t="inlineStr">
        <is>
          <t>Between 50 to 75</t>
        </is>
      </c>
      <c r="BA371" s="30">
        <f>IF(AZ371="Between 50 to 75",10,IF(AZ371="Above 75",0,0))</f>
        <v/>
      </c>
      <c r="BB371" s="30" t="inlineStr">
        <is>
          <t>Stage 1</t>
        </is>
      </c>
      <c r="BC371" s="30">
        <f>IF(BB371="Stage 2",20,IF(BB371="Stage 1",0,IF(BB371="Stage 3",5,IF(BB371="Stage 4",-5,0))))</f>
        <v/>
      </c>
      <c r="BD371" s="30" t="inlineStr">
        <is>
          <t>Positive Trend</t>
        </is>
      </c>
      <c r="BE371" s="30">
        <f>IF(BD371="Positive Trend",20,IF(BD371="Negative Trend",-10,0))</f>
        <v/>
      </c>
      <c r="BF371" s="30" t="inlineStr">
        <is>
          <t>Uptrend</t>
        </is>
      </c>
      <c r="BG371" s="30">
        <f>IF(BF371="Uptrend",10,IF(BF371="Sideways",5,0))</f>
        <v/>
      </c>
      <c r="BH371" s="30" t="inlineStr">
        <is>
          <t>Uptrend</t>
        </is>
      </c>
      <c r="BI371" s="30">
        <f>IF(BH371="Uptrend",10,IF(BH371="Sideways",5,0))</f>
        <v/>
      </c>
      <c r="BJ371" s="30" t="inlineStr">
        <is>
          <t>Close to 52 week high or retracement</t>
        </is>
      </c>
      <c r="BK371" s="30">
        <f>IF(BJ371="Overhead supply in last 2 years in last 2 years",-5,IF(BJ371="Close to 52 week high or retracement",5,IF(BJ371="Blue sky scenario",10,IF(BJ371="Long term Downtrend",-10,0))))</f>
        <v/>
      </c>
      <c r="BL371" s="30" t="inlineStr">
        <is>
          <t>Yes</t>
        </is>
      </c>
      <c r="BM371" s="30">
        <f>IF(BL371="Yes",10,0)</f>
        <v/>
      </c>
      <c r="BN371" s="30" t="inlineStr">
        <is>
          <t>Less than 12%</t>
        </is>
      </c>
      <c r="BO371" s="30">
        <f>IF(BN371="More than 20%",10,IF(BN371="Between 12 to 20%",5,IF(BN371="Less than 12%",0,0)))</f>
        <v/>
      </c>
      <c r="BP371" s="30" t="inlineStr">
        <is>
          <t>No</t>
        </is>
      </c>
      <c r="BQ371" s="30">
        <f>IF(BP371="No",10,0)</f>
        <v/>
      </c>
      <c r="BR371" s="30" t="inlineStr">
        <is>
          <t>No</t>
        </is>
      </c>
      <c r="BS371" s="30">
        <f>IF(BR371="NO",5,0)</f>
        <v/>
      </c>
      <c r="BT371" s="30" t="inlineStr">
        <is>
          <t>Above 2</t>
        </is>
      </c>
      <c r="BU371" s="30">
        <f>IF(BT371="Above 2",0,IF(BT371="Between 1.5 to 2",5,IF(BT371="Less than 1.5",10,0)))</f>
        <v/>
      </c>
      <c r="BV371" s="30" t="inlineStr">
        <is>
          <t>Above 70%</t>
        </is>
      </c>
      <c r="BW371" s="30">
        <f>IF(BV371="Above 70%",10,IF(BV371="Between 50% to 70%",5,IF(BV371="Less than 50%",0,IF(BV371="Negative",-10,IF(BV371="Less than 50% and Borrowings are increasing",-5,0)))))</f>
        <v/>
      </c>
      <c r="BX371" s="30" t="inlineStr">
        <is>
          <t>Less than 0.7</t>
        </is>
      </c>
      <c r="BY371" s="30">
        <f>IF(BX371="More than 1.2",-10,IF(BX371="Between 0.7 to 1.2",0,IF(BX371="Less than 0.7",10,0)))</f>
        <v/>
      </c>
      <c r="BZ371" s="30" t="inlineStr">
        <is>
          <t>No</t>
        </is>
      </c>
      <c r="CA371" s="30">
        <f>IF(BZ371="Yes",-10,0)</f>
        <v/>
      </c>
      <c r="CB371" s="30" t="inlineStr">
        <is>
          <t>Less than 15%</t>
        </is>
      </c>
      <c r="CC371" s="30">
        <f>IF(CB371="More than 15%",-10,IF(CB371="Less than 15%",10,0))</f>
        <v/>
      </c>
      <c r="CD371" s="30" t="inlineStr">
        <is>
          <t>No</t>
        </is>
      </c>
      <c r="CE371" s="30">
        <f>IF(CD371="Yes, more than 10%",-10,IF(CD371="No",10,0))</f>
        <v/>
      </c>
    </row>
    <row r="372">
      <c r="A372" s="30">
        <f>IF(B372=0,"",RANK(B372,$B$2:$B$405,0))</f>
        <v/>
      </c>
      <c r="B372" s="31">
        <f>SUM(N372,Y372,AA372,AC372,AE372,AG372,AI372,AK372,AM372,AO372,AQ372,AS372,AU372,AW372,AY372,BA372,BC372,BE372,BG372,BI372,BK372,BM372,BO372,BQ372,BS372,BU372,BW372,BY372,CA372,CC372,CE372)</f>
        <v/>
      </c>
      <c r="C372" s="32" t="inlineStr">
        <is>
          <t>HCG</t>
        </is>
      </c>
      <c r="D372" s="32" t="inlineStr">
        <is>
          <t>Healthcare Global Enterprises Limited</t>
        </is>
      </c>
      <c r="E372" s="30" t="inlineStr">
        <is>
          <t>healthcare</t>
        </is>
      </c>
      <c r="F372" s="30" t="inlineStr">
        <is>
          <t>healthcare</t>
        </is>
      </c>
      <c r="G372" s="30" t="inlineStr">
        <is>
          <t>midcap</t>
        </is>
      </c>
      <c r="H372" s="31" t="n">
        <v>9995.780000000001</v>
      </c>
      <c r="I372" s="31" t="n">
        <v>674</v>
      </c>
      <c r="J372" s="31" t="n">
        <v>0.67</v>
      </c>
      <c r="K372" s="31" t="n">
        <v>167096</v>
      </c>
      <c r="L372" s="30" t="n">
        <v>29</v>
      </c>
      <c r="M372" s="30" t="inlineStr">
        <is>
          <t>Underperforming</t>
        </is>
      </c>
      <c r="N372" s="31">
        <f>IF(M372="Underperforming",-5,IF(L372&gt;=95,15,IF(L372&gt;=90,10,IF(L372&gt;=80,5,0))))</f>
        <v/>
      </c>
      <c r="O372" s="31" t="n">
        <v>62.01</v>
      </c>
      <c r="P372" s="31" t="n">
        <v>25.42</v>
      </c>
      <c r="Q372" s="31" t="n">
        <v>553.3200000000001</v>
      </c>
      <c r="R372" s="30" t="inlineStr">
        <is>
          <t>Earnings / Momentum Support</t>
        </is>
      </c>
      <c r="S372" s="30" t="inlineStr">
        <is>
          <t>Nifty Pharma</t>
        </is>
      </c>
      <c r="T372" s="31" t="n">
        <v>24.42</v>
      </c>
      <c r="U372" s="31" t="n">
        <v>9.31</v>
      </c>
      <c r="V372" s="31" t="n">
        <v>-12.14</v>
      </c>
      <c r="W372" s="31" t="n">
        <v>5.52</v>
      </c>
      <c r="X372" s="30" t="inlineStr">
        <is>
          <t>Growing Industry</t>
        </is>
      </c>
      <c r="Y372" s="30">
        <f>IF(X372="Growing Industry",10,IF(X372="Cyclical in an Upturn",5,0))</f>
        <v/>
      </c>
      <c r="Z372" s="30" t="inlineStr">
        <is>
          <t>Too Many Players with High ROCE</t>
        </is>
      </c>
      <c r="AA372" s="30">
        <f>IF(Z372="Monopoly",10,IF(Z372="Oligopoly",5,IF(Z372="Duopoly that cooperate",10,IF(Z372="Duopoly that compete",5,IF(Z372="Too many players with High ROCE",5,0)))))</f>
        <v/>
      </c>
      <c r="AB372" s="30" t="inlineStr">
        <is>
          <t>Yes</t>
        </is>
      </c>
      <c r="AC372" s="30">
        <f>IF(AB372="No",5,0)</f>
        <v/>
      </c>
      <c r="AD372" s="30" t="inlineStr">
        <is>
          <t>Tailwind</t>
        </is>
      </c>
      <c r="AE372" s="30">
        <f>IF(AD372="Tailwind",10,0)</f>
        <v/>
      </c>
      <c r="AF372" s="30" t="inlineStr">
        <is>
          <t>Structural (10 Years Consistency)</t>
        </is>
      </c>
      <c r="AG372" s="30">
        <f>IF(AF372="Structural (10 Years Consistency)",10,IF(AF372="Shallow Cyclical (2 to 3 years growth)",5,0))</f>
        <v/>
      </c>
      <c r="AH372" s="30" t="inlineStr">
        <is>
          <t>No</t>
        </is>
      </c>
      <c r="AI372" s="30">
        <f>IF(AH372="Yes due to Product Mix change or Operating Leverage",10,IF(AH372="Yes, these are peak margins",-5,IF(AH372="No",5,0)))</f>
        <v/>
      </c>
      <c r="AJ372" s="30" t="inlineStr">
        <is>
          <t>Stable</t>
        </is>
      </c>
      <c r="AK372" s="30">
        <f>IF(AJ372="Stable",10,0)</f>
        <v/>
      </c>
      <c r="AL372" s="30" t="inlineStr">
        <is>
          <t>Yes</t>
        </is>
      </c>
      <c r="AM372" s="30">
        <f>IF(AL372="Yes",10,0)</f>
        <v/>
      </c>
      <c r="AN372" s="30" t="inlineStr">
        <is>
          <t>B2B</t>
        </is>
      </c>
      <c r="AO372" s="30">
        <f>IF(AN372="B2C",10,IF(AN372="B2B",5,0))</f>
        <v/>
      </c>
      <c r="AP372" s="30" t="inlineStr">
        <is>
          <t>No</t>
        </is>
      </c>
      <c r="AQ372" s="30">
        <f>IF(AP372="Yes",10,0)</f>
        <v/>
      </c>
      <c r="AR372" s="30" t="inlineStr">
        <is>
          <t>Higher Annuity, Lower One Time</t>
        </is>
      </c>
      <c r="AS372" s="30">
        <f>IF(AR372="Fully Annuity",10,IF(AR372="Higher Annuity, Lower One Time",5,IF(AR372="Higher One Time, Lower Annuity",3,0)))</f>
        <v/>
      </c>
      <c r="AT372" s="30" t="inlineStr">
        <is>
          <t>Good</t>
        </is>
      </c>
      <c r="AU372" s="30">
        <f>IF(AT372="Good",10,0)</f>
        <v/>
      </c>
      <c r="AV372" s="30" t="inlineStr">
        <is>
          <t>Yes for more than 2 years</t>
        </is>
      </c>
      <c r="AW372" s="30">
        <f>IF(AV372="Yes for more than 2 years",10,IF(AV372="Yes only for next 1 to 2 years",5,0))</f>
        <v/>
      </c>
      <c r="AX372" s="30" t="inlineStr">
        <is>
          <t>20 to 40</t>
        </is>
      </c>
      <c r="AY372" s="30">
        <f>IF(AX372="Above 40",20,IF(AX372="20 to 40",10,IF(AX372="0 to 20",-5,0)))</f>
        <v/>
      </c>
      <c r="AZ372" s="30" t="inlineStr">
        <is>
          <t>Between 50 to 75</t>
        </is>
      </c>
      <c r="BA372" s="30">
        <f>IF(AZ372="Between 50 to 75",10,IF(AZ372="Above 75",0,0))</f>
        <v/>
      </c>
      <c r="BB372" s="30" t="inlineStr">
        <is>
          <t>Stage 2</t>
        </is>
      </c>
      <c r="BC372" s="30">
        <f>IF(BB372="Stage 2",20,IF(BB372="Stage 1",0,IF(BB372="Stage 3",5,IF(BB372="Stage 4",-5,0))))</f>
        <v/>
      </c>
      <c r="BD372" s="30" t="inlineStr">
        <is>
          <t>Positive Trend</t>
        </is>
      </c>
      <c r="BE372" s="30">
        <f>IF(BD372="Positive Trend",20,IF(BD372="Negative Trend",-10,0))</f>
        <v/>
      </c>
      <c r="BF372" s="30" t="inlineStr">
        <is>
          <t>Uptrend</t>
        </is>
      </c>
      <c r="BG372" s="30">
        <f>IF(BF372="Uptrend",10,IF(BF372="Sideways",5,0))</f>
        <v/>
      </c>
      <c r="BH372" s="30" t="inlineStr">
        <is>
          <t>Uptrend</t>
        </is>
      </c>
      <c r="BI372" s="30">
        <f>IF(BH372="Uptrend",10,IF(BH372="Sideways",5,0))</f>
        <v/>
      </c>
      <c r="BJ372" s="30" t="inlineStr">
        <is>
          <t>Close to 52 week high or retracement</t>
        </is>
      </c>
      <c r="BK372" s="30">
        <f>IF(BJ372="Overhead supply in last 2 years in last 2 years",-5,IF(BJ372="Close to 52 week high or retracement",5,IF(BJ372="Blue sky scenario",10,IF(BJ372="Long term Downtrend",-10,0))))</f>
        <v/>
      </c>
      <c r="BL372" s="30" t="inlineStr">
        <is>
          <t>Yes</t>
        </is>
      </c>
      <c r="BM372" s="30">
        <f>IF(BL372="Yes",10,0)</f>
        <v/>
      </c>
      <c r="BN372" s="30" t="inlineStr">
        <is>
          <t>Less than 12%</t>
        </is>
      </c>
      <c r="BO372" s="30">
        <f>IF(BN372="More than 20%",10,IF(BN372="Between 12 to 20%",5,IF(BN372="Less than 12%",0,0)))</f>
        <v/>
      </c>
      <c r="BP372" s="30" t="inlineStr">
        <is>
          <t>No</t>
        </is>
      </c>
      <c r="BQ372" s="30">
        <f>IF(BP372="No",10,0)</f>
        <v/>
      </c>
      <c r="BR372" s="30" t="inlineStr">
        <is>
          <t>Yes</t>
        </is>
      </c>
      <c r="BS372" s="30">
        <f>IF(BR372="NO",5,0)</f>
        <v/>
      </c>
      <c r="BT372" s="30" t="inlineStr">
        <is>
          <t>Above 2</t>
        </is>
      </c>
      <c r="BU372" s="30">
        <f>IF(BT372="Above 2",0,IF(BT372="Between 1.5 to 2",5,IF(BT372="Less than 1.5",10,0)))</f>
        <v/>
      </c>
      <c r="BV372" s="30" t="inlineStr">
        <is>
          <t>Above 70%</t>
        </is>
      </c>
      <c r="BW372" s="30">
        <f>IF(BV372="Above 70%",10,IF(BV372="Between 50% to 70%",5,IF(BV372="Less than 50%",0,IF(BV372="Negative",-10,IF(BV372="Less than 50% and Borrowings are increasing",-5,0)))))</f>
        <v/>
      </c>
      <c r="BX372" s="30" t="inlineStr">
        <is>
          <t>More than 1.2</t>
        </is>
      </c>
      <c r="BY372" s="30">
        <f>IF(BX372="More than 1.2",-10,IF(BX372="Between 0.7 to 1.2",0,IF(BX372="Less than 0.7",10,0)))</f>
        <v/>
      </c>
      <c r="BZ372" s="30" t="inlineStr">
        <is>
          <t>No</t>
        </is>
      </c>
      <c r="CA372" s="30">
        <f>IF(BZ372="Yes",-10,0)</f>
        <v/>
      </c>
      <c r="CB372" s="30" t="inlineStr">
        <is>
          <t>Less than 15%</t>
        </is>
      </c>
      <c r="CC372" s="30">
        <f>IF(CB372="More than 15%",-10,IF(CB372="Less than 15%",10,0))</f>
        <v/>
      </c>
      <c r="CD372" s="30" t="inlineStr">
        <is>
          <t>No</t>
        </is>
      </c>
      <c r="CE372" s="30">
        <f>IF(CD372="Yes, more than 10%",-10,IF(CD372="No",10,0))</f>
        <v/>
      </c>
    </row>
    <row r="373">
      <c r="A373" s="30">
        <f>IF(B373=0,"",RANK(B373,$B$2:$B$405,0))</f>
        <v/>
      </c>
      <c r="B373" s="31">
        <f>SUM(N373,Y373,AA373,AC373,AE373,AG373,AI373,AK373,AM373,AO373,AQ373,AS373,AU373,AW373,AY373,BA373,BC373,BE373,BG373,BI373,BK373,BM373,BO373,BQ373,BS373,BU373,BW373,BY373,CA373,CC373,CE373)</f>
        <v/>
      </c>
      <c r="C373" s="32" t="inlineStr">
        <is>
          <t>UFLEX</t>
        </is>
      </c>
      <c r="D373" s="32" t="inlineStr">
        <is>
          <t>Uflex Limited</t>
        </is>
      </c>
      <c r="E373" s="30" t="inlineStr">
        <is>
          <t>industrials</t>
        </is>
      </c>
      <c r="F373" s="30" t="inlineStr">
        <is>
          <t>packaging</t>
        </is>
      </c>
      <c r="G373" s="30" t="inlineStr">
        <is>
          <t>smallcap</t>
        </is>
      </c>
      <c r="H373" s="31" t="n">
        <v>3436.91</v>
      </c>
      <c r="I373" s="31" t="n">
        <v>483.9</v>
      </c>
      <c r="J373" s="31" t="n">
        <v>1.67</v>
      </c>
      <c r="K373" s="31" t="n">
        <v>88568</v>
      </c>
      <c r="L373" s="30" t="n">
        <v>13</v>
      </c>
      <c r="M373" s="30" t="inlineStr">
        <is>
          <t>Underperforming</t>
        </is>
      </c>
      <c r="N373" s="31">
        <f>IF(M373="Underperforming",-5,IF(L373&gt;=95,15,IF(L373&gt;=90,10,IF(L373&gt;=80,5,0))))</f>
        <v/>
      </c>
      <c r="O373" s="31" t="n">
        <v>58.83</v>
      </c>
      <c r="P373" s="31" t="n">
        <v>13.14</v>
      </c>
      <c r="Q373" s="31" t="n">
        <v>377.8</v>
      </c>
      <c r="R373" s="30" t="inlineStr">
        <is>
          <t>Earnings / Momentum Support</t>
        </is>
      </c>
      <c r="S373" s="30" t="inlineStr">
        <is>
          <t>Nifty Infra</t>
        </is>
      </c>
      <c r="T373" s="31" t="n">
        <v>4.3</v>
      </c>
      <c r="U373" s="31" t="n">
        <v>-17.52</v>
      </c>
      <c r="V373" s="31" t="n">
        <v>-20.92</v>
      </c>
      <c r="W373" s="31" t="n">
        <v>2.08</v>
      </c>
      <c r="X373" s="30" t="inlineStr">
        <is>
          <t>Cyclical in an Upturn</t>
        </is>
      </c>
      <c r="Y373" s="30">
        <f>IF(X373="Growing Industry",10,IF(X373="Cyclical in an Upturn",5,0))</f>
        <v/>
      </c>
      <c r="Z373" s="30" t="inlineStr">
        <is>
          <t>Too Many Players with High ROCE</t>
        </is>
      </c>
      <c r="AA373" s="30">
        <f>IF(Z373="Monopoly",10,IF(Z373="Oligopoly",5,IF(Z373="Duopoly that cooperate",10,IF(Z373="Duopoly that compete",5,IF(Z373="Too many players with High ROCE",5,0)))))</f>
        <v/>
      </c>
      <c r="AB373" s="30" t="inlineStr">
        <is>
          <t>No</t>
        </is>
      </c>
      <c r="AC373" s="30">
        <f>IF(AB373="No",5,0)</f>
        <v/>
      </c>
      <c r="AD373" s="30" t="inlineStr">
        <is>
          <t>Tailwind</t>
        </is>
      </c>
      <c r="AE373" s="30">
        <f>IF(AD373="Tailwind",10,0)</f>
        <v/>
      </c>
      <c r="AF373" s="30" t="inlineStr">
        <is>
          <t>Structural (10 Years Consistency)</t>
        </is>
      </c>
      <c r="AG373" s="30">
        <f>IF(AF373="Structural (10 Years Consistency)",10,IF(AF373="Shallow Cyclical (2 to 3 years growth)",5,0))</f>
        <v/>
      </c>
      <c r="AH373" s="30" t="inlineStr">
        <is>
          <t>No</t>
        </is>
      </c>
      <c r="AI373" s="30">
        <f>IF(AH373="Yes due to Product Mix change or Operating Leverage",10,IF(AH373="Yes, these are peak margins",-5,IF(AH373="No",5,0)))</f>
        <v/>
      </c>
      <c r="AJ373" s="30" t="inlineStr">
        <is>
          <t>Stable</t>
        </is>
      </c>
      <c r="AK373" s="30">
        <f>IF(AJ373="Stable",10,0)</f>
        <v/>
      </c>
      <c r="AL373" s="30" t="inlineStr">
        <is>
          <t>Yes</t>
        </is>
      </c>
      <c r="AM373" s="30">
        <f>IF(AL373="Yes",10,0)</f>
        <v/>
      </c>
      <c r="AN373" s="30" t="inlineStr">
        <is>
          <t>B2B</t>
        </is>
      </c>
      <c r="AO373" s="30">
        <f>IF(AN373="B2C",10,IF(AN373="B2B",5,0))</f>
        <v/>
      </c>
      <c r="AP373" s="30" t="inlineStr">
        <is>
          <t>No</t>
        </is>
      </c>
      <c r="AQ373" s="30">
        <f>IF(AP373="Yes",10,0)</f>
        <v/>
      </c>
      <c r="AR373" s="30" t="inlineStr">
        <is>
          <t>Higher One Time, Lower Annuity</t>
        </is>
      </c>
      <c r="AS373" s="30">
        <f>IF(AR373="Fully Annuity",10,IF(AR373="Higher Annuity, Lower One Time",5,IF(AR373="Higher One Time, Lower Annuity",3,0)))</f>
        <v/>
      </c>
      <c r="AT373" s="30" t="inlineStr">
        <is>
          <t>Good</t>
        </is>
      </c>
      <c r="AU373" s="30">
        <f>IF(AT373="Good",10,0)</f>
        <v/>
      </c>
      <c r="AV373" s="30" t="inlineStr">
        <is>
          <t>Yes for more than 2 years</t>
        </is>
      </c>
      <c r="AW373" s="30">
        <f>IF(AV373="Yes for more than 2 years",10,IF(AV373="Yes only for next 1 to 2 years",5,0))</f>
        <v/>
      </c>
      <c r="AX373" s="30" t="inlineStr">
        <is>
          <t>0 to 20</t>
        </is>
      </c>
      <c r="AY373" s="30">
        <f>IF(AX373="Above 40",20,IF(AX373="20 to 40",10,IF(AX373="0 to 20",-5,0)))</f>
        <v/>
      </c>
      <c r="AZ373" s="30" t="inlineStr">
        <is>
          <t>Between 50 to 75</t>
        </is>
      </c>
      <c r="BA373" s="30">
        <f>IF(AZ373="Between 50 to 75",10,IF(AZ373="Above 75",0,0))</f>
        <v/>
      </c>
      <c r="BB373" s="30" t="inlineStr">
        <is>
          <t>Stage 2</t>
        </is>
      </c>
      <c r="BC373" s="30">
        <f>IF(BB373="Stage 2",20,IF(BB373="Stage 1",0,IF(BB373="Stage 3",5,IF(BB373="Stage 4",-5,0))))</f>
        <v/>
      </c>
      <c r="BD373" s="30" t="inlineStr">
        <is>
          <t>Positive Trend</t>
        </is>
      </c>
      <c r="BE373" s="30">
        <f>IF(BD373="Positive Trend",20,IF(BD373="Negative Trend",-10,0))</f>
        <v/>
      </c>
      <c r="BF373" s="30" t="inlineStr">
        <is>
          <t>Uptrend</t>
        </is>
      </c>
      <c r="BG373" s="30">
        <f>IF(BF373="Uptrend",10,IF(BF373="Sideways",5,0))</f>
        <v/>
      </c>
      <c r="BH373" s="30" t="inlineStr">
        <is>
          <t>Uptrend</t>
        </is>
      </c>
      <c r="BI373" s="30">
        <f>IF(BH373="Uptrend",10,IF(BH373="Sideways",5,0))</f>
        <v/>
      </c>
      <c r="BJ373" s="30" t="inlineStr">
        <is>
          <t>Close to 52 week high or retracement</t>
        </is>
      </c>
      <c r="BK373" s="30">
        <f>IF(BJ373="Overhead supply in last 2 years in last 2 years",-5,IF(BJ373="Close to 52 week high or retracement",5,IF(BJ373="Blue sky scenario",10,IF(BJ373="Long term Downtrend",-10,0))))</f>
        <v/>
      </c>
      <c r="BL373" s="30" t="inlineStr">
        <is>
          <t>Yes</t>
        </is>
      </c>
      <c r="BM373" s="30">
        <f>IF(BL373="Yes",10,0)</f>
        <v/>
      </c>
      <c r="BN373" s="30" t="inlineStr">
        <is>
          <t>Between 12 to 20%</t>
        </is>
      </c>
      <c r="BO373" s="30">
        <f>IF(BN373="More than 20%",10,IF(BN373="Between 12 to 20%",5,IF(BN373="Less than 12%",0,0)))</f>
        <v/>
      </c>
      <c r="BP373" s="30" t="inlineStr">
        <is>
          <t>No</t>
        </is>
      </c>
      <c r="BQ373" s="30">
        <f>IF(BP373="No",10,0)</f>
        <v/>
      </c>
      <c r="BR373" s="30" t="inlineStr">
        <is>
          <t>No</t>
        </is>
      </c>
      <c r="BS373" s="30">
        <f>IF(BR373="NO",5,0)</f>
        <v/>
      </c>
      <c r="BT373" s="30" t="inlineStr">
        <is>
          <t>Less than 1.5</t>
        </is>
      </c>
      <c r="BU373" s="30">
        <f>IF(BT373="Above 2",0,IF(BT373="Between 1.5 to 2",5,IF(BT373="Less than 1.5",10,0)))</f>
        <v/>
      </c>
      <c r="BV373" s="30" t="inlineStr">
        <is>
          <t>Between 50% to 70%</t>
        </is>
      </c>
      <c r="BW373" s="30">
        <f>IF(BV373="Above 70%",10,IF(BV373="Between 50% to 70%",5,IF(BV373="Less than 50%",0,IF(BV373="Negative",-10,IF(BV373="Less than 50% and Borrowings are increasing",-5,0)))))</f>
        <v/>
      </c>
      <c r="BX373" s="30" t="inlineStr">
        <is>
          <t>More than 1.2</t>
        </is>
      </c>
      <c r="BY373" s="30">
        <f>IF(BX373="More than 1.2",-10,IF(BX373="Between 0.7 to 1.2",0,IF(BX373="Less than 0.7",10,0)))</f>
        <v/>
      </c>
      <c r="BZ373" s="30" t="inlineStr">
        <is>
          <t>No</t>
        </is>
      </c>
      <c r="CA373" s="30">
        <f>IF(BZ373="Yes",-10,0)</f>
        <v/>
      </c>
      <c r="CB373" s="30" t="inlineStr">
        <is>
          <t>Less than 15%</t>
        </is>
      </c>
      <c r="CC373" s="30">
        <f>IF(CB373="More than 15%",-10,IF(CB373="Less than 15%",10,0))</f>
        <v/>
      </c>
      <c r="CD373" s="30" t="inlineStr">
        <is>
          <t>No</t>
        </is>
      </c>
      <c r="CE373" s="30">
        <f>IF(CD373="Yes, more than 10%",-10,IF(CD373="No",10,0))</f>
        <v/>
      </c>
    </row>
    <row r="374">
      <c r="A374" s="30">
        <f>IF(B374=0,"",RANK(B374,$B$2:$B$405,0))</f>
        <v/>
      </c>
      <c r="B374" s="31">
        <f>SUM(N374,Y374,AA374,AC374,AE374,AG374,AI374,AK374,AM374,AO374,AQ374,AS374,AU374,AW374,AY374,BA374,BC374,BE374,BG374,BI374,BK374,BM374,BO374,BQ374,BS374,BU374,BW374,BY374,CA374,CC374,CE374)</f>
        <v/>
      </c>
      <c r="C374" s="32" t="inlineStr">
        <is>
          <t>JINDRILL</t>
        </is>
      </c>
      <c r="D374" s="32" t="inlineStr">
        <is>
          <t>Jindal Drilling And Industries Limited</t>
        </is>
      </c>
      <c r="E374" s="30" t="inlineStr">
        <is>
          <t>energy</t>
        </is>
      </c>
      <c r="F374" s="30" t="inlineStr">
        <is>
          <t>oil drilling / allied services</t>
        </is>
      </c>
      <c r="G374" s="30" t="inlineStr">
        <is>
          <t>smallcap</t>
        </is>
      </c>
      <c r="H374" s="31" t="n">
        <v>1797.84</v>
      </c>
      <c r="I374" s="31" t="n">
        <v>615.85</v>
      </c>
      <c r="J374" s="31" t="n">
        <v>-0.73</v>
      </c>
      <c r="K374" s="31" t="n">
        <v>203271</v>
      </c>
      <c r="L374" s="30" t="n">
        <v>20</v>
      </c>
      <c r="M374" s="30" t="inlineStr">
        <is>
          <t>Underperforming</t>
        </is>
      </c>
      <c r="N374" s="31">
        <f>IF(M374="Underperforming",-5,IF(L374&gt;=95,15,IF(L374&gt;=90,10,IF(L374&gt;=80,5,0))))</f>
        <v/>
      </c>
      <c r="O374" s="31" t="n">
        <v>57.87</v>
      </c>
      <c r="P374" s="31" t="n">
        <v>46.81</v>
      </c>
      <c r="Q374" s="31" t="n">
        <v>494.51</v>
      </c>
      <c r="R374" s="30" t="inlineStr">
        <is>
          <t>Earnings / Momentum Support</t>
        </is>
      </c>
      <c r="S374" s="30" t="inlineStr">
        <is>
          <t>Nifty Energy</t>
        </is>
      </c>
      <c r="T374" s="31" t="n">
        <v>9.720000000000001</v>
      </c>
      <c r="U374" s="31" t="n">
        <v>0.07000000000000001</v>
      </c>
      <c r="V374" s="31" t="n">
        <v>-8.789999999999999</v>
      </c>
      <c r="W374" s="31" t="n">
        <v>3.73</v>
      </c>
      <c r="X374" s="30" t="inlineStr">
        <is>
          <t>Cyclical in an Upturn</t>
        </is>
      </c>
      <c r="Y374" s="30">
        <f>IF(X374="Growing Industry",10,IF(X374="Cyclical in an Upturn",5,0))</f>
        <v/>
      </c>
      <c r="Z374" s="30" t="inlineStr">
        <is>
          <t>Oligopoly</t>
        </is>
      </c>
      <c r="AA374" s="30">
        <f>IF(Z374="Monopoly",10,IF(Z374="Oligopoly",5,IF(Z374="Duopoly that cooperate",10,IF(Z374="Duopoly that compete",5,IF(Z374="Too many players with High ROCE",5,0)))))</f>
        <v/>
      </c>
      <c r="AB374" s="30" t="inlineStr">
        <is>
          <t>Yes</t>
        </is>
      </c>
      <c r="AC374" s="30">
        <f>IF(AB374="No",5,0)</f>
        <v/>
      </c>
      <c r="AD374" s="30" t="inlineStr">
        <is>
          <t>Tailwind</t>
        </is>
      </c>
      <c r="AE374" s="30">
        <f>IF(AD374="Tailwind",10,0)</f>
        <v/>
      </c>
      <c r="AF374" s="30" t="inlineStr">
        <is>
          <t>Cyclical</t>
        </is>
      </c>
      <c r="AG374" s="30">
        <f>IF(AF374="Structural (10 Years Consistency)",10,IF(AF374="Shallow Cyclical (2 to 3 years growth)",5,0))</f>
        <v/>
      </c>
      <c r="AH374" s="30" t="inlineStr">
        <is>
          <t>No</t>
        </is>
      </c>
      <c r="AI374" s="30">
        <f>IF(AH374="Yes due to Product Mix change or Operating Leverage",10,IF(AH374="Yes, these are peak margins",-5,IF(AH374="No",5,0)))</f>
        <v/>
      </c>
      <c r="AJ374" s="30" t="inlineStr">
        <is>
          <t>Volatile</t>
        </is>
      </c>
      <c r="AK374" s="30">
        <f>IF(AJ374="Stable",10,0)</f>
        <v/>
      </c>
      <c r="AL374" s="30" t="inlineStr">
        <is>
          <t>Yes</t>
        </is>
      </c>
      <c r="AM374" s="30">
        <f>IF(AL374="Yes",10,0)</f>
        <v/>
      </c>
      <c r="AN374" s="30" t="inlineStr">
        <is>
          <t>B2B</t>
        </is>
      </c>
      <c r="AO374" s="30">
        <f>IF(AN374="B2C",10,IF(AN374="B2B",5,0))</f>
        <v/>
      </c>
      <c r="AP374" s="30" t="inlineStr">
        <is>
          <t>No</t>
        </is>
      </c>
      <c r="AQ374" s="30">
        <f>IF(AP374="Yes",10,0)</f>
        <v/>
      </c>
      <c r="AR374" s="30" t="inlineStr">
        <is>
          <t>Higher One Time, Lower Annuity</t>
        </is>
      </c>
      <c r="AS374" s="30">
        <f>IF(AR374="Fully Annuity",10,IF(AR374="Higher Annuity, Lower One Time",5,IF(AR374="Higher One Time, Lower Annuity",3,0)))</f>
        <v/>
      </c>
      <c r="AT374" s="30" t="inlineStr">
        <is>
          <t>Good</t>
        </is>
      </c>
      <c r="AU374" s="30">
        <f>IF(AT374="Good",10,0)</f>
        <v/>
      </c>
      <c r="AV374" s="30" t="inlineStr">
        <is>
          <t>Yes for more than 2 years</t>
        </is>
      </c>
      <c r="AW374" s="30">
        <f>IF(AV374="Yes for more than 2 years",10,IF(AV374="Yes only for next 1 to 2 years",5,0))</f>
        <v/>
      </c>
      <c r="AX374" s="30" t="inlineStr">
        <is>
          <t>Above 40</t>
        </is>
      </c>
      <c r="AY374" s="30">
        <f>IF(AX374="Above 40",20,IF(AX374="20 to 40",10,IF(AX374="0 to 20",-5,0)))</f>
        <v/>
      </c>
      <c r="AZ374" s="30" t="inlineStr">
        <is>
          <t>Between 50 to 75</t>
        </is>
      </c>
      <c r="BA374" s="30">
        <f>IF(AZ374="Between 50 to 75",10,IF(AZ374="Above 75",0,0))</f>
        <v/>
      </c>
      <c r="BB374" s="30" t="inlineStr">
        <is>
          <t>Stage 2</t>
        </is>
      </c>
      <c r="BC374" s="30">
        <f>IF(BB374="Stage 2",20,IF(BB374="Stage 1",0,IF(BB374="Stage 3",5,IF(BB374="Stage 4",-5,0))))</f>
        <v/>
      </c>
      <c r="BD374" s="30" t="inlineStr">
        <is>
          <t>Positive Trend</t>
        </is>
      </c>
      <c r="BE374" s="30">
        <f>IF(BD374="Positive Trend",20,IF(BD374="Negative Trend",-10,0))</f>
        <v/>
      </c>
      <c r="BF374" s="30" t="inlineStr">
        <is>
          <t>Uptrend</t>
        </is>
      </c>
      <c r="BG374" s="30">
        <f>IF(BF374="Uptrend",10,IF(BF374="Sideways",5,0))</f>
        <v/>
      </c>
      <c r="BH374" s="30" t="inlineStr">
        <is>
          <t>Uptrend</t>
        </is>
      </c>
      <c r="BI374" s="30">
        <f>IF(BH374="Uptrend",10,IF(BH374="Sideways",5,0))</f>
        <v/>
      </c>
      <c r="BJ374" s="30" t="inlineStr">
        <is>
          <t>Close to 52 week high or retracement</t>
        </is>
      </c>
      <c r="BK374" s="30">
        <f>IF(BJ374="Overhead supply in last 2 years in last 2 years",-5,IF(BJ374="Close to 52 week high or retracement",5,IF(BJ374="Blue sky scenario",10,IF(BJ374="Long term Downtrend",-10,0))))</f>
        <v/>
      </c>
      <c r="BL374" s="30" t="inlineStr">
        <is>
          <t>Yes</t>
        </is>
      </c>
      <c r="BM374" s="30">
        <f>IF(BL374="Yes",10,0)</f>
        <v/>
      </c>
      <c r="BN374" s="30" t="inlineStr">
        <is>
          <t>Less than 12%</t>
        </is>
      </c>
      <c r="BO374" s="30">
        <f>IF(BN374="More than 20%",10,IF(BN374="Between 12 to 20%",5,IF(BN374="Less than 12%",0,0)))</f>
        <v/>
      </c>
      <c r="BP374" s="30" t="inlineStr">
        <is>
          <t>No</t>
        </is>
      </c>
      <c r="BQ374" s="30">
        <f>IF(BP374="No",10,0)</f>
        <v/>
      </c>
      <c r="BR374" s="30" t="inlineStr">
        <is>
          <t>No</t>
        </is>
      </c>
      <c r="BS374" s="30">
        <f>IF(BR374="NO",5,0)</f>
        <v/>
      </c>
      <c r="BT374" s="30" t="inlineStr">
        <is>
          <t>Above 2</t>
        </is>
      </c>
      <c r="BU374" s="30">
        <f>IF(BT374="Above 2",0,IF(BT374="Between 1.5 to 2",5,IF(BT374="Less than 1.5",10,0)))</f>
        <v/>
      </c>
      <c r="BV374" s="30" t="inlineStr">
        <is>
          <t>Less than 50%</t>
        </is>
      </c>
      <c r="BW374" s="30">
        <f>IF(BV374="Above 70%",10,IF(BV374="Between 50% to 70%",5,IF(BV374="Less than 50%",0,IF(BV374="Negative",-10,IF(BV374="Less than 50% and Borrowings are increasing",-5,0)))))</f>
        <v/>
      </c>
      <c r="BX374" s="30" t="inlineStr">
        <is>
          <t>Less than 0.7</t>
        </is>
      </c>
      <c r="BY374" s="30">
        <f>IF(BX374="More than 1.2",-10,IF(BX374="Between 0.7 to 1.2",0,IF(BX374="Less than 0.7",10,0)))</f>
        <v/>
      </c>
      <c r="BZ374" s="30" t="inlineStr">
        <is>
          <t>No</t>
        </is>
      </c>
      <c r="CA374" s="30">
        <f>IF(BZ374="Yes",-10,0)</f>
        <v/>
      </c>
      <c r="CB374" s="30" t="inlineStr">
        <is>
          <t>Less than 15%</t>
        </is>
      </c>
      <c r="CC374" s="30">
        <f>IF(CB374="More than 15%",-10,IF(CB374="Less than 15%",10,0))</f>
        <v/>
      </c>
      <c r="CD374" s="30" t="inlineStr">
        <is>
          <t>No</t>
        </is>
      </c>
      <c r="CE374" s="30">
        <f>IF(CD374="Yes, more than 10%",-10,IF(CD374="No",10,0))</f>
        <v/>
      </c>
    </row>
    <row r="375">
      <c r="A375" s="30">
        <f>IF(B375=0,"",RANK(B375,$B$2:$B$405,0))</f>
        <v/>
      </c>
      <c r="B375" s="31">
        <f>SUM(N375,Y375,AA375,AC375,AE375,AG375,AI375,AK375,AM375,AO375,AQ375,AS375,AU375,AW375,AY375,BA375,BC375,BE375,BG375,BI375,BK375,BM375,BO375,BQ375,BS375,BU375,BW375,BY375,CA375,CC375,CE375)</f>
        <v/>
      </c>
      <c r="C375" s="32" t="inlineStr">
        <is>
          <t>SADHNANIQ</t>
        </is>
      </c>
      <c r="D375" s="32" t="inlineStr">
        <is>
          <t>Sadhana Nitro Chem Ltd</t>
        </is>
      </c>
      <c r="E375" s="30" t="inlineStr">
        <is>
          <t>chemicals</t>
        </is>
      </c>
      <c r="F375" s="30" t="inlineStr">
        <is>
          <t>chemicals</t>
        </is>
      </c>
      <c r="G375" s="30" t="inlineStr">
        <is>
          <t>smallcap</t>
        </is>
      </c>
      <c r="H375" s="31" t="n">
        <v>841.97</v>
      </c>
      <c r="I375" s="31" t="n">
        <v>2.88</v>
      </c>
      <c r="J375" s="31" t="n">
        <v>1.41</v>
      </c>
      <c r="K375" s="31" t="n">
        <v>3698881</v>
      </c>
      <c r="L375" s="30" t="n">
        <v>1</v>
      </c>
      <c r="M375" s="30" t="inlineStr">
        <is>
          <t>Underperforming</t>
        </is>
      </c>
      <c r="N375" s="31">
        <f>IF(M375="Underperforming",-5,IF(L375&gt;=95,15,IF(L375&gt;=90,10,IF(L375&gt;=80,5,0))))</f>
        <v/>
      </c>
      <c r="O375" s="31" t="n">
        <v>42.85</v>
      </c>
      <c r="P375" s="31" t="n">
        <v>14.26</v>
      </c>
      <c r="Q375" s="31" t="n">
        <v>1.56</v>
      </c>
      <c r="R375" s="30" t="inlineStr">
        <is>
          <t>Earnings / Momentum Support</t>
        </is>
      </c>
      <c r="S375" s="30" t="inlineStr">
        <is>
          <t>Nifty 50</t>
        </is>
      </c>
      <c r="T375" s="31" t="n">
        <v>1.09</v>
      </c>
      <c r="U375" s="31" t="n">
        <v>-54.8</v>
      </c>
      <c r="V375" s="31" t="n">
        <v>-55.29</v>
      </c>
      <c r="W375" s="31" t="n">
        <v>-8.94</v>
      </c>
      <c r="X375" s="30" t="inlineStr">
        <is>
          <t>Growing Industry</t>
        </is>
      </c>
      <c r="Y375" s="30">
        <f>IF(X375="Growing Industry",10,IF(X375="Cyclical in an Upturn",5,0))</f>
        <v/>
      </c>
      <c r="Z375" s="30" t="inlineStr">
        <is>
          <t>Too Many Players with High ROCE</t>
        </is>
      </c>
      <c r="AA375" s="30">
        <f>IF(Z375="Monopoly",10,IF(Z375="Oligopoly",5,IF(Z375="Duopoly that cooperate",10,IF(Z375="Duopoly that compete",5,IF(Z375="Too many players with High ROCE",5,0)))))</f>
        <v/>
      </c>
      <c r="AB375" s="30" t="inlineStr">
        <is>
          <t>No</t>
        </is>
      </c>
      <c r="AC375" s="30">
        <f>IF(AB375="No",5,0)</f>
        <v/>
      </c>
      <c r="AD375" s="30" t="inlineStr">
        <is>
          <t>Tailwind</t>
        </is>
      </c>
      <c r="AE375" s="30">
        <f>IF(AD375="Tailwind",10,0)</f>
        <v/>
      </c>
      <c r="AF375" s="30" t="inlineStr">
        <is>
          <t>Structural (10 Years Consistency)</t>
        </is>
      </c>
      <c r="AG375" s="30">
        <f>IF(AF375="Structural (10 Years Consistency)",10,IF(AF375="Shallow Cyclical (2 to 3 years growth)",5,0))</f>
        <v/>
      </c>
      <c r="AH375" s="30" t="inlineStr">
        <is>
          <t>No</t>
        </is>
      </c>
      <c r="AI375" s="30">
        <f>IF(AH375="Yes due to Product Mix change or Operating Leverage",10,IF(AH375="Yes, these are peak margins",-5,IF(AH375="No",5,0)))</f>
        <v/>
      </c>
      <c r="AJ375" s="30" t="inlineStr">
        <is>
          <t>Stable</t>
        </is>
      </c>
      <c r="AK375" s="30">
        <f>IF(AJ375="Stable",10,0)</f>
        <v/>
      </c>
      <c r="AL375" s="30" t="inlineStr">
        <is>
          <t>Yes</t>
        </is>
      </c>
      <c r="AM375" s="30">
        <f>IF(AL375="Yes",10,0)</f>
        <v/>
      </c>
      <c r="AN375" s="30" t="inlineStr">
        <is>
          <t>B2B</t>
        </is>
      </c>
      <c r="AO375" s="30">
        <f>IF(AN375="B2C",10,IF(AN375="B2B",5,0))</f>
        <v/>
      </c>
      <c r="AP375" s="30" t="inlineStr">
        <is>
          <t>No</t>
        </is>
      </c>
      <c r="AQ375" s="30">
        <f>IF(AP375="Yes",10,0)</f>
        <v/>
      </c>
      <c r="AR375" s="30" t="inlineStr">
        <is>
          <t>Higher One Time, Lower Annuity</t>
        </is>
      </c>
      <c r="AS375" s="30">
        <f>IF(AR375="Fully Annuity",10,IF(AR375="Higher Annuity, Lower One Time",5,IF(AR375="Higher One Time, Lower Annuity",3,0)))</f>
        <v/>
      </c>
      <c r="AT375" s="30" t="inlineStr">
        <is>
          <t>Good</t>
        </is>
      </c>
      <c r="AU375" s="30">
        <f>IF(AT375="Good",10,0)</f>
        <v/>
      </c>
      <c r="AV375" s="30" t="inlineStr">
        <is>
          <t>Yes for more than 2 years</t>
        </is>
      </c>
      <c r="AW375" s="30">
        <f>IF(AV375="Yes for more than 2 years",10,IF(AV375="Yes only for next 1 to 2 years",5,0))</f>
        <v/>
      </c>
      <c r="AX375" s="30" t="inlineStr">
        <is>
          <t>0 to 20</t>
        </is>
      </c>
      <c r="AY375" s="30">
        <f>IF(AX375="Above 40",20,IF(AX375="20 to 40",10,IF(AX375="0 to 20",-5,0)))</f>
        <v/>
      </c>
      <c r="AZ375" s="30" t="inlineStr">
        <is>
          <t>Below 45</t>
        </is>
      </c>
      <c r="BA375" s="30">
        <f>IF(AZ375="Between 50 to 75",10,IF(AZ375="Above 75",0,0))</f>
        <v/>
      </c>
      <c r="BB375" s="30" t="inlineStr">
        <is>
          <t>Stage 4</t>
        </is>
      </c>
      <c r="BC375" s="30">
        <f>IF(BB375="Stage 2",20,IF(BB375="Stage 1",0,IF(BB375="Stage 3",5,IF(BB375="Stage 4",-5,0))))</f>
        <v/>
      </c>
      <c r="BD375" s="30" t="inlineStr">
        <is>
          <t>Positive Trend</t>
        </is>
      </c>
      <c r="BE375" s="30">
        <f>IF(BD375="Positive Trend",20,IF(BD375="Negative Trend",-10,0))</f>
        <v/>
      </c>
      <c r="BF375" s="30" t="inlineStr">
        <is>
          <t>Uptrend</t>
        </is>
      </c>
      <c r="BG375" s="30">
        <f>IF(BF375="Uptrend",10,IF(BF375="Sideways",5,0))</f>
        <v/>
      </c>
      <c r="BH375" s="30" t="inlineStr">
        <is>
          <t>Uptrend</t>
        </is>
      </c>
      <c r="BI375" s="30">
        <f>IF(BH375="Uptrend",10,IF(BH375="Sideways",5,0))</f>
        <v/>
      </c>
      <c r="BJ375" s="30" t="inlineStr">
        <is>
          <t>Close to 52 week high or retracement</t>
        </is>
      </c>
      <c r="BK375" s="30">
        <f>IF(BJ375="Overhead supply in last 2 years in last 2 years",-5,IF(BJ375="Close to 52 week high or retracement",5,IF(BJ375="Blue sky scenario",10,IF(BJ375="Long term Downtrend",-10,0))))</f>
        <v/>
      </c>
      <c r="BL375" s="30" t="inlineStr">
        <is>
          <t>Yes</t>
        </is>
      </c>
      <c r="BM375" s="30">
        <f>IF(BL375="Yes",10,0)</f>
        <v/>
      </c>
      <c r="BN375" s="30" t="inlineStr">
        <is>
          <t>More than 20%</t>
        </is>
      </c>
      <c r="BO375" s="30">
        <f>IF(BN375="More than 20%",10,IF(BN375="Between 12 to 20%",5,IF(BN375="Less than 12%",0,0)))</f>
        <v/>
      </c>
      <c r="BP375" s="30" t="inlineStr">
        <is>
          <t>No</t>
        </is>
      </c>
      <c r="BQ375" s="30">
        <f>IF(BP375="No",10,0)</f>
        <v/>
      </c>
      <c r="BR375" s="30" t="inlineStr">
        <is>
          <t>No</t>
        </is>
      </c>
      <c r="BS375" s="30">
        <f>IF(BR375="NO",5,0)</f>
        <v/>
      </c>
      <c r="BT375" s="30" t="inlineStr">
        <is>
          <t>Less than 1.5</t>
        </is>
      </c>
      <c r="BU375" s="30">
        <f>IF(BT375="Above 2",0,IF(BT375="Between 1.5 to 2",5,IF(BT375="Less than 1.5",10,0)))</f>
        <v/>
      </c>
      <c r="BV375" s="30" t="inlineStr">
        <is>
          <t>Between 50% to 70%</t>
        </is>
      </c>
      <c r="BW375" s="30">
        <f>IF(BV375="Above 70%",10,IF(BV375="Between 50% to 70%",5,IF(BV375="Less than 50%",0,IF(BV375="Negative",-10,IF(BV375="Less than 50% and Borrowings are increasing",-5,0)))))</f>
        <v/>
      </c>
      <c r="BX375" s="30" t="inlineStr">
        <is>
          <t>Less than 0.7</t>
        </is>
      </c>
      <c r="BY375" s="30">
        <f>IF(BX375="More than 1.2",-10,IF(BX375="Between 0.7 to 1.2",0,IF(BX375="Less than 0.7",10,0)))</f>
        <v/>
      </c>
      <c r="BZ375" s="30" t="inlineStr">
        <is>
          <t>No</t>
        </is>
      </c>
      <c r="CA375" s="30">
        <f>IF(BZ375="Yes",-10,0)</f>
        <v/>
      </c>
      <c r="CB375" s="30" t="inlineStr">
        <is>
          <t>Less than 15%</t>
        </is>
      </c>
      <c r="CC375" s="30">
        <f>IF(CB375="More than 15%",-10,IF(CB375="Less than 15%",10,0))</f>
        <v/>
      </c>
      <c r="CD375" s="30" t="inlineStr">
        <is>
          <t>No</t>
        </is>
      </c>
      <c r="CE375" s="30">
        <f>IF(CD375="Yes, more than 10%",-10,IF(CD375="No",10,0))</f>
        <v/>
      </c>
    </row>
    <row r="376">
      <c r="A376" s="30">
        <f>IF(B376=0,"",RANK(B376,$B$2:$B$405,0))</f>
        <v/>
      </c>
      <c r="B376" s="31">
        <f>SUM(N376,Y376,AA376,AC376,AE376,AG376,AI376,AK376,AM376,AO376,AQ376,AS376,AU376,AW376,AY376,BA376,BC376,BE376,BG376,BI376,BK376,BM376,BO376,BQ376,BS376,BU376,BW376,BY376,CA376,CC376,CE376)</f>
        <v/>
      </c>
      <c r="C376" s="32" t="inlineStr">
        <is>
          <t>SAIL</t>
        </is>
      </c>
      <c r="D376" s="32" t="inlineStr">
        <is>
          <t>Steel Authority Of India Limited</t>
        </is>
      </c>
      <c r="E376" s="30" t="inlineStr">
        <is>
          <t>metals &amp; mining</t>
        </is>
      </c>
      <c r="F376" s="30" t="inlineStr">
        <is>
          <t>steel - large</t>
        </is>
      </c>
      <c r="G376" s="30" t="inlineStr">
        <is>
          <t>largecap</t>
        </is>
      </c>
      <c r="H376" s="31" t="n">
        <v>72490.72</v>
      </c>
      <c r="I376" s="31" t="n">
        <v>176.74</v>
      </c>
      <c r="J376" s="31" t="n">
        <v>0.71</v>
      </c>
      <c r="K376" s="31" t="n">
        <v>34960151</v>
      </c>
      <c r="L376" s="30" t="n">
        <v>34</v>
      </c>
      <c r="M376" s="30" t="inlineStr">
        <is>
          <t>Underperforming</t>
        </is>
      </c>
      <c r="N376" s="31">
        <f>IF(M376="Underperforming",-5,IF(L376&gt;=95,15,IF(L376&gt;=90,10,IF(L376&gt;=80,5,0))))</f>
        <v/>
      </c>
      <c r="O376" s="31" t="n">
        <v>56</v>
      </c>
      <c r="P376" s="31" t="n">
        <v>35.44</v>
      </c>
      <c r="Q376" s="31" t="n">
        <v>166.32</v>
      </c>
      <c r="R376" s="30" t="inlineStr">
        <is>
          <t>Earnings / Momentum Support</t>
        </is>
      </c>
      <c r="S376" s="30" t="inlineStr">
        <is>
          <t>Nifty Metal</t>
        </is>
      </c>
      <c r="T376" s="31" t="n">
        <v>39.44</v>
      </c>
      <c r="U376" s="31" t="n">
        <v>37.35</v>
      </c>
      <c r="V376" s="31" t="n">
        <v>-1.5</v>
      </c>
      <c r="W376" s="31" t="n">
        <v>6.77</v>
      </c>
      <c r="X376" s="30" t="inlineStr">
        <is>
          <t>Cyclical in an Upturn</t>
        </is>
      </c>
      <c r="Y376" s="30">
        <f>IF(X376="Growing Industry",10,IF(X376="Cyclical in an Upturn",5,0))</f>
        <v/>
      </c>
      <c r="Z376" s="30" t="inlineStr">
        <is>
          <t>Too Many Players with High ROCE</t>
        </is>
      </c>
      <c r="AA376" s="30">
        <f>IF(Z376="Monopoly",10,IF(Z376="Oligopoly",5,IF(Z376="Duopoly that cooperate",10,IF(Z376="Duopoly that compete",5,IF(Z376="Too many players with High ROCE",5,0)))))</f>
        <v/>
      </c>
      <c r="AB376" s="30" t="inlineStr">
        <is>
          <t>No</t>
        </is>
      </c>
      <c r="AC376" s="30">
        <f>IF(AB376="No",5,0)</f>
        <v/>
      </c>
      <c r="AD376" s="30" t="inlineStr">
        <is>
          <t>Tailwind</t>
        </is>
      </c>
      <c r="AE376" s="30">
        <f>IF(AD376="Tailwind",10,0)</f>
        <v/>
      </c>
      <c r="AF376" s="30" t="inlineStr">
        <is>
          <t>Cyclical</t>
        </is>
      </c>
      <c r="AG376" s="30">
        <f>IF(AF376="Structural (10 Years Consistency)",10,IF(AF376="Shallow Cyclical (2 to 3 years growth)",5,0))</f>
        <v/>
      </c>
      <c r="AH376" s="30" t="inlineStr">
        <is>
          <t>No</t>
        </is>
      </c>
      <c r="AI376" s="30">
        <f>IF(AH376="Yes due to Product Mix change or Operating Leverage",10,IF(AH376="Yes, these are peak margins",-5,IF(AH376="No",5,0)))</f>
        <v/>
      </c>
      <c r="AJ376" s="30" t="inlineStr">
        <is>
          <t>Volatile</t>
        </is>
      </c>
      <c r="AK376" s="30">
        <f>IF(AJ376="Stable",10,0)</f>
        <v/>
      </c>
      <c r="AL376" s="30" t="inlineStr">
        <is>
          <t>Yes</t>
        </is>
      </c>
      <c r="AM376" s="30">
        <f>IF(AL376="Yes",10,0)</f>
        <v/>
      </c>
      <c r="AN376" s="30" t="inlineStr">
        <is>
          <t>B2B</t>
        </is>
      </c>
      <c r="AO376" s="30">
        <f>IF(AN376="B2C",10,IF(AN376="B2B",5,0))</f>
        <v/>
      </c>
      <c r="AP376" s="30" t="inlineStr">
        <is>
          <t>No</t>
        </is>
      </c>
      <c r="AQ376" s="30">
        <f>IF(AP376="Yes",10,0)</f>
        <v/>
      </c>
      <c r="AR376" s="30" t="inlineStr">
        <is>
          <t>Higher One Time, Lower Annuity</t>
        </is>
      </c>
      <c r="AS376" s="30">
        <f>IF(AR376="Fully Annuity",10,IF(AR376="Higher Annuity, Lower One Time",5,IF(AR376="Higher One Time, Lower Annuity",3,0)))</f>
        <v/>
      </c>
      <c r="AT376" s="30" t="inlineStr">
        <is>
          <t>Good</t>
        </is>
      </c>
      <c r="AU376" s="30">
        <f>IF(AT376="Good",10,0)</f>
        <v/>
      </c>
      <c r="AV376" s="30" t="inlineStr">
        <is>
          <t>Yes for more than 2 years</t>
        </is>
      </c>
      <c r="AW376" s="30">
        <f>IF(AV376="Yes for more than 2 years",10,IF(AV376="Yes only for next 1 to 2 years",5,0))</f>
        <v/>
      </c>
      <c r="AX376" s="30" t="inlineStr">
        <is>
          <t>20 to 40</t>
        </is>
      </c>
      <c r="AY376" s="30">
        <f>IF(AX376="Above 40",20,IF(AX376="20 to 40",10,IF(AX376="0 to 20",-5,0)))</f>
        <v/>
      </c>
      <c r="AZ376" s="30" t="inlineStr">
        <is>
          <t>Between 50 to 75</t>
        </is>
      </c>
      <c r="BA376" s="30">
        <f>IF(AZ376="Between 50 to 75",10,IF(AZ376="Above 75",0,0))</f>
        <v/>
      </c>
      <c r="BB376" s="30" t="inlineStr">
        <is>
          <t>Stage 1</t>
        </is>
      </c>
      <c r="BC376" s="30">
        <f>IF(BB376="Stage 2",20,IF(BB376="Stage 1",0,IF(BB376="Stage 3",5,IF(BB376="Stage 4",-5,0))))</f>
        <v/>
      </c>
      <c r="BD376" s="30" t="inlineStr">
        <is>
          <t>Positive Trend</t>
        </is>
      </c>
      <c r="BE376" s="30">
        <f>IF(BD376="Positive Trend",20,IF(BD376="Negative Trend",-10,0))</f>
        <v/>
      </c>
      <c r="BF376" s="30" t="inlineStr">
        <is>
          <t>Uptrend</t>
        </is>
      </c>
      <c r="BG376" s="30">
        <f>IF(BF376="Uptrend",10,IF(BF376="Sideways",5,0))</f>
        <v/>
      </c>
      <c r="BH376" s="30" t="inlineStr">
        <is>
          <t>Uptrend</t>
        </is>
      </c>
      <c r="BI376" s="30">
        <f>IF(BH376="Uptrend",10,IF(BH376="Sideways",5,0))</f>
        <v/>
      </c>
      <c r="BJ376" s="30" t="inlineStr">
        <is>
          <t>Close to 52 week high or retracement</t>
        </is>
      </c>
      <c r="BK376" s="30">
        <f>IF(BJ376="Overhead supply in last 2 years in last 2 years",-5,IF(BJ376="Close to 52 week high or retracement",5,IF(BJ376="Blue sky scenario",10,IF(BJ376="Long term Downtrend",-10,0))))</f>
        <v/>
      </c>
      <c r="BL376" s="30" t="inlineStr">
        <is>
          <t>Yes</t>
        </is>
      </c>
      <c r="BM376" s="30">
        <f>IF(BL376="Yes",10,0)</f>
        <v/>
      </c>
      <c r="BN376" s="30" t="inlineStr">
        <is>
          <t>More than 20%</t>
        </is>
      </c>
      <c r="BO376" s="30">
        <f>IF(BN376="More than 20%",10,IF(BN376="Between 12 to 20%",5,IF(BN376="Less than 12%",0,0)))</f>
        <v/>
      </c>
      <c r="BP376" s="30" t="inlineStr">
        <is>
          <t>No</t>
        </is>
      </c>
      <c r="BQ376" s="30">
        <f>IF(BP376="No",10,0)</f>
        <v/>
      </c>
      <c r="BR376" s="30" t="inlineStr">
        <is>
          <t>No</t>
        </is>
      </c>
      <c r="BS376" s="30">
        <f>IF(BR376="NO",5,0)</f>
        <v/>
      </c>
      <c r="BT376" s="30" t="inlineStr">
        <is>
          <t>Above 2</t>
        </is>
      </c>
      <c r="BU376" s="30">
        <f>IF(BT376="Above 2",0,IF(BT376="Between 1.5 to 2",5,IF(BT376="Less than 1.5",10,0)))</f>
        <v/>
      </c>
      <c r="BV376" s="30" t="inlineStr">
        <is>
          <t>Above 70%</t>
        </is>
      </c>
      <c r="BW376" s="30">
        <f>IF(BV376="Above 70%",10,IF(BV376="Between 50% to 70%",5,IF(BV376="Less than 50%",0,IF(BV376="Negative",-10,IF(BV376="Less than 50% and Borrowings are increasing",-5,0)))))</f>
        <v/>
      </c>
      <c r="BX376" s="30" t="inlineStr">
        <is>
          <t>Less than 0.7</t>
        </is>
      </c>
      <c r="BY376" s="30">
        <f>IF(BX376="More than 1.2",-10,IF(BX376="Between 0.7 to 1.2",0,IF(BX376="Less than 0.7",10,0)))</f>
        <v/>
      </c>
      <c r="BZ376" s="30" t="inlineStr">
        <is>
          <t>No</t>
        </is>
      </c>
      <c r="CA376" s="30">
        <f>IF(BZ376="Yes",-10,0)</f>
        <v/>
      </c>
      <c r="CB376" s="30" t="inlineStr">
        <is>
          <t>Less than 15%</t>
        </is>
      </c>
      <c r="CC376" s="30">
        <f>IF(CB376="More than 15%",-10,IF(CB376="Less than 15%",10,0))</f>
        <v/>
      </c>
      <c r="CD376" s="30" t="inlineStr">
        <is>
          <t>No</t>
        </is>
      </c>
      <c r="CE376" s="30">
        <f>IF(CD376="Yes, more than 10%",-10,IF(CD376="No",10,0))</f>
        <v/>
      </c>
    </row>
    <row r="377">
      <c r="A377" s="30">
        <f>IF(B377=0,"",RANK(B377,$B$2:$B$405,0))</f>
        <v/>
      </c>
      <c r="B377" s="31">
        <f>SUM(N377,Y377,AA377,AC377,AE377,AG377,AI377,AK377,AM377,AO377,AQ377,AS377,AU377,AW377,AY377,BA377,BC377,BE377,BG377,BI377,BK377,BM377,BO377,BQ377,BS377,BU377,BW377,BY377,CA377,CC377,CE377)</f>
        <v/>
      </c>
      <c r="C377" s="30" t="inlineStr">
        <is>
          <t>GRASIM</t>
        </is>
      </c>
      <c r="D377" s="30" t="inlineStr">
        <is>
          <t>Grasim Industries Limited</t>
        </is>
      </c>
      <c r="E377" s="30" t="inlineStr">
        <is>
          <t>textiles</t>
        </is>
      </c>
      <c r="F377" s="30" t="inlineStr">
        <is>
          <t>textiles - manmade</t>
        </is>
      </c>
      <c r="G377" s="30" t="inlineStr">
        <is>
          <t>largecap</t>
        </is>
      </c>
      <c r="H377" s="31" t="n">
        <v>219419.18</v>
      </c>
      <c r="I377" s="31" t="n">
        <v>3220</v>
      </c>
      <c r="J377" s="31" t="n">
        <v>-0.12</v>
      </c>
      <c r="K377" s="31" t="n">
        <v>692999</v>
      </c>
      <c r="L377" s="30" t="n">
        <v>27</v>
      </c>
      <c r="M377" s="30" t="inlineStr">
        <is>
          <t>Outperforming</t>
        </is>
      </c>
      <c r="N377" s="31">
        <f>IF(M377="Underperforming",-5,IF(L377&gt;=95,15,IF(L377&gt;=90,10,IF(L377&gt;=80,5,0))))</f>
        <v/>
      </c>
      <c r="O377" s="31" t="n">
        <v>63.59</v>
      </c>
      <c r="P377" s="31" t="n">
        <v>34.12</v>
      </c>
      <c r="Q377" s="31" t="n">
        <v>2822.27</v>
      </c>
      <c r="R377" s="30" t="inlineStr">
        <is>
          <t>Near 52W High Breakout</t>
        </is>
      </c>
      <c r="S377" s="30" t="inlineStr">
        <is>
          <t>Nifty 50</t>
        </is>
      </c>
      <c r="T377" s="31" t="n">
        <v>1.09</v>
      </c>
      <c r="U377" s="31" t="n">
        <v>18.99</v>
      </c>
      <c r="V377" s="31" t="n">
        <v>17.71</v>
      </c>
      <c r="W377" s="31" t="n">
        <v>5.07</v>
      </c>
      <c r="X377" s="30" t="inlineStr">
        <is>
          <t>Growing Industry</t>
        </is>
      </c>
      <c r="Y377" s="30">
        <f>IF(X377="Growing Industry",10,IF(X377="Cyclical in an Upturn",5,0))</f>
        <v/>
      </c>
      <c r="Z377" s="30" t="inlineStr">
        <is>
          <t>Too Many Players with High ROCE</t>
        </is>
      </c>
      <c r="AA377" s="30">
        <f>IF(Z377="Monopoly",10,IF(Z377="Oligopoly",5,IF(Z377="Duopoly that cooperate",10,IF(Z377="Duopoly that compete",5,IF(Z377="Too many players with High ROCE",5,0)))))</f>
        <v/>
      </c>
      <c r="AB377" s="30" t="inlineStr">
        <is>
          <t>No</t>
        </is>
      </c>
      <c r="AC377" s="30">
        <f>IF(AB377="No",5,0)</f>
        <v/>
      </c>
      <c r="AD377" s="30" t="inlineStr">
        <is>
          <t>Tailwind</t>
        </is>
      </c>
      <c r="AE377" s="30">
        <f>IF(AD377="Tailwind",10,0)</f>
        <v/>
      </c>
      <c r="AF377" s="30" t="inlineStr">
        <is>
          <t>Structural (10 Years Consistency)</t>
        </is>
      </c>
      <c r="AG377" s="30">
        <f>IF(AF377="Structural (10 Years Consistency)",10,IF(AF377="Shallow Cyclical (2 to 3 years growth)",5,0))</f>
        <v/>
      </c>
      <c r="AH377" s="30" t="inlineStr">
        <is>
          <t>No</t>
        </is>
      </c>
      <c r="AI377" s="30">
        <f>IF(AH377="Yes due to Product Mix change or Operating Leverage",10,IF(AH377="Yes, these are peak margins",-5,IF(AH377="No",5,0)))</f>
        <v/>
      </c>
      <c r="AJ377" s="30" t="inlineStr">
        <is>
          <t>Stable</t>
        </is>
      </c>
      <c r="AK377" s="30">
        <f>IF(AJ377="Stable",10,0)</f>
        <v/>
      </c>
      <c r="AL377" s="30" t="inlineStr">
        <is>
          <t>Yes</t>
        </is>
      </c>
      <c r="AM377" s="30">
        <f>IF(AL377="Yes",10,0)</f>
        <v/>
      </c>
      <c r="AN377" s="30" t="inlineStr">
        <is>
          <t>B2B</t>
        </is>
      </c>
      <c r="AO377" s="30">
        <f>IF(AN377="B2C",10,IF(AN377="B2B",5,0))</f>
        <v/>
      </c>
      <c r="AP377" s="30" t="inlineStr">
        <is>
          <t>Yes</t>
        </is>
      </c>
      <c r="AQ377" s="30">
        <f>IF(AP377="Yes",10,0)</f>
        <v/>
      </c>
      <c r="AR377" s="30" t="inlineStr">
        <is>
          <t>Higher One Time, Lower Annuity</t>
        </is>
      </c>
      <c r="AS377" s="30">
        <f>IF(AR377="Fully Annuity",10,IF(AR377="Higher Annuity, Lower One Time",5,IF(AR377="Higher One Time, Lower Annuity",3,0)))</f>
        <v/>
      </c>
      <c r="AT377" s="30" t="inlineStr">
        <is>
          <t>Good</t>
        </is>
      </c>
      <c r="AU377" s="30">
        <f>IF(AT377="Good",10,0)</f>
        <v/>
      </c>
      <c r="AV377" s="30" t="inlineStr">
        <is>
          <t>Yes for more than 2 years</t>
        </is>
      </c>
      <c r="AW377" s="30">
        <f>IF(AV377="Yes for more than 2 years",10,IF(AV377="Yes only for next 1 to 2 years",5,0))</f>
        <v/>
      </c>
      <c r="AX377" s="30" t="inlineStr">
        <is>
          <t>20 to 40</t>
        </is>
      </c>
      <c r="AY377" s="30">
        <f>IF(AX377="Above 40",20,IF(AX377="20 to 40",10,IF(AX377="0 to 20",-5,0)))</f>
        <v/>
      </c>
      <c r="AZ377" s="30" t="inlineStr">
        <is>
          <t>Between 50 to 75</t>
        </is>
      </c>
      <c r="BA377" s="30">
        <f>IF(AZ377="Between 50 to 75",10,IF(AZ377="Above 75",0,0))</f>
        <v/>
      </c>
      <c r="BB377" s="30" t="inlineStr">
        <is>
          <t>Stage 2</t>
        </is>
      </c>
      <c r="BC377" s="30">
        <f>IF(BB377="Stage 2",20,IF(BB377="Stage 1",0,IF(BB377="Stage 3",5,IF(BB377="Stage 4",-5,0))))</f>
        <v/>
      </c>
      <c r="BD377" s="30" t="inlineStr">
        <is>
          <t>Negative Trend</t>
        </is>
      </c>
      <c r="BE377" s="30">
        <f>IF(BD377="Positive Trend",20,IF(BD377="Negative Trend",-10,0))</f>
        <v/>
      </c>
      <c r="BF377" s="30" t="inlineStr">
        <is>
          <t>Uptrend</t>
        </is>
      </c>
      <c r="BG377" s="30">
        <f>IF(BF377="Uptrend",10,IF(BF377="Sideways",5,0))</f>
        <v/>
      </c>
      <c r="BH377" s="30" t="inlineStr">
        <is>
          <t>Uptrend</t>
        </is>
      </c>
      <c r="BI377" s="30">
        <f>IF(BH377="Uptrend",10,IF(BH377="Sideways",5,0))</f>
        <v/>
      </c>
      <c r="BJ377" s="30" t="inlineStr">
        <is>
          <t>Blue sky scenario</t>
        </is>
      </c>
      <c r="BK377" s="30">
        <f>IF(BJ377="Overhead supply in last 2 years in last 2 years",-5,IF(BJ377="Close to 52 week high or retracement",5,IF(BJ377="Blue sky scenario",10,IF(BJ377="Long term Downtrend",-10,0))))</f>
        <v/>
      </c>
      <c r="BL377" s="30" t="inlineStr">
        <is>
          <t>Yes</t>
        </is>
      </c>
      <c r="BM377" s="30">
        <f>IF(BL377="Yes",10,0)</f>
        <v/>
      </c>
      <c r="BN377" s="30" t="inlineStr">
        <is>
          <t>More than 20%</t>
        </is>
      </c>
      <c r="BO377" s="30">
        <f>IF(BN377="More than 20%",10,IF(BN377="Between 12 to 20%",5,IF(BN377="Less than 12%",0,0)))</f>
        <v/>
      </c>
      <c r="BP377" s="30" t="inlineStr">
        <is>
          <t>No</t>
        </is>
      </c>
      <c r="BQ377" s="30">
        <f>IF(BP377="No",10,0)</f>
        <v/>
      </c>
      <c r="BR377" s="30" t="inlineStr">
        <is>
          <t>Yes</t>
        </is>
      </c>
      <c r="BS377" s="30">
        <f>IF(BR377="NO",5,0)</f>
        <v/>
      </c>
      <c r="BT377" s="30" t="inlineStr">
        <is>
          <t>Less than 1.5</t>
        </is>
      </c>
      <c r="BU377" s="30">
        <f>IF(BT377="Above 2",0,IF(BT377="Between 1.5 to 2",5,IF(BT377="Less than 1.5",10,0)))</f>
        <v/>
      </c>
      <c r="BV377" s="30" t="inlineStr">
        <is>
          <t>Negative</t>
        </is>
      </c>
      <c r="BW377" s="30">
        <f>IF(BV377="Above 70%",10,IF(BV377="Between 50% to 70%",5,IF(BV377="Less than 50%",0,IF(BV377="Negative",-10,IF(BV377="Less than 50% and Borrowings are increasing",-5,0)))))</f>
        <v/>
      </c>
      <c r="BX377" s="30" t="inlineStr">
        <is>
          <t>More than 1.2</t>
        </is>
      </c>
      <c r="BY377" s="30">
        <f>IF(BX377="More than 1.2",-10,IF(BX377="Between 0.7 to 1.2",0,IF(BX377="Less than 0.7",10,0)))</f>
        <v/>
      </c>
      <c r="BZ377" s="30" t="inlineStr">
        <is>
          <t>No</t>
        </is>
      </c>
      <c r="CA377" s="30">
        <f>IF(BZ377="Yes",-10,0)</f>
        <v/>
      </c>
      <c r="CB377" s="30" t="inlineStr">
        <is>
          <t>Less than 15%</t>
        </is>
      </c>
      <c r="CC377" s="30">
        <f>IF(CB377="More than 15%",-10,IF(CB377="Less than 15%",10,0))</f>
        <v/>
      </c>
      <c r="CD377" s="30" t="inlineStr">
        <is>
          <t>No</t>
        </is>
      </c>
      <c r="CE377" s="30">
        <f>IF(CD377="Yes, more than 10%",-10,IF(CD377="No",10,0))</f>
        <v/>
      </c>
    </row>
    <row r="378">
      <c r="A378" s="30">
        <f>IF(B378=0,"",RANK(B378,$B$2:$B$405,0))</f>
        <v/>
      </c>
      <c r="B378" s="31">
        <f>SUM(N378,Y378,AA378,AC378,AE378,AG378,AI378,AK378,AM378,AO378,AQ378,AS378,AU378,AW378,AY378,BA378,BC378,BE378,BG378,BI378,BK378,BM378,BO378,BQ378,BS378,BU378,BW378,BY378,CA378,CC378,CE378)</f>
        <v/>
      </c>
      <c r="C378" s="32" t="inlineStr">
        <is>
          <t>GANDHITUBE</t>
        </is>
      </c>
      <c r="D378" s="32" t="inlineStr">
        <is>
          <t>Gandhi Special Tubes Limited</t>
        </is>
      </c>
      <c r="E378" s="30" t="inlineStr">
        <is>
          <t>metals &amp; mining</t>
        </is>
      </c>
      <c r="F378" s="30" t="inlineStr">
        <is>
          <t>steel - medium / small</t>
        </is>
      </c>
      <c r="G378" s="30" t="inlineStr">
        <is>
          <t>smallcap</t>
        </is>
      </c>
      <c r="H378" s="31" t="n">
        <v>1089.97</v>
      </c>
      <c r="I378" s="31" t="n">
        <v>892.8</v>
      </c>
      <c r="J378" s="31" t="n">
        <v>-0.46</v>
      </c>
      <c r="K378" s="31" t="n">
        <v>5888</v>
      </c>
      <c r="L378" s="30" t="n">
        <v>33</v>
      </c>
      <c r="M378" s="30" t="inlineStr">
        <is>
          <t>Underperforming</t>
        </is>
      </c>
      <c r="N378" s="31">
        <f>IF(M378="Underperforming",-5,IF(L378&gt;=95,15,IF(L378&gt;=90,10,IF(L378&gt;=80,5,0))))</f>
        <v/>
      </c>
      <c r="O378" s="31" t="n">
        <v>59.73</v>
      </c>
      <c r="P378" s="31" t="n">
        <v>14.39</v>
      </c>
      <c r="Q378" s="31" t="n">
        <v>765.61</v>
      </c>
      <c r="R378" s="30" t="inlineStr">
        <is>
          <t>Volume Spike / Accumulation</t>
        </is>
      </c>
      <c r="S378" s="30" t="inlineStr">
        <is>
          <t>Nifty Metal</t>
        </is>
      </c>
      <c r="T378" s="31" t="n">
        <v>39.44</v>
      </c>
      <c r="U378" s="31" t="n">
        <v>23</v>
      </c>
      <c r="V378" s="31" t="n">
        <v>-11.79</v>
      </c>
      <c r="W378" s="31" t="n">
        <v>6.67</v>
      </c>
      <c r="X378" s="30" t="inlineStr">
        <is>
          <t>Cyclical in an Upturn</t>
        </is>
      </c>
      <c r="Y378" s="30">
        <f>IF(X378="Growing Industry",10,IF(X378="Cyclical in an Upturn",5,0))</f>
        <v/>
      </c>
      <c r="Z378" s="30" t="inlineStr">
        <is>
          <t>Too Many Players with High ROCE</t>
        </is>
      </c>
      <c r="AA378" s="30">
        <f>IF(Z378="Monopoly",10,IF(Z378="Oligopoly",5,IF(Z378="Duopoly that cooperate",10,IF(Z378="Duopoly that compete",5,IF(Z378="Too many players with High ROCE",5,0)))))</f>
        <v/>
      </c>
      <c r="AB378" s="30" t="inlineStr">
        <is>
          <t>No</t>
        </is>
      </c>
      <c r="AC378" s="30">
        <f>IF(AB378="No",5,0)</f>
        <v/>
      </c>
      <c r="AD378" s="30" t="inlineStr">
        <is>
          <t>Tailwind</t>
        </is>
      </c>
      <c r="AE378" s="30">
        <f>IF(AD378="Tailwind",10,0)</f>
        <v/>
      </c>
      <c r="AF378" s="30" t="inlineStr">
        <is>
          <t>Cyclical</t>
        </is>
      </c>
      <c r="AG378" s="30">
        <f>IF(AF378="Structural (10 Years Consistency)",10,IF(AF378="Shallow Cyclical (2 to 3 years growth)",5,0))</f>
        <v/>
      </c>
      <c r="AH378" s="30" t="inlineStr">
        <is>
          <t>No</t>
        </is>
      </c>
      <c r="AI378" s="30">
        <f>IF(AH378="Yes due to Product Mix change or Operating Leverage",10,IF(AH378="Yes, these are peak margins",-5,IF(AH378="No",5,0)))</f>
        <v/>
      </c>
      <c r="AJ378" s="30" t="inlineStr">
        <is>
          <t>Volatile</t>
        </is>
      </c>
      <c r="AK378" s="30">
        <f>IF(AJ378="Stable",10,0)</f>
        <v/>
      </c>
      <c r="AL378" s="30" t="inlineStr">
        <is>
          <t>Yes</t>
        </is>
      </c>
      <c r="AM378" s="30">
        <f>IF(AL378="Yes",10,0)</f>
        <v/>
      </c>
      <c r="AN378" s="30" t="inlineStr">
        <is>
          <t>B2B</t>
        </is>
      </c>
      <c r="AO378" s="30">
        <f>IF(AN378="B2C",10,IF(AN378="B2B",5,0))</f>
        <v/>
      </c>
      <c r="AP378" s="30" t="inlineStr">
        <is>
          <t>Yes</t>
        </is>
      </c>
      <c r="AQ378" s="30">
        <f>IF(AP378="Yes",10,0)</f>
        <v/>
      </c>
      <c r="AR378" s="30" t="inlineStr">
        <is>
          <t>Higher One Time, Lower Annuity</t>
        </is>
      </c>
      <c r="AS378" s="30">
        <f>IF(AR378="Fully Annuity",10,IF(AR378="Higher Annuity, Lower One Time",5,IF(AR378="Higher One Time, Lower Annuity",3,0)))</f>
        <v/>
      </c>
      <c r="AT378" s="30" t="inlineStr">
        <is>
          <t>Good</t>
        </is>
      </c>
      <c r="AU378" s="30">
        <f>IF(AT378="Good",10,0)</f>
        <v/>
      </c>
      <c r="AV378" s="30" t="inlineStr">
        <is>
          <t>Yes for more than 2 years</t>
        </is>
      </c>
      <c r="AW378" s="30">
        <f>IF(AV378="Yes for more than 2 years",10,IF(AV378="Yes only for next 1 to 2 years",5,0))</f>
        <v/>
      </c>
      <c r="AX378" s="30" t="inlineStr">
        <is>
          <t>0 to 20</t>
        </is>
      </c>
      <c r="AY378" s="30">
        <f>IF(AX378="Above 40",20,IF(AX378="20 to 40",10,IF(AX378="0 to 20",-5,0)))</f>
        <v/>
      </c>
      <c r="AZ378" s="30" t="inlineStr">
        <is>
          <t>Between 50 to 75</t>
        </is>
      </c>
      <c r="BA378" s="30">
        <f>IF(AZ378="Between 50 to 75",10,IF(AZ378="Above 75",0,0))</f>
        <v/>
      </c>
      <c r="BB378" s="30" t="inlineStr">
        <is>
          <t>Stage 2</t>
        </is>
      </c>
      <c r="BC378" s="30">
        <f>IF(BB378="Stage 2",20,IF(BB378="Stage 1",0,IF(BB378="Stage 3",5,IF(BB378="Stage 4",-5,0))))</f>
        <v/>
      </c>
      <c r="BD378" s="30" t="inlineStr">
        <is>
          <t>Positive Trend</t>
        </is>
      </c>
      <c r="BE378" s="30">
        <f>IF(BD378="Positive Trend",20,IF(BD378="Negative Trend",-10,0))</f>
        <v/>
      </c>
      <c r="BF378" s="30" t="inlineStr">
        <is>
          <t>Uptrend</t>
        </is>
      </c>
      <c r="BG378" s="30">
        <f>IF(BF378="Uptrend",10,IF(BF378="Sideways",5,0))</f>
        <v/>
      </c>
      <c r="BH378" s="30" t="inlineStr">
        <is>
          <t>Uptrend</t>
        </is>
      </c>
      <c r="BI378" s="30">
        <f>IF(BH378="Uptrend",10,IF(BH378="Sideways",5,0))</f>
        <v/>
      </c>
      <c r="BJ378" s="30" t="inlineStr">
        <is>
          <t>Close to 52 week high or retracement</t>
        </is>
      </c>
      <c r="BK378" s="30">
        <f>IF(BJ378="Overhead supply in last 2 years in last 2 years",-5,IF(BJ378="Close to 52 week high or retracement",5,IF(BJ378="Blue sky scenario",10,IF(BJ378="Long term Downtrend",-10,0))))</f>
        <v/>
      </c>
      <c r="BL378" s="30" t="inlineStr">
        <is>
          <t>Yes</t>
        </is>
      </c>
      <c r="BM378" s="30">
        <f>IF(BL378="Yes",10,0)</f>
        <v/>
      </c>
      <c r="BN378" s="30" t="inlineStr">
        <is>
          <t>Less than 12%</t>
        </is>
      </c>
      <c r="BO378" s="30">
        <f>IF(BN378="More than 20%",10,IF(BN378="Between 12 to 20%",5,IF(BN378="Less than 12%",0,0)))</f>
        <v/>
      </c>
      <c r="BP378" s="30" t="inlineStr">
        <is>
          <t>No</t>
        </is>
      </c>
      <c r="BQ378" s="30">
        <f>IF(BP378="No",10,0)</f>
        <v/>
      </c>
      <c r="BR378" s="30" t="inlineStr">
        <is>
          <t>No</t>
        </is>
      </c>
      <c r="BS378" s="30">
        <f>IF(BR378="NO",5,0)</f>
        <v/>
      </c>
      <c r="BT378" s="30" t="inlineStr">
        <is>
          <t>Above 2</t>
        </is>
      </c>
      <c r="BU378" s="30">
        <f>IF(BT378="Above 2",0,IF(BT378="Between 1.5 to 2",5,IF(BT378="Less than 1.5",10,0)))</f>
        <v/>
      </c>
      <c r="BV378" s="30" t="inlineStr">
        <is>
          <t>Between 50% to 70%</t>
        </is>
      </c>
      <c r="BW378" s="30">
        <f>IF(BV378="Above 70%",10,IF(BV378="Between 50% to 70%",5,IF(BV378="Less than 50%",0,IF(BV378="Negative",-10,IF(BV378="Less than 50% and Borrowings are increasing",-5,0)))))</f>
        <v/>
      </c>
      <c r="BX378" s="30" t="inlineStr">
        <is>
          <t>Less than 0.7</t>
        </is>
      </c>
      <c r="BY378" s="30">
        <f>IF(BX378="More than 1.2",-10,IF(BX378="Between 0.7 to 1.2",0,IF(BX378="Less than 0.7",10,0)))</f>
        <v/>
      </c>
      <c r="BZ378" s="30" t="inlineStr">
        <is>
          <t>No</t>
        </is>
      </c>
      <c r="CA378" s="30">
        <f>IF(BZ378="Yes",-10,0)</f>
        <v/>
      </c>
      <c r="CB378" s="30" t="inlineStr">
        <is>
          <t>Less than 15%</t>
        </is>
      </c>
      <c r="CC378" s="30">
        <f>IF(CB378="More than 15%",-10,IF(CB378="Less than 15%",10,0))</f>
        <v/>
      </c>
      <c r="CD378" s="30" t="inlineStr">
        <is>
          <t>No</t>
        </is>
      </c>
      <c r="CE378" s="30">
        <f>IF(CD378="Yes, more than 10%",-10,IF(CD378="No",10,0))</f>
        <v/>
      </c>
    </row>
    <row r="379">
      <c r="A379" s="30">
        <f>IF(B379=0,"",RANK(B379,$B$2:$B$405,0))</f>
        <v/>
      </c>
      <c r="B379" s="31">
        <f>SUM(N379,Y379,AA379,AC379,AE379,AG379,AI379,AK379,AM379,AO379,AQ379,AS379,AU379,AW379,AY379,BA379,BC379,BE379,BG379,BI379,BK379,BM379,BO379,BQ379,BS379,BU379,BW379,BY379,CA379,CC379,CE379)</f>
        <v/>
      </c>
      <c r="C379" s="32" t="inlineStr">
        <is>
          <t>TRENT</t>
        </is>
      </c>
      <c r="D379" s="32" t="inlineStr">
        <is>
          <t>Trent Limited</t>
        </is>
      </c>
      <c r="E379" s="30" t="inlineStr">
        <is>
          <t>consumer discretionary</t>
        </is>
      </c>
      <c r="F379" s="30" t="inlineStr">
        <is>
          <t>trading</t>
        </is>
      </c>
      <c r="G379" s="30" t="inlineStr">
        <is>
          <t>largecap</t>
        </is>
      </c>
      <c r="H379" s="31" t="n">
        <v>166848.39</v>
      </c>
      <c r="I379" s="31" t="n">
        <v>3107.1</v>
      </c>
      <c r="J379" s="31" t="n">
        <v>-0.7</v>
      </c>
      <c r="K379" s="31" t="n">
        <v>8772979</v>
      </c>
      <c r="L379" s="30" t="n">
        <v>1</v>
      </c>
      <c r="M379" s="30" t="inlineStr">
        <is>
          <t>Underperforming</t>
        </is>
      </c>
      <c r="N379" s="31">
        <f>IF(M379="Underperforming",-5,IF(L379&gt;=95,15,IF(L379&gt;=90,10,IF(L379&gt;=80,5,0))))</f>
        <v/>
      </c>
      <c r="O379" s="31" t="n">
        <v>50.69</v>
      </c>
      <c r="P379" s="31" t="n">
        <v>11.94</v>
      </c>
      <c r="Q379" s="31" t="n">
        <v>2704.53</v>
      </c>
      <c r="R379" s="30" t="inlineStr">
        <is>
          <t>Earnings / Momentum Support</t>
        </is>
      </c>
      <c r="S379" s="30" t="inlineStr">
        <is>
          <t>Nifty 50</t>
        </is>
      </c>
      <c r="T379" s="31" t="n">
        <v>1.09</v>
      </c>
      <c r="U379" s="31" t="n">
        <v>-42.35</v>
      </c>
      <c r="V379" s="31" t="n">
        <v>-42.97</v>
      </c>
      <c r="W379" s="31" t="n">
        <v>-6.77</v>
      </c>
      <c r="X379" s="30" t="inlineStr">
        <is>
          <t>Growing Industry</t>
        </is>
      </c>
      <c r="Y379" s="30">
        <f>IF(X379="Growing Industry",10,IF(X379="Cyclical in an Upturn",5,0))</f>
        <v/>
      </c>
      <c r="Z379" s="30" t="inlineStr">
        <is>
          <t>Too Many Players with High ROCE</t>
        </is>
      </c>
      <c r="AA379" s="30">
        <f>IF(Z379="Monopoly",10,IF(Z379="Oligopoly",5,IF(Z379="Duopoly that cooperate",10,IF(Z379="Duopoly that compete",5,IF(Z379="Too many players with High ROCE",5,0)))))</f>
        <v/>
      </c>
      <c r="AB379" s="30" t="inlineStr">
        <is>
          <t>No</t>
        </is>
      </c>
      <c r="AC379" s="30">
        <f>IF(AB379="No",5,0)</f>
        <v/>
      </c>
      <c r="AD379" s="30" t="inlineStr">
        <is>
          <t>Tailwind</t>
        </is>
      </c>
      <c r="AE379" s="30">
        <f>IF(AD379="Tailwind",10,0)</f>
        <v/>
      </c>
      <c r="AF379" s="30" t="inlineStr">
        <is>
          <t>Structural (10 Years Consistency)</t>
        </is>
      </c>
      <c r="AG379" s="30">
        <f>IF(AF379="Structural (10 Years Consistency)",10,IF(AF379="Shallow Cyclical (2 to 3 years growth)",5,0))</f>
        <v/>
      </c>
      <c r="AH379" s="30" t="inlineStr">
        <is>
          <t>No</t>
        </is>
      </c>
      <c r="AI379" s="30">
        <f>IF(AH379="Yes due to Product Mix change or Operating Leverage",10,IF(AH379="Yes, these are peak margins",-5,IF(AH379="No",5,0)))</f>
        <v/>
      </c>
      <c r="AJ379" s="30" t="inlineStr">
        <is>
          <t>Stable</t>
        </is>
      </c>
      <c r="AK379" s="30">
        <f>IF(AJ379="Stable",10,0)</f>
        <v/>
      </c>
      <c r="AL379" s="30" t="inlineStr">
        <is>
          <t>Yes</t>
        </is>
      </c>
      <c r="AM379" s="30">
        <f>IF(AL379="Yes",10,0)</f>
        <v/>
      </c>
      <c r="AN379" s="30" t="inlineStr">
        <is>
          <t>B2B</t>
        </is>
      </c>
      <c r="AO379" s="30">
        <f>IF(AN379="B2C",10,IF(AN379="B2B",5,0))</f>
        <v/>
      </c>
      <c r="AP379" s="30" t="inlineStr">
        <is>
          <t>No</t>
        </is>
      </c>
      <c r="AQ379" s="30">
        <f>IF(AP379="Yes",10,0)</f>
        <v/>
      </c>
      <c r="AR379" s="30" t="inlineStr">
        <is>
          <t>Higher One Time, Lower Annuity</t>
        </is>
      </c>
      <c r="AS379" s="30">
        <f>IF(AR379="Fully Annuity",10,IF(AR379="Higher Annuity, Lower One Time",5,IF(AR379="Higher One Time, Lower Annuity",3,0)))</f>
        <v/>
      </c>
      <c r="AT379" s="30" t="inlineStr">
        <is>
          <t>Good</t>
        </is>
      </c>
      <c r="AU379" s="30">
        <f>IF(AT379="Good",10,0)</f>
        <v/>
      </c>
      <c r="AV379" s="30" t="inlineStr">
        <is>
          <t>Yes for more than 2 years</t>
        </is>
      </c>
      <c r="AW379" s="30">
        <f>IF(AV379="Yes for more than 2 years",10,IF(AV379="Yes only for next 1 to 2 years",5,0))</f>
        <v/>
      </c>
      <c r="AX379" s="30" t="inlineStr">
        <is>
          <t>0 to 20</t>
        </is>
      </c>
      <c r="AY379" s="30">
        <f>IF(AX379="Above 40",20,IF(AX379="20 to 40",10,IF(AX379="0 to 20",-5,0)))</f>
        <v/>
      </c>
      <c r="AZ379" s="30" t="inlineStr">
        <is>
          <t>Between 50 to 75</t>
        </is>
      </c>
      <c r="BA379" s="30">
        <f>IF(AZ379="Between 50 to 75",10,IF(AZ379="Above 75",0,0))</f>
        <v/>
      </c>
      <c r="BB379" s="30" t="inlineStr">
        <is>
          <t>Stage 4</t>
        </is>
      </c>
      <c r="BC379" s="30">
        <f>IF(BB379="Stage 2",20,IF(BB379="Stage 1",0,IF(BB379="Stage 3",5,IF(BB379="Stage 4",-5,0))))</f>
        <v/>
      </c>
      <c r="BD379" s="30" t="inlineStr">
        <is>
          <t>Positive Trend</t>
        </is>
      </c>
      <c r="BE379" s="30">
        <f>IF(BD379="Positive Trend",20,IF(BD379="Negative Trend",-10,0))</f>
        <v/>
      </c>
      <c r="BF379" s="30" t="inlineStr">
        <is>
          <t>Uptrend</t>
        </is>
      </c>
      <c r="BG379" s="30">
        <f>IF(BF379="Uptrend",10,IF(BF379="Sideways",5,0))</f>
        <v/>
      </c>
      <c r="BH379" s="30" t="inlineStr">
        <is>
          <t>Uptrend</t>
        </is>
      </c>
      <c r="BI379" s="30">
        <f>IF(BH379="Uptrend",10,IF(BH379="Sideways",5,0))</f>
        <v/>
      </c>
      <c r="BJ379" s="30" t="inlineStr">
        <is>
          <t>Close to 52 week high or retracement</t>
        </is>
      </c>
      <c r="BK379" s="30">
        <f>IF(BJ379="Overhead supply in last 2 years in last 2 years",-5,IF(BJ379="Close to 52 week high or retracement",5,IF(BJ379="Blue sky scenario",10,IF(BJ379="Long term Downtrend",-10,0))))</f>
        <v/>
      </c>
      <c r="BL379" s="30" t="inlineStr">
        <is>
          <t>Yes</t>
        </is>
      </c>
      <c r="BM379" s="30">
        <f>IF(BL379="Yes",10,0)</f>
        <v/>
      </c>
      <c r="BN379" s="30" t="inlineStr">
        <is>
          <t>More than 20%</t>
        </is>
      </c>
      <c r="BO379" s="30">
        <f>IF(BN379="More than 20%",10,IF(BN379="Between 12 to 20%",5,IF(BN379="Less than 12%",0,0)))</f>
        <v/>
      </c>
      <c r="BP379" s="30" t="inlineStr">
        <is>
          <t>No</t>
        </is>
      </c>
      <c r="BQ379" s="30">
        <f>IF(BP379="No",10,0)</f>
        <v/>
      </c>
      <c r="BR379" s="30" t="inlineStr">
        <is>
          <t>Yes</t>
        </is>
      </c>
      <c r="BS379" s="30">
        <f>IF(BR379="NO",5,0)</f>
        <v/>
      </c>
      <c r="BT379" s="30" t="inlineStr">
        <is>
          <t>Above 2</t>
        </is>
      </c>
      <c r="BU379" s="30">
        <f>IF(BT379="Above 2",0,IF(BT379="Between 1.5 to 2",5,IF(BT379="Less than 1.5",10,0)))</f>
        <v/>
      </c>
      <c r="BV379" s="30" t="inlineStr">
        <is>
          <t>Above 70%</t>
        </is>
      </c>
      <c r="BW379" s="30">
        <f>IF(BV379="Above 70%",10,IF(BV379="Between 50% to 70%",5,IF(BV379="Less than 50%",0,IF(BV379="Negative",-10,IF(BV379="Less than 50% and Borrowings are increasing",-5,0)))))</f>
        <v/>
      </c>
      <c r="BX379" s="30" t="inlineStr">
        <is>
          <t>Less than 0.7</t>
        </is>
      </c>
      <c r="BY379" s="30">
        <f>IF(BX379="More than 1.2",-10,IF(BX379="Between 0.7 to 1.2",0,IF(BX379="Less than 0.7",10,0)))</f>
        <v/>
      </c>
      <c r="BZ379" s="30" t="inlineStr">
        <is>
          <t>No</t>
        </is>
      </c>
      <c r="CA379" s="30">
        <f>IF(BZ379="Yes",-10,0)</f>
        <v/>
      </c>
      <c r="CB379" s="30" t="inlineStr">
        <is>
          <t>Less than 15%</t>
        </is>
      </c>
      <c r="CC379" s="30">
        <f>IF(CB379="More than 15%",-10,IF(CB379="Less than 15%",10,0))</f>
        <v/>
      </c>
      <c r="CD379" s="30" t="inlineStr">
        <is>
          <t>No</t>
        </is>
      </c>
      <c r="CE379" s="30">
        <f>IF(CD379="Yes, more than 10%",-10,IF(CD379="No",10,0))</f>
        <v/>
      </c>
    </row>
    <row r="380">
      <c r="A380" s="30">
        <f>IF(B380=0,"",RANK(B380,$B$2:$B$405,0))</f>
        <v/>
      </c>
      <c r="B380" s="31">
        <f>SUM(N380,Y380,AA380,AC380,AE380,AG380,AI380,AK380,AM380,AO380,AQ380,AS380,AU380,AW380,AY380,BA380,BC380,BE380,BG380,BI380,BK380,BM380,BO380,BQ380,BS380,BU380,BW380,BY380,CA380,CC380,CE380)</f>
        <v/>
      </c>
      <c r="C380" s="32" t="inlineStr">
        <is>
          <t>LLOYDSME</t>
        </is>
      </c>
      <c r="D380" s="32" t="inlineStr">
        <is>
          <t>Lloyds Metals &amp; Energy Ltd</t>
        </is>
      </c>
      <c r="E380" s="30" t="inlineStr">
        <is>
          <t>metals &amp; mining</t>
        </is>
      </c>
      <c r="F380" s="30" t="inlineStr">
        <is>
          <t>mining / minerals / metals</t>
        </is>
      </c>
      <c r="G380" s="30" t="inlineStr">
        <is>
          <t>largecap</t>
        </is>
      </c>
      <c r="H380" s="31" t="n">
        <v>117484.31</v>
      </c>
      <c r="I380" s="31" t="n">
        <v>2059</v>
      </c>
      <c r="J380" s="31" t="n">
        <v>-1.35</v>
      </c>
      <c r="K380" s="31" t="n">
        <v>345881</v>
      </c>
      <c r="L380" s="30" t="n">
        <v>61</v>
      </c>
      <c r="M380" s="30" t="inlineStr">
        <is>
          <t>Underperforming</t>
        </is>
      </c>
      <c r="N380" s="31">
        <f>IF(M380="Underperforming",-5,IF(L380&gt;=95,15,IF(L380&gt;=90,10,IF(L380&gt;=80,5,0))))</f>
        <v/>
      </c>
      <c r="O380" s="31" t="n">
        <v>78.86</v>
      </c>
      <c r="P380" s="31" t="n">
        <v>44.9</v>
      </c>
      <c r="Q380" s="31" t="n">
        <v>1731.23</v>
      </c>
      <c r="R380" s="30" t="inlineStr">
        <is>
          <t>Near 52W High Breakout</t>
        </is>
      </c>
      <c r="S380" s="30" t="inlineStr">
        <is>
          <t>Nifty Metal</t>
        </is>
      </c>
      <c r="T380" s="31" t="n">
        <v>39.44</v>
      </c>
      <c r="U380" s="31" t="n">
        <v>37.83</v>
      </c>
      <c r="V380" s="31" t="n">
        <v>-1.16</v>
      </c>
      <c r="W380" s="31" t="n">
        <v>13.77</v>
      </c>
      <c r="X380" s="30" t="inlineStr">
        <is>
          <t>Cyclical in an Upturn</t>
        </is>
      </c>
      <c r="Y380" s="30">
        <f>IF(X380="Growing Industry",10,IF(X380="Cyclical in an Upturn",5,0))</f>
        <v/>
      </c>
      <c r="Z380" s="30" t="inlineStr">
        <is>
          <t>Too Many Players with High ROCE</t>
        </is>
      </c>
      <c r="AA380" s="30">
        <f>IF(Z380="Monopoly",10,IF(Z380="Oligopoly",5,IF(Z380="Duopoly that cooperate",10,IF(Z380="Duopoly that compete",5,IF(Z380="Too many players with High ROCE",5,0)))))</f>
        <v/>
      </c>
      <c r="AB380" s="30" t="inlineStr">
        <is>
          <t>No</t>
        </is>
      </c>
      <c r="AC380" s="30">
        <f>IF(AB380="No",5,0)</f>
        <v/>
      </c>
      <c r="AD380" s="30" t="inlineStr">
        <is>
          <t>Tailwind</t>
        </is>
      </c>
      <c r="AE380" s="30">
        <f>IF(AD380="Tailwind",10,0)</f>
        <v/>
      </c>
      <c r="AF380" s="30" t="inlineStr">
        <is>
          <t>Cyclical</t>
        </is>
      </c>
      <c r="AG380" s="30">
        <f>IF(AF380="Structural (10 Years Consistency)",10,IF(AF380="Shallow Cyclical (2 to 3 years growth)",5,0))</f>
        <v/>
      </c>
      <c r="AH380" s="30" t="inlineStr">
        <is>
          <t>No</t>
        </is>
      </c>
      <c r="AI380" s="30">
        <f>IF(AH380="Yes due to Product Mix change or Operating Leverage",10,IF(AH380="Yes, these are peak margins",-5,IF(AH380="No",5,0)))</f>
        <v/>
      </c>
      <c r="AJ380" s="30" t="inlineStr">
        <is>
          <t>Volatile</t>
        </is>
      </c>
      <c r="AK380" s="30">
        <f>IF(AJ380="Stable",10,0)</f>
        <v/>
      </c>
      <c r="AL380" s="30" t="inlineStr">
        <is>
          <t>Yes</t>
        </is>
      </c>
      <c r="AM380" s="30">
        <f>IF(AL380="Yes",10,0)</f>
        <v/>
      </c>
      <c r="AN380" s="30" t="inlineStr">
        <is>
          <t>B2B</t>
        </is>
      </c>
      <c r="AO380" s="30">
        <f>IF(AN380="B2C",10,IF(AN380="B2B",5,0))</f>
        <v/>
      </c>
      <c r="AP380" s="30" t="inlineStr">
        <is>
          <t>Yes</t>
        </is>
      </c>
      <c r="AQ380" s="30">
        <f>IF(AP380="Yes",10,0)</f>
        <v/>
      </c>
      <c r="AR380" s="30" t="inlineStr">
        <is>
          <t>Higher One Time, Lower Annuity</t>
        </is>
      </c>
      <c r="AS380" s="30">
        <f>IF(AR380="Fully Annuity",10,IF(AR380="Higher Annuity, Lower One Time",5,IF(AR380="Higher One Time, Lower Annuity",3,0)))</f>
        <v/>
      </c>
      <c r="AT380" s="30" t="inlineStr">
        <is>
          <t>Good</t>
        </is>
      </c>
      <c r="AU380" s="30">
        <f>IF(AT380="Good",10,0)</f>
        <v/>
      </c>
      <c r="AV380" s="30" t="inlineStr">
        <is>
          <t>Yes for more than 2 years</t>
        </is>
      </c>
      <c r="AW380" s="30">
        <f>IF(AV380="Yes for more than 2 years",10,IF(AV380="Yes only for next 1 to 2 years",5,0))</f>
        <v/>
      </c>
      <c r="AX380" s="30" t="inlineStr">
        <is>
          <t>Above 40</t>
        </is>
      </c>
      <c r="AY380" s="30">
        <f>IF(AX380="Above 40",20,IF(AX380="20 to 40",10,IF(AX380="0 to 20",-5,0)))</f>
        <v/>
      </c>
      <c r="AZ380" s="30" t="inlineStr">
        <is>
          <t>Above 75</t>
        </is>
      </c>
      <c r="BA380" s="30">
        <f>IF(AZ380="Between 50 to 75",10,IF(AZ380="Above 75",0,0))</f>
        <v/>
      </c>
      <c r="BB380" s="30" t="inlineStr">
        <is>
          <t>Stage 2</t>
        </is>
      </c>
      <c r="BC380" s="30">
        <f>IF(BB380="Stage 2",20,IF(BB380="Stage 1",0,IF(BB380="Stage 3",5,IF(BB380="Stage 4",-5,0))))</f>
        <v/>
      </c>
      <c r="BD380" s="30" t="inlineStr">
        <is>
          <t>Positive Trend</t>
        </is>
      </c>
      <c r="BE380" s="30">
        <f>IF(BD380="Positive Trend",20,IF(BD380="Negative Trend",-10,0))</f>
        <v/>
      </c>
      <c r="BF380" s="30" t="inlineStr">
        <is>
          <t>Uptrend</t>
        </is>
      </c>
      <c r="BG380" s="30">
        <f>IF(BF380="Uptrend",10,IF(BF380="Sideways",5,0))</f>
        <v/>
      </c>
      <c r="BH380" s="30" t="inlineStr">
        <is>
          <t>Uptrend</t>
        </is>
      </c>
      <c r="BI380" s="30">
        <f>IF(BH380="Uptrend",10,IF(BH380="Sideways",5,0))</f>
        <v/>
      </c>
      <c r="BJ380" s="30" t="inlineStr">
        <is>
          <t>Blue sky scenario</t>
        </is>
      </c>
      <c r="BK380" s="30">
        <f>IF(BJ380="Overhead supply in last 2 years in last 2 years",-5,IF(BJ380="Close to 52 week high or retracement",5,IF(BJ380="Blue sky scenario",10,IF(BJ380="Long term Downtrend",-10,0))))</f>
        <v/>
      </c>
      <c r="BL380" s="30" t="inlineStr">
        <is>
          <t>Yes</t>
        </is>
      </c>
      <c r="BM380" s="30">
        <f>IF(BL380="Yes",10,0)</f>
        <v/>
      </c>
      <c r="BN380" s="30" t="inlineStr">
        <is>
          <t>More than 20%</t>
        </is>
      </c>
      <c r="BO380" s="30">
        <f>IF(BN380="More than 20%",10,IF(BN380="Between 12 to 20%",5,IF(BN380="Less than 12%",0,0)))</f>
        <v/>
      </c>
      <c r="BP380" s="30" t="inlineStr">
        <is>
          <t>No</t>
        </is>
      </c>
      <c r="BQ380" s="30">
        <f>IF(BP380="No",10,0)</f>
        <v/>
      </c>
      <c r="BR380" s="30" t="inlineStr">
        <is>
          <t>No</t>
        </is>
      </c>
      <c r="BS380" s="30">
        <f>IF(BR380="NO",5,0)</f>
        <v/>
      </c>
      <c r="BT380" s="30" t="inlineStr">
        <is>
          <t>Above 2</t>
        </is>
      </c>
      <c r="BU380" s="30">
        <f>IF(BT380="Above 2",0,IF(BT380="Between 1.5 to 2",5,IF(BT380="Less than 1.5",10,0)))</f>
        <v/>
      </c>
      <c r="BV380" s="30" t="inlineStr">
        <is>
          <t>Less than 50% and Borrowings are increasing</t>
        </is>
      </c>
      <c r="BW380" s="30">
        <f>IF(BV380="Above 70%",10,IF(BV380="Between 50% to 70%",5,IF(BV380="Less than 50%",0,IF(BV380="Negative",-10,IF(BV380="Less than 50% and Borrowings are increasing",-5,0)))))</f>
        <v/>
      </c>
      <c r="BX380" s="30" t="inlineStr">
        <is>
          <t>More than 1.2</t>
        </is>
      </c>
      <c r="BY380" s="30">
        <f>IF(BX380="More than 1.2",-10,IF(BX380="Between 0.7 to 1.2",0,IF(BX380="Less than 0.7",10,0)))</f>
        <v/>
      </c>
      <c r="BZ380" s="30" t="inlineStr">
        <is>
          <t>No</t>
        </is>
      </c>
      <c r="CA380" s="30">
        <f>IF(BZ380="Yes",-10,0)</f>
        <v/>
      </c>
      <c r="CB380" s="30" t="inlineStr">
        <is>
          <t>Less than 15%</t>
        </is>
      </c>
      <c r="CC380" s="30">
        <f>IF(CB380="More than 15%",-10,IF(CB380="Less than 15%",10,0))</f>
        <v/>
      </c>
      <c r="CD380" s="30" t="inlineStr">
        <is>
          <t>No</t>
        </is>
      </c>
      <c r="CE380" s="30">
        <f>IF(CD380="Yes, more than 10%",-10,IF(CD380="No",10,0))</f>
        <v/>
      </c>
    </row>
    <row r="381">
      <c r="A381" s="30">
        <f>IF(B381=0,"",RANK(B381,$B$2:$B$405,0))</f>
        <v/>
      </c>
      <c r="B381" s="31">
        <f>SUM(N381,Y381,AA381,AC381,AE381,AG381,AI381,AK381,AM381,AO381,AQ381,AS381,AU381,AW381,AY381,BA381,BC381,BE381,BG381,BI381,BK381,BM381,BO381,BQ381,BS381,BU381,BW381,BY381,CA381,CC381,CE381)</f>
        <v/>
      </c>
      <c r="C381" s="32" t="inlineStr">
        <is>
          <t>INDIGO</t>
        </is>
      </c>
      <c r="D381" s="32" t="inlineStr">
        <is>
          <t>Interglobe Aviation Limited</t>
        </is>
      </c>
      <c r="E381" s="30" t="inlineStr">
        <is>
          <t>transportation</t>
        </is>
      </c>
      <c r="F381" s="30" t="inlineStr">
        <is>
          <t>transport - airlines</t>
        </is>
      </c>
      <c r="G381" s="30" t="inlineStr">
        <is>
          <t>largecap</t>
        </is>
      </c>
      <c r="H381" s="31" t="n">
        <v>208795.05</v>
      </c>
      <c r="I381" s="31" t="n">
        <v>5318.5</v>
      </c>
      <c r="J381" s="31" t="n">
        <v>-1.51</v>
      </c>
      <c r="K381" s="31" t="n">
        <v>951032</v>
      </c>
      <c r="L381" s="30" t="n">
        <v>15</v>
      </c>
      <c r="M381" s="30" t="inlineStr">
        <is>
          <t>Underperforming</t>
        </is>
      </c>
      <c r="N381" s="31">
        <f>IF(M381="Underperforming",-5,IF(L381&gt;=95,15,IF(L381&gt;=90,10,IF(L381&gt;=80,5,0))))</f>
        <v/>
      </c>
      <c r="O381" s="31" t="n">
        <v>59.5</v>
      </c>
      <c r="P381" s="31" t="n">
        <v>18.58</v>
      </c>
      <c r="Q381" s="31" t="n">
        <v>4443.61</v>
      </c>
      <c r="R381" s="30" t="inlineStr">
        <is>
          <t>Earnings / Momentum Support</t>
        </is>
      </c>
      <c r="S381" s="30" t="inlineStr">
        <is>
          <t>Nifty 50</t>
        </is>
      </c>
      <c r="T381" s="31" t="n">
        <v>1.09</v>
      </c>
      <c r="U381" s="31" t="n">
        <v>-7.17</v>
      </c>
      <c r="V381" s="31" t="n">
        <v>-8.17</v>
      </c>
      <c r="W381" s="31" t="n">
        <v>2.69</v>
      </c>
      <c r="X381" s="30" t="inlineStr">
        <is>
          <t>Growing Industry</t>
        </is>
      </c>
      <c r="Y381" s="30">
        <f>IF(X381="Growing Industry",10,IF(X381="Cyclical in an Upturn",5,0))</f>
        <v/>
      </c>
      <c r="Z381" s="30" t="inlineStr">
        <is>
          <t>Too Many Players with High ROCE</t>
        </is>
      </c>
      <c r="AA381" s="30">
        <f>IF(Z381="Monopoly",10,IF(Z381="Oligopoly",5,IF(Z381="Duopoly that cooperate",10,IF(Z381="Duopoly that compete",5,IF(Z381="Too many players with High ROCE",5,0)))))</f>
        <v/>
      </c>
      <c r="AB381" s="30" t="inlineStr">
        <is>
          <t>No</t>
        </is>
      </c>
      <c r="AC381" s="30">
        <f>IF(AB381="No",5,0)</f>
        <v/>
      </c>
      <c r="AD381" s="30" t="inlineStr">
        <is>
          <t>Tailwind</t>
        </is>
      </c>
      <c r="AE381" s="30">
        <f>IF(AD381="Tailwind",10,0)</f>
        <v/>
      </c>
      <c r="AF381" s="30" t="inlineStr">
        <is>
          <t>Structural (10 Years Consistency)</t>
        </is>
      </c>
      <c r="AG381" s="30">
        <f>IF(AF381="Structural (10 Years Consistency)",10,IF(AF381="Shallow Cyclical (2 to 3 years growth)",5,0))</f>
        <v/>
      </c>
      <c r="AH381" s="30" t="inlineStr">
        <is>
          <t>No</t>
        </is>
      </c>
      <c r="AI381" s="30">
        <f>IF(AH381="Yes due to Product Mix change or Operating Leverage",10,IF(AH381="Yes, these are peak margins",-5,IF(AH381="No",5,0)))</f>
        <v/>
      </c>
      <c r="AJ381" s="30" t="inlineStr">
        <is>
          <t>Stable</t>
        </is>
      </c>
      <c r="AK381" s="30">
        <f>IF(AJ381="Stable",10,0)</f>
        <v/>
      </c>
      <c r="AL381" s="30" t="inlineStr">
        <is>
          <t>Yes</t>
        </is>
      </c>
      <c r="AM381" s="30">
        <f>IF(AL381="Yes",10,0)</f>
        <v/>
      </c>
      <c r="AN381" s="30" t="inlineStr">
        <is>
          <t>B2B</t>
        </is>
      </c>
      <c r="AO381" s="30">
        <f>IF(AN381="B2C",10,IF(AN381="B2B",5,0))</f>
        <v/>
      </c>
      <c r="AP381" s="30" t="inlineStr">
        <is>
          <t>No</t>
        </is>
      </c>
      <c r="AQ381" s="30">
        <f>IF(AP381="Yes",10,0)</f>
        <v/>
      </c>
      <c r="AR381" s="30" t="inlineStr">
        <is>
          <t>Higher One Time, Lower Annuity</t>
        </is>
      </c>
      <c r="AS381" s="30">
        <f>IF(AR381="Fully Annuity",10,IF(AR381="Higher Annuity, Lower One Time",5,IF(AR381="Higher One Time, Lower Annuity",3,0)))</f>
        <v/>
      </c>
      <c r="AT381" s="30" t="inlineStr">
        <is>
          <t>Good</t>
        </is>
      </c>
      <c r="AU381" s="30">
        <f>IF(AT381="Good",10,0)</f>
        <v/>
      </c>
      <c r="AV381" s="30" t="inlineStr">
        <is>
          <t>Yes for more than 2 years</t>
        </is>
      </c>
      <c r="AW381" s="30">
        <f>IF(AV381="Yes for more than 2 years",10,IF(AV381="Yes only for next 1 to 2 years",5,0))</f>
        <v/>
      </c>
      <c r="AX381" s="30" t="inlineStr">
        <is>
          <t>0 to 20</t>
        </is>
      </c>
      <c r="AY381" s="30">
        <f>IF(AX381="Above 40",20,IF(AX381="20 to 40",10,IF(AX381="0 to 20",-5,0)))</f>
        <v/>
      </c>
      <c r="AZ381" s="30" t="inlineStr">
        <is>
          <t>Between 50 to 75</t>
        </is>
      </c>
      <c r="BA381" s="30">
        <f>IF(AZ381="Between 50 to 75",10,IF(AZ381="Above 75",0,0))</f>
        <v/>
      </c>
      <c r="BB381" s="30" t="inlineStr">
        <is>
          <t>Stage 2</t>
        </is>
      </c>
      <c r="BC381" s="30">
        <f>IF(BB381="Stage 2",20,IF(BB381="Stage 1",0,IF(BB381="Stage 3",5,IF(BB381="Stage 4",-5,0))))</f>
        <v/>
      </c>
      <c r="BD381" s="30" t="inlineStr">
        <is>
          <t>Positive Trend</t>
        </is>
      </c>
      <c r="BE381" s="30">
        <f>IF(BD381="Positive Trend",20,IF(BD381="Negative Trend",-10,0))</f>
        <v/>
      </c>
      <c r="BF381" s="30" t="inlineStr">
        <is>
          <t>Uptrend</t>
        </is>
      </c>
      <c r="BG381" s="30">
        <f>IF(BF381="Uptrend",10,IF(BF381="Sideways",5,0))</f>
        <v/>
      </c>
      <c r="BH381" s="30" t="inlineStr">
        <is>
          <t>Uptrend</t>
        </is>
      </c>
      <c r="BI381" s="30">
        <f>IF(BH381="Uptrend",10,IF(BH381="Sideways",5,0))</f>
        <v/>
      </c>
      <c r="BJ381" s="30" t="inlineStr">
        <is>
          <t>Close to 52 week high or retracement</t>
        </is>
      </c>
      <c r="BK381" s="30">
        <f>IF(BJ381="Overhead supply in last 2 years in last 2 years",-5,IF(BJ381="Close to 52 week high or retracement",5,IF(BJ381="Blue sky scenario",10,IF(BJ381="Long term Downtrend",-10,0))))</f>
        <v/>
      </c>
      <c r="BL381" s="30" t="inlineStr">
        <is>
          <t>Yes</t>
        </is>
      </c>
      <c r="BM381" s="30">
        <f>IF(BL381="Yes",10,0)</f>
        <v/>
      </c>
      <c r="BN381" s="30" t="inlineStr">
        <is>
          <t>Less than 12%</t>
        </is>
      </c>
      <c r="BO381" s="30">
        <f>IF(BN381="More than 20%",10,IF(BN381="Between 12 to 20%",5,IF(BN381="Less than 12%",0,0)))</f>
        <v/>
      </c>
      <c r="BP381" s="30" t="inlineStr">
        <is>
          <t>No</t>
        </is>
      </c>
      <c r="BQ381" s="30">
        <f>IF(BP381="No",10,0)</f>
        <v/>
      </c>
      <c r="BR381" s="30" t="inlineStr">
        <is>
          <t>No</t>
        </is>
      </c>
      <c r="BS381" s="30">
        <f>IF(BR381="NO",5,0)</f>
        <v/>
      </c>
      <c r="BT381" s="30" t="inlineStr">
        <is>
          <t>Above 2</t>
        </is>
      </c>
      <c r="BU381" s="30">
        <f>IF(BT381="Above 2",0,IF(BT381="Between 1.5 to 2",5,IF(BT381="Less than 1.5",10,0)))</f>
        <v/>
      </c>
      <c r="BV381" s="30" t="inlineStr">
        <is>
          <t>Above 70%</t>
        </is>
      </c>
      <c r="BW381" s="30">
        <f>IF(BV381="Above 70%",10,IF(BV381="Between 50% to 70%",5,IF(BV381="Less than 50%",0,IF(BV381="Negative",-10,IF(BV381="Less than 50% and Borrowings are increasing",-5,0)))))</f>
        <v/>
      </c>
      <c r="BX381" s="30" t="inlineStr">
        <is>
          <t>More than 1.2</t>
        </is>
      </c>
      <c r="BY381" s="30">
        <f>IF(BX381="More than 1.2",-10,IF(BX381="Between 0.7 to 1.2",0,IF(BX381="Less than 0.7",10,0)))</f>
        <v/>
      </c>
      <c r="BZ381" s="30" t="inlineStr">
        <is>
          <t>No</t>
        </is>
      </c>
      <c r="CA381" s="30">
        <f>IF(BZ381="Yes",-10,0)</f>
        <v/>
      </c>
      <c r="CB381" s="30" t="inlineStr">
        <is>
          <t>Less than 15%</t>
        </is>
      </c>
      <c r="CC381" s="30">
        <f>IF(CB381="More than 15%",-10,IF(CB381="Less than 15%",10,0))</f>
        <v/>
      </c>
      <c r="CD381" s="30" t="inlineStr">
        <is>
          <t>No</t>
        </is>
      </c>
      <c r="CE381" s="30">
        <f>IF(CD381="Yes, more than 10%",-10,IF(CD381="No",10,0))</f>
        <v/>
      </c>
    </row>
    <row r="382">
      <c r="A382" s="30">
        <f>IF(B382=0,"",RANK(B382,$B$2:$B$405,0))</f>
        <v/>
      </c>
      <c r="B382" s="31">
        <f>SUM(N382,Y382,AA382,AC382,AE382,AG382,AI382,AK382,AM382,AO382,AQ382,AS382,AU382,AW382,AY382,BA382,BC382,BE382,BG382,BI382,BK382,BM382,BO382,BQ382,BS382,BU382,BW382,BY382,CA382,CC382,CE382)</f>
        <v/>
      </c>
      <c r="C382" s="32" t="inlineStr">
        <is>
          <t>GLENMARK</t>
        </is>
      </c>
      <c r="D382" s="32" t="inlineStr">
        <is>
          <t>Glenmark Pharmaceuticals Limited</t>
        </is>
      </c>
      <c r="E382" s="30" t="inlineStr">
        <is>
          <t>healthcare</t>
        </is>
      </c>
      <c r="F382" s="30" t="inlineStr">
        <is>
          <t>pharmaceuticals - indian - bulk drugs &amp; formln</t>
        </is>
      </c>
      <c r="G382" s="30" t="inlineStr">
        <is>
          <t>largecap</t>
        </is>
      </c>
      <c r="H382" s="31" t="n">
        <v>63749.16</v>
      </c>
      <c r="I382" s="31" t="n">
        <v>2270</v>
      </c>
      <c r="J382" s="31" t="n">
        <v>0.49</v>
      </c>
      <c r="K382" s="31" t="n">
        <v>1105311</v>
      </c>
      <c r="L382" s="30" t="n">
        <v>13</v>
      </c>
      <c r="M382" s="30" t="inlineStr">
        <is>
          <t>Underperforming</t>
        </is>
      </c>
      <c r="N382" s="31">
        <f>IF(M382="Underperforming",-5,IF(L382&gt;=95,15,IF(L382&gt;=90,10,IF(L382&gt;=80,5,0))))</f>
        <v/>
      </c>
      <c r="O382" s="31" t="n">
        <v>56.95</v>
      </c>
      <c r="P382" s="31" t="n">
        <v>19.99</v>
      </c>
      <c r="Q382" s="31" t="n">
        <v>1989.65</v>
      </c>
      <c r="R382" s="30" t="inlineStr">
        <is>
          <t>Earnings / Momentum Support</t>
        </is>
      </c>
      <c r="S382" s="30" t="inlineStr">
        <is>
          <t>Nifty Pharma</t>
        </is>
      </c>
      <c r="T382" s="31" t="n">
        <v>24.42</v>
      </c>
      <c r="U382" s="31" t="n">
        <v>12.61</v>
      </c>
      <c r="V382" s="31" t="n">
        <v>-9.49</v>
      </c>
      <c r="W382" s="31" t="n">
        <v>2.15</v>
      </c>
      <c r="X382" s="30" t="inlineStr">
        <is>
          <t>Growing Industry</t>
        </is>
      </c>
      <c r="Y382" s="30">
        <f>IF(X382="Growing Industry",10,IF(X382="Cyclical in an Upturn",5,0))</f>
        <v/>
      </c>
      <c r="Z382" s="30" t="inlineStr">
        <is>
          <t>Too Many Players with High ROCE</t>
        </is>
      </c>
      <c r="AA382" s="30">
        <f>IF(Z382="Monopoly",10,IF(Z382="Oligopoly",5,IF(Z382="Duopoly that cooperate",10,IF(Z382="Duopoly that compete",5,IF(Z382="Too many players with High ROCE",5,0)))))</f>
        <v/>
      </c>
      <c r="AB382" s="30" t="inlineStr">
        <is>
          <t>Yes</t>
        </is>
      </c>
      <c r="AC382" s="30">
        <f>IF(AB382="No",5,0)</f>
        <v/>
      </c>
      <c r="AD382" s="30" t="inlineStr">
        <is>
          <t>Tailwind</t>
        </is>
      </c>
      <c r="AE382" s="30">
        <f>IF(AD382="Tailwind",10,0)</f>
        <v/>
      </c>
      <c r="AF382" s="30" t="inlineStr">
        <is>
          <t>Structural (10 Years Consistency)</t>
        </is>
      </c>
      <c r="AG382" s="30">
        <f>IF(AF382="Structural (10 Years Consistency)",10,IF(AF382="Shallow Cyclical (2 to 3 years growth)",5,0))</f>
        <v/>
      </c>
      <c r="AH382" s="30" t="inlineStr">
        <is>
          <t>No</t>
        </is>
      </c>
      <c r="AI382" s="30">
        <f>IF(AH382="Yes due to Product Mix change or Operating Leverage",10,IF(AH382="Yes, these are peak margins",-5,IF(AH382="No",5,0)))</f>
        <v/>
      </c>
      <c r="AJ382" s="30" t="inlineStr">
        <is>
          <t>Stable</t>
        </is>
      </c>
      <c r="AK382" s="30">
        <f>IF(AJ382="Stable",10,0)</f>
        <v/>
      </c>
      <c r="AL382" s="30" t="inlineStr">
        <is>
          <t>Yes</t>
        </is>
      </c>
      <c r="AM382" s="30">
        <f>IF(AL382="Yes",10,0)</f>
        <v/>
      </c>
      <c r="AN382" s="30" t="inlineStr">
        <is>
          <t>B2B</t>
        </is>
      </c>
      <c r="AO382" s="30">
        <f>IF(AN382="B2C",10,IF(AN382="B2B",5,0))</f>
        <v/>
      </c>
      <c r="AP382" s="30" t="inlineStr">
        <is>
          <t>No</t>
        </is>
      </c>
      <c r="AQ382" s="30">
        <f>IF(AP382="Yes",10,0)</f>
        <v/>
      </c>
      <c r="AR382" s="30" t="inlineStr">
        <is>
          <t>Higher Annuity, Lower One Time</t>
        </is>
      </c>
      <c r="AS382" s="30">
        <f>IF(AR382="Fully Annuity",10,IF(AR382="Higher Annuity, Lower One Time",5,IF(AR382="Higher One Time, Lower Annuity",3,0)))</f>
        <v/>
      </c>
      <c r="AT382" s="30" t="inlineStr">
        <is>
          <t>Good</t>
        </is>
      </c>
      <c r="AU382" s="30">
        <f>IF(AT382="Good",10,0)</f>
        <v/>
      </c>
      <c r="AV382" s="30" t="inlineStr">
        <is>
          <t>Yes for more than 2 years</t>
        </is>
      </c>
      <c r="AW382" s="30">
        <f>IF(AV382="Yes for more than 2 years",10,IF(AV382="Yes only for next 1 to 2 years",5,0))</f>
        <v/>
      </c>
      <c r="AX382" s="30" t="inlineStr">
        <is>
          <t>0 to 20</t>
        </is>
      </c>
      <c r="AY382" s="30">
        <f>IF(AX382="Above 40",20,IF(AX382="20 to 40",10,IF(AX382="0 to 20",-5,0)))</f>
        <v/>
      </c>
      <c r="AZ382" s="30" t="inlineStr">
        <is>
          <t>Between 50 to 75</t>
        </is>
      </c>
      <c r="BA382" s="30">
        <f>IF(AZ382="Between 50 to 75",10,IF(AZ382="Above 75",0,0))</f>
        <v/>
      </c>
      <c r="BB382" s="30" t="inlineStr">
        <is>
          <t>Stage 2</t>
        </is>
      </c>
      <c r="BC382" s="30">
        <f>IF(BB382="Stage 2",20,IF(BB382="Stage 1",0,IF(BB382="Stage 3",5,IF(BB382="Stage 4",-5,0))))</f>
        <v/>
      </c>
      <c r="BD382" s="30" t="inlineStr">
        <is>
          <t>Negative Trend</t>
        </is>
      </c>
      <c r="BE382" s="30">
        <f>IF(BD382="Positive Trend",20,IF(BD382="Negative Trend",-10,0))</f>
        <v/>
      </c>
      <c r="BF382" s="30" t="inlineStr">
        <is>
          <t>Uptrend</t>
        </is>
      </c>
      <c r="BG382" s="30">
        <f>IF(BF382="Uptrend",10,IF(BF382="Sideways",5,0))</f>
        <v/>
      </c>
      <c r="BH382" s="30" t="inlineStr">
        <is>
          <t>Uptrend</t>
        </is>
      </c>
      <c r="BI382" s="30">
        <f>IF(BH382="Uptrend",10,IF(BH382="Sideways",5,0))</f>
        <v/>
      </c>
      <c r="BJ382" s="30" t="inlineStr">
        <is>
          <t>Close to 52 week high or retracement</t>
        </is>
      </c>
      <c r="BK382" s="30">
        <f>IF(BJ382="Overhead supply in last 2 years in last 2 years",-5,IF(BJ382="Close to 52 week high or retracement",5,IF(BJ382="Blue sky scenario",10,IF(BJ382="Long term Downtrend",-10,0))))</f>
        <v/>
      </c>
      <c r="BL382" s="30" t="inlineStr">
        <is>
          <t>Yes</t>
        </is>
      </c>
      <c r="BM382" s="30">
        <f>IF(BL382="Yes",10,0)</f>
        <v/>
      </c>
      <c r="BN382" s="30" t="inlineStr">
        <is>
          <t>More than 20%</t>
        </is>
      </c>
      <c r="BO382" s="30">
        <f>IF(BN382="More than 20%",10,IF(BN382="Between 12 to 20%",5,IF(BN382="Less than 12%",0,0)))</f>
        <v/>
      </c>
      <c r="BP382" s="30" t="inlineStr">
        <is>
          <t>No</t>
        </is>
      </c>
      <c r="BQ382" s="30">
        <f>IF(BP382="No",10,0)</f>
        <v/>
      </c>
      <c r="BR382" s="30" t="inlineStr">
        <is>
          <t>No</t>
        </is>
      </c>
      <c r="BS382" s="30">
        <f>IF(BR382="NO",5,0)</f>
        <v/>
      </c>
      <c r="BT382" s="30" t="inlineStr">
        <is>
          <t>Above 2</t>
        </is>
      </c>
      <c r="BU382" s="30">
        <f>IF(BT382="Above 2",0,IF(BT382="Between 1.5 to 2",5,IF(BT382="Less than 1.5",10,0)))</f>
        <v/>
      </c>
      <c r="BV382" s="30" t="inlineStr">
        <is>
          <t>Above 70%</t>
        </is>
      </c>
      <c r="BW382" s="30">
        <f>IF(BV382="Above 70%",10,IF(BV382="Between 50% to 70%",5,IF(BV382="Less than 50%",0,IF(BV382="Negative",-10,IF(BV382="Less than 50% and Borrowings are increasing",-5,0)))))</f>
        <v/>
      </c>
      <c r="BX382" s="30" t="inlineStr">
        <is>
          <t>Less than 0.7</t>
        </is>
      </c>
      <c r="BY382" s="30">
        <f>IF(BX382="More than 1.2",-10,IF(BX382="Between 0.7 to 1.2",0,IF(BX382="Less than 0.7",10,0)))</f>
        <v/>
      </c>
      <c r="BZ382" s="30" t="inlineStr">
        <is>
          <t>No</t>
        </is>
      </c>
      <c r="CA382" s="30">
        <f>IF(BZ382="Yes",-10,0)</f>
        <v/>
      </c>
      <c r="CB382" s="30" t="inlineStr">
        <is>
          <t>Less than 15%</t>
        </is>
      </c>
      <c r="CC382" s="30">
        <f>IF(CB382="More than 15%",-10,IF(CB382="Less than 15%",10,0))</f>
        <v/>
      </c>
      <c r="CD382" s="30" t="inlineStr">
        <is>
          <t>No</t>
        </is>
      </c>
      <c r="CE382" s="30">
        <f>IF(CD382="Yes, more than 10%",-10,IF(CD382="No",10,0))</f>
        <v/>
      </c>
    </row>
    <row r="383">
      <c r="A383" s="30">
        <f>IF(B383=0,"",RANK(B383,$B$2:$B$405,0))</f>
        <v/>
      </c>
      <c r="B383" s="31">
        <f>SUM(N383,Y383,AA383,AC383,AE383,AG383,AI383,AK383,AM383,AO383,AQ383,AS383,AU383,AW383,AY383,BA383,BC383,BE383,BG383,BI383,BK383,BM383,BO383,BQ383,BS383,BU383,BW383,BY383,CA383,CC383,CE383)</f>
        <v/>
      </c>
      <c r="C383" s="32" t="inlineStr">
        <is>
          <t>BANSALWIRE</t>
        </is>
      </c>
      <c r="D383" s="32" t="inlineStr">
        <is>
          <t>Bansal Wire Industries Ltd</t>
        </is>
      </c>
      <c r="E383" s="30" t="inlineStr">
        <is>
          <t>metals &amp; mining</t>
        </is>
      </c>
      <c r="F383" s="30" t="inlineStr">
        <is>
          <t>steel - medium / small</t>
        </is>
      </c>
      <c r="G383" s="30" t="inlineStr">
        <is>
          <t>midcap</t>
        </is>
      </c>
      <c r="H383" s="31" t="n">
        <v>5015.27</v>
      </c>
      <c r="I383" s="31" t="n">
        <v>334.9</v>
      </c>
      <c r="J383" s="31" t="n">
        <v>4.54</v>
      </c>
      <c r="K383" s="31" t="n">
        <v>512649</v>
      </c>
      <c r="L383" s="30" t="n">
        <v>3</v>
      </c>
      <c r="M383" s="30" t="inlineStr">
        <is>
          <t>Underperforming</t>
        </is>
      </c>
      <c r="N383" s="31">
        <f>IF(M383="Underperforming",-5,IF(L383&gt;=95,15,IF(L383&gt;=90,10,IF(L383&gt;=80,5,0))))</f>
        <v/>
      </c>
      <c r="O383" s="31" t="n">
        <v>56.09</v>
      </c>
      <c r="P383" s="31" t="n">
        <v>11.88</v>
      </c>
      <c r="Q383" s="31" t="n">
        <v>276.64</v>
      </c>
      <c r="R383" s="30" t="inlineStr">
        <is>
          <t>Earnings / Momentum Support</t>
        </is>
      </c>
      <c r="S383" s="30" t="inlineStr">
        <is>
          <t>Nifty Metal</t>
        </is>
      </c>
      <c r="T383" s="31" t="n">
        <v>39.44</v>
      </c>
      <c r="U383" s="31" t="n">
        <v>-18.69</v>
      </c>
      <c r="V383" s="31" t="n">
        <v>-41.69</v>
      </c>
      <c r="W383" s="31" t="n">
        <v>-0.93</v>
      </c>
      <c r="X383" s="30" t="inlineStr">
        <is>
          <t>Cyclical in an Upturn</t>
        </is>
      </c>
      <c r="Y383" s="30">
        <f>IF(X383="Growing Industry",10,IF(X383="Cyclical in an Upturn",5,0))</f>
        <v/>
      </c>
      <c r="Z383" s="30" t="inlineStr">
        <is>
          <t>Too Many Players with High ROCE</t>
        </is>
      </c>
      <c r="AA383" s="30">
        <f>IF(Z383="Monopoly",10,IF(Z383="Oligopoly",5,IF(Z383="Duopoly that cooperate",10,IF(Z383="Duopoly that compete",5,IF(Z383="Too many players with High ROCE",5,0)))))</f>
        <v/>
      </c>
      <c r="AB383" s="30" t="inlineStr">
        <is>
          <t>No</t>
        </is>
      </c>
      <c r="AC383" s="30">
        <f>IF(AB383="No",5,0)</f>
        <v/>
      </c>
      <c r="AD383" s="30" t="inlineStr">
        <is>
          <t>Tailwind</t>
        </is>
      </c>
      <c r="AE383" s="30">
        <f>IF(AD383="Tailwind",10,0)</f>
        <v/>
      </c>
      <c r="AF383" s="30" t="inlineStr">
        <is>
          <t>Cyclical</t>
        </is>
      </c>
      <c r="AG383" s="30">
        <f>IF(AF383="Structural (10 Years Consistency)",10,IF(AF383="Shallow Cyclical (2 to 3 years growth)",5,0))</f>
        <v/>
      </c>
      <c r="AH383" s="30" t="inlineStr">
        <is>
          <t>No</t>
        </is>
      </c>
      <c r="AI383" s="30">
        <f>IF(AH383="Yes due to Product Mix change or Operating Leverage",10,IF(AH383="Yes, these are peak margins",-5,IF(AH383="No",5,0)))</f>
        <v/>
      </c>
      <c r="AJ383" s="30" t="inlineStr">
        <is>
          <t>Volatile</t>
        </is>
      </c>
      <c r="AK383" s="30">
        <f>IF(AJ383="Stable",10,0)</f>
        <v/>
      </c>
      <c r="AL383" s="30" t="inlineStr">
        <is>
          <t>Yes</t>
        </is>
      </c>
      <c r="AM383" s="30">
        <f>IF(AL383="Yes",10,0)</f>
        <v/>
      </c>
      <c r="AN383" s="30" t="inlineStr">
        <is>
          <t>B2B</t>
        </is>
      </c>
      <c r="AO383" s="30">
        <f>IF(AN383="B2C",10,IF(AN383="B2B",5,0))</f>
        <v/>
      </c>
      <c r="AP383" s="30" t="inlineStr">
        <is>
          <t>No</t>
        </is>
      </c>
      <c r="AQ383" s="30">
        <f>IF(AP383="Yes",10,0)</f>
        <v/>
      </c>
      <c r="AR383" s="30" t="inlineStr">
        <is>
          <t>Higher One Time, Lower Annuity</t>
        </is>
      </c>
      <c r="AS383" s="30">
        <f>IF(AR383="Fully Annuity",10,IF(AR383="Higher Annuity, Lower One Time",5,IF(AR383="Higher One Time, Lower Annuity",3,0)))</f>
        <v/>
      </c>
      <c r="AT383" s="30" t="inlineStr">
        <is>
          <t>Good</t>
        </is>
      </c>
      <c r="AU383" s="30">
        <f>IF(AT383="Good",10,0)</f>
        <v/>
      </c>
      <c r="AV383" s="30" t="inlineStr">
        <is>
          <t>Yes for more than 2 years</t>
        </is>
      </c>
      <c r="AW383" s="30">
        <f>IF(AV383="Yes for more than 2 years",10,IF(AV383="Yes only for next 1 to 2 years",5,0))</f>
        <v/>
      </c>
      <c r="AX383" s="30" t="inlineStr">
        <is>
          <t>0 to 20</t>
        </is>
      </c>
      <c r="AY383" s="30">
        <f>IF(AX383="Above 40",20,IF(AX383="20 to 40",10,IF(AX383="0 to 20",-5,0)))</f>
        <v/>
      </c>
      <c r="AZ383" s="30" t="inlineStr">
        <is>
          <t>Between 50 to 75</t>
        </is>
      </c>
      <c r="BA383" s="30">
        <f>IF(AZ383="Between 50 to 75",10,IF(AZ383="Above 75",0,0))</f>
        <v/>
      </c>
      <c r="BB383" s="30" t="inlineStr">
        <is>
          <t>Stage 2</t>
        </is>
      </c>
      <c r="BC383" s="30">
        <f>IF(BB383="Stage 2",20,IF(BB383="Stage 1",0,IF(BB383="Stage 3",5,IF(BB383="Stage 4",-5,0))))</f>
        <v/>
      </c>
      <c r="BD383" s="30" t="inlineStr">
        <is>
          <t>Positive Trend</t>
        </is>
      </c>
      <c r="BE383" s="30">
        <f>IF(BD383="Positive Trend",20,IF(BD383="Negative Trend",-10,0))</f>
        <v/>
      </c>
      <c r="BF383" s="30" t="inlineStr">
        <is>
          <t>Uptrend</t>
        </is>
      </c>
      <c r="BG383" s="30">
        <f>IF(BF383="Uptrend",10,IF(BF383="Sideways",5,0))</f>
        <v/>
      </c>
      <c r="BH383" s="30" t="inlineStr">
        <is>
          <t>Uptrend</t>
        </is>
      </c>
      <c r="BI383" s="30">
        <f>IF(BH383="Uptrend",10,IF(BH383="Sideways",5,0))</f>
        <v/>
      </c>
      <c r="BJ383" s="30" t="inlineStr">
        <is>
          <t>Close to 52 week high or retracement</t>
        </is>
      </c>
      <c r="BK383" s="30">
        <f>IF(BJ383="Overhead supply in last 2 years in last 2 years",-5,IF(BJ383="Close to 52 week high or retracement",5,IF(BJ383="Blue sky scenario",10,IF(BJ383="Long term Downtrend",-10,0))))</f>
        <v/>
      </c>
      <c r="BL383" s="30" t="inlineStr">
        <is>
          <t>Yes</t>
        </is>
      </c>
      <c r="BM383" s="30">
        <f>IF(BL383="Yes",10,0)</f>
        <v/>
      </c>
      <c r="BN383" s="30" t="inlineStr">
        <is>
          <t>Less than 12%</t>
        </is>
      </c>
      <c r="BO383" s="30">
        <f>IF(BN383="More than 20%",10,IF(BN383="Between 12 to 20%",5,IF(BN383="Less than 12%",0,0)))</f>
        <v/>
      </c>
      <c r="BP383" s="30" t="inlineStr">
        <is>
          <t>No</t>
        </is>
      </c>
      <c r="BQ383" s="30">
        <f>IF(BP383="No",10,0)</f>
        <v/>
      </c>
      <c r="BR383" s="30" t="inlineStr">
        <is>
          <t>No</t>
        </is>
      </c>
      <c r="BS383" s="30">
        <f>IF(BR383="NO",5,0)</f>
        <v/>
      </c>
      <c r="BT383" s="30" t="inlineStr">
        <is>
          <t>Above 2</t>
        </is>
      </c>
      <c r="BU383" s="30">
        <f>IF(BT383="Above 2",0,IF(BT383="Between 1.5 to 2",5,IF(BT383="Less than 1.5",10,0)))</f>
        <v/>
      </c>
      <c r="BV383" s="30" t="inlineStr">
        <is>
          <t>Above 70%</t>
        </is>
      </c>
      <c r="BW383" s="30">
        <f>IF(BV383="Above 70%",10,IF(BV383="Between 50% to 70%",5,IF(BV383="Less than 50%",0,IF(BV383="Negative",-10,IF(BV383="Less than 50% and Borrowings are increasing",-5,0)))))</f>
        <v/>
      </c>
      <c r="BX383" s="30" t="inlineStr">
        <is>
          <t>Less than 0.7</t>
        </is>
      </c>
      <c r="BY383" s="30">
        <f>IF(BX383="More than 1.2",-10,IF(BX383="Between 0.7 to 1.2",0,IF(BX383="Less than 0.7",10,0)))</f>
        <v/>
      </c>
      <c r="BZ383" s="30" t="inlineStr">
        <is>
          <t>No</t>
        </is>
      </c>
      <c r="CA383" s="30">
        <f>IF(BZ383="Yes",-10,0)</f>
        <v/>
      </c>
      <c r="CB383" s="30" t="inlineStr">
        <is>
          <t>Less than 15%</t>
        </is>
      </c>
      <c r="CC383" s="30">
        <f>IF(CB383="More than 15%",-10,IF(CB383="Less than 15%",10,0))</f>
        <v/>
      </c>
      <c r="CD383" s="30" t="inlineStr">
        <is>
          <t>No</t>
        </is>
      </c>
      <c r="CE383" s="30">
        <f>IF(CD383="Yes, more than 10%",-10,IF(CD383="No",10,0))</f>
        <v/>
      </c>
    </row>
    <row r="384">
      <c r="A384" s="30">
        <f>IF(B384=0,"",RANK(B384,$B$2:$B$405,0))</f>
        <v/>
      </c>
      <c r="B384" s="31">
        <f>SUM(N384,Y384,AA384,AC384,AE384,AG384,AI384,AK384,AM384,AO384,AQ384,AS384,AU384,AW384,AY384,BA384,BC384,BE384,BG384,BI384,BK384,BM384,BO384,BQ384,BS384,BU384,BW384,BY384,CA384,CC384,CE384)</f>
        <v/>
      </c>
      <c r="C384" s="32" t="inlineStr">
        <is>
          <t>RITES</t>
        </is>
      </c>
      <c r="D384" s="32" t="inlineStr">
        <is>
          <t>Rites Ltd</t>
        </is>
      </c>
      <c r="E384" s="30" t="inlineStr">
        <is>
          <t>miscellaneous</t>
        </is>
      </c>
      <c r="F384" s="30" t="inlineStr">
        <is>
          <t>miscellaneous</t>
        </is>
      </c>
      <c r="G384" s="30" t="inlineStr">
        <is>
          <t>midcap</t>
        </is>
      </c>
      <c r="H384" s="31" t="n">
        <v>10926.53</v>
      </c>
      <c r="I384" s="31" t="n">
        <v>231.38</v>
      </c>
      <c r="J384" s="31" t="n">
        <v>1.77</v>
      </c>
      <c r="K384" s="31" t="n">
        <v>2202153</v>
      </c>
      <c r="L384" s="30" t="n">
        <v>3</v>
      </c>
      <c r="M384" s="30" t="inlineStr">
        <is>
          <t>Underperforming</t>
        </is>
      </c>
      <c r="N384" s="31">
        <f>IF(M384="Underperforming",-5,IF(L384&gt;=95,15,IF(L384&gt;=90,10,IF(L384&gt;=80,5,0))))</f>
        <v/>
      </c>
      <c r="O384" s="31" t="n">
        <v>55.57</v>
      </c>
      <c r="P384" s="31" t="n">
        <v>12.73</v>
      </c>
      <c r="Q384" s="31" t="n">
        <v>181.94</v>
      </c>
      <c r="R384" s="30" t="inlineStr">
        <is>
          <t>Earnings / Momentum Support</t>
        </is>
      </c>
      <c r="S384" s="30" t="inlineStr">
        <is>
          <t>Nifty 50</t>
        </is>
      </c>
      <c r="T384" s="31" t="n">
        <v>1.09</v>
      </c>
      <c r="U384" s="31" t="n">
        <v>-4.84</v>
      </c>
      <c r="V384" s="31" t="n">
        <v>-5.86</v>
      </c>
      <c r="W384" s="31" t="n">
        <v>-0.88</v>
      </c>
      <c r="X384" s="30" t="inlineStr">
        <is>
          <t>Growing Industry</t>
        </is>
      </c>
      <c r="Y384" s="30">
        <f>IF(X384="Growing Industry",10,IF(X384="Cyclical in an Upturn",5,0))</f>
        <v/>
      </c>
      <c r="Z384" s="30" t="inlineStr">
        <is>
          <t>Too Many Players with High ROCE</t>
        </is>
      </c>
      <c r="AA384" s="30">
        <f>IF(Z384="Monopoly",10,IF(Z384="Oligopoly",5,IF(Z384="Duopoly that cooperate",10,IF(Z384="Duopoly that compete",5,IF(Z384="Too many players with High ROCE",5,0)))))</f>
        <v/>
      </c>
      <c r="AB384" s="30" t="inlineStr">
        <is>
          <t>No</t>
        </is>
      </c>
      <c r="AC384" s="30">
        <f>IF(AB384="No",5,0)</f>
        <v/>
      </c>
      <c r="AD384" s="30" t="inlineStr">
        <is>
          <t>Tailwind</t>
        </is>
      </c>
      <c r="AE384" s="30">
        <f>IF(AD384="Tailwind",10,0)</f>
        <v/>
      </c>
      <c r="AF384" s="30" t="inlineStr">
        <is>
          <t>Structural (10 Years Consistency)</t>
        </is>
      </c>
      <c r="AG384" s="30">
        <f>IF(AF384="Structural (10 Years Consistency)",10,IF(AF384="Shallow Cyclical (2 to 3 years growth)",5,0))</f>
        <v/>
      </c>
      <c r="AH384" s="30" t="inlineStr">
        <is>
          <t>No</t>
        </is>
      </c>
      <c r="AI384" s="30">
        <f>IF(AH384="Yes due to Product Mix change or Operating Leverage",10,IF(AH384="Yes, these are peak margins",-5,IF(AH384="No",5,0)))</f>
        <v/>
      </c>
      <c r="AJ384" s="30" t="inlineStr">
        <is>
          <t>Stable</t>
        </is>
      </c>
      <c r="AK384" s="30">
        <f>IF(AJ384="Stable",10,0)</f>
        <v/>
      </c>
      <c r="AL384" s="30" t="inlineStr">
        <is>
          <t>Yes</t>
        </is>
      </c>
      <c r="AM384" s="30">
        <f>IF(AL384="Yes",10,0)</f>
        <v/>
      </c>
      <c r="AN384" s="30" t="inlineStr">
        <is>
          <t>B2B</t>
        </is>
      </c>
      <c r="AO384" s="30">
        <f>IF(AN384="B2C",10,IF(AN384="B2B",5,0))</f>
        <v/>
      </c>
      <c r="AP384" s="30" t="inlineStr">
        <is>
          <t>No</t>
        </is>
      </c>
      <c r="AQ384" s="30">
        <f>IF(AP384="Yes",10,0)</f>
        <v/>
      </c>
      <c r="AR384" s="30" t="inlineStr">
        <is>
          <t>Higher One Time, Lower Annuity</t>
        </is>
      </c>
      <c r="AS384" s="30">
        <f>IF(AR384="Fully Annuity",10,IF(AR384="Higher Annuity, Lower One Time",5,IF(AR384="Higher One Time, Lower Annuity",3,0)))</f>
        <v/>
      </c>
      <c r="AT384" s="30" t="inlineStr">
        <is>
          <t>Good</t>
        </is>
      </c>
      <c r="AU384" s="30">
        <f>IF(AT384="Good",10,0)</f>
        <v/>
      </c>
      <c r="AV384" s="30" t="inlineStr">
        <is>
          <t>Yes for more than 2 years</t>
        </is>
      </c>
      <c r="AW384" s="30">
        <f>IF(AV384="Yes for more than 2 years",10,IF(AV384="Yes only for next 1 to 2 years",5,0))</f>
        <v/>
      </c>
      <c r="AX384" s="30" t="inlineStr">
        <is>
          <t>0 to 20</t>
        </is>
      </c>
      <c r="AY384" s="30">
        <f>IF(AX384="Above 40",20,IF(AX384="20 to 40",10,IF(AX384="0 to 20",-5,0)))</f>
        <v/>
      </c>
      <c r="AZ384" s="30" t="inlineStr">
        <is>
          <t>Between 50 to 75</t>
        </is>
      </c>
      <c r="BA384" s="30">
        <f>IF(AZ384="Between 50 to 75",10,IF(AZ384="Above 75",0,0))</f>
        <v/>
      </c>
      <c r="BB384" s="30" t="inlineStr">
        <is>
          <t>Stage 1</t>
        </is>
      </c>
      <c r="BC384" s="30">
        <f>IF(BB384="Stage 2",20,IF(BB384="Stage 1",0,IF(BB384="Stage 3",5,IF(BB384="Stage 4",-5,0))))</f>
        <v/>
      </c>
      <c r="BD384" s="30" t="inlineStr">
        <is>
          <t>Positive Trend</t>
        </is>
      </c>
      <c r="BE384" s="30">
        <f>IF(BD384="Positive Trend",20,IF(BD384="Negative Trend",-10,0))</f>
        <v/>
      </c>
      <c r="BF384" s="30" t="inlineStr">
        <is>
          <t>Uptrend</t>
        </is>
      </c>
      <c r="BG384" s="30">
        <f>IF(BF384="Uptrend",10,IF(BF384="Sideways",5,0))</f>
        <v/>
      </c>
      <c r="BH384" s="30" t="inlineStr">
        <is>
          <t>Uptrend</t>
        </is>
      </c>
      <c r="BI384" s="30">
        <f>IF(BH384="Uptrend",10,IF(BH384="Sideways",5,0))</f>
        <v/>
      </c>
      <c r="BJ384" s="30" t="inlineStr">
        <is>
          <t>Close to 52 week high or retracement</t>
        </is>
      </c>
      <c r="BK384" s="30">
        <f>IF(BJ384="Overhead supply in last 2 years in last 2 years",-5,IF(BJ384="Close to 52 week high or retracement",5,IF(BJ384="Blue sky scenario",10,IF(BJ384="Long term Downtrend",-10,0))))</f>
        <v/>
      </c>
      <c r="BL384" s="30" t="inlineStr">
        <is>
          <t>Yes</t>
        </is>
      </c>
      <c r="BM384" s="30">
        <f>IF(BL384="Yes",10,0)</f>
        <v/>
      </c>
      <c r="BN384" s="30" t="inlineStr">
        <is>
          <t>Less than 12%</t>
        </is>
      </c>
      <c r="BO384" s="30">
        <f>IF(BN384="More than 20%",10,IF(BN384="Between 12 to 20%",5,IF(BN384="Less than 12%",0,0)))</f>
        <v/>
      </c>
      <c r="BP384" s="30" t="inlineStr">
        <is>
          <t>No</t>
        </is>
      </c>
      <c r="BQ384" s="30">
        <f>IF(BP384="No",10,0)</f>
        <v/>
      </c>
      <c r="BR384" s="30" t="inlineStr">
        <is>
          <t>No</t>
        </is>
      </c>
      <c r="BS384" s="30">
        <f>IF(BR384="NO",5,0)</f>
        <v/>
      </c>
      <c r="BT384" s="30" t="inlineStr">
        <is>
          <t>Above 2</t>
        </is>
      </c>
      <c r="BU384" s="30">
        <f>IF(BT384="Above 2",0,IF(BT384="Between 1.5 to 2",5,IF(BT384="Less than 1.5",10,0)))</f>
        <v/>
      </c>
      <c r="BV384" s="30" t="inlineStr">
        <is>
          <t>Between 50% to 70%</t>
        </is>
      </c>
      <c r="BW384" s="30">
        <f>IF(BV384="Above 70%",10,IF(BV384="Between 50% to 70%",5,IF(BV384="Less than 50%",0,IF(BV384="Negative",-10,IF(BV384="Less than 50% and Borrowings are increasing",-5,0)))))</f>
        <v/>
      </c>
      <c r="BX384" s="30" t="inlineStr">
        <is>
          <t>Less than 0.7</t>
        </is>
      </c>
      <c r="BY384" s="30">
        <f>IF(BX384="More than 1.2",-10,IF(BX384="Between 0.7 to 1.2",0,IF(BX384="Less than 0.7",10,0)))</f>
        <v/>
      </c>
      <c r="BZ384" s="30" t="inlineStr">
        <is>
          <t>No</t>
        </is>
      </c>
      <c r="CA384" s="30">
        <f>IF(BZ384="Yes",-10,0)</f>
        <v/>
      </c>
      <c r="CB384" s="30" t="inlineStr">
        <is>
          <t>Less than 15%</t>
        </is>
      </c>
      <c r="CC384" s="30">
        <f>IF(CB384="More than 15%",-10,IF(CB384="Less than 15%",10,0))</f>
        <v/>
      </c>
      <c r="CD384" s="30" t="inlineStr">
        <is>
          <t>No</t>
        </is>
      </c>
      <c r="CE384" s="30">
        <f>IF(CD384="Yes, more than 10%",-10,IF(CD384="No",10,0))</f>
        <v/>
      </c>
    </row>
    <row r="385">
      <c r="A385" s="30">
        <f>IF(B385=0,"",RANK(B385,$B$2:$B$405,0))</f>
        <v/>
      </c>
      <c r="B385" s="31">
        <f>SUM(N385,Y385,AA385,AC385,AE385,AG385,AI385,AK385,AM385,AO385,AQ385,AS385,AU385,AW385,AY385,BA385,BC385,BE385,BG385,BI385,BK385,BM385,BO385,BQ385,BS385,BU385,BW385,BY385,CA385,CC385,CE385)</f>
        <v/>
      </c>
      <c r="C385" s="30" t="inlineStr">
        <is>
          <t>SIRCA</t>
        </is>
      </c>
      <c r="D385" s="30" t="inlineStr">
        <is>
          <t>Sirca Paints India Ltd</t>
        </is>
      </c>
      <c r="E385" s="30" t="inlineStr">
        <is>
          <t>building materials</t>
        </is>
      </c>
      <c r="F385" s="30" t="inlineStr">
        <is>
          <t>paints / varnishes</t>
        </is>
      </c>
      <c r="G385" s="30" t="inlineStr">
        <is>
          <t>smallcap</t>
        </is>
      </c>
      <c r="H385" s="31" t="n">
        <v>2517.91</v>
      </c>
      <c r="I385" s="31" t="n">
        <v>449.95</v>
      </c>
      <c r="J385" s="31" t="n">
        <v>1.49</v>
      </c>
      <c r="K385" s="31" t="n">
        <v>559902</v>
      </c>
      <c r="L385" s="30" t="n">
        <v>17</v>
      </c>
      <c r="M385" s="30" t="inlineStr">
        <is>
          <t>Outperforming</t>
        </is>
      </c>
      <c r="N385" s="31">
        <f>IF(M385="Underperforming",-5,IF(L385&gt;=95,15,IF(L385&gt;=90,10,IF(L385&gt;=80,5,0))))</f>
        <v/>
      </c>
      <c r="O385" s="31" t="n">
        <v>58.86</v>
      </c>
      <c r="P385" s="31" t="n">
        <v>16.31</v>
      </c>
      <c r="Q385" s="31" t="n">
        <v>371.82</v>
      </c>
      <c r="R385" s="30" t="inlineStr">
        <is>
          <t>Earnings / Momentum Support</t>
        </is>
      </c>
      <c r="S385" s="30" t="inlineStr">
        <is>
          <t>Nifty Infra</t>
        </is>
      </c>
      <c r="T385" s="31" t="n">
        <v>4.3</v>
      </c>
      <c r="U385" s="31" t="n">
        <v>8.93</v>
      </c>
      <c r="V385" s="31" t="n">
        <v>4.44</v>
      </c>
      <c r="W385" s="31" t="n">
        <v>2.92</v>
      </c>
      <c r="X385" s="30" t="inlineStr">
        <is>
          <t>Growing Industry</t>
        </is>
      </c>
      <c r="Y385" s="30">
        <f>IF(X385="Growing Industry",10,IF(X385="Cyclical in an Upturn",5,0))</f>
        <v/>
      </c>
      <c r="Z385" s="30" t="inlineStr">
        <is>
          <t>Too Many Players with High ROCE</t>
        </is>
      </c>
      <c r="AA385" s="30">
        <f>IF(Z385="Monopoly",10,IF(Z385="Oligopoly",5,IF(Z385="Duopoly that cooperate",10,IF(Z385="Duopoly that compete",5,IF(Z385="Too many players with High ROCE",5,0)))))</f>
        <v/>
      </c>
      <c r="AB385" s="30" t="inlineStr">
        <is>
          <t>No</t>
        </is>
      </c>
      <c r="AC385" s="30">
        <f>IF(AB385="No",5,0)</f>
        <v/>
      </c>
      <c r="AD385" s="30" t="inlineStr">
        <is>
          <t>Headwind</t>
        </is>
      </c>
      <c r="AE385" s="30">
        <f>IF(AD385="Tailwind",10,0)</f>
        <v/>
      </c>
      <c r="AF385" s="30" t="inlineStr">
        <is>
          <t>Structural (10 Years Consistency)</t>
        </is>
      </c>
      <c r="AG385" s="30">
        <f>IF(AF385="Structural (10 Years Consistency)",10,IF(AF385="Shallow Cyclical (2 to 3 years growth)",5,0))</f>
        <v/>
      </c>
      <c r="AH385" s="30" t="inlineStr">
        <is>
          <t>No</t>
        </is>
      </c>
      <c r="AI385" s="30">
        <f>IF(AH385="Yes due to Product Mix change or Operating Leverage",10,IF(AH385="Yes, these are peak margins",-5,IF(AH385="No",5,0)))</f>
        <v/>
      </c>
      <c r="AJ385" s="30" t="inlineStr">
        <is>
          <t>Stable</t>
        </is>
      </c>
      <c r="AK385" s="30">
        <f>IF(AJ385="Stable",10,0)</f>
        <v/>
      </c>
      <c r="AL385" s="30" t="inlineStr">
        <is>
          <t>Yes</t>
        </is>
      </c>
      <c r="AM385" s="30">
        <f>IF(AL385="Yes",10,0)</f>
        <v/>
      </c>
      <c r="AN385" s="30" t="inlineStr">
        <is>
          <t>B2B</t>
        </is>
      </c>
      <c r="AO385" s="30">
        <f>IF(AN385="B2C",10,IF(AN385="B2B",5,0))</f>
        <v/>
      </c>
      <c r="AP385" s="30" t="inlineStr">
        <is>
          <t>No</t>
        </is>
      </c>
      <c r="AQ385" s="30">
        <f>IF(AP385="Yes",10,0)</f>
        <v/>
      </c>
      <c r="AR385" s="30" t="inlineStr">
        <is>
          <t>Higher One Time, Lower Annuity</t>
        </is>
      </c>
      <c r="AS385" s="30">
        <f>IF(AR385="Fully Annuity",10,IF(AR385="Higher Annuity, Lower One Time",5,IF(AR385="Higher One Time, Lower Annuity",3,0)))</f>
        <v/>
      </c>
      <c r="AT385" s="30" t="inlineStr">
        <is>
          <t>Good</t>
        </is>
      </c>
      <c r="AU385" s="30">
        <f>IF(AT385="Good",10,0)</f>
        <v/>
      </c>
      <c r="AV385" s="30" t="inlineStr">
        <is>
          <t>Yes for more than 2 years</t>
        </is>
      </c>
      <c r="AW385" s="30">
        <f>IF(AV385="Yes for more than 2 years",10,IF(AV385="Yes only for next 1 to 2 years",5,0))</f>
        <v/>
      </c>
      <c r="AX385" s="30" t="inlineStr">
        <is>
          <t>0 to 20</t>
        </is>
      </c>
      <c r="AY385" s="30">
        <f>IF(AX385="Above 40",20,IF(AX385="20 to 40",10,IF(AX385="0 to 20",-5,0)))</f>
        <v/>
      </c>
      <c r="AZ385" s="30" t="inlineStr">
        <is>
          <t>Between 50 to 75</t>
        </is>
      </c>
      <c r="BA385" s="30">
        <f>IF(AZ385="Between 50 to 75",10,IF(AZ385="Above 75",0,0))</f>
        <v/>
      </c>
      <c r="BB385" s="30" t="inlineStr">
        <is>
          <t>Stage 1</t>
        </is>
      </c>
      <c r="BC385" s="30">
        <f>IF(BB385="Stage 2",20,IF(BB385="Stage 1",0,IF(BB385="Stage 3",5,IF(BB385="Stage 4",-5,0))))</f>
        <v/>
      </c>
      <c r="BD385" s="30" t="inlineStr">
        <is>
          <t>Positive Trend</t>
        </is>
      </c>
      <c r="BE385" s="30">
        <f>IF(BD385="Positive Trend",20,IF(BD385="Negative Trend",-10,0))</f>
        <v/>
      </c>
      <c r="BF385" s="30" t="inlineStr">
        <is>
          <t>Uptrend</t>
        </is>
      </c>
      <c r="BG385" s="30">
        <f>IF(BF385="Uptrend",10,IF(BF385="Sideways",5,0))</f>
        <v/>
      </c>
      <c r="BH385" s="30" t="inlineStr">
        <is>
          <t>Uptrend</t>
        </is>
      </c>
      <c r="BI385" s="30">
        <f>IF(BH385="Uptrend",10,IF(BH385="Sideways",5,0))</f>
        <v/>
      </c>
      <c r="BJ385" s="30" t="inlineStr">
        <is>
          <t>Close to 52 week high or retracement</t>
        </is>
      </c>
      <c r="BK385" s="30">
        <f>IF(BJ385="Overhead supply in last 2 years in last 2 years",-5,IF(BJ385="Close to 52 week high or retracement",5,IF(BJ385="Blue sky scenario",10,IF(BJ385="Long term Downtrend",-10,0))))</f>
        <v/>
      </c>
      <c r="BL385" s="30" t="inlineStr">
        <is>
          <t>Yes</t>
        </is>
      </c>
      <c r="BM385" s="30">
        <f>IF(BL385="Yes",10,0)</f>
        <v/>
      </c>
      <c r="BN385" s="30" t="inlineStr">
        <is>
          <t>Less than 12%</t>
        </is>
      </c>
      <c r="BO385" s="30">
        <f>IF(BN385="More than 20%",10,IF(BN385="Between 12 to 20%",5,IF(BN385="Less than 12%",0,0)))</f>
        <v/>
      </c>
      <c r="BP385" s="30" t="inlineStr">
        <is>
          <t>No</t>
        </is>
      </c>
      <c r="BQ385" s="30">
        <f>IF(BP385="No",10,0)</f>
        <v/>
      </c>
      <c r="BR385" s="30" t="inlineStr">
        <is>
          <t>No</t>
        </is>
      </c>
      <c r="BS385" s="30">
        <f>IF(BR385="NO",5,0)</f>
        <v/>
      </c>
      <c r="BT385" s="30" t="inlineStr">
        <is>
          <t>Above 2</t>
        </is>
      </c>
      <c r="BU385" s="30">
        <f>IF(BT385="Above 2",0,IF(BT385="Between 1.5 to 2",5,IF(BT385="Less than 1.5",10,0)))</f>
        <v/>
      </c>
      <c r="BV385" s="30" t="inlineStr">
        <is>
          <t>Above 70%</t>
        </is>
      </c>
      <c r="BW385" s="30">
        <f>IF(BV385="Above 70%",10,IF(BV385="Between 50% to 70%",5,IF(BV385="Less than 50%",0,IF(BV385="Negative",-10,IF(BV385="Less than 50% and Borrowings are increasing",-5,0)))))</f>
        <v/>
      </c>
      <c r="BX385" s="30" t="inlineStr">
        <is>
          <t>Less than 0.7</t>
        </is>
      </c>
      <c r="BY385" s="30">
        <f>IF(BX385="More than 1.2",-10,IF(BX385="Between 0.7 to 1.2",0,IF(BX385="Less than 0.7",10,0)))</f>
        <v/>
      </c>
      <c r="BZ385" s="30" t="inlineStr">
        <is>
          <t>No</t>
        </is>
      </c>
      <c r="CA385" s="30">
        <f>IF(BZ385="Yes",-10,0)</f>
        <v/>
      </c>
      <c r="CB385" s="30" t="inlineStr">
        <is>
          <t>Less than 15%</t>
        </is>
      </c>
      <c r="CC385" s="30">
        <f>IF(CB385="More than 15%",-10,IF(CB385="Less than 15%",10,0))</f>
        <v/>
      </c>
      <c r="CD385" s="30" t="inlineStr">
        <is>
          <t>No</t>
        </is>
      </c>
      <c r="CE385" s="30">
        <f>IF(CD385="Yes, more than 10%",-10,IF(CD385="No",10,0))</f>
        <v/>
      </c>
    </row>
    <row r="386">
      <c r="A386" s="30">
        <f>IF(B386=0,"",RANK(B386,$B$2:$B$405,0))</f>
        <v/>
      </c>
      <c r="B386" s="31">
        <f>SUM(N386,Y386,AA386,AC386,AE386,AG386,AI386,AK386,AM386,AO386,AQ386,AS386,AU386,AW386,AY386,BA386,BC386,BE386,BG386,BI386,BK386,BM386,BO386,BQ386,BS386,BU386,BW386,BY386,CA386,CC386,CE386)</f>
        <v/>
      </c>
      <c r="C386" s="32" t="inlineStr">
        <is>
          <t>DOLPHIN</t>
        </is>
      </c>
      <c r="D386" s="32" t="inlineStr">
        <is>
          <t>Dolphin Offshore Enterprises (India) Ltd</t>
        </is>
      </c>
      <c r="E386" s="30" t="inlineStr">
        <is>
          <t>energy</t>
        </is>
      </c>
      <c r="F386" s="30" t="inlineStr">
        <is>
          <t>oil drilling / allied services</t>
        </is>
      </c>
      <c r="G386" s="30" t="inlineStr">
        <is>
          <t>smallcap</t>
        </is>
      </c>
      <c r="H386" s="31" t="n">
        <v>1608.98</v>
      </c>
      <c r="I386" s="31" t="n">
        <v>406</v>
      </c>
      <c r="J386" s="31" t="n">
        <v>0.9399999999999999</v>
      </c>
      <c r="K386" s="31" t="n">
        <v>5051</v>
      </c>
      <c r="L386" s="30" t="n">
        <v>2</v>
      </c>
      <c r="M386" s="30" t="inlineStr">
        <is>
          <t>Underperforming</t>
        </is>
      </c>
      <c r="N386" s="31">
        <f>IF(M386="Underperforming",-5,IF(L386&gt;=95,15,IF(L386&gt;=90,10,IF(L386&gt;=80,5,0))))</f>
        <v/>
      </c>
      <c r="O386" s="31" t="n">
        <v>53.9</v>
      </c>
      <c r="P386" s="31" t="n">
        <v>26.32</v>
      </c>
      <c r="Q386" s="31" t="n">
        <v>308.61</v>
      </c>
      <c r="R386" s="30" t="inlineStr">
        <is>
          <t>Earnings / Momentum Support</t>
        </is>
      </c>
      <c r="S386" s="30" t="inlineStr">
        <is>
          <t>Nifty Energy</t>
        </is>
      </c>
      <c r="T386" s="31" t="n">
        <v>9.720000000000001</v>
      </c>
      <c r="U386" s="31" t="n">
        <v>-7.45</v>
      </c>
      <c r="V386" s="31" t="n">
        <v>-15.64</v>
      </c>
      <c r="W386" s="31" t="n">
        <v>-1.37</v>
      </c>
      <c r="X386" s="30" t="inlineStr">
        <is>
          <t>Cyclical in an Upturn</t>
        </is>
      </c>
      <c r="Y386" s="30">
        <f>IF(X386="Growing Industry",10,IF(X386="Cyclical in an Upturn",5,0))</f>
        <v/>
      </c>
      <c r="Z386" s="30" t="inlineStr">
        <is>
          <t>Oligopoly</t>
        </is>
      </c>
      <c r="AA386" s="30">
        <f>IF(Z386="Monopoly",10,IF(Z386="Oligopoly",5,IF(Z386="Duopoly that cooperate",10,IF(Z386="Duopoly that compete",5,IF(Z386="Too many players with High ROCE",5,0)))))</f>
        <v/>
      </c>
      <c r="AB386" s="30" t="inlineStr">
        <is>
          <t>Yes</t>
        </is>
      </c>
      <c r="AC386" s="30">
        <f>IF(AB386="No",5,0)</f>
        <v/>
      </c>
      <c r="AD386" s="30" t="inlineStr">
        <is>
          <t>Headwind</t>
        </is>
      </c>
      <c r="AE386" s="30">
        <f>IF(AD386="Tailwind",10,0)</f>
        <v/>
      </c>
      <c r="AF386" s="30" t="inlineStr">
        <is>
          <t>Cyclical</t>
        </is>
      </c>
      <c r="AG386" s="30">
        <f>IF(AF386="Structural (10 Years Consistency)",10,IF(AF386="Shallow Cyclical (2 to 3 years growth)",5,0))</f>
        <v/>
      </c>
      <c r="AH386" s="30" t="inlineStr">
        <is>
          <t>No</t>
        </is>
      </c>
      <c r="AI386" s="30">
        <f>IF(AH386="Yes due to Product Mix change or Operating Leverage",10,IF(AH386="Yes, these are peak margins",-5,IF(AH386="No",5,0)))</f>
        <v/>
      </c>
      <c r="AJ386" s="30" t="inlineStr">
        <is>
          <t>Volatile</t>
        </is>
      </c>
      <c r="AK386" s="30">
        <f>IF(AJ386="Stable",10,0)</f>
        <v/>
      </c>
      <c r="AL386" s="30" t="inlineStr">
        <is>
          <t>Yes</t>
        </is>
      </c>
      <c r="AM386" s="30">
        <f>IF(AL386="Yes",10,0)</f>
        <v/>
      </c>
      <c r="AN386" s="30" t="inlineStr">
        <is>
          <t>B2B</t>
        </is>
      </c>
      <c r="AO386" s="30">
        <f>IF(AN386="B2C",10,IF(AN386="B2B",5,0))</f>
        <v/>
      </c>
      <c r="AP386" s="30" t="inlineStr">
        <is>
          <t>No</t>
        </is>
      </c>
      <c r="AQ386" s="30">
        <f>IF(AP386="Yes",10,0)</f>
        <v/>
      </c>
      <c r="AR386" s="30" t="inlineStr">
        <is>
          <t>Higher One Time, Lower Annuity</t>
        </is>
      </c>
      <c r="AS386" s="30">
        <f>IF(AR386="Fully Annuity",10,IF(AR386="Higher Annuity, Lower One Time",5,IF(AR386="Higher One Time, Lower Annuity",3,0)))</f>
        <v/>
      </c>
      <c r="AT386" s="30" t="inlineStr">
        <is>
          <t>Good</t>
        </is>
      </c>
      <c r="AU386" s="30">
        <f>IF(AT386="Good",10,0)</f>
        <v/>
      </c>
      <c r="AV386" s="30" t="inlineStr">
        <is>
          <t>Yes for more than 2 years</t>
        </is>
      </c>
      <c r="AW386" s="30">
        <f>IF(AV386="Yes for more than 2 years",10,IF(AV386="Yes only for next 1 to 2 years",5,0))</f>
        <v/>
      </c>
      <c r="AX386" s="30" t="inlineStr">
        <is>
          <t>20 to 40</t>
        </is>
      </c>
      <c r="AY386" s="30">
        <f>IF(AX386="Above 40",20,IF(AX386="20 to 40",10,IF(AX386="0 to 20",-5,0)))</f>
        <v/>
      </c>
      <c r="AZ386" s="30" t="inlineStr">
        <is>
          <t>Between 50 to 75</t>
        </is>
      </c>
      <c r="BA386" s="30">
        <f>IF(AZ386="Between 50 to 75",10,IF(AZ386="Above 75",0,0))</f>
        <v/>
      </c>
      <c r="BB386" s="30" t="inlineStr">
        <is>
          <t>Stage 1</t>
        </is>
      </c>
      <c r="BC386" s="30">
        <f>IF(BB386="Stage 2",20,IF(BB386="Stage 1",0,IF(BB386="Stage 3",5,IF(BB386="Stage 4",-5,0))))</f>
        <v/>
      </c>
      <c r="BD386" s="30" t="inlineStr">
        <is>
          <t>Positive Trend</t>
        </is>
      </c>
      <c r="BE386" s="30">
        <f>IF(BD386="Positive Trend",20,IF(BD386="Negative Trend",-10,0))</f>
        <v/>
      </c>
      <c r="BF386" s="30" t="inlineStr">
        <is>
          <t>Uptrend</t>
        </is>
      </c>
      <c r="BG386" s="30">
        <f>IF(BF386="Uptrend",10,IF(BF386="Sideways",5,0))</f>
        <v/>
      </c>
      <c r="BH386" s="30" t="inlineStr">
        <is>
          <t>Uptrend</t>
        </is>
      </c>
      <c r="BI386" s="30">
        <f>IF(BH386="Uptrend",10,IF(BH386="Sideways",5,0))</f>
        <v/>
      </c>
      <c r="BJ386" s="30" t="inlineStr">
        <is>
          <t>Close to 52 week high or retracement</t>
        </is>
      </c>
      <c r="BK386" s="30">
        <f>IF(BJ386="Overhead supply in last 2 years in last 2 years",-5,IF(BJ386="Close to 52 week high or retracement",5,IF(BJ386="Blue sky scenario",10,IF(BJ386="Long term Downtrend",-10,0))))</f>
        <v/>
      </c>
      <c r="BL386" s="30" t="inlineStr">
        <is>
          <t>Yes</t>
        </is>
      </c>
      <c r="BM386" s="30">
        <f>IF(BL386="Yes",10,0)</f>
        <v/>
      </c>
      <c r="BN386" s="30" t="inlineStr">
        <is>
          <t>More than 20%</t>
        </is>
      </c>
      <c r="BO386" s="30">
        <f>IF(BN386="More than 20%",10,IF(BN386="Between 12 to 20%",5,IF(BN386="Less than 12%",0,0)))</f>
        <v/>
      </c>
      <c r="BP386" s="30" t="inlineStr">
        <is>
          <t>No</t>
        </is>
      </c>
      <c r="BQ386" s="30">
        <f>IF(BP386="No",10,0)</f>
        <v/>
      </c>
      <c r="BR386" s="30" t="inlineStr">
        <is>
          <t>No</t>
        </is>
      </c>
      <c r="BS386" s="30">
        <f>IF(BR386="NO",5,0)</f>
        <v/>
      </c>
      <c r="BT386" s="30" t="inlineStr">
        <is>
          <t>Less than 1.5</t>
        </is>
      </c>
      <c r="BU386" s="30">
        <f>IF(BT386="Above 2",0,IF(BT386="Between 1.5 to 2",5,IF(BT386="Less than 1.5",10,0)))</f>
        <v/>
      </c>
      <c r="BV386" s="30" t="inlineStr">
        <is>
          <t>Above 70%</t>
        </is>
      </c>
      <c r="BW386" s="30">
        <f>IF(BV386="Above 70%",10,IF(BV386="Between 50% to 70%",5,IF(BV386="Less than 50%",0,IF(BV386="Negative",-10,IF(BV386="Less than 50% and Borrowings are increasing",-5,0)))))</f>
        <v/>
      </c>
      <c r="BX386" s="30" t="inlineStr">
        <is>
          <t>Less than 0.7</t>
        </is>
      </c>
      <c r="BY386" s="30">
        <f>IF(BX386="More than 1.2",-10,IF(BX386="Between 0.7 to 1.2",0,IF(BX386="Less than 0.7",10,0)))</f>
        <v/>
      </c>
      <c r="BZ386" s="30" t="inlineStr">
        <is>
          <t>No</t>
        </is>
      </c>
      <c r="CA386" s="30">
        <f>IF(BZ386="Yes",-10,0)</f>
        <v/>
      </c>
      <c r="CB386" s="30" t="inlineStr">
        <is>
          <t>Less than 15%</t>
        </is>
      </c>
      <c r="CC386" s="30">
        <f>IF(CB386="More than 15%",-10,IF(CB386="Less than 15%",10,0))</f>
        <v/>
      </c>
      <c r="CD386" s="30" t="inlineStr">
        <is>
          <t>No</t>
        </is>
      </c>
      <c r="CE386" s="30">
        <f>IF(CD386="Yes, more than 10%",-10,IF(CD386="No",10,0))</f>
        <v/>
      </c>
    </row>
    <row r="387">
      <c r="A387" s="30">
        <f>IF(B387=0,"",RANK(B387,$B$2:$B$405,0))</f>
        <v/>
      </c>
      <c r="B387" s="31">
        <f>SUM(N387,Y387,AA387,AC387,AE387,AG387,AI387,AK387,AM387,AO387,AQ387,AS387,AU387,AW387,AY387,BA387,BC387,BE387,BG387,BI387,BK387,BM387,BO387,BQ387,BS387,BU387,BW387,BY387,CA387,CC387,CE387)</f>
        <v/>
      </c>
      <c r="C387" s="32" t="inlineStr">
        <is>
          <t>NSLNISP</t>
        </is>
      </c>
      <c r="D387" s="32" t="inlineStr">
        <is>
          <t>NMDC Steel Ltd</t>
        </is>
      </c>
      <c r="E387" s="30" t="inlineStr">
        <is>
          <t>metals &amp; mining</t>
        </is>
      </c>
      <c r="F387" s="30" t="inlineStr">
        <is>
          <t>steel - large</t>
        </is>
      </c>
      <c r="G387" s="30" t="inlineStr">
        <is>
          <t>midcap</t>
        </is>
      </c>
      <c r="H387" s="31" t="n">
        <v>13120.32</v>
      </c>
      <c r="I387" s="31" t="n">
        <v>44.81</v>
      </c>
      <c r="J387" s="31" t="n">
        <v>0.09</v>
      </c>
      <c r="K387" s="31" t="n">
        <v>3840920</v>
      </c>
      <c r="L387" s="30" t="n">
        <v>28</v>
      </c>
      <c r="M387" s="30" t="inlineStr">
        <is>
          <t>Underperforming</t>
        </is>
      </c>
      <c r="N387" s="31">
        <f>IF(M387="Underperforming",-5,IF(L387&gt;=95,15,IF(L387&gt;=90,10,IF(L387&gt;=80,5,0))))</f>
        <v/>
      </c>
      <c r="O387" s="31" t="n">
        <v>54.53</v>
      </c>
      <c r="P387" s="31" t="n">
        <v>29.12</v>
      </c>
      <c r="Q387" s="31" t="n">
        <v>40.39</v>
      </c>
      <c r="R387" s="30" t="inlineStr">
        <is>
          <t>Earnings / Momentum Support</t>
        </is>
      </c>
      <c r="S387" s="30" t="inlineStr">
        <is>
          <t>Nifty Metal</t>
        </is>
      </c>
      <c r="T387" s="31" t="n">
        <v>39.44</v>
      </c>
      <c r="U387" s="31" t="n">
        <v>17.01</v>
      </c>
      <c r="V387" s="31" t="n">
        <v>-16.08</v>
      </c>
      <c r="W387" s="31" t="n">
        <v>5.5</v>
      </c>
      <c r="X387" s="30" t="inlineStr">
        <is>
          <t>Cyclical in an Upturn</t>
        </is>
      </c>
      <c r="Y387" s="30">
        <f>IF(X387="Growing Industry",10,IF(X387="Cyclical in an Upturn",5,0))</f>
        <v/>
      </c>
      <c r="Z387" s="30" t="inlineStr">
        <is>
          <t>Too Many Players with High ROCE</t>
        </is>
      </c>
      <c r="AA387" s="30">
        <f>IF(Z387="Monopoly",10,IF(Z387="Oligopoly",5,IF(Z387="Duopoly that cooperate",10,IF(Z387="Duopoly that compete",5,IF(Z387="Too many players with High ROCE",5,0)))))</f>
        <v/>
      </c>
      <c r="AB387" s="30" t="inlineStr">
        <is>
          <t>No</t>
        </is>
      </c>
      <c r="AC387" s="30">
        <f>IF(AB387="No",5,0)</f>
        <v/>
      </c>
      <c r="AD387" s="30" t="inlineStr">
        <is>
          <t>Tailwind</t>
        </is>
      </c>
      <c r="AE387" s="30">
        <f>IF(AD387="Tailwind",10,0)</f>
        <v/>
      </c>
      <c r="AF387" s="30" t="inlineStr">
        <is>
          <t>Cyclical</t>
        </is>
      </c>
      <c r="AG387" s="30">
        <f>IF(AF387="Structural (10 Years Consistency)",10,IF(AF387="Shallow Cyclical (2 to 3 years growth)",5,0))</f>
        <v/>
      </c>
      <c r="AH387" s="30" t="inlineStr">
        <is>
          <t>No</t>
        </is>
      </c>
      <c r="AI387" s="30">
        <f>IF(AH387="Yes due to Product Mix change or Operating Leverage",10,IF(AH387="Yes, these are peak margins",-5,IF(AH387="No",5,0)))</f>
        <v/>
      </c>
      <c r="AJ387" s="30" t="inlineStr">
        <is>
          <t>Volatile</t>
        </is>
      </c>
      <c r="AK387" s="30">
        <f>IF(AJ387="Stable",10,0)</f>
        <v/>
      </c>
      <c r="AL387" s="30" t="inlineStr">
        <is>
          <t>Yes</t>
        </is>
      </c>
      <c r="AM387" s="30">
        <f>IF(AL387="Yes",10,0)</f>
        <v/>
      </c>
      <c r="AN387" s="30" t="inlineStr">
        <is>
          <t>B2B</t>
        </is>
      </c>
      <c r="AO387" s="30">
        <f>IF(AN387="B2C",10,IF(AN387="B2B",5,0))</f>
        <v/>
      </c>
      <c r="AP387" s="30" t="inlineStr">
        <is>
          <t>No</t>
        </is>
      </c>
      <c r="AQ387" s="30">
        <f>IF(AP387="Yes",10,0)</f>
        <v/>
      </c>
      <c r="AR387" s="30" t="inlineStr">
        <is>
          <t>Higher One Time, Lower Annuity</t>
        </is>
      </c>
      <c r="AS387" s="30">
        <f>IF(AR387="Fully Annuity",10,IF(AR387="Higher Annuity, Lower One Time",5,IF(AR387="Higher One Time, Lower Annuity",3,0)))</f>
        <v/>
      </c>
      <c r="AT387" s="30" t="inlineStr">
        <is>
          <t>Good</t>
        </is>
      </c>
      <c r="AU387" s="30">
        <f>IF(AT387="Good",10,0)</f>
        <v/>
      </c>
      <c r="AV387" s="30" t="inlineStr">
        <is>
          <t>Yes for more than 2 years</t>
        </is>
      </c>
      <c r="AW387" s="30">
        <f>IF(AV387="Yes for more than 2 years",10,IF(AV387="Yes only for next 1 to 2 years",5,0))</f>
        <v/>
      </c>
      <c r="AX387" s="30" t="inlineStr">
        <is>
          <t>20 to 40</t>
        </is>
      </c>
      <c r="AY387" s="30">
        <f>IF(AX387="Above 40",20,IF(AX387="20 to 40",10,IF(AX387="0 to 20",-5,0)))</f>
        <v/>
      </c>
      <c r="AZ387" s="30" t="inlineStr">
        <is>
          <t>Between 50 to 75</t>
        </is>
      </c>
      <c r="BA387" s="30">
        <f>IF(AZ387="Between 50 to 75",10,IF(AZ387="Above 75",0,0))</f>
        <v/>
      </c>
      <c r="BB387" s="30" t="inlineStr">
        <is>
          <t>Stage 1</t>
        </is>
      </c>
      <c r="BC387" s="30">
        <f>IF(BB387="Stage 2",20,IF(BB387="Stage 1",0,IF(BB387="Stage 3",5,IF(BB387="Stage 4",-5,0))))</f>
        <v/>
      </c>
      <c r="BD387" s="30" t="inlineStr">
        <is>
          <t>Positive Trend</t>
        </is>
      </c>
      <c r="BE387" s="30">
        <f>IF(BD387="Positive Trend",20,IF(BD387="Negative Trend",-10,0))</f>
        <v/>
      </c>
      <c r="BF387" s="30" t="inlineStr">
        <is>
          <t>Uptrend</t>
        </is>
      </c>
      <c r="BG387" s="30">
        <f>IF(BF387="Uptrend",10,IF(BF387="Sideways",5,0))</f>
        <v/>
      </c>
      <c r="BH387" s="30" t="inlineStr">
        <is>
          <t>Uptrend</t>
        </is>
      </c>
      <c r="BI387" s="30">
        <f>IF(BH387="Uptrend",10,IF(BH387="Sideways",5,0))</f>
        <v/>
      </c>
      <c r="BJ387" s="30" t="inlineStr">
        <is>
          <t>Close to 52 week high or retracement</t>
        </is>
      </c>
      <c r="BK387" s="30">
        <f>IF(BJ387="Overhead supply in last 2 years in last 2 years",-5,IF(BJ387="Close to 52 week high or retracement",5,IF(BJ387="Blue sky scenario",10,IF(BJ387="Long term Downtrend",-10,0))))</f>
        <v/>
      </c>
      <c r="BL387" s="30" t="inlineStr">
        <is>
          <t>Yes</t>
        </is>
      </c>
      <c r="BM387" s="30">
        <f>IF(BL387="Yes",10,0)</f>
        <v/>
      </c>
      <c r="BN387" s="30" t="inlineStr">
        <is>
          <t>More than 20%</t>
        </is>
      </c>
      <c r="BO387" s="30">
        <f>IF(BN387="More than 20%",10,IF(BN387="Between 12 to 20%",5,IF(BN387="Less than 12%",0,0)))</f>
        <v/>
      </c>
      <c r="BP387" s="30" t="inlineStr">
        <is>
          <t>No</t>
        </is>
      </c>
      <c r="BQ387" s="30">
        <f>IF(BP387="No",10,0)</f>
        <v/>
      </c>
      <c r="BR387" s="30" t="inlineStr">
        <is>
          <t>Yes</t>
        </is>
      </c>
      <c r="BS387" s="30">
        <f>IF(BR387="NO",5,0)</f>
        <v/>
      </c>
      <c r="BT387" s="30" t="inlineStr">
        <is>
          <t>Above 2</t>
        </is>
      </c>
      <c r="BU387" s="30">
        <f>IF(BT387="Above 2",0,IF(BT387="Between 1.5 to 2",5,IF(BT387="Less than 1.5",10,0)))</f>
        <v/>
      </c>
      <c r="BV387" s="30" t="inlineStr">
        <is>
          <t>Above 70%</t>
        </is>
      </c>
      <c r="BW387" s="30">
        <f>IF(BV387="Above 70%",10,IF(BV387="Between 50% to 70%",5,IF(BV387="Less than 50%",0,IF(BV387="Negative",-10,IF(BV387="Less than 50% and Borrowings are increasing",-5,0)))))</f>
        <v/>
      </c>
      <c r="BX387" s="30" t="inlineStr">
        <is>
          <t>Less than 0.7</t>
        </is>
      </c>
      <c r="BY387" s="30">
        <f>IF(BX387="More than 1.2",-10,IF(BX387="Between 0.7 to 1.2",0,IF(BX387="Less than 0.7",10,0)))</f>
        <v/>
      </c>
      <c r="BZ387" s="30" t="inlineStr">
        <is>
          <t>No</t>
        </is>
      </c>
      <c r="CA387" s="30">
        <f>IF(BZ387="Yes",-10,0)</f>
        <v/>
      </c>
      <c r="CB387" s="30" t="inlineStr">
        <is>
          <t>Less than 15%</t>
        </is>
      </c>
      <c r="CC387" s="30">
        <f>IF(CB387="More than 15%",-10,IF(CB387="Less than 15%",10,0))</f>
        <v/>
      </c>
      <c r="CD387" s="30" t="inlineStr">
        <is>
          <t>No</t>
        </is>
      </c>
      <c r="CE387" s="30">
        <f>IF(CD387="Yes, more than 10%",-10,IF(CD387="No",10,0))</f>
        <v/>
      </c>
    </row>
    <row r="388">
      <c r="A388" s="30">
        <f>IF(B388=0,"",RANK(B388,$B$2:$B$405,0))</f>
        <v/>
      </c>
      <c r="B388" s="31">
        <f>SUM(N388,Y388,AA388,AC388,AE388,AG388,AI388,AK388,AM388,AO388,AQ388,AS388,AU388,AW388,AY388,BA388,BC388,BE388,BG388,BI388,BK388,BM388,BO388,BQ388,BS388,BU388,BW388,BY388,CA388,CC388,CE388)</f>
        <v/>
      </c>
      <c r="C388" s="32" t="inlineStr">
        <is>
          <t>KOTHARIPET</t>
        </is>
      </c>
      <c r="D388" s="32" t="inlineStr">
        <is>
          <t>Kothari Petrochemicals Limited</t>
        </is>
      </c>
      <c r="E388" s="30" t="inlineStr">
        <is>
          <t>energy</t>
        </is>
      </c>
      <c r="F388" s="30" t="inlineStr">
        <is>
          <t>petrochemicals</t>
        </is>
      </c>
      <c r="G388" s="30" t="inlineStr">
        <is>
          <t>smallcap</t>
        </is>
      </c>
      <c r="H388" s="31" t="n">
        <v>848.09</v>
      </c>
      <c r="I388" s="31" t="n">
        <v>149.53</v>
      </c>
      <c r="J388" s="31" t="n">
        <v>3.75</v>
      </c>
      <c r="K388" s="31" t="n">
        <v>312232</v>
      </c>
      <c r="L388" s="30" t="n">
        <v>5</v>
      </c>
      <c r="M388" s="30" t="inlineStr">
        <is>
          <t>Underperforming</t>
        </is>
      </c>
      <c r="N388" s="31">
        <f>IF(M388="Underperforming",-5,IF(L388&gt;=95,15,IF(L388&gt;=90,10,IF(L388&gt;=80,5,0))))</f>
        <v/>
      </c>
      <c r="O388" s="31" t="n">
        <v>62.61</v>
      </c>
      <c r="P388" s="31" t="n">
        <v>17.04</v>
      </c>
      <c r="Q388" s="31" t="n">
        <v>109.21</v>
      </c>
      <c r="R388" s="30" t="inlineStr">
        <is>
          <t>Earnings / Momentum Support</t>
        </is>
      </c>
      <c r="S388" s="30" t="inlineStr">
        <is>
          <t>Nifty Energy</t>
        </is>
      </c>
      <c r="T388" s="31" t="n">
        <v>9.720000000000001</v>
      </c>
      <c r="U388" s="31" t="n">
        <v>-13.26</v>
      </c>
      <c r="V388" s="31" t="n">
        <v>-20.94</v>
      </c>
      <c r="W388" s="31" t="n">
        <v>-0.39</v>
      </c>
      <c r="X388" s="30" t="inlineStr">
        <is>
          <t>Cyclical in an Upturn</t>
        </is>
      </c>
      <c r="Y388" s="30">
        <f>IF(X388="Growing Industry",10,IF(X388="Cyclical in an Upturn",5,0))</f>
        <v/>
      </c>
      <c r="Z388" s="30" t="inlineStr">
        <is>
          <t>Oligopoly</t>
        </is>
      </c>
      <c r="AA388" s="30">
        <f>IF(Z388="Monopoly",10,IF(Z388="Oligopoly",5,IF(Z388="Duopoly that cooperate",10,IF(Z388="Duopoly that compete",5,IF(Z388="Too many players with High ROCE",5,0)))))</f>
        <v/>
      </c>
      <c r="AB388" s="30" t="inlineStr">
        <is>
          <t>Yes</t>
        </is>
      </c>
      <c r="AC388" s="30">
        <f>IF(AB388="No",5,0)</f>
        <v/>
      </c>
      <c r="AD388" s="30" t="inlineStr">
        <is>
          <t>Tailwind</t>
        </is>
      </c>
      <c r="AE388" s="30">
        <f>IF(AD388="Tailwind",10,0)</f>
        <v/>
      </c>
      <c r="AF388" s="30" t="inlineStr">
        <is>
          <t>Cyclical</t>
        </is>
      </c>
      <c r="AG388" s="30">
        <f>IF(AF388="Structural (10 Years Consistency)",10,IF(AF388="Shallow Cyclical (2 to 3 years growth)",5,0))</f>
        <v/>
      </c>
      <c r="AH388" s="30" t="inlineStr">
        <is>
          <t>No</t>
        </is>
      </c>
      <c r="AI388" s="30">
        <f>IF(AH388="Yes due to Product Mix change or Operating Leverage",10,IF(AH388="Yes, these are peak margins",-5,IF(AH388="No",5,0)))</f>
        <v/>
      </c>
      <c r="AJ388" s="30" t="inlineStr">
        <is>
          <t>Volatile</t>
        </is>
      </c>
      <c r="AK388" s="30">
        <f>IF(AJ388="Stable",10,0)</f>
        <v/>
      </c>
      <c r="AL388" s="30" t="inlineStr">
        <is>
          <t>Yes</t>
        </is>
      </c>
      <c r="AM388" s="30">
        <f>IF(AL388="Yes",10,0)</f>
        <v/>
      </c>
      <c r="AN388" s="30" t="inlineStr">
        <is>
          <t>B2B</t>
        </is>
      </c>
      <c r="AO388" s="30">
        <f>IF(AN388="B2C",10,IF(AN388="B2B",5,0))</f>
        <v/>
      </c>
      <c r="AP388" s="30" t="inlineStr">
        <is>
          <t>No</t>
        </is>
      </c>
      <c r="AQ388" s="30">
        <f>IF(AP388="Yes",10,0)</f>
        <v/>
      </c>
      <c r="AR388" s="30" t="inlineStr">
        <is>
          <t>Higher One Time, Lower Annuity</t>
        </is>
      </c>
      <c r="AS388" s="30">
        <f>IF(AR388="Fully Annuity",10,IF(AR388="Higher Annuity, Lower One Time",5,IF(AR388="Higher One Time, Lower Annuity",3,0)))</f>
        <v/>
      </c>
      <c r="AT388" s="30" t="inlineStr">
        <is>
          <t>Good</t>
        </is>
      </c>
      <c r="AU388" s="30">
        <f>IF(AT388="Good",10,0)</f>
        <v/>
      </c>
      <c r="AV388" s="30" t="inlineStr">
        <is>
          <t>Yes for more than 2 years</t>
        </is>
      </c>
      <c r="AW388" s="30">
        <f>IF(AV388="Yes for more than 2 years",10,IF(AV388="Yes only for next 1 to 2 years",5,0))</f>
        <v/>
      </c>
      <c r="AX388" s="30" t="inlineStr">
        <is>
          <t>0 to 20</t>
        </is>
      </c>
      <c r="AY388" s="30">
        <f>IF(AX388="Above 40",20,IF(AX388="20 to 40",10,IF(AX388="0 to 20",-5,0)))</f>
        <v/>
      </c>
      <c r="AZ388" s="30" t="inlineStr">
        <is>
          <t>Between 50 to 75</t>
        </is>
      </c>
      <c r="BA388" s="30">
        <f>IF(AZ388="Between 50 to 75",10,IF(AZ388="Above 75",0,0))</f>
        <v/>
      </c>
      <c r="BB388" s="30" t="inlineStr">
        <is>
          <t>Stage 2</t>
        </is>
      </c>
      <c r="BC388" s="30">
        <f>IF(BB388="Stage 2",20,IF(BB388="Stage 1",0,IF(BB388="Stage 3",5,IF(BB388="Stage 4",-5,0))))</f>
        <v/>
      </c>
      <c r="BD388" s="30" t="inlineStr">
        <is>
          <t>Positive Trend</t>
        </is>
      </c>
      <c r="BE388" s="30">
        <f>IF(BD388="Positive Trend",20,IF(BD388="Negative Trend",-10,0))</f>
        <v/>
      </c>
      <c r="BF388" s="30" t="inlineStr">
        <is>
          <t>Uptrend</t>
        </is>
      </c>
      <c r="BG388" s="30">
        <f>IF(BF388="Uptrend",10,IF(BF388="Sideways",5,0))</f>
        <v/>
      </c>
      <c r="BH388" s="30" t="inlineStr">
        <is>
          <t>Uptrend</t>
        </is>
      </c>
      <c r="BI388" s="30">
        <f>IF(BH388="Uptrend",10,IF(BH388="Sideways",5,0))</f>
        <v/>
      </c>
      <c r="BJ388" s="30" t="inlineStr">
        <is>
          <t>Close to 52 week high or retracement</t>
        </is>
      </c>
      <c r="BK388" s="30">
        <f>IF(BJ388="Overhead supply in last 2 years in last 2 years",-5,IF(BJ388="Close to 52 week high or retracement",5,IF(BJ388="Blue sky scenario",10,IF(BJ388="Long term Downtrend",-10,0))))</f>
        <v/>
      </c>
      <c r="BL388" s="30" t="inlineStr">
        <is>
          <t>Yes</t>
        </is>
      </c>
      <c r="BM388" s="30">
        <f>IF(BL388="Yes",10,0)</f>
        <v/>
      </c>
      <c r="BN388" s="30" t="inlineStr">
        <is>
          <t>Less than 12%</t>
        </is>
      </c>
      <c r="BO388" s="30">
        <f>IF(BN388="More than 20%",10,IF(BN388="Between 12 to 20%",5,IF(BN388="Less than 12%",0,0)))</f>
        <v/>
      </c>
      <c r="BP388" s="30" t="inlineStr">
        <is>
          <t>No</t>
        </is>
      </c>
      <c r="BQ388" s="30">
        <f>IF(BP388="No",10,0)</f>
        <v/>
      </c>
      <c r="BR388" s="30" t="inlineStr">
        <is>
          <t>No</t>
        </is>
      </c>
      <c r="BS388" s="30">
        <f>IF(BR388="NO",5,0)</f>
        <v/>
      </c>
      <c r="BT388" s="30" t="inlineStr">
        <is>
          <t>Above 2</t>
        </is>
      </c>
      <c r="BU388" s="30">
        <f>IF(BT388="Above 2",0,IF(BT388="Between 1.5 to 2",5,IF(BT388="Less than 1.5",10,0)))</f>
        <v/>
      </c>
      <c r="BV388" s="30" t="inlineStr">
        <is>
          <t>Above 70%</t>
        </is>
      </c>
      <c r="BW388" s="30">
        <f>IF(BV388="Above 70%",10,IF(BV388="Between 50% to 70%",5,IF(BV388="Less than 50%",0,IF(BV388="Negative",-10,IF(BV388="Less than 50% and Borrowings are increasing",-5,0)))))</f>
        <v/>
      </c>
      <c r="BX388" s="30" t="inlineStr">
        <is>
          <t>Less than 0.7</t>
        </is>
      </c>
      <c r="BY388" s="30">
        <f>IF(BX388="More than 1.2",-10,IF(BX388="Between 0.7 to 1.2",0,IF(BX388="Less than 0.7",10,0)))</f>
        <v/>
      </c>
      <c r="BZ388" s="30" t="inlineStr">
        <is>
          <t>No</t>
        </is>
      </c>
      <c r="CA388" s="30">
        <f>IF(BZ388="Yes",-10,0)</f>
        <v/>
      </c>
      <c r="CB388" s="30" t="inlineStr">
        <is>
          <t>Less than 15%</t>
        </is>
      </c>
      <c r="CC388" s="30">
        <f>IF(CB388="More than 15%",-10,IF(CB388="Less than 15%",10,0))</f>
        <v/>
      </c>
      <c r="CD388" s="30" t="inlineStr">
        <is>
          <t>No</t>
        </is>
      </c>
      <c r="CE388" s="30">
        <f>IF(CD388="Yes, more than 10%",-10,IF(CD388="No",10,0))</f>
        <v/>
      </c>
    </row>
    <row r="389">
      <c r="A389" s="30">
        <f>IF(B389=0,"",RANK(B389,$B$2:$B$405,0))</f>
        <v/>
      </c>
      <c r="B389" s="31">
        <f>SUM(N389,Y389,AA389,AC389,AE389,AG389,AI389,AK389,AM389,AO389,AQ389,AS389,AU389,AW389,AY389,BA389,BC389,BE389,BG389,BI389,BK389,BM389,BO389,BQ389,BS389,BU389,BW389,BY389,CA389,CC389,CE389)</f>
        <v/>
      </c>
      <c r="C389" s="30" t="inlineStr">
        <is>
          <t>LT</t>
        </is>
      </c>
      <c r="D389" s="30" t="inlineStr">
        <is>
          <t>Larsen &amp; Toubro Limited</t>
        </is>
      </c>
      <c r="E389" s="30" t="inlineStr">
        <is>
          <t>realty</t>
        </is>
      </c>
      <c r="F389" s="30" t="inlineStr">
        <is>
          <t>engineering - turnkey services</t>
        </is>
      </c>
      <c r="G389" s="30" t="inlineStr">
        <is>
          <t>largecap</t>
        </is>
      </c>
      <c r="H389" s="31" t="n">
        <v>558133.33</v>
      </c>
      <c r="I389" s="31" t="n">
        <v>4061.8</v>
      </c>
      <c r="J389" s="31" t="n">
        <v>0.12</v>
      </c>
      <c r="K389" s="31" t="n">
        <v>2733174</v>
      </c>
      <c r="L389" s="30" t="n">
        <v>22</v>
      </c>
      <c r="M389" s="30" t="inlineStr">
        <is>
          <t>Outperforming</t>
        </is>
      </c>
      <c r="N389" s="31">
        <f>IF(M389="Underperforming",-5,IF(L389&gt;=95,15,IF(L389&gt;=90,10,IF(L389&gt;=80,5,0))))</f>
        <v/>
      </c>
      <c r="O389" s="31" t="n">
        <v>54.3</v>
      </c>
      <c r="P389" s="31" t="n">
        <v>7.1</v>
      </c>
      <c r="Q389" s="31" t="n">
        <v>3621.49</v>
      </c>
      <c r="R389" s="30" t="inlineStr">
        <is>
          <t>Earnings / Momentum Support</t>
        </is>
      </c>
      <c r="S389" s="30" t="inlineStr">
        <is>
          <t>Nifty Realty</t>
        </is>
      </c>
      <c r="T389" s="31" t="n">
        <v>-6.42</v>
      </c>
      <c r="U389" s="31" t="n">
        <v>19.08</v>
      </c>
      <c r="V389" s="31" t="n">
        <v>27.24</v>
      </c>
      <c r="W389" s="31" t="n">
        <v>4.15</v>
      </c>
      <c r="X389" s="30" t="inlineStr">
        <is>
          <t>Growing Industry</t>
        </is>
      </c>
      <c r="Y389" s="30">
        <f>IF(X389="Growing Industry",10,IF(X389="Cyclical in an Upturn",5,0))</f>
        <v/>
      </c>
      <c r="Z389" s="30" t="inlineStr">
        <is>
          <t>Too Many Players with High ROCE</t>
        </is>
      </c>
      <c r="AA389" s="30">
        <f>IF(Z389="Monopoly",10,IF(Z389="Oligopoly",5,IF(Z389="Duopoly that cooperate",10,IF(Z389="Duopoly that compete",5,IF(Z389="Too many players with High ROCE",5,0)))))</f>
        <v/>
      </c>
      <c r="AB389" s="30" t="inlineStr">
        <is>
          <t>No</t>
        </is>
      </c>
      <c r="AC389" s="30">
        <f>IF(AB389="No",5,0)</f>
        <v/>
      </c>
      <c r="AD389" s="30" t="inlineStr">
        <is>
          <t>Headwind</t>
        </is>
      </c>
      <c r="AE389" s="30">
        <f>IF(AD389="Tailwind",10,0)</f>
        <v/>
      </c>
      <c r="AF389" s="30" t="inlineStr">
        <is>
          <t>Structural (10 Years Consistency)</t>
        </is>
      </c>
      <c r="AG389" s="30">
        <f>IF(AF389="Structural (10 Years Consistency)",10,IF(AF389="Shallow Cyclical (2 to 3 years growth)",5,0))</f>
        <v/>
      </c>
      <c r="AH389" s="30" t="inlineStr">
        <is>
          <t>No</t>
        </is>
      </c>
      <c r="AI389" s="30">
        <f>IF(AH389="Yes due to Product Mix change or Operating Leverage",10,IF(AH389="Yes, these are peak margins",-5,IF(AH389="No",5,0)))</f>
        <v/>
      </c>
      <c r="AJ389" s="30" t="inlineStr">
        <is>
          <t>Stable</t>
        </is>
      </c>
      <c r="AK389" s="30">
        <f>IF(AJ389="Stable",10,0)</f>
        <v/>
      </c>
      <c r="AL389" s="30" t="inlineStr">
        <is>
          <t>Yes</t>
        </is>
      </c>
      <c r="AM389" s="30">
        <f>IF(AL389="Yes",10,0)</f>
        <v/>
      </c>
      <c r="AN389" s="30" t="inlineStr">
        <is>
          <t>B2B</t>
        </is>
      </c>
      <c r="AO389" s="30">
        <f>IF(AN389="B2C",10,IF(AN389="B2B",5,0))</f>
        <v/>
      </c>
      <c r="AP389" s="30" t="inlineStr">
        <is>
          <t>No</t>
        </is>
      </c>
      <c r="AQ389" s="30">
        <f>IF(AP389="Yes",10,0)</f>
        <v/>
      </c>
      <c r="AR389" s="30" t="inlineStr">
        <is>
          <t>Higher One Time, Lower Annuity</t>
        </is>
      </c>
      <c r="AS389" s="30">
        <f>IF(AR389="Fully Annuity",10,IF(AR389="Higher Annuity, Lower One Time",5,IF(AR389="Higher One Time, Lower Annuity",3,0)))</f>
        <v/>
      </c>
      <c r="AT389" s="30" t="inlineStr">
        <is>
          <t>Good</t>
        </is>
      </c>
      <c r="AU389" s="30">
        <f>IF(AT389="Good",10,0)</f>
        <v/>
      </c>
      <c r="AV389" s="30" t="inlineStr">
        <is>
          <t>Yes for more than 2 years</t>
        </is>
      </c>
      <c r="AW389" s="30">
        <f>IF(AV389="Yes for more than 2 years",10,IF(AV389="Yes only for next 1 to 2 years",5,0))</f>
        <v/>
      </c>
      <c r="AX389" s="30" t="inlineStr">
        <is>
          <t>0 to 20</t>
        </is>
      </c>
      <c r="AY389" s="30">
        <f>IF(AX389="Above 40",20,IF(AX389="20 to 40",10,IF(AX389="0 to 20",-5,0)))</f>
        <v/>
      </c>
      <c r="AZ389" s="30" t="inlineStr">
        <is>
          <t>Between 50 to 75</t>
        </is>
      </c>
      <c r="BA389" s="30">
        <f>IF(AZ389="Between 50 to 75",10,IF(AZ389="Above 75",0,0))</f>
        <v/>
      </c>
      <c r="BB389" s="30" t="inlineStr">
        <is>
          <t>Stage 1</t>
        </is>
      </c>
      <c r="BC389" s="30">
        <f>IF(BB389="Stage 2",20,IF(BB389="Stage 1",0,IF(BB389="Stage 3",5,IF(BB389="Stage 4",-5,0))))</f>
        <v/>
      </c>
      <c r="BD389" s="30" t="inlineStr">
        <is>
          <t>Positive Trend</t>
        </is>
      </c>
      <c r="BE389" s="30">
        <f>IF(BD389="Positive Trend",20,IF(BD389="Negative Trend",-10,0))</f>
        <v/>
      </c>
      <c r="BF389" s="30" t="inlineStr">
        <is>
          <t>Uptrend</t>
        </is>
      </c>
      <c r="BG389" s="30">
        <f>IF(BF389="Uptrend",10,IF(BF389="Sideways",5,0))</f>
        <v/>
      </c>
      <c r="BH389" s="30" t="inlineStr">
        <is>
          <t>Uptrend</t>
        </is>
      </c>
      <c r="BI389" s="30">
        <f>IF(BH389="Uptrend",10,IF(BH389="Sideways",5,0))</f>
        <v/>
      </c>
      <c r="BJ389" s="30" t="inlineStr">
        <is>
          <t>Close to 52 week high or retracement</t>
        </is>
      </c>
      <c r="BK389" s="30">
        <f>IF(BJ389="Overhead supply in last 2 years in last 2 years",-5,IF(BJ389="Close to 52 week high or retracement",5,IF(BJ389="Blue sky scenario",10,IF(BJ389="Long term Downtrend",-10,0))))</f>
        <v/>
      </c>
      <c r="BL389" s="30" t="inlineStr">
        <is>
          <t>Yes</t>
        </is>
      </c>
      <c r="BM389" s="30">
        <f>IF(BL389="Yes",10,0)</f>
        <v/>
      </c>
      <c r="BN389" s="30" t="inlineStr">
        <is>
          <t>Between 12 to 20%</t>
        </is>
      </c>
      <c r="BO389" s="30">
        <f>IF(BN389="More than 20%",10,IF(BN389="Between 12 to 20%",5,IF(BN389="Less than 12%",0,0)))</f>
        <v/>
      </c>
      <c r="BP389" s="30" t="inlineStr">
        <is>
          <t>No</t>
        </is>
      </c>
      <c r="BQ389" s="30">
        <f>IF(BP389="No",10,0)</f>
        <v/>
      </c>
      <c r="BR389" s="30" t="inlineStr">
        <is>
          <t>No</t>
        </is>
      </c>
      <c r="BS389" s="30">
        <f>IF(BR389="NO",5,0)</f>
        <v/>
      </c>
      <c r="BT389" s="30" t="inlineStr">
        <is>
          <t>Above 2</t>
        </is>
      </c>
      <c r="BU389" s="30">
        <f>IF(BT389="Above 2",0,IF(BT389="Between 1.5 to 2",5,IF(BT389="Less than 1.5",10,0)))</f>
        <v/>
      </c>
      <c r="BV389" s="30" t="inlineStr">
        <is>
          <t>Above 70%</t>
        </is>
      </c>
      <c r="BW389" s="30">
        <f>IF(BV389="Above 70%",10,IF(BV389="Between 50% to 70%",5,IF(BV389="Less than 50%",0,IF(BV389="Negative",-10,IF(BV389="Less than 50% and Borrowings are increasing",-5,0)))))</f>
        <v/>
      </c>
      <c r="BX389" s="30" t="inlineStr">
        <is>
          <t>Between 0.7 to 1.2</t>
        </is>
      </c>
      <c r="BY389" s="30">
        <f>IF(BX389="More than 1.2",-10,IF(BX389="Between 0.7 to 1.2",0,IF(BX389="Less than 0.7",10,0)))</f>
        <v/>
      </c>
      <c r="BZ389" s="30" t="inlineStr">
        <is>
          <t>No</t>
        </is>
      </c>
      <c r="CA389" s="30">
        <f>IF(BZ389="Yes",-10,0)</f>
        <v/>
      </c>
      <c r="CB389" s="30" t="inlineStr">
        <is>
          <t>Less than 15%</t>
        </is>
      </c>
      <c r="CC389" s="30">
        <f>IF(CB389="More than 15%",-10,IF(CB389="Less than 15%",10,0))</f>
        <v/>
      </c>
      <c r="CD389" s="30" t="inlineStr">
        <is>
          <t>No</t>
        </is>
      </c>
      <c r="CE389" s="30">
        <f>IF(CD389="Yes, more than 10%",-10,IF(CD389="No",10,0))</f>
        <v/>
      </c>
    </row>
    <row r="390">
      <c r="A390" s="30">
        <f>IF(B390=0,"",RANK(B390,$B$2:$B$405,0))</f>
        <v/>
      </c>
      <c r="B390" s="31">
        <f>SUM(N390,Y390,AA390,AC390,AE390,AG390,AI390,AK390,AM390,AO390,AQ390,AS390,AU390,AW390,AY390,BA390,BC390,BE390,BG390,BI390,BK390,BM390,BO390,BQ390,BS390,BU390,BW390,BY390,CA390,CC390,CE390)</f>
        <v/>
      </c>
      <c r="C390" s="32" t="inlineStr">
        <is>
          <t>MARUTI</t>
        </is>
      </c>
      <c r="D390" s="32" t="inlineStr">
        <is>
          <t>Maruti Suzuki India Limited</t>
        </is>
      </c>
      <c r="E390" s="30" t="inlineStr">
        <is>
          <t>auto</t>
        </is>
      </c>
      <c r="F390" s="30" t="inlineStr">
        <is>
          <t>automobiles - passenger cars</t>
        </is>
      </c>
      <c r="G390" s="30" t="inlineStr">
        <is>
          <t>largecap</t>
        </is>
      </c>
      <c r="H390" s="31" t="n">
        <v>446137.25</v>
      </c>
      <c r="I390" s="31" t="n">
        <v>14080</v>
      </c>
      <c r="J390" s="31" t="n">
        <v>-0.78</v>
      </c>
      <c r="K390" s="31" t="n">
        <v>642819</v>
      </c>
      <c r="L390" s="30" t="n">
        <v>28</v>
      </c>
      <c r="M390" s="30" t="inlineStr">
        <is>
          <t>Underperforming</t>
        </is>
      </c>
      <c r="N390" s="31">
        <f>IF(M390="Underperforming",-5,IF(L390&gt;=95,15,IF(L390&gt;=90,10,IF(L390&gt;=80,5,0))))</f>
        <v/>
      </c>
      <c r="O390" s="31" t="n">
        <v>51.68</v>
      </c>
      <c r="P390" s="31" t="n">
        <v>10.92</v>
      </c>
      <c r="Q390" s="31" t="n">
        <v>12242.5</v>
      </c>
      <c r="R390" s="30" t="inlineStr">
        <is>
          <t>Earnings / Momentum Support</t>
        </is>
      </c>
      <c r="S390" s="30" t="inlineStr">
        <is>
          <t>Nifty Auto</t>
        </is>
      </c>
      <c r="T390" s="31" t="n">
        <v>22.44</v>
      </c>
      <c r="U390" s="31" t="n">
        <v>14.24</v>
      </c>
      <c r="V390" s="31" t="n">
        <v>-6.7</v>
      </c>
      <c r="W390" s="31" t="n">
        <v>5.38</v>
      </c>
      <c r="X390" s="30" t="inlineStr">
        <is>
          <t>Growing Industry</t>
        </is>
      </c>
      <c r="Y390" s="30">
        <f>IF(X390="Growing Industry",10,IF(X390="Cyclical in an Upturn",5,0))</f>
        <v/>
      </c>
      <c r="Z390" s="30" t="inlineStr">
        <is>
          <t>Too Many Players with High ROCE</t>
        </is>
      </c>
      <c r="AA390" s="30">
        <f>IF(Z390="Monopoly",10,IF(Z390="Oligopoly",5,IF(Z390="Duopoly that cooperate",10,IF(Z390="Duopoly that compete",5,IF(Z390="Too many players with High ROCE",5,0)))))</f>
        <v/>
      </c>
      <c r="AB390" s="30" t="inlineStr">
        <is>
          <t>No</t>
        </is>
      </c>
      <c r="AC390" s="30">
        <f>IF(AB390="No",5,0)</f>
        <v/>
      </c>
      <c r="AD390" s="30" t="inlineStr">
        <is>
          <t>Headwind</t>
        </is>
      </c>
      <c r="AE390" s="30">
        <f>IF(AD390="Tailwind",10,0)</f>
        <v/>
      </c>
      <c r="AF390" s="30" t="inlineStr">
        <is>
          <t>Structural (10 Years Consistency)</t>
        </is>
      </c>
      <c r="AG390" s="30">
        <f>IF(AF390="Structural (10 Years Consistency)",10,IF(AF390="Shallow Cyclical (2 to 3 years growth)",5,0))</f>
        <v/>
      </c>
      <c r="AH390" s="30" t="inlineStr">
        <is>
          <t>No</t>
        </is>
      </c>
      <c r="AI390" s="30">
        <f>IF(AH390="Yes due to Product Mix change or Operating Leverage",10,IF(AH390="Yes, these are peak margins",-5,IF(AH390="No",5,0)))</f>
        <v/>
      </c>
      <c r="AJ390" s="30" t="inlineStr">
        <is>
          <t>Stable</t>
        </is>
      </c>
      <c r="AK390" s="30">
        <f>IF(AJ390="Stable",10,0)</f>
        <v/>
      </c>
      <c r="AL390" s="30" t="inlineStr">
        <is>
          <t>Yes</t>
        </is>
      </c>
      <c r="AM390" s="30">
        <f>IF(AL390="Yes",10,0)</f>
        <v/>
      </c>
      <c r="AN390" s="30" t="inlineStr">
        <is>
          <t>B2B</t>
        </is>
      </c>
      <c r="AO390" s="30">
        <f>IF(AN390="B2C",10,IF(AN390="B2B",5,0))</f>
        <v/>
      </c>
      <c r="AP390" s="30" t="inlineStr">
        <is>
          <t>No</t>
        </is>
      </c>
      <c r="AQ390" s="30">
        <f>IF(AP390="Yes",10,0)</f>
        <v/>
      </c>
      <c r="AR390" s="30" t="inlineStr">
        <is>
          <t>Higher One Time, Lower Annuity</t>
        </is>
      </c>
      <c r="AS390" s="30">
        <f>IF(AR390="Fully Annuity",10,IF(AR390="Higher Annuity, Lower One Time",5,IF(AR390="Higher One Time, Lower Annuity",3,0)))</f>
        <v/>
      </c>
      <c r="AT390" s="30" t="inlineStr">
        <is>
          <t>Good</t>
        </is>
      </c>
      <c r="AU390" s="30">
        <f>IF(AT390="Good",10,0)</f>
        <v/>
      </c>
      <c r="AV390" s="30" t="inlineStr">
        <is>
          <t>Yes for more than 2 years</t>
        </is>
      </c>
      <c r="AW390" s="30">
        <f>IF(AV390="Yes for more than 2 years",10,IF(AV390="Yes only for next 1 to 2 years",5,0))</f>
        <v/>
      </c>
      <c r="AX390" s="30" t="inlineStr">
        <is>
          <t>0 to 20</t>
        </is>
      </c>
      <c r="AY390" s="30">
        <f>IF(AX390="Above 40",20,IF(AX390="20 to 40",10,IF(AX390="0 to 20",-5,0)))</f>
        <v/>
      </c>
      <c r="AZ390" s="30" t="inlineStr">
        <is>
          <t>Between 50 to 75</t>
        </is>
      </c>
      <c r="BA390" s="30">
        <f>IF(AZ390="Between 50 to 75",10,IF(AZ390="Above 75",0,0))</f>
        <v/>
      </c>
      <c r="BB390" s="30" t="inlineStr">
        <is>
          <t>Stage 1</t>
        </is>
      </c>
      <c r="BC390" s="30">
        <f>IF(BB390="Stage 2",20,IF(BB390="Stage 1",0,IF(BB390="Stage 3",5,IF(BB390="Stage 4",-5,0))))</f>
        <v/>
      </c>
      <c r="BD390" s="30" t="inlineStr">
        <is>
          <t>Positive Trend</t>
        </is>
      </c>
      <c r="BE390" s="30">
        <f>IF(BD390="Positive Trend",20,IF(BD390="Negative Trend",-10,0))</f>
        <v/>
      </c>
      <c r="BF390" s="30" t="inlineStr">
        <is>
          <t>Uptrend</t>
        </is>
      </c>
      <c r="BG390" s="30">
        <f>IF(BF390="Uptrend",10,IF(BF390="Sideways",5,0))</f>
        <v/>
      </c>
      <c r="BH390" s="30" t="inlineStr">
        <is>
          <t>Uptrend</t>
        </is>
      </c>
      <c r="BI390" s="30">
        <f>IF(BH390="Uptrend",10,IF(BH390="Sideways",5,0))</f>
        <v/>
      </c>
      <c r="BJ390" s="30" t="inlineStr">
        <is>
          <t>Close to 52 week high or retracement</t>
        </is>
      </c>
      <c r="BK390" s="30">
        <f>IF(BJ390="Overhead supply in last 2 years in last 2 years",-5,IF(BJ390="Close to 52 week high or retracement",5,IF(BJ390="Blue sky scenario",10,IF(BJ390="Long term Downtrend",-10,0))))</f>
        <v/>
      </c>
      <c r="BL390" s="30" t="inlineStr">
        <is>
          <t>Yes</t>
        </is>
      </c>
      <c r="BM390" s="30">
        <f>IF(BL390="Yes",10,0)</f>
        <v/>
      </c>
      <c r="BN390" s="30" t="inlineStr">
        <is>
          <t>Less than 12%</t>
        </is>
      </c>
      <c r="BO390" s="30">
        <f>IF(BN390="More than 20%",10,IF(BN390="Between 12 to 20%",5,IF(BN390="Less than 12%",0,0)))</f>
        <v/>
      </c>
      <c r="BP390" s="30" t="inlineStr">
        <is>
          <t>No</t>
        </is>
      </c>
      <c r="BQ390" s="30">
        <f>IF(BP390="No",10,0)</f>
        <v/>
      </c>
      <c r="BR390" s="30" t="inlineStr">
        <is>
          <t>No</t>
        </is>
      </c>
      <c r="BS390" s="30">
        <f>IF(BR390="NO",5,0)</f>
        <v/>
      </c>
      <c r="BT390" s="30" t="inlineStr">
        <is>
          <t>Above 2</t>
        </is>
      </c>
      <c r="BU390" s="30">
        <f>IF(BT390="Above 2",0,IF(BT390="Between 1.5 to 2",5,IF(BT390="Less than 1.5",10,0)))</f>
        <v/>
      </c>
      <c r="BV390" s="30" t="inlineStr">
        <is>
          <t>Above 70%</t>
        </is>
      </c>
      <c r="BW390" s="30">
        <f>IF(BV390="Above 70%",10,IF(BV390="Between 50% to 70%",5,IF(BV390="Less than 50%",0,IF(BV390="Negative",-10,IF(BV390="Less than 50% and Borrowings are increasing",-5,0)))))</f>
        <v/>
      </c>
      <c r="BX390" s="30" t="inlineStr">
        <is>
          <t>Less than 0.7</t>
        </is>
      </c>
      <c r="BY390" s="30">
        <f>IF(BX390="More than 1.2",-10,IF(BX390="Between 0.7 to 1.2",0,IF(BX390="Less than 0.7",10,0)))</f>
        <v/>
      </c>
      <c r="BZ390" s="30" t="inlineStr">
        <is>
          <t>No</t>
        </is>
      </c>
      <c r="CA390" s="30">
        <f>IF(BZ390="Yes",-10,0)</f>
        <v/>
      </c>
      <c r="CB390" s="30" t="inlineStr">
        <is>
          <t>Less than 15%</t>
        </is>
      </c>
      <c r="CC390" s="30">
        <f>IF(CB390="More than 15%",-10,IF(CB390="Less than 15%",10,0))</f>
        <v/>
      </c>
      <c r="CD390" s="30" t="inlineStr">
        <is>
          <t>No</t>
        </is>
      </c>
      <c r="CE390" s="30">
        <f>IF(CD390="Yes, more than 10%",-10,IF(CD390="No",10,0))</f>
        <v/>
      </c>
    </row>
    <row r="391">
      <c r="A391" s="30">
        <f>IF(B391=0,"",RANK(B391,$B$2:$B$405,0))</f>
        <v/>
      </c>
      <c r="B391" s="31">
        <f>SUM(N391,Y391,AA391,AC391,AE391,AG391,AI391,AK391,AM391,AO391,AQ391,AS391,AU391,AW391,AY391,BA391,BC391,BE391,BG391,BI391,BK391,BM391,BO391,BQ391,BS391,BU391,BW391,BY391,CA391,CC391,CE391)</f>
        <v/>
      </c>
      <c r="C391" s="32" t="inlineStr">
        <is>
          <t>BALKRISIND</t>
        </is>
      </c>
      <c r="D391" s="32" t="inlineStr">
        <is>
          <t>Balkrishna Industries Limited</t>
        </is>
      </c>
      <c r="E391" s="30" t="inlineStr">
        <is>
          <t>auto</t>
        </is>
      </c>
      <c r="F391" s="30" t="inlineStr">
        <is>
          <t>tyres</t>
        </is>
      </c>
      <c r="G391" s="30" t="inlineStr">
        <is>
          <t>largecap</t>
        </is>
      </c>
      <c r="H391" s="31" t="n">
        <v>48360.23</v>
      </c>
      <c r="I391" s="31" t="n">
        <v>2465.7</v>
      </c>
      <c r="J391" s="31" t="n">
        <v>-1.44</v>
      </c>
      <c r="K391" s="31" t="n">
        <v>126653</v>
      </c>
      <c r="L391" s="30" t="n">
        <v>10</v>
      </c>
      <c r="M391" s="30" t="inlineStr">
        <is>
          <t>Underperforming</t>
        </is>
      </c>
      <c r="N391" s="31">
        <f>IF(M391="Underperforming",-5,IF(L391&gt;=95,15,IF(L391&gt;=90,10,IF(L391&gt;=80,5,0))))</f>
        <v/>
      </c>
      <c r="O391" s="31" t="n">
        <v>58.49</v>
      </c>
      <c r="P391" s="31" t="n">
        <v>14.08</v>
      </c>
      <c r="Q391" s="31" t="n">
        <v>1950.31</v>
      </c>
      <c r="R391" s="30" t="inlineStr">
        <is>
          <t>Earnings / Momentum Support</t>
        </is>
      </c>
      <c r="S391" s="30" t="inlineStr">
        <is>
          <t>Nifty Auto</t>
        </is>
      </c>
      <c r="T391" s="31" t="n">
        <v>22.44</v>
      </c>
      <c r="U391" s="31" t="n">
        <v>-6.68</v>
      </c>
      <c r="V391" s="31" t="n">
        <v>-23.78</v>
      </c>
      <c r="W391" s="31" t="n">
        <v>1.43</v>
      </c>
      <c r="X391" s="30" t="inlineStr">
        <is>
          <t>Growing Industry</t>
        </is>
      </c>
      <c r="Y391" s="30">
        <f>IF(X391="Growing Industry",10,IF(X391="Cyclical in an Upturn",5,0))</f>
        <v/>
      </c>
      <c r="Z391" s="30" t="inlineStr">
        <is>
          <t>Too Many Players with High ROCE</t>
        </is>
      </c>
      <c r="AA391" s="30">
        <f>IF(Z391="Monopoly",10,IF(Z391="Oligopoly",5,IF(Z391="Duopoly that cooperate",10,IF(Z391="Duopoly that compete",5,IF(Z391="Too many players with High ROCE",5,0)))))</f>
        <v/>
      </c>
      <c r="AB391" s="30" t="inlineStr">
        <is>
          <t>No</t>
        </is>
      </c>
      <c r="AC391" s="30">
        <f>IF(AB391="No",5,0)</f>
        <v/>
      </c>
      <c r="AD391" s="30" t="inlineStr">
        <is>
          <t>Headwind</t>
        </is>
      </c>
      <c r="AE391" s="30">
        <f>IF(AD391="Tailwind",10,0)</f>
        <v/>
      </c>
      <c r="AF391" s="30" t="inlineStr">
        <is>
          <t>Structural (10 Years Consistency)</t>
        </is>
      </c>
      <c r="AG391" s="30">
        <f>IF(AF391="Structural (10 Years Consistency)",10,IF(AF391="Shallow Cyclical (2 to 3 years growth)",5,0))</f>
        <v/>
      </c>
      <c r="AH391" s="30" t="inlineStr">
        <is>
          <t>No</t>
        </is>
      </c>
      <c r="AI391" s="30">
        <f>IF(AH391="Yes due to Product Mix change or Operating Leverage",10,IF(AH391="Yes, these are peak margins",-5,IF(AH391="No",5,0)))</f>
        <v/>
      </c>
      <c r="AJ391" s="30" t="inlineStr">
        <is>
          <t>Stable</t>
        </is>
      </c>
      <c r="AK391" s="30">
        <f>IF(AJ391="Stable",10,0)</f>
        <v/>
      </c>
      <c r="AL391" s="30" t="inlineStr">
        <is>
          <t>Yes</t>
        </is>
      </c>
      <c r="AM391" s="30">
        <f>IF(AL391="Yes",10,0)</f>
        <v/>
      </c>
      <c r="AN391" s="30" t="inlineStr">
        <is>
          <t>B2B</t>
        </is>
      </c>
      <c r="AO391" s="30">
        <f>IF(AN391="B2C",10,IF(AN391="B2B",5,0))</f>
        <v/>
      </c>
      <c r="AP391" s="30" t="inlineStr">
        <is>
          <t>No</t>
        </is>
      </c>
      <c r="AQ391" s="30">
        <f>IF(AP391="Yes",10,0)</f>
        <v/>
      </c>
      <c r="AR391" s="30" t="inlineStr">
        <is>
          <t>Higher One Time, Lower Annuity</t>
        </is>
      </c>
      <c r="AS391" s="30">
        <f>IF(AR391="Fully Annuity",10,IF(AR391="Higher Annuity, Lower One Time",5,IF(AR391="Higher One Time, Lower Annuity",3,0)))</f>
        <v/>
      </c>
      <c r="AT391" s="30" t="inlineStr">
        <is>
          <t>Good</t>
        </is>
      </c>
      <c r="AU391" s="30">
        <f>IF(AT391="Good",10,0)</f>
        <v/>
      </c>
      <c r="AV391" s="30" t="inlineStr">
        <is>
          <t>Yes for more than 2 years</t>
        </is>
      </c>
      <c r="AW391" s="30">
        <f>IF(AV391="Yes for more than 2 years",10,IF(AV391="Yes only for next 1 to 2 years",5,0))</f>
        <v/>
      </c>
      <c r="AX391" s="30" t="inlineStr">
        <is>
          <t>0 to 20</t>
        </is>
      </c>
      <c r="AY391" s="30">
        <f>IF(AX391="Above 40",20,IF(AX391="20 to 40",10,IF(AX391="0 to 20",-5,0)))</f>
        <v/>
      </c>
      <c r="AZ391" s="30" t="inlineStr">
        <is>
          <t>Between 50 to 75</t>
        </is>
      </c>
      <c r="BA391" s="30">
        <f>IF(AZ391="Between 50 to 75",10,IF(AZ391="Above 75",0,0))</f>
        <v/>
      </c>
      <c r="BB391" s="30" t="inlineStr">
        <is>
          <t>Stage 1</t>
        </is>
      </c>
      <c r="BC391" s="30">
        <f>IF(BB391="Stage 2",20,IF(BB391="Stage 1",0,IF(BB391="Stage 3",5,IF(BB391="Stage 4",-5,0))))</f>
        <v/>
      </c>
      <c r="BD391" s="30" t="inlineStr">
        <is>
          <t>Positive Trend</t>
        </is>
      </c>
      <c r="BE391" s="30">
        <f>IF(BD391="Positive Trend",20,IF(BD391="Negative Trend",-10,0))</f>
        <v/>
      </c>
      <c r="BF391" s="30" t="inlineStr">
        <is>
          <t>Uptrend</t>
        </is>
      </c>
      <c r="BG391" s="30">
        <f>IF(BF391="Uptrend",10,IF(BF391="Sideways",5,0))</f>
        <v/>
      </c>
      <c r="BH391" s="30" t="inlineStr">
        <is>
          <t>Uptrend</t>
        </is>
      </c>
      <c r="BI391" s="30">
        <f>IF(BH391="Uptrend",10,IF(BH391="Sideways",5,0))</f>
        <v/>
      </c>
      <c r="BJ391" s="30" t="inlineStr">
        <is>
          <t>Close to 52 week high or retracement</t>
        </is>
      </c>
      <c r="BK391" s="30">
        <f>IF(BJ391="Overhead supply in last 2 years in last 2 years",-5,IF(BJ391="Close to 52 week high or retracement",5,IF(BJ391="Blue sky scenario",10,IF(BJ391="Long term Downtrend",-10,0))))</f>
        <v/>
      </c>
      <c r="BL391" s="30" t="inlineStr">
        <is>
          <t>Yes</t>
        </is>
      </c>
      <c r="BM391" s="30">
        <f>IF(BL391="Yes",10,0)</f>
        <v/>
      </c>
      <c r="BN391" s="30" t="inlineStr">
        <is>
          <t>Less than 12%</t>
        </is>
      </c>
      <c r="BO391" s="30">
        <f>IF(BN391="More than 20%",10,IF(BN391="Between 12 to 20%",5,IF(BN391="Less than 12%",0,0)))</f>
        <v/>
      </c>
      <c r="BP391" s="30" t="inlineStr">
        <is>
          <t>No</t>
        </is>
      </c>
      <c r="BQ391" s="30">
        <f>IF(BP391="No",10,0)</f>
        <v/>
      </c>
      <c r="BR391" s="30" t="inlineStr">
        <is>
          <t>No</t>
        </is>
      </c>
      <c r="BS391" s="30">
        <f>IF(BR391="NO",5,0)</f>
        <v/>
      </c>
      <c r="BT391" s="30" t="inlineStr">
        <is>
          <t>Above 2</t>
        </is>
      </c>
      <c r="BU391" s="30">
        <f>IF(BT391="Above 2",0,IF(BT391="Between 1.5 to 2",5,IF(BT391="Less than 1.5",10,0)))</f>
        <v/>
      </c>
      <c r="BV391" s="30" t="inlineStr">
        <is>
          <t>Above 70%</t>
        </is>
      </c>
      <c r="BW391" s="30">
        <f>IF(BV391="Above 70%",10,IF(BV391="Between 50% to 70%",5,IF(BV391="Less than 50%",0,IF(BV391="Negative",-10,IF(BV391="Less than 50% and Borrowings are increasing",-5,0)))))</f>
        <v/>
      </c>
      <c r="BX391" s="30" t="inlineStr">
        <is>
          <t>Less than 0.7</t>
        </is>
      </c>
      <c r="BY391" s="30">
        <f>IF(BX391="More than 1.2",-10,IF(BX391="Between 0.7 to 1.2",0,IF(BX391="Less than 0.7",10,0)))</f>
        <v/>
      </c>
      <c r="BZ391" s="30" t="inlineStr">
        <is>
          <t>No</t>
        </is>
      </c>
      <c r="CA391" s="30">
        <f>IF(BZ391="Yes",-10,0)</f>
        <v/>
      </c>
      <c r="CB391" s="30" t="inlineStr">
        <is>
          <t>Less than 15%</t>
        </is>
      </c>
      <c r="CC391" s="30">
        <f>IF(CB391="More than 15%",-10,IF(CB391="Less than 15%",10,0))</f>
        <v/>
      </c>
      <c r="CD391" s="30" t="inlineStr">
        <is>
          <t>No</t>
        </is>
      </c>
      <c r="CE391" s="30">
        <f>IF(CD391="Yes, more than 10%",-10,IF(CD391="No",10,0))</f>
        <v/>
      </c>
    </row>
    <row r="392">
      <c r="A392" s="30">
        <f>IF(B392=0,"",RANK(B392,$B$2:$B$405,0))</f>
        <v/>
      </c>
      <c r="B392" s="31">
        <f>SUM(N392,Y392,AA392,AC392,AE392,AG392,AI392,AK392,AM392,AO392,AQ392,AS392,AU392,AW392,AY392,BA392,BC392,BE392,BG392,BI392,BK392,BM392,BO392,BQ392,BS392,BU392,BW392,BY392,CA392,CC392,CE392)</f>
        <v/>
      </c>
      <c r="C392" s="32" t="inlineStr">
        <is>
          <t>PFIZER</t>
        </is>
      </c>
      <c r="D392" s="32" t="inlineStr">
        <is>
          <t>Pfizer Limited</t>
        </is>
      </c>
      <c r="E392" s="30" t="inlineStr">
        <is>
          <t>healthcare</t>
        </is>
      </c>
      <c r="F392" s="30" t="inlineStr">
        <is>
          <t>pharmaceuticals - multinational</t>
        </is>
      </c>
      <c r="G392" s="30" t="inlineStr">
        <is>
          <t>largecap</t>
        </is>
      </c>
      <c r="H392" s="31" t="n">
        <v>22452.99</v>
      </c>
      <c r="I392" s="31" t="n">
        <v>4903</v>
      </c>
      <c r="J392" s="31" t="n">
        <v>-0.1</v>
      </c>
      <c r="K392" s="31" t="n">
        <v>16772</v>
      </c>
      <c r="L392" s="30" t="n">
        <v>8</v>
      </c>
      <c r="M392" s="30" t="inlineStr">
        <is>
          <t>Underperforming</t>
        </is>
      </c>
      <c r="N392" s="31">
        <f>IF(M392="Underperforming",-5,IF(L392&gt;=95,15,IF(L392&gt;=90,10,IF(L392&gt;=80,5,0))))</f>
        <v/>
      </c>
      <c r="O392" s="31" t="n">
        <v>57.54</v>
      </c>
      <c r="P392" s="31" t="n">
        <v>9.94</v>
      </c>
      <c r="Q392" s="31" t="n">
        <v>4208.13</v>
      </c>
      <c r="R392" s="30" t="inlineStr">
        <is>
          <t>Earnings / Momentum Support</t>
        </is>
      </c>
      <c r="S392" s="30" t="inlineStr">
        <is>
          <t>Nifty Pharma</t>
        </is>
      </c>
      <c r="T392" s="31" t="n">
        <v>24.42</v>
      </c>
      <c r="U392" s="31" t="n">
        <v>-0.05</v>
      </c>
      <c r="V392" s="31" t="n">
        <v>-19.67</v>
      </c>
      <c r="W392" s="31" t="n">
        <v>0.84</v>
      </c>
      <c r="X392" s="30" t="inlineStr">
        <is>
          <t>Growing Industry</t>
        </is>
      </c>
      <c r="Y392" s="30">
        <f>IF(X392="Growing Industry",10,IF(X392="Cyclical in an Upturn",5,0))</f>
        <v/>
      </c>
      <c r="Z392" s="30" t="inlineStr">
        <is>
          <t>Too Many Players with High ROCE</t>
        </is>
      </c>
      <c r="AA392" s="30">
        <f>IF(Z392="Monopoly",10,IF(Z392="Oligopoly",5,IF(Z392="Duopoly that cooperate",10,IF(Z392="Duopoly that compete",5,IF(Z392="Too many players with High ROCE",5,0)))))</f>
        <v/>
      </c>
      <c r="AB392" s="30" t="inlineStr">
        <is>
          <t>Yes</t>
        </is>
      </c>
      <c r="AC392" s="30">
        <f>IF(AB392="No",5,0)</f>
        <v/>
      </c>
      <c r="AD392" s="30" t="inlineStr">
        <is>
          <t>Headwind</t>
        </is>
      </c>
      <c r="AE392" s="30">
        <f>IF(AD392="Tailwind",10,0)</f>
        <v/>
      </c>
      <c r="AF392" s="30" t="inlineStr">
        <is>
          <t>Structural (10 Years Consistency)</t>
        </is>
      </c>
      <c r="AG392" s="30">
        <f>IF(AF392="Structural (10 Years Consistency)",10,IF(AF392="Shallow Cyclical (2 to 3 years growth)",5,0))</f>
        <v/>
      </c>
      <c r="AH392" s="30" t="inlineStr">
        <is>
          <t>No</t>
        </is>
      </c>
      <c r="AI392" s="30">
        <f>IF(AH392="Yes due to Product Mix change or Operating Leverage",10,IF(AH392="Yes, these are peak margins",-5,IF(AH392="No",5,0)))</f>
        <v/>
      </c>
      <c r="AJ392" s="30" t="inlineStr">
        <is>
          <t>Stable</t>
        </is>
      </c>
      <c r="AK392" s="30">
        <f>IF(AJ392="Stable",10,0)</f>
        <v/>
      </c>
      <c r="AL392" s="30" t="inlineStr">
        <is>
          <t>Yes</t>
        </is>
      </c>
      <c r="AM392" s="30">
        <f>IF(AL392="Yes",10,0)</f>
        <v/>
      </c>
      <c r="AN392" s="30" t="inlineStr">
        <is>
          <t>B2B</t>
        </is>
      </c>
      <c r="AO392" s="30">
        <f>IF(AN392="B2C",10,IF(AN392="B2B",5,0))</f>
        <v/>
      </c>
      <c r="AP392" s="30" t="inlineStr">
        <is>
          <t>No</t>
        </is>
      </c>
      <c r="AQ392" s="30">
        <f>IF(AP392="Yes",10,0)</f>
        <v/>
      </c>
      <c r="AR392" s="30" t="inlineStr">
        <is>
          <t>Higher Annuity, Lower One Time</t>
        </is>
      </c>
      <c r="AS392" s="30">
        <f>IF(AR392="Fully Annuity",10,IF(AR392="Higher Annuity, Lower One Time",5,IF(AR392="Higher One Time, Lower Annuity",3,0)))</f>
        <v/>
      </c>
      <c r="AT392" s="30" t="inlineStr">
        <is>
          <t>Good</t>
        </is>
      </c>
      <c r="AU392" s="30">
        <f>IF(AT392="Good",10,0)</f>
        <v/>
      </c>
      <c r="AV392" s="30" t="inlineStr">
        <is>
          <t>Yes for more than 2 years</t>
        </is>
      </c>
      <c r="AW392" s="30">
        <f>IF(AV392="Yes for more than 2 years",10,IF(AV392="Yes only for next 1 to 2 years",5,0))</f>
        <v/>
      </c>
      <c r="AX392" s="30" t="inlineStr">
        <is>
          <t>0 to 20</t>
        </is>
      </c>
      <c r="AY392" s="30">
        <f>IF(AX392="Above 40",20,IF(AX392="20 to 40",10,IF(AX392="0 to 20",-5,0)))</f>
        <v/>
      </c>
      <c r="AZ392" s="30" t="inlineStr">
        <is>
          <t>Between 50 to 75</t>
        </is>
      </c>
      <c r="BA392" s="30">
        <f>IF(AZ392="Between 50 to 75",10,IF(AZ392="Above 75",0,0))</f>
        <v/>
      </c>
      <c r="BB392" s="30" t="inlineStr">
        <is>
          <t>Stage 1</t>
        </is>
      </c>
      <c r="BC392" s="30">
        <f>IF(BB392="Stage 2",20,IF(BB392="Stage 1",0,IF(BB392="Stage 3",5,IF(BB392="Stage 4",-5,0))))</f>
        <v/>
      </c>
      <c r="BD392" s="30" t="inlineStr">
        <is>
          <t>Positive Trend</t>
        </is>
      </c>
      <c r="BE392" s="30">
        <f>IF(BD392="Positive Trend",20,IF(BD392="Negative Trend",-10,0))</f>
        <v/>
      </c>
      <c r="BF392" s="30" t="inlineStr">
        <is>
          <t>Uptrend</t>
        </is>
      </c>
      <c r="BG392" s="30">
        <f>IF(BF392="Uptrend",10,IF(BF392="Sideways",5,0))</f>
        <v/>
      </c>
      <c r="BH392" s="30" t="inlineStr">
        <is>
          <t>Uptrend</t>
        </is>
      </c>
      <c r="BI392" s="30">
        <f>IF(BH392="Uptrend",10,IF(BH392="Sideways",5,0))</f>
        <v/>
      </c>
      <c r="BJ392" s="30" t="inlineStr">
        <is>
          <t>Close to 52 week high or retracement</t>
        </is>
      </c>
      <c r="BK392" s="30">
        <f>IF(BJ392="Overhead supply in last 2 years in last 2 years",-5,IF(BJ392="Close to 52 week high or retracement",5,IF(BJ392="Blue sky scenario",10,IF(BJ392="Long term Downtrend",-10,0))))</f>
        <v/>
      </c>
      <c r="BL392" s="30" t="inlineStr">
        <is>
          <t>Yes</t>
        </is>
      </c>
      <c r="BM392" s="30">
        <f>IF(BL392="Yes",10,0)</f>
        <v/>
      </c>
      <c r="BN392" s="30" t="inlineStr">
        <is>
          <t>Less than 12%</t>
        </is>
      </c>
      <c r="BO392" s="30">
        <f>IF(BN392="More than 20%",10,IF(BN392="Between 12 to 20%",5,IF(BN392="Less than 12%",0,0)))</f>
        <v/>
      </c>
      <c r="BP392" s="30" t="inlineStr">
        <is>
          <t>No</t>
        </is>
      </c>
      <c r="BQ392" s="30">
        <f>IF(BP392="No",10,0)</f>
        <v/>
      </c>
      <c r="BR392" s="30" t="inlineStr">
        <is>
          <t>No</t>
        </is>
      </c>
      <c r="BS392" s="30">
        <f>IF(BR392="NO",5,0)</f>
        <v/>
      </c>
      <c r="BT392" s="30" t="inlineStr">
        <is>
          <t>Above 2</t>
        </is>
      </c>
      <c r="BU392" s="30">
        <f>IF(BT392="Above 2",0,IF(BT392="Between 1.5 to 2",5,IF(BT392="Less than 1.5",10,0)))</f>
        <v/>
      </c>
      <c r="BV392" s="30" t="inlineStr">
        <is>
          <t>Above 70%</t>
        </is>
      </c>
      <c r="BW392" s="30">
        <f>IF(BV392="Above 70%",10,IF(BV392="Between 50% to 70%",5,IF(BV392="Less than 50%",0,IF(BV392="Negative",-10,IF(BV392="Less than 50% and Borrowings are increasing",-5,0)))))</f>
        <v/>
      </c>
      <c r="BX392" s="30" t="inlineStr">
        <is>
          <t>Less than 0.7</t>
        </is>
      </c>
      <c r="BY392" s="30">
        <f>IF(BX392="More than 1.2",-10,IF(BX392="Between 0.7 to 1.2",0,IF(BX392="Less than 0.7",10,0)))</f>
        <v/>
      </c>
      <c r="BZ392" s="30" t="inlineStr">
        <is>
          <t>No</t>
        </is>
      </c>
      <c r="CA392" s="30">
        <f>IF(BZ392="Yes",-10,0)</f>
        <v/>
      </c>
      <c r="CB392" s="30" t="inlineStr">
        <is>
          <t>Less than 15%</t>
        </is>
      </c>
      <c r="CC392" s="30">
        <f>IF(CB392="More than 15%",-10,IF(CB392="Less than 15%",10,0))</f>
        <v/>
      </c>
      <c r="CD392" s="30" t="inlineStr">
        <is>
          <t>No</t>
        </is>
      </c>
      <c r="CE392" s="30">
        <f>IF(CD392="Yes, more than 10%",-10,IF(CD392="No",10,0))</f>
        <v/>
      </c>
    </row>
    <row r="393">
      <c r="A393" s="30">
        <f>IF(B393=0,"",RANK(B393,$B$2:$B$405,0))</f>
        <v/>
      </c>
      <c r="B393" s="31">
        <f>SUM(N393,Y393,AA393,AC393,AE393,AG393,AI393,AK393,AM393,AO393,AQ393,AS393,AU393,AW393,AY393,BA393,BC393,BE393,BG393,BI393,BK393,BM393,BO393,BQ393,BS393,BU393,BW393,BY393,CA393,CC393,CE393)</f>
        <v/>
      </c>
      <c r="C393" s="32" t="inlineStr">
        <is>
          <t>HINDZINC</t>
        </is>
      </c>
      <c r="D393" s="32" t="inlineStr">
        <is>
          <t>Hindustan Zinc Limited</t>
        </is>
      </c>
      <c r="E393" s="30" t="inlineStr">
        <is>
          <t>metals &amp; mining</t>
        </is>
      </c>
      <c r="F393" s="30" t="inlineStr">
        <is>
          <t>mining / minerals / metals</t>
        </is>
      </c>
      <c r="G393" s="30" t="inlineStr">
        <is>
          <t>largecap</t>
        </is>
      </c>
      <c r="H393" s="31" t="n">
        <v>252230.42</v>
      </c>
      <c r="I393" s="31" t="n">
        <v>590</v>
      </c>
      <c r="J393" s="31" t="n">
        <v>-1.16</v>
      </c>
      <c r="K393" s="31" t="n">
        <v>13115378</v>
      </c>
      <c r="L393" s="30" t="n">
        <v>41</v>
      </c>
      <c r="M393" s="30" t="inlineStr">
        <is>
          <t>Underperforming</t>
        </is>
      </c>
      <c r="N393" s="31">
        <f>IF(M393="Underperforming",-5,IF(L393&gt;=95,15,IF(L393&gt;=90,10,IF(L393&gt;=80,5,0))))</f>
        <v/>
      </c>
      <c r="O393" s="31" t="n">
        <v>56.16</v>
      </c>
      <c r="P393" s="31" t="n">
        <v>14.2</v>
      </c>
      <c r="Q393" s="31" t="n">
        <v>514.4</v>
      </c>
      <c r="R393" s="30" t="inlineStr">
        <is>
          <t>Earnings / Momentum Support</t>
        </is>
      </c>
      <c r="S393" s="30" t="inlineStr">
        <is>
          <t>Nifty Metal</t>
        </is>
      </c>
      <c r="T393" s="31" t="n">
        <v>39.44</v>
      </c>
      <c r="U393" s="31" t="n">
        <v>37.5</v>
      </c>
      <c r="V393" s="31" t="n">
        <v>-1.4</v>
      </c>
      <c r="W393" s="31" t="n">
        <v>8.77</v>
      </c>
      <c r="X393" s="30" t="inlineStr">
        <is>
          <t>Cyclical in an Upturn</t>
        </is>
      </c>
      <c r="Y393" s="30">
        <f>IF(X393="Growing Industry",10,IF(X393="Cyclical in an Upturn",5,0))</f>
        <v/>
      </c>
      <c r="Z393" s="30" t="inlineStr">
        <is>
          <t>Too Many Players with High ROCE</t>
        </is>
      </c>
      <c r="AA393" s="30">
        <f>IF(Z393="Monopoly",10,IF(Z393="Oligopoly",5,IF(Z393="Duopoly that cooperate",10,IF(Z393="Duopoly that compete",5,IF(Z393="Too many players with High ROCE",5,0)))))</f>
        <v/>
      </c>
      <c r="AB393" s="30" t="inlineStr">
        <is>
          <t>No</t>
        </is>
      </c>
      <c r="AC393" s="30">
        <f>IF(AB393="No",5,0)</f>
        <v/>
      </c>
      <c r="AD393" s="30" t="inlineStr">
        <is>
          <t>Tailwind</t>
        </is>
      </c>
      <c r="AE393" s="30">
        <f>IF(AD393="Tailwind",10,0)</f>
        <v/>
      </c>
      <c r="AF393" s="30" t="inlineStr">
        <is>
          <t>Cyclical</t>
        </is>
      </c>
      <c r="AG393" s="30">
        <f>IF(AF393="Structural (10 Years Consistency)",10,IF(AF393="Shallow Cyclical (2 to 3 years growth)",5,0))</f>
        <v/>
      </c>
      <c r="AH393" s="30" t="inlineStr">
        <is>
          <t>No</t>
        </is>
      </c>
      <c r="AI393" s="30">
        <f>IF(AH393="Yes due to Product Mix change or Operating Leverage",10,IF(AH393="Yes, these are peak margins",-5,IF(AH393="No",5,0)))</f>
        <v/>
      </c>
      <c r="AJ393" s="30" t="inlineStr">
        <is>
          <t>Volatile</t>
        </is>
      </c>
      <c r="AK393" s="30">
        <f>IF(AJ393="Stable",10,0)</f>
        <v/>
      </c>
      <c r="AL393" s="30" t="inlineStr">
        <is>
          <t>Yes</t>
        </is>
      </c>
      <c r="AM393" s="30">
        <f>IF(AL393="Yes",10,0)</f>
        <v/>
      </c>
      <c r="AN393" s="30" t="inlineStr">
        <is>
          <t>B2B</t>
        </is>
      </c>
      <c r="AO393" s="30">
        <f>IF(AN393="B2C",10,IF(AN393="B2B",5,0))</f>
        <v/>
      </c>
      <c r="AP393" s="30" t="inlineStr">
        <is>
          <t>No</t>
        </is>
      </c>
      <c r="AQ393" s="30">
        <f>IF(AP393="Yes",10,0)</f>
        <v/>
      </c>
      <c r="AR393" s="30" t="inlineStr">
        <is>
          <t>Higher One Time, Lower Annuity</t>
        </is>
      </c>
      <c r="AS393" s="30">
        <f>IF(AR393="Fully Annuity",10,IF(AR393="Higher Annuity, Lower One Time",5,IF(AR393="Higher One Time, Lower Annuity",3,0)))</f>
        <v/>
      </c>
      <c r="AT393" s="30" t="inlineStr">
        <is>
          <t>Good</t>
        </is>
      </c>
      <c r="AU393" s="30">
        <f>IF(AT393="Good",10,0)</f>
        <v/>
      </c>
      <c r="AV393" s="30" t="inlineStr">
        <is>
          <t>Yes for more than 2 years</t>
        </is>
      </c>
      <c r="AW393" s="30">
        <f>IF(AV393="Yes for more than 2 years",10,IF(AV393="Yes only for next 1 to 2 years",5,0))</f>
        <v/>
      </c>
      <c r="AX393" s="30" t="inlineStr">
        <is>
          <t>0 to 20</t>
        </is>
      </c>
      <c r="AY393" s="30">
        <f>IF(AX393="Above 40",20,IF(AX393="20 to 40",10,IF(AX393="0 to 20",-5,0)))</f>
        <v/>
      </c>
      <c r="AZ393" s="30" t="inlineStr">
        <is>
          <t>Between 50 to 75</t>
        </is>
      </c>
      <c r="BA393" s="30">
        <f>IF(AZ393="Between 50 to 75",10,IF(AZ393="Above 75",0,0))</f>
        <v/>
      </c>
      <c r="BB393" s="30" t="inlineStr">
        <is>
          <t>Stage 1</t>
        </is>
      </c>
      <c r="BC393" s="30">
        <f>IF(BB393="Stage 2",20,IF(BB393="Stage 1",0,IF(BB393="Stage 3",5,IF(BB393="Stage 4",-5,0))))</f>
        <v/>
      </c>
      <c r="BD393" s="30" t="inlineStr">
        <is>
          <t>Positive Trend</t>
        </is>
      </c>
      <c r="BE393" s="30">
        <f>IF(BD393="Positive Trend",20,IF(BD393="Negative Trend",-10,0))</f>
        <v/>
      </c>
      <c r="BF393" s="30" t="inlineStr">
        <is>
          <t>Uptrend</t>
        </is>
      </c>
      <c r="BG393" s="30">
        <f>IF(BF393="Uptrend",10,IF(BF393="Sideways",5,0))</f>
        <v/>
      </c>
      <c r="BH393" s="30" t="inlineStr">
        <is>
          <t>Uptrend</t>
        </is>
      </c>
      <c r="BI393" s="30">
        <f>IF(BH393="Uptrend",10,IF(BH393="Sideways",5,0))</f>
        <v/>
      </c>
      <c r="BJ393" s="30" t="inlineStr">
        <is>
          <t>Close to 52 week high or retracement</t>
        </is>
      </c>
      <c r="BK393" s="30">
        <f>IF(BJ393="Overhead supply in last 2 years in last 2 years",-5,IF(BJ393="Close to 52 week high or retracement",5,IF(BJ393="Blue sky scenario",10,IF(BJ393="Long term Downtrend",-10,0))))</f>
        <v/>
      </c>
      <c r="BL393" s="30" t="inlineStr">
        <is>
          <t>Yes</t>
        </is>
      </c>
      <c r="BM393" s="30">
        <f>IF(BL393="Yes",10,0)</f>
        <v/>
      </c>
      <c r="BN393" s="30" t="inlineStr">
        <is>
          <t>More than 20%</t>
        </is>
      </c>
      <c r="BO393" s="30">
        <f>IF(BN393="More than 20%",10,IF(BN393="Between 12 to 20%",5,IF(BN393="Less than 12%",0,0)))</f>
        <v/>
      </c>
      <c r="BP393" s="30" t="inlineStr">
        <is>
          <t>No</t>
        </is>
      </c>
      <c r="BQ393" s="30">
        <f>IF(BP393="No",10,0)</f>
        <v/>
      </c>
      <c r="BR393" s="30" t="inlineStr">
        <is>
          <t>No</t>
        </is>
      </c>
      <c r="BS393" s="30">
        <f>IF(BR393="NO",5,0)</f>
        <v/>
      </c>
      <c r="BT393" s="30" t="inlineStr">
        <is>
          <t>Above 2</t>
        </is>
      </c>
      <c r="BU393" s="30">
        <f>IF(BT393="Above 2",0,IF(BT393="Between 1.5 to 2",5,IF(BT393="Less than 1.5",10,0)))</f>
        <v/>
      </c>
      <c r="BV393" s="30" t="inlineStr">
        <is>
          <t>Above 70%</t>
        </is>
      </c>
      <c r="BW393" s="30">
        <f>IF(BV393="Above 70%",10,IF(BV393="Between 50% to 70%",5,IF(BV393="Less than 50%",0,IF(BV393="Negative",-10,IF(BV393="Less than 50% and Borrowings are increasing",-5,0)))))</f>
        <v/>
      </c>
      <c r="BX393" s="30" t="inlineStr">
        <is>
          <t>Less than 0.7</t>
        </is>
      </c>
      <c r="BY393" s="30">
        <f>IF(BX393="More than 1.2",-10,IF(BX393="Between 0.7 to 1.2",0,IF(BX393="Less than 0.7",10,0)))</f>
        <v/>
      </c>
      <c r="BZ393" s="30" t="inlineStr">
        <is>
          <t>No</t>
        </is>
      </c>
      <c r="CA393" s="30">
        <f>IF(BZ393="Yes",-10,0)</f>
        <v/>
      </c>
      <c r="CB393" s="30" t="inlineStr">
        <is>
          <t>Less than 15%</t>
        </is>
      </c>
      <c r="CC393" s="30">
        <f>IF(CB393="More than 15%",-10,IF(CB393="Less than 15%",10,0))</f>
        <v/>
      </c>
      <c r="CD393" s="30" t="inlineStr">
        <is>
          <t>No</t>
        </is>
      </c>
      <c r="CE393" s="30">
        <f>IF(CD393="Yes, more than 10%",-10,IF(CD393="No",10,0))</f>
        <v/>
      </c>
    </row>
    <row r="394">
      <c r="A394" s="30">
        <f>IF(B394=0,"",RANK(B394,$B$2:$B$405,0))</f>
        <v/>
      </c>
      <c r="B394" s="31">
        <f>SUM(N394,Y394,AA394,AC394,AE394,AG394,AI394,AK394,AM394,AO394,AQ394,AS394,AU394,AW394,AY394,BA394,BC394,BE394,BG394,BI394,BK394,BM394,BO394,BQ394,BS394,BU394,BW394,BY394,CA394,CC394,CE394)</f>
        <v/>
      </c>
      <c r="C394" s="32" t="inlineStr">
        <is>
          <t>BPCL</t>
        </is>
      </c>
      <c r="D394" s="32" t="inlineStr">
        <is>
          <t>Bharat Petroleum Corporation Limited</t>
        </is>
      </c>
      <c r="E394" s="30" t="inlineStr">
        <is>
          <t>energy</t>
        </is>
      </c>
      <c r="F394" s="30" t="inlineStr">
        <is>
          <t>refineries</t>
        </is>
      </c>
      <c r="G394" s="30" t="inlineStr">
        <is>
          <t>largecap</t>
        </is>
      </c>
      <c r="H394" s="31" t="n">
        <v>141543.74</v>
      </c>
      <c r="I394" s="31" t="n">
        <v>323.7</v>
      </c>
      <c r="J394" s="31" t="n">
        <v>-0.78</v>
      </c>
      <c r="K394" s="31" t="n">
        <v>7101920</v>
      </c>
      <c r="L394" s="30" t="n">
        <v>13</v>
      </c>
      <c r="M394" s="30" t="inlineStr">
        <is>
          <t>Underperforming</t>
        </is>
      </c>
      <c r="N394" s="31">
        <f>IF(M394="Underperforming",-5,IF(L394&gt;=95,15,IF(L394&gt;=90,10,IF(L394&gt;=80,5,0))))</f>
        <v/>
      </c>
      <c r="O394" s="31" t="n">
        <v>54.96</v>
      </c>
      <c r="P394" s="31" t="n">
        <v>11.04</v>
      </c>
      <c r="Q394" s="31" t="n">
        <v>268.39</v>
      </c>
      <c r="R394" s="30" t="inlineStr">
        <is>
          <t>Earnings / Momentum Support</t>
        </is>
      </c>
      <c r="S394" s="30" t="inlineStr">
        <is>
          <t>Nifty Energy</t>
        </is>
      </c>
      <c r="T394" s="31" t="n">
        <v>9.720000000000001</v>
      </c>
      <c r="U394" s="31" t="n">
        <v>4.09</v>
      </c>
      <c r="V394" s="31" t="n">
        <v>-5.13</v>
      </c>
      <c r="W394" s="31" t="n">
        <v>2.1</v>
      </c>
      <c r="X394" s="30" t="inlineStr">
        <is>
          <t>Cyclical in an Upturn</t>
        </is>
      </c>
      <c r="Y394" s="30">
        <f>IF(X394="Growing Industry",10,IF(X394="Cyclical in an Upturn",5,0))</f>
        <v/>
      </c>
      <c r="Z394" s="30" t="inlineStr">
        <is>
          <t>Oligopoly</t>
        </is>
      </c>
      <c r="AA394" s="30">
        <f>IF(Z394="Monopoly",10,IF(Z394="Oligopoly",5,IF(Z394="Duopoly that cooperate",10,IF(Z394="Duopoly that compete",5,IF(Z394="Too many players with High ROCE",5,0)))))</f>
        <v/>
      </c>
      <c r="AB394" s="30" t="inlineStr">
        <is>
          <t>Yes</t>
        </is>
      </c>
      <c r="AC394" s="30">
        <f>IF(AB394="No",5,0)</f>
        <v/>
      </c>
      <c r="AD394" s="30" t="inlineStr">
        <is>
          <t>Headwind</t>
        </is>
      </c>
      <c r="AE394" s="30">
        <f>IF(AD394="Tailwind",10,0)</f>
        <v/>
      </c>
      <c r="AF394" s="30" t="inlineStr">
        <is>
          <t>Cyclical</t>
        </is>
      </c>
      <c r="AG394" s="30">
        <f>IF(AF394="Structural (10 Years Consistency)",10,IF(AF394="Shallow Cyclical (2 to 3 years growth)",5,0))</f>
        <v/>
      </c>
      <c r="AH394" s="30" t="inlineStr">
        <is>
          <t>No</t>
        </is>
      </c>
      <c r="AI394" s="30">
        <f>IF(AH394="Yes due to Product Mix change or Operating Leverage",10,IF(AH394="Yes, these are peak margins",-5,IF(AH394="No",5,0)))</f>
        <v/>
      </c>
      <c r="AJ394" s="30" t="inlineStr">
        <is>
          <t>Volatile</t>
        </is>
      </c>
      <c r="AK394" s="30">
        <f>IF(AJ394="Stable",10,0)</f>
        <v/>
      </c>
      <c r="AL394" s="30" t="inlineStr">
        <is>
          <t>Yes</t>
        </is>
      </c>
      <c r="AM394" s="30">
        <f>IF(AL394="Yes",10,0)</f>
        <v/>
      </c>
      <c r="AN394" s="30" t="inlineStr">
        <is>
          <t>B2B</t>
        </is>
      </c>
      <c r="AO394" s="30">
        <f>IF(AN394="B2C",10,IF(AN394="B2B",5,0))</f>
        <v/>
      </c>
      <c r="AP394" s="30" t="inlineStr">
        <is>
          <t>No</t>
        </is>
      </c>
      <c r="AQ394" s="30">
        <f>IF(AP394="Yes",10,0)</f>
        <v/>
      </c>
      <c r="AR394" s="30" t="inlineStr">
        <is>
          <t>Higher One Time, Lower Annuity</t>
        </is>
      </c>
      <c r="AS394" s="30">
        <f>IF(AR394="Fully Annuity",10,IF(AR394="Higher Annuity, Lower One Time",5,IF(AR394="Higher One Time, Lower Annuity",3,0)))</f>
        <v/>
      </c>
      <c r="AT394" s="30" t="inlineStr">
        <is>
          <t>Good</t>
        </is>
      </c>
      <c r="AU394" s="30">
        <f>IF(AT394="Good",10,0)</f>
        <v/>
      </c>
      <c r="AV394" s="30" t="inlineStr">
        <is>
          <t>Yes for more than 2 years</t>
        </is>
      </c>
      <c r="AW394" s="30">
        <f>IF(AV394="Yes for more than 2 years",10,IF(AV394="Yes only for next 1 to 2 years",5,0))</f>
        <v/>
      </c>
      <c r="AX394" s="30" t="inlineStr">
        <is>
          <t>0 to 20</t>
        </is>
      </c>
      <c r="AY394" s="30">
        <f>IF(AX394="Above 40",20,IF(AX394="20 to 40",10,IF(AX394="0 to 20",-5,0)))</f>
        <v/>
      </c>
      <c r="AZ394" s="30" t="inlineStr">
        <is>
          <t>Between 50 to 75</t>
        </is>
      </c>
      <c r="BA394" s="30">
        <f>IF(AZ394="Between 50 to 75",10,IF(AZ394="Above 75",0,0))</f>
        <v/>
      </c>
      <c r="BB394" s="30" t="inlineStr">
        <is>
          <t>Stage 1</t>
        </is>
      </c>
      <c r="BC394" s="30">
        <f>IF(BB394="Stage 2",20,IF(BB394="Stage 1",0,IF(BB394="Stage 3",5,IF(BB394="Stage 4",-5,0))))</f>
        <v/>
      </c>
      <c r="BD394" s="30" t="inlineStr">
        <is>
          <t>Positive Trend</t>
        </is>
      </c>
      <c r="BE394" s="30">
        <f>IF(BD394="Positive Trend",20,IF(BD394="Negative Trend",-10,0))</f>
        <v/>
      </c>
      <c r="BF394" s="30" t="inlineStr">
        <is>
          <t>Uptrend</t>
        </is>
      </c>
      <c r="BG394" s="30">
        <f>IF(BF394="Uptrend",10,IF(BF394="Sideways",5,0))</f>
        <v/>
      </c>
      <c r="BH394" s="30" t="inlineStr">
        <is>
          <t>Uptrend</t>
        </is>
      </c>
      <c r="BI394" s="30">
        <f>IF(BH394="Uptrend",10,IF(BH394="Sideways",5,0))</f>
        <v/>
      </c>
      <c r="BJ394" s="30" t="inlineStr">
        <is>
          <t>Close to 52 week high or retracement</t>
        </is>
      </c>
      <c r="BK394" s="30">
        <f>IF(BJ394="Overhead supply in last 2 years in last 2 years",-5,IF(BJ394="Close to 52 week high or retracement",5,IF(BJ394="Blue sky scenario",10,IF(BJ394="Long term Downtrend",-10,0))))</f>
        <v/>
      </c>
      <c r="BL394" s="30" t="inlineStr">
        <is>
          <t>Yes</t>
        </is>
      </c>
      <c r="BM394" s="30">
        <f>IF(BL394="Yes",10,0)</f>
        <v/>
      </c>
      <c r="BN394" s="30" t="inlineStr">
        <is>
          <t>More than 20%</t>
        </is>
      </c>
      <c r="BO394" s="30">
        <f>IF(BN394="More than 20%",10,IF(BN394="Between 12 to 20%",5,IF(BN394="Less than 12%",0,0)))</f>
        <v/>
      </c>
      <c r="BP394" s="30" t="inlineStr">
        <is>
          <t>No</t>
        </is>
      </c>
      <c r="BQ394" s="30">
        <f>IF(BP394="No",10,0)</f>
        <v/>
      </c>
      <c r="BR394" s="30" t="inlineStr">
        <is>
          <t>No</t>
        </is>
      </c>
      <c r="BS394" s="30">
        <f>IF(BR394="NO",5,0)</f>
        <v/>
      </c>
      <c r="BT394" s="30" t="inlineStr">
        <is>
          <t>Less than 1.5</t>
        </is>
      </c>
      <c r="BU394" s="30">
        <f>IF(BT394="Above 2",0,IF(BT394="Between 1.5 to 2",5,IF(BT394="Less than 1.5",10,0)))</f>
        <v/>
      </c>
      <c r="BV394" s="30" t="inlineStr">
        <is>
          <t>Above 70%</t>
        </is>
      </c>
      <c r="BW394" s="30">
        <f>IF(BV394="Above 70%",10,IF(BV394="Between 50% to 70%",5,IF(BV394="Less than 50%",0,IF(BV394="Negative",-10,IF(BV394="Less than 50% and Borrowings are increasing",-5,0)))))</f>
        <v/>
      </c>
      <c r="BX394" s="30" t="inlineStr">
        <is>
          <t>Less than 0.7</t>
        </is>
      </c>
      <c r="BY394" s="30">
        <f>IF(BX394="More than 1.2",-10,IF(BX394="Between 0.7 to 1.2",0,IF(BX394="Less than 0.7",10,0)))</f>
        <v/>
      </c>
      <c r="BZ394" s="30" t="inlineStr">
        <is>
          <t>No</t>
        </is>
      </c>
      <c r="CA394" s="30">
        <f>IF(BZ394="Yes",-10,0)</f>
        <v/>
      </c>
      <c r="CB394" s="30" t="inlineStr">
        <is>
          <t>Less than 15%</t>
        </is>
      </c>
      <c r="CC394" s="30">
        <f>IF(CB394="More than 15%",-10,IF(CB394="Less than 15%",10,0))</f>
        <v/>
      </c>
      <c r="CD394" s="30" t="inlineStr">
        <is>
          <t>No</t>
        </is>
      </c>
      <c r="CE394" s="30">
        <f>IF(CD394="Yes, more than 10%",-10,IF(CD394="No",10,0))</f>
        <v/>
      </c>
    </row>
    <row r="395">
      <c r="A395" s="30">
        <f>IF(B395=0,"",RANK(B395,$B$2:$B$405,0))</f>
        <v/>
      </c>
      <c r="B395" s="31">
        <f>SUM(N395,Y395,AA395,AC395,AE395,AG395,AI395,AK395,AM395,AO395,AQ395,AS395,AU395,AW395,AY395,BA395,BC395,BE395,BG395,BI395,BK395,BM395,BO395,BQ395,BS395,BU395,BW395,BY395,CA395,CC395,CE395)</f>
        <v/>
      </c>
      <c r="C395" s="30" t="inlineStr">
        <is>
          <t>ASAHIINDIA</t>
        </is>
      </c>
      <c r="D395" s="30" t="inlineStr">
        <is>
          <t>Asahi India Glass Limited</t>
        </is>
      </c>
      <c r="E395" s="30" t="inlineStr">
        <is>
          <t>building materials</t>
        </is>
      </c>
      <c r="F395" s="30" t="inlineStr">
        <is>
          <t>glass &amp; glass products</t>
        </is>
      </c>
      <c r="G395" s="30" t="inlineStr">
        <is>
          <t>largecap</t>
        </is>
      </c>
      <c r="H395" s="31" t="n">
        <v>23624.1</v>
      </c>
      <c r="I395" s="31" t="n">
        <v>913.95</v>
      </c>
      <c r="J395" s="31" t="n">
        <v>-1.38</v>
      </c>
      <c r="K395" s="31" t="n">
        <v>588303</v>
      </c>
      <c r="L395" s="30" t="n">
        <v>16</v>
      </c>
      <c r="M395" s="30" t="inlineStr">
        <is>
          <t>Outperforming</t>
        </is>
      </c>
      <c r="N395" s="31">
        <f>IF(M395="Underperforming",-5,IF(L395&gt;=95,15,IF(L395&gt;=90,10,IF(L395&gt;=80,5,0))))</f>
        <v/>
      </c>
      <c r="O395" s="31" t="n">
        <v>51.18</v>
      </c>
      <c r="P395" s="31" t="n">
        <v>18.6</v>
      </c>
      <c r="Q395" s="31" t="n">
        <v>725.27</v>
      </c>
      <c r="R395" s="30" t="inlineStr">
        <is>
          <t>Volume Spike / Accumulation</t>
        </is>
      </c>
      <c r="S395" s="30" t="inlineStr">
        <is>
          <t>Nifty Infra</t>
        </is>
      </c>
      <c r="T395" s="31" t="n">
        <v>4.3</v>
      </c>
      <c r="U395" s="31" t="n">
        <v>6.4</v>
      </c>
      <c r="V395" s="31" t="n">
        <v>2.01</v>
      </c>
      <c r="W395" s="31" t="n">
        <v>2.87</v>
      </c>
      <c r="X395" s="30" t="inlineStr">
        <is>
          <t>Growing Industry</t>
        </is>
      </c>
      <c r="Y395" s="30">
        <f>IF(X395="Growing Industry",10,IF(X395="Cyclical in an Upturn",5,0))</f>
        <v/>
      </c>
      <c r="Z395" s="30" t="inlineStr">
        <is>
          <t>Too Many Players with High ROCE</t>
        </is>
      </c>
      <c r="AA395" s="30">
        <f>IF(Z395="Monopoly",10,IF(Z395="Oligopoly",5,IF(Z395="Duopoly that cooperate",10,IF(Z395="Duopoly that compete",5,IF(Z395="Too many players with High ROCE",5,0)))))</f>
        <v/>
      </c>
      <c r="AB395" s="30" t="inlineStr">
        <is>
          <t>No</t>
        </is>
      </c>
      <c r="AC395" s="30">
        <f>IF(AB395="No",5,0)</f>
        <v/>
      </c>
      <c r="AD395" s="30" t="inlineStr">
        <is>
          <t>Headwind</t>
        </is>
      </c>
      <c r="AE395" s="30">
        <f>IF(AD395="Tailwind",10,0)</f>
        <v/>
      </c>
      <c r="AF395" s="30" t="inlineStr">
        <is>
          <t>Structural (10 Years Consistency)</t>
        </is>
      </c>
      <c r="AG395" s="30">
        <f>IF(AF395="Structural (10 Years Consistency)",10,IF(AF395="Shallow Cyclical (2 to 3 years growth)",5,0))</f>
        <v/>
      </c>
      <c r="AH395" s="30" t="inlineStr">
        <is>
          <t>No</t>
        </is>
      </c>
      <c r="AI395" s="30">
        <f>IF(AH395="Yes due to Product Mix change or Operating Leverage",10,IF(AH395="Yes, these are peak margins",-5,IF(AH395="No",5,0)))</f>
        <v/>
      </c>
      <c r="AJ395" s="30" t="inlineStr">
        <is>
          <t>Stable</t>
        </is>
      </c>
      <c r="AK395" s="30">
        <f>IF(AJ395="Stable",10,0)</f>
        <v/>
      </c>
      <c r="AL395" s="30" t="inlineStr">
        <is>
          <t>Yes</t>
        </is>
      </c>
      <c r="AM395" s="30">
        <f>IF(AL395="Yes",10,0)</f>
        <v/>
      </c>
      <c r="AN395" s="30" t="inlineStr">
        <is>
          <t>B2B</t>
        </is>
      </c>
      <c r="AO395" s="30">
        <f>IF(AN395="B2C",10,IF(AN395="B2B",5,0))</f>
        <v/>
      </c>
      <c r="AP395" s="30" t="inlineStr">
        <is>
          <t>Yes</t>
        </is>
      </c>
      <c r="AQ395" s="30">
        <f>IF(AP395="Yes",10,0)</f>
        <v/>
      </c>
      <c r="AR395" s="30" t="inlineStr">
        <is>
          <t>Higher One Time, Lower Annuity</t>
        </is>
      </c>
      <c r="AS395" s="30">
        <f>IF(AR395="Fully Annuity",10,IF(AR395="Higher Annuity, Lower One Time",5,IF(AR395="Higher One Time, Lower Annuity",3,0)))</f>
        <v/>
      </c>
      <c r="AT395" s="30" t="inlineStr">
        <is>
          <t>Good</t>
        </is>
      </c>
      <c r="AU395" s="30">
        <f>IF(AT395="Good",10,0)</f>
        <v/>
      </c>
      <c r="AV395" s="30" t="inlineStr">
        <is>
          <t>Yes for more than 2 years</t>
        </is>
      </c>
      <c r="AW395" s="30">
        <f>IF(AV395="Yes for more than 2 years",10,IF(AV395="Yes only for next 1 to 2 years",5,0))</f>
        <v/>
      </c>
      <c r="AX395" s="30" t="inlineStr">
        <is>
          <t>0 to 20</t>
        </is>
      </c>
      <c r="AY395" s="30">
        <f>IF(AX395="Above 40",20,IF(AX395="20 to 40",10,IF(AX395="0 to 20",-5,0)))</f>
        <v/>
      </c>
      <c r="AZ395" s="30" t="inlineStr">
        <is>
          <t>Between 50 to 75</t>
        </is>
      </c>
      <c r="BA395" s="30">
        <f>IF(AZ395="Between 50 to 75",10,IF(AZ395="Above 75",0,0))</f>
        <v/>
      </c>
      <c r="BB395" s="30" t="inlineStr">
        <is>
          <t>Stage 1</t>
        </is>
      </c>
      <c r="BC395" s="30">
        <f>IF(BB395="Stage 2",20,IF(BB395="Stage 1",0,IF(BB395="Stage 3",5,IF(BB395="Stage 4",-5,0))))</f>
        <v/>
      </c>
      <c r="BD395" s="30" t="inlineStr">
        <is>
          <t>Negative Trend</t>
        </is>
      </c>
      <c r="BE395" s="30">
        <f>IF(BD395="Positive Trend",20,IF(BD395="Negative Trend",-10,0))</f>
        <v/>
      </c>
      <c r="BF395" s="30" t="inlineStr">
        <is>
          <t>Uptrend</t>
        </is>
      </c>
      <c r="BG395" s="30">
        <f>IF(BF395="Uptrend",10,IF(BF395="Sideways",5,0))</f>
        <v/>
      </c>
      <c r="BH395" s="30" t="inlineStr">
        <is>
          <t>Uptrend</t>
        </is>
      </c>
      <c r="BI395" s="30">
        <f>IF(BH395="Uptrend",10,IF(BH395="Sideways",5,0))</f>
        <v/>
      </c>
      <c r="BJ395" s="30" t="inlineStr">
        <is>
          <t>Close to 52 week high or retracement</t>
        </is>
      </c>
      <c r="BK395" s="30">
        <f>IF(BJ395="Overhead supply in last 2 years in last 2 years",-5,IF(BJ395="Close to 52 week high or retracement",5,IF(BJ395="Blue sky scenario",10,IF(BJ395="Long term Downtrend",-10,0))))</f>
        <v/>
      </c>
      <c r="BL395" s="30" t="inlineStr">
        <is>
          <t>Yes</t>
        </is>
      </c>
      <c r="BM395" s="30">
        <f>IF(BL395="Yes",10,0)</f>
        <v/>
      </c>
      <c r="BN395" s="30" t="inlineStr">
        <is>
          <t>More than 20%</t>
        </is>
      </c>
      <c r="BO395" s="30">
        <f>IF(BN395="More than 20%",10,IF(BN395="Between 12 to 20%",5,IF(BN395="Less than 12%",0,0)))</f>
        <v/>
      </c>
      <c r="BP395" s="30" t="inlineStr">
        <is>
          <t>No</t>
        </is>
      </c>
      <c r="BQ395" s="30">
        <f>IF(BP395="No",10,0)</f>
        <v/>
      </c>
      <c r="BR395" s="30" t="inlineStr">
        <is>
          <t>Yes</t>
        </is>
      </c>
      <c r="BS395" s="30">
        <f>IF(BR395="NO",5,0)</f>
        <v/>
      </c>
      <c r="BT395" s="30" t="inlineStr">
        <is>
          <t>Above 2</t>
        </is>
      </c>
      <c r="BU395" s="30">
        <f>IF(BT395="Above 2",0,IF(BT395="Between 1.5 to 2",5,IF(BT395="Less than 1.5",10,0)))</f>
        <v/>
      </c>
      <c r="BV395" s="30" t="inlineStr">
        <is>
          <t>Above 70%</t>
        </is>
      </c>
      <c r="BW395" s="30">
        <f>IF(BV395="Above 70%",10,IF(BV395="Between 50% to 70%",5,IF(BV395="Less than 50%",0,IF(BV395="Negative",-10,IF(BV395="Less than 50% and Borrowings are increasing",-5,0)))))</f>
        <v/>
      </c>
      <c r="BX395" s="30" t="inlineStr">
        <is>
          <t>Less than 0.7</t>
        </is>
      </c>
      <c r="BY395" s="30">
        <f>IF(BX395="More than 1.2",-10,IF(BX395="Between 0.7 to 1.2",0,IF(BX395="Less than 0.7",10,0)))</f>
        <v/>
      </c>
      <c r="BZ395" s="30" t="inlineStr">
        <is>
          <t>No</t>
        </is>
      </c>
      <c r="CA395" s="30">
        <f>IF(BZ395="Yes",-10,0)</f>
        <v/>
      </c>
      <c r="CB395" s="30" t="inlineStr">
        <is>
          <t>Less than 15%</t>
        </is>
      </c>
      <c r="CC395" s="30">
        <f>IF(CB395="More than 15%",-10,IF(CB395="Less than 15%",10,0))</f>
        <v/>
      </c>
      <c r="CD395" s="30" t="inlineStr">
        <is>
          <t>No</t>
        </is>
      </c>
      <c r="CE395" s="30">
        <f>IF(CD395="Yes, more than 10%",-10,IF(CD395="No",10,0))</f>
        <v/>
      </c>
    </row>
    <row r="396">
      <c r="A396" s="30">
        <f>IF(B396=0,"",RANK(B396,$B$2:$B$405,0))</f>
        <v/>
      </c>
      <c r="B396" s="31">
        <f>SUM(N396,Y396,AA396,AC396,AE396,AG396,AI396,AK396,AM396,AO396,AQ396,AS396,AU396,AW396,AY396,BA396,BC396,BE396,BG396,BI396,BK396,BM396,BO396,BQ396,BS396,BU396,BW396,BY396,CA396,CC396,CE396)</f>
        <v/>
      </c>
      <c r="C396" s="30" t="inlineStr">
        <is>
          <t>ASHOKLEY</t>
        </is>
      </c>
      <c r="D396" s="30" t="inlineStr">
        <is>
          <t>Ashok Leyland Limited</t>
        </is>
      </c>
      <c r="E396" s="30" t="inlineStr">
        <is>
          <t>auto</t>
        </is>
      </c>
      <c r="F396" s="30" t="inlineStr">
        <is>
          <t>automobiles - lcvs / hcvs</t>
        </is>
      </c>
      <c r="G396" s="30" t="inlineStr">
        <is>
          <t>largecap</t>
        </is>
      </c>
      <c r="H396" s="31" t="n">
        <v>103967.23</v>
      </c>
      <c r="I396" s="31" t="n">
        <v>177.5</v>
      </c>
      <c r="J396" s="31" t="n">
        <v>0.28</v>
      </c>
      <c r="K396" s="31" t="n">
        <v>29418273</v>
      </c>
      <c r="L396" s="30" t="n">
        <v>50</v>
      </c>
      <c r="M396" s="30" t="inlineStr">
        <is>
          <t>Outperforming</t>
        </is>
      </c>
      <c r="N396" s="31">
        <f>IF(M396="Underperforming",-5,IF(L396&gt;=95,15,IF(L396&gt;=90,10,IF(L396&gt;=80,5,0))))</f>
        <v/>
      </c>
      <c r="O396" s="31" t="n">
        <v>58.01</v>
      </c>
      <c r="P396" s="31" t="n">
        <v>14.81</v>
      </c>
      <c r="Q396" s="31" t="n">
        <v>139.79</v>
      </c>
      <c r="R396" s="30" t="inlineStr">
        <is>
          <t>Earnings / Momentum Support</t>
        </is>
      </c>
      <c r="S396" s="30" t="inlineStr">
        <is>
          <t>Nifty Auto</t>
        </is>
      </c>
      <c r="T396" s="31" t="n">
        <v>22.44</v>
      </c>
      <c r="U396" s="31" t="n">
        <v>48.5</v>
      </c>
      <c r="V396" s="31" t="n">
        <v>21.29</v>
      </c>
      <c r="W396" s="31" t="n">
        <v>10.82</v>
      </c>
      <c r="X396" s="30" t="inlineStr">
        <is>
          <t>Growing Industry</t>
        </is>
      </c>
      <c r="Y396" s="30">
        <f>IF(X396="Growing Industry",10,IF(X396="Cyclical in an Upturn",5,0))</f>
        <v/>
      </c>
      <c r="Z396" s="30" t="inlineStr">
        <is>
          <t>Too Many Players with High ROCE</t>
        </is>
      </c>
      <c r="AA396" s="30">
        <f>IF(Z396="Monopoly",10,IF(Z396="Oligopoly",5,IF(Z396="Duopoly that cooperate",10,IF(Z396="Duopoly that compete",5,IF(Z396="Too many players with High ROCE",5,0)))))</f>
        <v/>
      </c>
      <c r="AB396" s="30" t="inlineStr">
        <is>
          <t>No</t>
        </is>
      </c>
      <c r="AC396" s="30">
        <f>IF(AB396="No",5,0)</f>
        <v/>
      </c>
      <c r="AD396" s="30" t="inlineStr">
        <is>
          <t>Headwind</t>
        </is>
      </c>
      <c r="AE396" s="30">
        <f>IF(AD396="Tailwind",10,0)</f>
        <v/>
      </c>
      <c r="AF396" s="30" t="inlineStr">
        <is>
          <t>Structural (10 Years Consistency)</t>
        </is>
      </c>
      <c r="AG396" s="30">
        <f>IF(AF396="Structural (10 Years Consistency)",10,IF(AF396="Shallow Cyclical (2 to 3 years growth)",5,0))</f>
        <v/>
      </c>
      <c r="AH396" s="30" t="inlineStr">
        <is>
          <t>No</t>
        </is>
      </c>
      <c r="AI396" s="30">
        <f>IF(AH396="Yes due to Product Mix change or Operating Leverage",10,IF(AH396="Yes, these are peak margins",-5,IF(AH396="No",5,0)))</f>
        <v/>
      </c>
      <c r="AJ396" s="30" t="inlineStr">
        <is>
          <t>Stable</t>
        </is>
      </c>
      <c r="AK396" s="30">
        <f>IF(AJ396="Stable",10,0)</f>
        <v/>
      </c>
      <c r="AL396" s="30" t="inlineStr">
        <is>
          <t>Yes</t>
        </is>
      </c>
      <c r="AM396" s="30">
        <f>IF(AL396="Yes",10,0)</f>
        <v/>
      </c>
      <c r="AN396" s="30" t="inlineStr">
        <is>
          <t>B2B</t>
        </is>
      </c>
      <c r="AO396" s="30">
        <f>IF(AN396="B2C",10,IF(AN396="B2B",5,0))</f>
        <v/>
      </c>
      <c r="AP396" s="30" t="inlineStr">
        <is>
          <t>No</t>
        </is>
      </c>
      <c r="AQ396" s="30">
        <f>IF(AP396="Yes",10,0)</f>
        <v/>
      </c>
      <c r="AR396" s="30" t="inlineStr">
        <is>
          <t>Higher One Time, Lower Annuity</t>
        </is>
      </c>
      <c r="AS396" s="30">
        <f>IF(AR396="Fully Annuity",10,IF(AR396="Higher Annuity, Lower One Time",5,IF(AR396="Higher One Time, Lower Annuity",3,0)))</f>
        <v/>
      </c>
      <c r="AT396" s="30" t="inlineStr">
        <is>
          <t>Good</t>
        </is>
      </c>
      <c r="AU396" s="30">
        <f>IF(AT396="Good",10,0)</f>
        <v/>
      </c>
      <c r="AV396" s="30" t="inlineStr">
        <is>
          <t>Yes for more than 2 years</t>
        </is>
      </c>
      <c r="AW396" s="30">
        <f>IF(AV396="Yes for more than 2 years",10,IF(AV396="Yes only for next 1 to 2 years",5,0))</f>
        <v/>
      </c>
      <c r="AX396" s="30" t="inlineStr">
        <is>
          <t>0 to 20</t>
        </is>
      </c>
      <c r="AY396" s="30">
        <f>IF(AX396="Above 40",20,IF(AX396="20 to 40",10,IF(AX396="0 to 20",-5,0)))</f>
        <v/>
      </c>
      <c r="AZ396" s="30" t="inlineStr">
        <is>
          <t>Between 50 to 75</t>
        </is>
      </c>
      <c r="BA396" s="30">
        <f>IF(AZ396="Between 50 to 75",10,IF(AZ396="Above 75",0,0))</f>
        <v/>
      </c>
      <c r="BB396" s="30" t="inlineStr">
        <is>
          <t>Stage 1</t>
        </is>
      </c>
      <c r="BC396" s="30">
        <f>IF(BB396="Stage 2",20,IF(BB396="Stage 1",0,IF(BB396="Stage 3",5,IF(BB396="Stage 4",-5,0))))</f>
        <v/>
      </c>
      <c r="BD396" s="30" t="inlineStr">
        <is>
          <t>Positive Trend</t>
        </is>
      </c>
      <c r="BE396" s="30">
        <f>IF(BD396="Positive Trend",20,IF(BD396="Negative Trend",-10,0))</f>
        <v/>
      </c>
      <c r="BF396" s="30" t="inlineStr">
        <is>
          <t>Uptrend</t>
        </is>
      </c>
      <c r="BG396" s="30">
        <f>IF(BF396="Uptrend",10,IF(BF396="Sideways",5,0))</f>
        <v/>
      </c>
      <c r="BH396" s="30" t="inlineStr">
        <is>
          <t>Uptrend</t>
        </is>
      </c>
      <c r="BI396" s="30">
        <f>IF(BH396="Uptrend",10,IF(BH396="Sideways",5,0))</f>
        <v/>
      </c>
      <c r="BJ396" s="30" t="inlineStr">
        <is>
          <t>Close to 52 week high or retracement</t>
        </is>
      </c>
      <c r="BK396" s="30">
        <f>IF(BJ396="Overhead supply in last 2 years in last 2 years",-5,IF(BJ396="Close to 52 week high or retracement",5,IF(BJ396="Blue sky scenario",10,IF(BJ396="Long term Downtrend",-10,0))))</f>
        <v/>
      </c>
      <c r="BL396" s="30" t="inlineStr">
        <is>
          <t>Yes</t>
        </is>
      </c>
      <c r="BM396" s="30">
        <f>IF(BL396="Yes",10,0)</f>
        <v/>
      </c>
      <c r="BN396" s="30" t="inlineStr">
        <is>
          <t>More than 20%</t>
        </is>
      </c>
      <c r="BO396" s="30">
        <f>IF(BN396="More than 20%",10,IF(BN396="Between 12 to 20%",5,IF(BN396="Less than 12%",0,0)))</f>
        <v/>
      </c>
      <c r="BP396" s="30" t="inlineStr">
        <is>
          <t>No</t>
        </is>
      </c>
      <c r="BQ396" s="30">
        <f>IF(BP396="No",10,0)</f>
        <v/>
      </c>
      <c r="BR396" s="30" t="inlineStr">
        <is>
          <t>No</t>
        </is>
      </c>
      <c r="BS396" s="30">
        <f>IF(BR396="NO",5,0)</f>
        <v/>
      </c>
      <c r="BT396" s="30" t="inlineStr">
        <is>
          <t>Less than 1.5</t>
        </is>
      </c>
      <c r="BU396" s="30">
        <f>IF(BT396="Above 2",0,IF(BT396="Between 1.5 to 2",5,IF(BT396="Less than 1.5",10,0)))</f>
        <v/>
      </c>
      <c r="BV396" s="30" t="inlineStr">
        <is>
          <t>Negative</t>
        </is>
      </c>
      <c r="BW396" s="30">
        <f>IF(BV396="Above 70%",10,IF(BV396="Between 50% to 70%",5,IF(BV396="Less than 50%",0,IF(BV396="Negative",-10,IF(BV396="Less than 50% and Borrowings are increasing",-5,0)))))</f>
        <v/>
      </c>
      <c r="BX396" s="30" t="inlineStr">
        <is>
          <t>More than 1.2</t>
        </is>
      </c>
      <c r="BY396" s="30">
        <f>IF(BX396="More than 1.2",-10,IF(BX396="Between 0.7 to 1.2",0,IF(BX396="Less than 0.7",10,0)))</f>
        <v/>
      </c>
      <c r="BZ396" s="30" t="inlineStr">
        <is>
          <t>No</t>
        </is>
      </c>
      <c r="CA396" s="30">
        <f>IF(BZ396="Yes",-10,0)</f>
        <v/>
      </c>
      <c r="CB396" s="30" t="inlineStr">
        <is>
          <t>Less than 15%</t>
        </is>
      </c>
      <c r="CC396" s="30">
        <f>IF(CB396="More than 15%",-10,IF(CB396="Less than 15%",10,0))</f>
        <v/>
      </c>
      <c r="CD396" s="30" t="inlineStr">
        <is>
          <t>No</t>
        </is>
      </c>
      <c r="CE396" s="30">
        <f>IF(CD396="Yes, more than 10%",-10,IF(CD396="No",10,0))</f>
        <v/>
      </c>
    </row>
    <row r="397">
      <c r="A397" s="30">
        <f>IF(B397=0,"",RANK(B397,$B$2:$B$405,0))</f>
        <v/>
      </c>
      <c r="B397" s="31">
        <f>SUM(N397,Y397,AA397,AC397,AE397,AG397,AI397,AK397,AM397,AO397,AQ397,AS397,AU397,AW397,AY397,BA397,BC397,BE397,BG397,BI397,BK397,BM397,BO397,BQ397,BS397,BU397,BW397,BY397,CA397,CC397,CE397)</f>
        <v/>
      </c>
      <c r="C397" s="30" t="inlineStr">
        <is>
          <t>HINDALCO</t>
        </is>
      </c>
      <c r="D397" s="30" t="inlineStr">
        <is>
          <t>Hindalco Industries Limited</t>
        </is>
      </c>
      <c r="E397" s="30" t="inlineStr">
        <is>
          <t>metals &amp; mining</t>
        </is>
      </c>
      <c r="F397" s="30" t="inlineStr">
        <is>
          <t>aluminium and aluminium products</t>
        </is>
      </c>
      <c r="G397" s="30" t="inlineStr">
        <is>
          <t>largecap</t>
        </is>
      </c>
      <c r="H397" s="31" t="n">
        <v>233711.56</v>
      </c>
      <c r="I397" s="31" t="n">
        <v>1027</v>
      </c>
      <c r="J397" s="31" t="n">
        <v>-1.25</v>
      </c>
      <c r="K397" s="31" t="n">
        <v>12489002</v>
      </c>
      <c r="L397" s="30" t="n">
        <v>39</v>
      </c>
      <c r="M397" s="30" t="inlineStr">
        <is>
          <t>Outperforming</t>
        </is>
      </c>
      <c r="N397" s="31">
        <f>IF(M397="Underperforming",-5,IF(L397&gt;=95,15,IF(L397&gt;=90,10,IF(L397&gt;=80,5,0))))</f>
        <v/>
      </c>
      <c r="O397" s="31" t="n">
        <v>57.37</v>
      </c>
      <c r="P397" s="31" t="n">
        <v>36.26</v>
      </c>
      <c r="Q397" s="31" t="n">
        <v>945.99</v>
      </c>
      <c r="R397" s="30" t="inlineStr">
        <is>
          <t>Earnings / Momentum Support</t>
        </is>
      </c>
      <c r="S397" s="30" t="inlineStr">
        <is>
          <t>Nifty Metal</t>
        </is>
      </c>
      <c r="T397" s="31" t="n">
        <v>39.44</v>
      </c>
      <c r="U397" s="31" t="n">
        <v>48.78</v>
      </c>
      <c r="V397" s="31" t="n">
        <v>6.7</v>
      </c>
      <c r="W397" s="31" t="n">
        <v>8.15</v>
      </c>
      <c r="X397" s="30" t="inlineStr">
        <is>
          <t>Cyclical in an Upturn</t>
        </is>
      </c>
      <c r="Y397" s="30">
        <f>IF(X397="Growing Industry",10,IF(X397="Cyclical in an Upturn",5,0))</f>
        <v/>
      </c>
      <c r="Z397" s="30" t="inlineStr">
        <is>
          <t>Too Many Players with High ROCE</t>
        </is>
      </c>
      <c r="AA397" s="30">
        <f>IF(Z397="Monopoly",10,IF(Z397="Oligopoly",5,IF(Z397="Duopoly that cooperate",10,IF(Z397="Duopoly that compete",5,IF(Z397="Too many players with High ROCE",5,0)))))</f>
        <v/>
      </c>
      <c r="AB397" s="30" t="inlineStr">
        <is>
          <t>No</t>
        </is>
      </c>
      <c r="AC397" s="30">
        <f>IF(AB397="No",5,0)</f>
        <v/>
      </c>
      <c r="AD397" s="30" t="inlineStr">
        <is>
          <t>Tailwind</t>
        </is>
      </c>
      <c r="AE397" s="30">
        <f>IF(AD397="Tailwind",10,0)</f>
        <v/>
      </c>
      <c r="AF397" s="30" t="inlineStr">
        <is>
          <t>Cyclical</t>
        </is>
      </c>
      <c r="AG397" s="30">
        <f>IF(AF397="Structural (10 Years Consistency)",10,IF(AF397="Shallow Cyclical (2 to 3 years growth)",5,0))</f>
        <v/>
      </c>
      <c r="AH397" s="30" t="inlineStr">
        <is>
          <t>No</t>
        </is>
      </c>
      <c r="AI397" s="30">
        <f>IF(AH397="Yes due to Product Mix change or Operating Leverage",10,IF(AH397="Yes, these are peak margins",-5,IF(AH397="No",5,0)))</f>
        <v/>
      </c>
      <c r="AJ397" s="30" t="inlineStr">
        <is>
          <t>Volatile</t>
        </is>
      </c>
      <c r="AK397" s="30">
        <f>IF(AJ397="Stable",10,0)</f>
        <v/>
      </c>
      <c r="AL397" s="30" t="inlineStr">
        <is>
          <t>Yes</t>
        </is>
      </c>
      <c r="AM397" s="30">
        <f>IF(AL397="Yes",10,0)</f>
        <v/>
      </c>
      <c r="AN397" s="30" t="inlineStr">
        <is>
          <t>B2B</t>
        </is>
      </c>
      <c r="AO397" s="30">
        <f>IF(AN397="B2C",10,IF(AN397="B2B",5,0))</f>
        <v/>
      </c>
      <c r="AP397" s="30" t="inlineStr">
        <is>
          <t>No</t>
        </is>
      </c>
      <c r="AQ397" s="30">
        <f>IF(AP397="Yes",10,0)</f>
        <v/>
      </c>
      <c r="AR397" s="30" t="inlineStr">
        <is>
          <t>Higher One Time, Lower Annuity</t>
        </is>
      </c>
      <c r="AS397" s="30">
        <f>IF(AR397="Fully Annuity",10,IF(AR397="Higher Annuity, Lower One Time",5,IF(AR397="Higher One Time, Lower Annuity",3,0)))</f>
        <v/>
      </c>
      <c r="AT397" s="30" t="inlineStr">
        <is>
          <t>Good</t>
        </is>
      </c>
      <c r="AU397" s="30">
        <f>IF(AT397="Good",10,0)</f>
        <v/>
      </c>
      <c r="AV397" s="30" t="inlineStr">
        <is>
          <t>Yes for more than 2 years</t>
        </is>
      </c>
      <c r="AW397" s="30">
        <f>IF(AV397="Yes for more than 2 years",10,IF(AV397="Yes only for next 1 to 2 years",5,0))</f>
        <v/>
      </c>
      <c r="AX397" s="30" t="inlineStr">
        <is>
          <t>20 to 40</t>
        </is>
      </c>
      <c r="AY397" s="30">
        <f>IF(AX397="Above 40",20,IF(AX397="20 to 40",10,IF(AX397="0 to 20",-5,0)))</f>
        <v/>
      </c>
      <c r="AZ397" s="30" t="inlineStr">
        <is>
          <t>Between 50 to 75</t>
        </is>
      </c>
      <c r="BA397" s="30">
        <f>IF(AZ397="Between 50 to 75",10,IF(AZ397="Above 75",0,0))</f>
        <v/>
      </c>
      <c r="BB397" s="30" t="inlineStr">
        <is>
          <t>Stage 1</t>
        </is>
      </c>
      <c r="BC397" s="30">
        <f>IF(BB397="Stage 2",20,IF(BB397="Stage 1",0,IF(BB397="Stage 3",5,IF(BB397="Stage 4",-5,0))))</f>
        <v/>
      </c>
      <c r="BD397" s="30" t="inlineStr">
        <is>
          <t>Positive Trend</t>
        </is>
      </c>
      <c r="BE397" s="30">
        <f>IF(BD397="Positive Trend",20,IF(BD397="Negative Trend",-10,0))</f>
        <v/>
      </c>
      <c r="BF397" s="30" t="inlineStr">
        <is>
          <t>Uptrend</t>
        </is>
      </c>
      <c r="BG397" s="30">
        <f>IF(BF397="Uptrend",10,IF(BF397="Sideways",5,0))</f>
        <v/>
      </c>
      <c r="BH397" s="30" t="inlineStr">
        <is>
          <t>Uptrend</t>
        </is>
      </c>
      <c r="BI397" s="30">
        <f>IF(BH397="Uptrend",10,IF(BH397="Sideways",5,0))</f>
        <v/>
      </c>
      <c r="BJ397" s="30" t="inlineStr">
        <is>
          <t>Close to 52 week high or retracement</t>
        </is>
      </c>
      <c r="BK397" s="30">
        <f>IF(BJ397="Overhead supply in last 2 years in last 2 years",-5,IF(BJ397="Close to 52 week high or retracement",5,IF(BJ397="Blue sky scenario",10,IF(BJ397="Long term Downtrend",-10,0))))</f>
        <v/>
      </c>
      <c r="BL397" s="30" t="inlineStr">
        <is>
          <t>Yes</t>
        </is>
      </c>
      <c r="BM397" s="30">
        <f>IF(BL397="Yes",10,0)</f>
        <v/>
      </c>
      <c r="BN397" s="30" t="inlineStr">
        <is>
          <t>Less than 12%</t>
        </is>
      </c>
      <c r="BO397" s="30">
        <f>IF(BN397="More than 20%",10,IF(BN397="Between 12 to 20%",5,IF(BN397="Less than 12%",0,0)))</f>
        <v/>
      </c>
      <c r="BP397" s="30" t="inlineStr">
        <is>
          <t>No</t>
        </is>
      </c>
      <c r="BQ397" s="30">
        <f>IF(BP397="No",10,0)</f>
        <v/>
      </c>
      <c r="BR397" s="30" t="inlineStr">
        <is>
          <t>No</t>
        </is>
      </c>
      <c r="BS397" s="30">
        <f>IF(BR397="NO",5,0)</f>
        <v/>
      </c>
      <c r="BT397" s="30" t="inlineStr">
        <is>
          <t>Above 2</t>
        </is>
      </c>
      <c r="BU397" s="30">
        <f>IF(BT397="Above 2",0,IF(BT397="Between 1.5 to 2",5,IF(BT397="Less than 1.5",10,0)))</f>
        <v/>
      </c>
      <c r="BV397" s="30" t="inlineStr">
        <is>
          <t>Less than 50%</t>
        </is>
      </c>
      <c r="BW397" s="30">
        <f>IF(BV397="Above 70%",10,IF(BV397="Between 50% to 70%",5,IF(BV397="Less than 50%",0,IF(BV397="Negative",-10,IF(BV397="Less than 50% and Borrowings are increasing",-5,0)))))</f>
        <v/>
      </c>
      <c r="BX397" s="30" t="inlineStr">
        <is>
          <t>Between 0.7 to 1.2</t>
        </is>
      </c>
      <c r="BY397" s="30">
        <f>IF(BX397="More than 1.2",-10,IF(BX397="Between 0.7 to 1.2",0,IF(BX397="Less than 0.7",10,0)))</f>
        <v/>
      </c>
      <c r="BZ397" s="30" t="inlineStr">
        <is>
          <t>No</t>
        </is>
      </c>
      <c r="CA397" s="30">
        <f>IF(BZ397="Yes",-10,0)</f>
        <v/>
      </c>
      <c r="CB397" s="30" t="inlineStr">
        <is>
          <t>Less than 15%</t>
        </is>
      </c>
      <c r="CC397" s="30">
        <f>IF(CB397="More than 15%",-10,IF(CB397="Less than 15%",10,0))</f>
        <v/>
      </c>
      <c r="CD397" s="30" t="inlineStr">
        <is>
          <t>No</t>
        </is>
      </c>
      <c r="CE397" s="30">
        <f>IF(CD397="Yes, more than 10%",-10,IF(CD397="No",10,0))</f>
        <v/>
      </c>
    </row>
    <row r="398">
      <c r="A398" s="30">
        <f>IF(B398=0,"",RANK(B398,$B$2:$B$405,0))</f>
        <v/>
      </c>
      <c r="B398" s="31">
        <f>SUM(N398,Y398,AA398,AC398,AE398,AG398,AI398,AK398,AM398,AO398,AQ398,AS398,AU398,AW398,AY398,BA398,BC398,BE398,BG398,BI398,BK398,BM398,BO398,BQ398,BS398,BU398,BW398,BY398,CA398,CC398,CE398)</f>
        <v/>
      </c>
      <c r="C398" s="30" t="inlineStr">
        <is>
          <t>GAEL</t>
        </is>
      </c>
      <c r="D398" s="30" t="inlineStr">
        <is>
          <t>Gujarat Ambuja Exports Limited</t>
        </is>
      </c>
      <c r="E398" s="30" t="inlineStr">
        <is>
          <t>fmcg</t>
        </is>
      </c>
      <c r="F398" s="30" t="inlineStr">
        <is>
          <t>miscellaneous</t>
        </is>
      </c>
      <c r="G398" s="30" t="inlineStr">
        <is>
          <t>midcap</t>
        </is>
      </c>
      <c r="H398" s="31" t="n">
        <v>8018.94</v>
      </c>
      <c r="I398" s="31" t="n">
        <v>177.72</v>
      </c>
      <c r="J398" s="31" t="n">
        <v>1.65</v>
      </c>
      <c r="K398" s="31" t="n">
        <v>1888741</v>
      </c>
      <c r="L398" s="30" t="n">
        <v>66</v>
      </c>
      <c r="M398" s="30" t="inlineStr">
        <is>
          <t>Outperforming</t>
        </is>
      </c>
      <c r="N398" s="31">
        <f>IF(M398="Underperforming",-5,IF(L398&gt;=95,15,IF(L398&gt;=90,10,IF(L398&gt;=80,5,0))))</f>
        <v/>
      </c>
      <c r="O398" s="31" t="n">
        <v>66.28</v>
      </c>
      <c r="P398" s="31" t="n">
        <v>37.78</v>
      </c>
      <c r="Q398" s="31" t="n">
        <v>141.78</v>
      </c>
      <c r="R398" s="30" t="inlineStr">
        <is>
          <t>Volume Spike &amp; Near 52W High Breakout</t>
        </is>
      </c>
      <c r="S398" s="30" t="inlineStr">
        <is>
          <t>Nifty FMCG</t>
        </is>
      </c>
      <c r="T398" s="31" t="n">
        <v>-9.75</v>
      </c>
      <c r="U398" s="31" t="n">
        <v>69.28</v>
      </c>
      <c r="V398" s="31" t="n">
        <v>87.56</v>
      </c>
      <c r="W398" s="31" t="n">
        <v>15.22</v>
      </c>
      <c r="X398" s="30" t="inlineStr">
        <is>
          <t>Growing Industry</t>
        </is>
      </c>
      <c r="Y398" s="30">
        <f>IF(X398="Growing Industry",10,IF(X398="Cyclical in an Upturn",5,0))</f>
        <v/>
      </c>
      <c r="Z398" s="30" t="inlineStr">
        <is>
          <t>Oligopoly</t>
        </is>
      </c>
      <c r="AA398" s="30">
        <f>IF(Z398="Monopoly",10,IF(Z398="Oligopoly",5,IF(Z398="Duopoly that cooperate",10,IF(Z398="Duopoly that compete",5,IF(Z398="Too many players with High ROCE",5,0)))))</f>
        <v/>
      </c>
      <c r="AB398" s="30" t="inlineStr">
        <is>
          <t>No</t>
        </is>
      </c>
      <c r="AC398" s="30">
        <f>IF(AB398="No",5,0)</f>
        <v/>
      </c>
      <c r="AD398" s="30" t="inlineStr">
        <is>
          <t>Tailwind</t>
        </is>
      </c>
      <c r="AE398" s="30">
        <f>IF(AD398="Tailwind",10,0)</f>
        <v/>
      </c>
      <c r="AF398" s="30" t="inlineStr">
        <is>
          <t>Shallow Cyclical (2 to 3 Years Growth)</t>
        </is>
      </c>
      <c r="AG398" s="30">
        <f>IF(AF398="Structural (10 Years Consistency)",10,IF(AF398="Shallow Cyclical (2 to 3 years growth)",5,0))</f>
        <v/>
      </c>
      <c r="AH398" s="30" t="inlineStr">
        <is>
          <t>Yes due to Product Mix change or Operating Leverage</t>
        </is>
      </c>
      <c r="AI398" s="30">
        <f>IF(AH398="Yes due to Product Mix change or Operating Leverage",10,IF(AH398="Yes, these are peak margins",-5,IF(AH398="No",5,0)))</f>
        <v/>
      </c>
      <c r="AJ398" s="30" t="inlineStr">
        <is>
          <t>Volatile</t>
        </is>
      </c>
      <c r="AK398" s="30">
        <f>IF(AJ398="Stable",10,0)</f>
        <v/>
      </c>
      <c r="AL398" s="30" t="inlineStr">
        <is>
          <t>Yes</t>
        </is>
      </c>
      <c r="AM398" s="30">
        <f>IF(AL398="Yes",10,0)</f>
        <v/>
      </c>
      <c r="AN398" s="30" t="inlineStr">
        <is>
          <t>B2B</t>
        </is>
      </c>
      <c r="AO398" s="30">
        <f>IF(AN398="B2C",10,IF(AN398="B2B",5,0))</f>
        <v/>
      </c>
      <c r="AP398" s="30" t="inlineStr">
        <is>
          <t>Yes</t>
        </is>
      </c>
      <c r="AQ398" s="30">
        <f>IF(AP398="Yes",10,0)</f>
        <v/>
      </c>
      <c r="AR398" s="30" t="inlineStr">
        <is>
          <t>Higher One Time, Lower Annuity</t>
        </is>
      </c>
      <c r="AS398" s="30">
        <f>IF(AR398="Fully Annuity",10,IF(AR398="Higher Annuity, Lower One Time",5,IF(AR398="Higher One Time, Lower Annuity",3,0)))</f>
        <v/>
      </c>
      <c r="AT398" s="30" t="inlineStr">
        <is>
          <t>Allocated capital in Non-core Areas</t>
        </is>
      </c>
      <c r="AU398" s="30">
        <f>IF(AT398="Good",10,0)</f>
        <v/>
      </c>
      <c r="AV398" s="30" t="inlineStr">
        <is>
          <t>Yes for more than 2 years</t>
        </is>
      </c>
      <c r="AW398" s="30">
        <f>IF(AV398="Yes for more than 2 years",10,IF(AV398="Yes only for next 1 to 2 years",5,0))</f>
        <v/>
      </c>
      <c r="AX398" s="30" t="inlineStr">
        <is>
          <t>Above 40</t>
        </is>
      </c>
      <c r="AY398" s="30">
        <f>IF(AX398="Above 40",20,IF(AX398="20 to 40",10,IF(AX398="0 to 20",-5,0)))</f>
        <v/>
      </c>
      <c r="AZ398" s="30" t="inlineStr">
        <is>
          <t>Between 50 to 75</t>
        </is>
      </c>
      <c r="BA398" s="30">
        <f>IF(AZ398="Between 50 to 75",10,IF(AZ398="Above 75",0,0))</f>
        <v/>
      </c>
      <c r="BB398" s="30" t="inlineStr">
        <is>
          <t>Stage 3</t>
        </is>
      </c>
      <c r="BC398" s="30">
        <f>IF(BB398="Stage 2",20,IF(BB398="Stage 1",0,IF(BB398="Stage 3",5,IF(BB398="Stage 4",-5,0))))</f>
        <v/>
      </c>
      <c r="BD398" s="30" t="inlineStr">
        <is>
          <t>Negative Trend</t>
        </is>
      </c>
      <c r="BE398" s="30">
        <f>IF(BD398="Positive Trend",20,IF(BD398="Negative Trend",-10,0))</f>
        <v/>
      </c>
      <c r="BF398" s="30" t="inlineStr">
        <is>
          <t>Sideways</t>
        </is>
      </c>
      <c r="BG398" s="30">
        <f>IF(BF398="Uptrend",10,IF(BF398="Sideways",5,0))</f>
        <v/>
      </c>
      <c r="BH398" s="30" t="inlineStr">
        <is>
          <t>Uptrend</t>
        </is>
      </c>
      <c r="BI398" s="30">
        <f>IF(BH398="Uptrend",10,IF(BH398="Sideways",5,0))</f>
        <v/>
      </c>
      <c r="BJ398" s="30" t="inlineStr">
        <is>
          <t>Overhead supply in last 2 years in last 2 years</t>
        </is>
      </c>
      <c r="BK398" s="30">
        <f>IF(BJ398="Overhead supply in last 2 years in last 2 years",-5,IF(BJ398="Close to 52 week high or retracement",5,IF(BJ398="Blue sky scenario",10,IF(BJ398="Long term Downtrend",-10,0))))</f>
        <v/>
      </c>
      <c r="BL398" s="30" t="inlineStr">
        <is>
          <t>Yes</t>
        </is>
      </c>
      <c r="BM398" s="30">
        <f>IF(BL398="Yes",10,0)</f>
        <v/>
      </c>
      <c r="BN398" s="30" t="inlineStr">
        <is>
          <t>More than 20%</t>
        </is>
      </c>
      <c r="BO398" s="30">
        <f>IF(BN398="More than 20%",10,IF(BN398="Between 12 to 20%",5,IF(BN398="Less than 12%",0,0)))</f>
        <v/>
      </c>
      <c r="BP398" s="30" t="inlineStr">
        <is>
          <t>No</t>
        </is>
      </c>
      <c r="BQ398" s="30">
        <f>IF(BP398="No",10,0)</f>
        <v/>
      </c>
      <c r="BR398" s="30" t="inlineStr">
        <is>
          <t>No</t>
        </is>
      </c>
      <c r="BS398" s="30">
        <f>IF(BR398="NO",5,0)</f>
        <v/>
      </c>
      <c r="BT398" s="30" t="inlineStr">
        <is>
          <t>Less than 1.5</t>
        </is>
      </c>
      <c r="BU398" s="30">
        <f>IF(BT398="Above 2",0,IF(BT398="Between 1.5 to 2",5,IF(BT398="Less than 1.5",10,0)))</f>
        <v/>
      </c>
      <c r="BV398" s="30" t="inlineStr">
        <is>
          <t>Above 70%</t>
        </is>
      </c>
      <c r="BW398" s="30">
        <f>IF(BV398="Above 70%",10,IF(BV398="Between 50% to 70%",5,IF(BV398="Less than 50%",0,IF(BV398="Negative",-10,IF(BV398="Less than 50% and Borrowings are increasing",-5,0)))))</f>
        <v/>
      </c>
      <c r="BX398" s="30" t="inlineStr">
        <is>
          <t>Less than 0.7</t>
        </is>
      </c>
      <c r="BY398" s="30">
        <f>IF(BX398="More than 1.2",-10,IF(BX398="Between 0.7 to 1.2",0,IF(BX398="Less than 0.7",10,0)))</f>
        <v/>
      </c>
      <c r="BZ398" s="30" t="inlineStr">
        <is>
          <t>No</t>
        </is>
      </c>
      <c r="CA398" s="30">
        <f>IF(BZ398="Yes",-10,0)</f>
        <v/>
      </c>
      <c r="CB398" s="30" t="inlineStr">
        <is>
          <t>More than 15%</t>
        </is>
      </c>
      <c r="CC398" s="30">
        <f>IF(CB398="More than 15%",-10,IF(CB398="Less than 15%",10,0))</f>
        <v/>
      </c>
      <c r="CD398" s="30" t="inlineStr">
        <is>
          <t>Yes Upto 10%</t>
        </is>
      </c>
      <c r="CE398" s="30">
        <f>IF(CD398="Yes, more than 10%",-10,IF(CD398="No",10,0))</f>
        <v/>
      </c>
    </row>
    <row r="399">
      <c r="A399" s="30">
        <f>IF(B399=0,"",RANK(B399,$B$2:$B$405,0))</f>
        <v/>
      </c>
      <c r="B399" s="31">
        <f>SUM(N399,Y399,AA399,AC399,AE399,AG399,AI399,AK399,AM399,AO399,AQ399,AS399,AU399,AW399,AY399,BA399,BC399,BE399,BG399,BI399,BK399,BM399,BO399,BQ399,BS399,BU399,BW399,BY399,CA399,CC399,CE399)</f>
        <v/>
      </c>
      <c r="C399" s="30" t="inlineStr">
        <is>
          <t>FLUOROCHEM</t>
        </is>
      </c>
      <c r="D399" s="30" t="inlineStr">
        <is>
          <t>Gujarat Fluorochemicals Ltd</t>
        </is>
      </c>
      <c r="E399" s="30" t="inlineStr">
        <is>
          <t>chemicals</t>
        </is>
      </c>
      <c r="F399" s="30" t="inlineStr">
        <is>
          <t>chemicals</t>
        </is>
      </c>
      <c r="G399" s="30" t="inlineStr">
        <is>
          <t>largecap</t>
        </is>
      </c>
      <c r="H399" s="31" t="n">
        <v>49411.63</v>
      </c>
      <c r="I399" s="31" t="n">
        <v>4548</v>
      </c>
      <c r="J399" s="31" t="n">
        <v>1.11</v>
      </c>
      <c r="K399" s="31" t="n">
        <v>70208</v>
      </c>
      <c r="L399" s="30" t="n">
        <v>47</v>
      </c>
      <c r="M399" s="30" t="inlineStr">
        <is>
          <t>Outperforming</t>
        </is>
      </c>
      <c r="N399" s="31">
        <f>IF(M399="Underperforming",-5,IF(L399&gt;=95,15,IF(L399&gt;=90,10,IF(L399&gt;=80,5,0))))</f>
        <v/>
      </c>
      <c r="O399" s="31" t="n">
        <v>70.48999999999999</v>
      </c>
      <c r="P399" s="31" t="n">
        <v>27.17</v>
      </c>
      <c r="Q399" s="31" t="n">
        <v>3786.13</v>
      </c>
      <c r="R399" s="30" t="inlineStr">
        <is>
          <t>Near 52W High Breakout</t>
        </is>
      </c>
      <c r="S399" s="30" t="inlineStr">
        <is>
          <t>Nifty 50</t>
        </is>
      </c>
      <c r="T399" s="31" t="n">
        <v>1.09</v>
      </c>
      <c r="U399" s="31" t="n">
        <v>31.47</v>
      </c>
      <c r="V399" s="31" t="n">
        <v>30.06</v>
      </c>
      <c r="W399" s="31" t="n">
        <v>10.31</v>
      </c>
      <c r="X399" s="30" t="inlineStr">
        <is>
          <t>Growing Industry</t>
        </is>
      </c>
      <c r="Y399" s="30">
        <f>IF(X399="Growing Industry",10,IF(X399="Cyclical in an Upturn",5,0))</f>
        <v/>
      </c>
      <c r="Z399" s="30" t="inlineStr">
        <is>
          <t>Oligopoly</t>
        </is>
      </c>
      <c r="AA399" s="30">
        <f>IF(Z399="Monopoly",10,IF(Z399="Oligopoly",5,IF(Z399="Duopoly that cooperate",10,IF(Z399="Duopoly that compete",5,IF(Z399="Too many players with High ROCE",5,0)))))</f>
        <v/>
      </c>
      <c r="AB399" s="30" t="inlineStr">
        <is>
          <t>No</t>
        </is>
      </c>
      <c r="AC399" s="30">
        <f>IF(AB399="No",5,0)</f>
        <v/>
      </c>
      <c r="AD399" s="30" t="inlineStr">
        <is>
          <t>Tailwind</t>
        </is>
      </c>
      <c r="AE399" s="30">
        <f>IF(AD399="Tailwind",10,0)</f>
        <v/>
      </c>
      <c r="AF399" s="30" t="inlineStr">
        <is>
          <t>Shallow Cyclical (2 to 3 Years Growth)</t>
        </is>
      </c>
      <c r="AG399" s="30">
        <f>IF(AF399="Structural (10 Years Consistency)",10,IF(AF399="Shallow Cyclical (2 to 3 years growth)",5,0))</f>
        <v/>
      </c>
      <c r="AH399" s="30" t="inlineStr">
        <is>
          <t>Yes due to Product Mix change or Operating Leverage</t>
        </is>
      </c>
      <c r="AI399" s="30">
        <f>IF(AH399="Yes due to Product Mix change or Operating Leverage",10,IF(AH399="Yes, these are peak margins",-5,IF(AH399="No",5,0)))</f>
        <v/>
      </c>
      <c r="AJ399" s="30" t="inlineStr">
        <is>
          <t>Volatile</t>
        </is>
      </c>
      <c r="AK399" s="30">
        <f>IF(AJ399="Stable",10,0)</f>
        <v/>
      </c>
      <c r="AL399" s="30" t="inlineStr">
        <is>
          <t>Yes</t>
        </is>
      </c>
      <c r="AM399" s="30">
        <f>IF(AL399="Yes",10,0)</f>
        <v/>
      </c>
      <c r="AN399" s="30" t="inlineStr">
        <is>
          <t>B2B</t>
        </is>
      </c>
      <c r="AO399" s="30">
        <f>IF(AN399="B2C",10,IF(AN399="B2B",5,0))</f>
        <v/>
      </c>
      <c r="AP399" s="30" t="inlineStr">
        <is>
          <t>Yes</t>
        </is>
      </c>
      <c r="AQ399" s="30">
        <f>IF(AP399="Yes",10,0)</f>
        <v/>
      </c>
      <c r="AR399" s="30" t="inlineStr">
        <is>
          <t>Higher One Time, Lower Annuity</t>
        </is>
      </c>
      <c r="AS399" s="30">
        <f>IF(AR399="Fully Annuity",10,IF(AR399="Higher Annuity, Lower One Time",5,IF(AR399="Higher One Time, Lower Annuity",3,0)))</f>
        <v/>
      </c>
      <c r="AT399" s="30" t="inlineStr">
        <is>
          <t>Allocated capital in Non-core Areas</t>
        </is>
      </c>
      <c r="AU399" s="30">
        <f>IF(AT399="Good",10,0)</f>
        <v/>
      </c>
      <c r="AV399" s="30" t="inlineStr">
        <is>
          <t>Yes for more than 2 years</t>
        </is>
      </c>
      <c r="AW399" s="30">
        <f>IF(AV399="Yes for more than 2 years",10,IF(AV399="Yes only for next 1 to 2 years",5,0))</f>
        <v/>
      </c>
      <c r="AX399" s="30" t="inlineStr">
        <is>
          <t>Above 40</t>
        </is>
      </c>
      <c r="AY399" s="30">
        <f>IF(AX399="Above 40",20,IF(AX399="20 to 40",10,IF(AX399="0 to 20",-5,0)))</f>
        <v/>
      </c>
      <c r="AZ399" s="30" t="inlineStr">
        <is>
          <t>Between 50 to 75</t>
        </is>
      </c>
      <c r="BA399" s="30">
        <f>IF(AZ399="Between 50 to 75",10,IF(AZ399="Above 75",0,0))</f>
        <v/>
      </c>
      <c r="BB399" s="30" t="inlineStr">
        <is>
          <t>Stage 3</t>
        </is>
      </c>
      <c r="BC399" s="30">
        <f>IF(BB399="Stage 2",20,IF(BB399="Stage 1",0,IF(BB399="Stage 3",5,IF(BB399="Stage 4",-5,0))))</f>
        <v/>
      </c>
      <c r="BD399" s="30" t="inlineStr">
        <is>
          <t>Negative Trend</t>
        </is>
      </c>
      <c r="BE399" s="30">
        <f>IF(BD399="Positive Trend",20,IF(BD399="Negative Trend",-10,0))</f>
        <v/>
      </c>
      <c r="BF399" s="30" t="inlineStr">
        <is>
          <t>Sideways</t>
        </is>
      </c>
      <c r="BG399" s="30">
        <f>IF(BF399="Uptrend",10,IF(BF399="Sideways",5,0))</f>
        <v/>
      </c>
      <c r="BH399" s="30" t="inlineStr">
        <is>
          <t>Uptrend</t>
        </is>
      </c>
      <c r="BI399" s="30">
        <f>IF(BH399="Uptrend",10,IF(BH399="Sideways",5,0))</f>
        <v/>
      </c>
      <c r="BJ399" s="30" t="inlineStr">
        <is>
          <t>Overhead supply in last 2 years in last 2 years</t>
        </is>
      </c>
      <c r="BK399" s="30">
        <f>IF(BJ399="Overhead supply in last 2 years in last 2 years",-5,IF(BJ399="Close to 52 week high or retracement",5,IF(BJ399="Blue sky scenario",10,IF(BJ399="Long term Downtrend",-10,0))))</f>
        <v/>
      </c>
      <c r="BL399" s="30" t="inlineStr">
        <is>
          <t>Yes</t>
        </is>
      </c>
      <c r="BM399" s="30">
        <f>IF(BL399="Yes",10,0)</f>
        <v/>
      </c>
      <c r="BN399" s="30" t="inlineStr">
        <is>
          <t>More than 20%</t>
        </is>
      </c>
      <c r="BO399" s="30">
        <f>IF(BN399="More than 20%",10,IF(BN399="Between 12 to 20%",5,IF(BN399="Less than 12%",0,0)))</f>
        <v/>
      </c>
      <c r="BP399" s="30" t="inlineStr">
        <is>
          <t>No</t>
        </is>
      </c>
      <c r="BQ399" s="30">
        <f>IF(BP399="No",10,0)</f>
        <v/>
      </c>
      <c r="BR399" s="30" t="inlineStr">
        <is>
          <t>No</t>
        </is>
      </c>
      <c r="BS399" s="30">
        <f>IF(BR399="NO",5,0)</f>
        <v/>
      </c>
      <c r="BT399" s="30" t="inlineStr">
        <is>
          <t>Less than 1.5</t>
        </is>
      </c>
      <c r="BU399" s="30">
        <f>IF(BT399="Above 2",0,IF(BT399="Between 1.5 to 2",5,IF(BT399="Less than 1.5",10,0)))</f>
        <v/>
      </c>
      <c r="BV399" s="30" t="inlineStr">
        <is>
          <t>Above 70%</t>
        </is>
      </c>
      <c r="BW399" s="30">
        <f>IF(BV399="Above 70%",10,IF(BV399="Between 50% to 70%",5,IF(BV399="Less than 50%",0,IF(BV399="Negative",-10,IF(BV399="Less than 50% and Borrowings are increasing",-5,0)))))</f>
        <v/>
      </c>
      <c r="BX399" s="30" t="inlineStr">
        <is>
          <t>Less than 0.7</t>
        </is>
      </c>
      <c r="BY399" s="30">
        <f>IF(BX399="More than 1.2",-10,IF(BX399="Between 0.7 to 1.2",0,IF(BX399="Less than 0.7",10,0)))</f>
        <v/>
      </c>
      <c r="BZ399" s="30" t="inlineStr">
        <is>
          <t>No</t>
        </is>
      </c>
      <c r="CA399" s="30">
        <f>IF(BZ399="Yes",-10,0)</f>
        <v/>
      </c>
      <c r="CB399" s="30" t="inlineStr">
        <is>
          <t>More than 15%</t>
        </is>
      </c>
      <c r="CC399" s="30">
        <f>IF(CB399="More than 15%",-10,IF(CB399="Less than 15%",10,0))</f>
        <v/>
      </c>
      <c r="CD399" s="30" t="inlineStr">
        <is>
          <t>Yes Upto 10%</t>
        </is>
      </c>
      <c r="CE399" s="30">
        <f>IF(CD399="Yes, more than 10%",-10,IF(CD399="No",10,0))</f>
        <v/>
      </c>
    </row>
    <row r="400">
      <c r="A400" s="30">
        <f>IF(B400=0,"",RANK(B400,$B$2:$B$405,0))</f>
        <v/>
      </c>
      <c r="B400" s="31">
        <f>SUM(N400,Y400,AA400,AC400,AE400,AG400,AI400,AK400,AM400,AO400,AQ400,AS400,AU400,AW400,AY400,BA400,BC400,BE400,BG400,BI400,BK400,BM400,BO400,BQ400,BS400,BU400,BW400,BY400,CA400,CC400,CE400)</f>
        <v/>
      </c>
      <c r="C400" s="30" t="inlineStr">
        <is>
          <t>GNFC</t>
        </is>
      </c>
      <c r="D400" s="30" t="inlineStr">
        <is>
          <t>Gujarat Narmada Valley Fertilizers And Chemicals Limited</t>
        </is>
      </c>
      <c r="E400" s="30" t="inlineStr">
        <is>
          <t>chemicals</t>
        </is>
      </c>
      <c r="F400" s="30" t="inlineStr">
        <is>
          <t>chemicals</t>
        </is>
      </c>
      <c r="G400" s="30" t="inlineStr">
        <is>
          <t>midcap</t>
        </is>
      </c>
      <c r="H400" s="31" t="n">
        <v>7909.82</v>
      </c>
      <c r="I400" s="31" t="n">
        <v>542.95</v>
      </c>
      <c r="J400" s="31" t="n">
        <v>0.86</v>
      </c>
      <c r="K400" s="31" t="n">
        <v>2522028</v>
      </c>
      <c r="L400" s="30" t="n">
        <v>23</v>
      </c>
      <c r="M400" s="30" t="inlineStr">
        <is>
          <t>Outperforming</t>
        </is>
      </c>
      <c r="N400" s="31">
        <f>IF(M400="Underperforming",-5,IF(L400&gt;=95,15,IF(L400&gt;=90,10,IF(L400&gt;=80,5,0))))</f>
        <v/>
      </c>
      <c r="O400" s="31" t="n">
        <v>60.59</v>
      </c>
      <c r="P400" s="31" t="n">
        <v>31.11</v>
      </c>
      <c r="Q400" s="31" t="n">
        <v>459.06</v>
      </c>
      <c r="R400" s="30" t="inlineStr">
        <is>
          <t>Volume Spike &amp; Near 52W High Breakout</t>
        </is>
      </c>
      <c r="S400" s="30" t="inlineStr">
        <is>
          <t>Nifty 50</t>
        </is>
      </c>
      <c r="T400" s="31" t="n">
        <v>1.09</v>
      </c>
      <c r="U400" s="31" t="n">
        <v>12.51</v>
      </c>
      <c r="V400" s="31" t="n">
        <v>11.3</v>
      </c>
      <c r="W400" s="31" t="n">
        <v>4.36</v>
      </c>
      <c r="X400" s="30" t="inlineStr">
        <is>
          <t>Growing Industry</t>
        </is>
      </c>
      <c r="Y400" s="30">
        <f>IF(X400="Growing Industry",10,IF(X400="Cyclical in an Upturn",5,0))</f>
        <v/>
      </c>
      <c r="Z400" s="30" t="inlineStr">
        <is>
          <t>Oligopoly</t>
        </is>
      </c>
      <c r="AA400" s="30">
        <f>IF(Z400="Monopoly",10,IF(Z400="Oligopoly",5,IF(Z400="Duopoly that cooperate",10,IF(Z400="Duopoly that compete",5,IF(Z400="Too many players with High ROCE",5,0)))))</f>
        <v/>
      </c>
      <c r="AB400" s="30" t="inlineStr">
        <is>
          <t>No</t>
        </is>
      </c>
      <c r="AC400" s="30">
        <f>IF(AB400="No",5,0)</f>
        <v/>
      </c>
      <c r="AD400" s="30" t="inlineStr">
        <is>
          <t>Tailwind</t>
        </is>
      </c>
      <c r="AE400" s="30">
        <f>IF(AD400="Tailwind",10,0)</f>
        <v/>
      </c>
      <c r="AF400" s="30" t="inlineStr">
        <is>
          <t>Shallow Cyclical (2 to 3 Years Growth)</t>
        </is>
      </c>
      <c r="AG400" s="30">
        <f>IF(AF400="Structural (10 Years Consistency)",10,IF(AF400="Shallow Cyclical (2 to 3 years growth)",5,0))</f>
        <v/>
      </c>
      <c r="AH400" s="30" t="inlineStr">
        <is>
          <t>Yes due to Product Mix change or Operating Leverage</t>
        </is>
      </c>
      <c r="AI400" s="30">
        <f>IF(AH400="Yes due to Product Mix change or Operating Leverage",10,IF(AH400="Yes, these are peak margins",-5,IF(AH400="No",5,0)))</f>
        <v/>
      </c>
      <c r="AJ400" s="30" t="inlineStr">
        <is>
          <t>Volatile</t>
        </is>
      </c>
      <c r="AK400" s="30">
        <f>IF(AJ400="Stable",10,0)</f>
        <v/>
      </c>
      <c r="AL400" s="30" t="inlineStr">
        <is>
          <t>Yes</t>
        </is>
      </c>
      <c r="AM400" s="30">
        <f>IF(AL400="Yes",10,0)</f>
        <v/>
      </c>
      <c r="AN400" s="30" t="inlineStr">
        <is>
          <t>B2B</t>
        </is>
      </c>
      <c r="AO400" s="30">
        <f>IF(AN400="B2C",10,IF(AN400="B2B",5,0))</f>
        <v/>
      </c>
      <c r="AP400" s="30" t="inlineStr">
        <is>
          <t>Yes</t>
        </is>
      </c>
      <c r="AQ400" s="30">
        <f>IF(AP400="Yes",10,0)</f>
        <v/>
      </c>
      <c r="AR400" s="30" t="inlineStr">
        <is>
          <t>Higher One Time, Lower Annuity</t>
        </is>
      </c>
      <c r="AS400" s="30">
        <f>IF(AR400="Fully Annuity",10,IF(AR400="Higher Annuity, Lower One Time",5,IF(AR400="Higher One Time, Lower Annuity",3,0)))</f>
        <v/>
      </c>
      <c r="AT400" s="30" t="inlineStr">
        <is>
          <t>Allocated capital in Non-core Areas</t>
        </is>
      </c>
      <c r="AU400" s="30">
        <f>IF(AT400="Good",10,0)</f>
        <v/>
      </c>
      <c r="AV400" s="30" t="inlineStr">
        <is>
          <t>Yes for more than 2 years</t>
        </is>
      </c>
      <c r="AW400" s="30">
        <f>IF(AV400="Yes for more than 2 years",10,IF(AV400="Yes only for next 1 to 2 years",5,0))</f>
        <v/>
      </c>
      <c r="AX400" s="30" t="inlineStr">
        <is>
          <t>Above 40</t>
        </is>
      </c>
      <c r="AY400" s="30">
        <f>IF(AX400="Above 40",20,IF(AX400="20 to 40",10,IF(AX400="0 to 20",-5,0)))</f>
        <v/>
      </c>
      <c r="AZ400" s="30" t="inlineStr">
        <is>
          <t>Between 50 to 75</t>
        </is>
      </c>
      <c r="BA400" s="30">
        <f>IF(AZ400="Between 50 to 75",10,IF(AZ400="Above 75",0,0))</f>
        <v/>
      </c>
      <c r="BB400" s="30" t="inlineStr">
        <is>
          <t>Stage 3</t>
        </is>
      </c>
      <c r="BC400" s="30">
        <f>IF(BB400="Stage 2",20,IF(BB400="Stage 1",0,IF(BB400="Stage 3",5,IF(BB400="Stage 4",-5,0))))</f>
        <v/>
      </c>
      <c r="BD400" s="30" t="inlineStr">
        <is>
          <t>Negative Trend</t>
        </is>
      </c>
      <c r="BE400" s="30">
        <f>IF(BD400="Positive Trend",20,IF(BD400="Negative Trend",-10,0))</f>
        <v/>
      </c>
      <c r="BF400" s="30" t="inlineStr">
        <is>
          <t>Sideways</t>
        </is>
      </c>
      <c r="BG400" s="30">
        <f>IF(BF400="Uptrend",10,IF(BF400="Sideways",5,0))</f>
        <v/>
      </c>
      <c r="BH400" s="30" t="inlineStr">
        <is>
          <t>Uptrend</t>
        </is>
      </c>
      <c r="BI400" s="30">
        <f>IF(BH400="Uptrend",10,IF(BH400="Sideways",5,0))</f>
        <v/>
      </c>
      <c r="BJ400" s="30" t="inlineStr">
        <is>
          <t>Overhead supply in last 2 years in last 2 years</t>
        </is>
      </c>
      <c r="BK400" s="30">
        <f>IF(BJ400="Overhead supply in last 2 years in last 2 years",-5,IF(BJ400="Close to 52 week high or retracement",5,IF(BJ400="Blue sky scenario",10,IF(BJ400="Long term Downtrend",-10,0))))</f>
        <v/>
      </c>
      <c r="BL400" s="30" t="inlineStr">
        <is>
          <t>Yes</t>
        </is>
      </c>
      <c r="BM400" s="30">
        <f>IF(BL400="Yes",10,0)</f>
        <v/>
      </c>
      <c r="BN400" s="30" t="inlineStr">
        <is>
          <t>More than 20%</t>
        </is>
      </c>
      <c r="BO400" s="30">
        <f>IF(BN400="More than 20%",10,IF(BN400="Between 12 to 20%",5,IF(BN400="Less than 12%",0,0)))</f>
        <v/>
      </c>
      <c r="BP400" s="30" t="inlineStr">
        <is>
          <t>No</t>
        </is>
      </c>
      <c r="BQ400" s="30">
        <f>IF(BP400="No",10,0)</f>
        <v/>
      </c>
      <c r="BR400" s="30" t="inlineStr">
        <is>
          <t>No</t>
        </is>
      </c>
      <c r="BS400" s="30">
        <f>IF(BR400="NO",5,0)</f>
        <v/>
      </c>
      <c r="BT400" s="30" t="inlineStr">
        <is>
          <t>Less than 1.5</t>
        </is>
      </c>
      <c r="BU400" s="30">
        <f>IF(BT400="Above 2",0,IF(BT400="Between 1.5 to 2",5,IF(BT400="Less than 1.5",10,0)))</f>
        <v/>
      </c>
      <c r="BV400" s="30" t="inlineStr">
        <is>
          <t>Above 70%</t>
        </is>
      </c>
      <c r="BW400" s="30">
        <f>IF(BV400="Above 70%",10,IF(BV400="Between 50% to 70%",5,IF(BV400="Less than 50%",0,IF(BV400="Negative",-10,IF(BV400="Less than 50% and Borrowings are increasing",-5,0)))))</f>
        <v/>
      </c>
      <c r="BX400" s="30" t="inlineStr">
        <is>
          <t>Less than 0.7</t>
        </is>
      </c>
      <c r="BY400" s="30">
        <f>IF(BX400="More than 1.2",-10,IF(BX400="Between 0.7 to 1.2",0,IF(BX400="Less than 0.7",10,0)))</f>
        <v/>
      </c>
      <c r="BZ400" s="30" t="inlineStr">
        <is>
          <t>No</t>
        </is>
      </c>
      <c r="CA400" s="30">
        <f>IF(BZ400="Yes",-10,0)</f>
        <v/>
      </c>
      <c r="CB400" s="30" t="inlineStr">
        <is>
          <t>More than 15%</t>
        </is>
      </c>
      <c r="CC400" s="30">
        <f>IF(CB400="More than 15%",-10,IF(CB400="Less than 15%",10,0))</f>
        <v/>
      </c>
      <c r="CD400" s="30" t="inlineStr">
        <is>
          <t>Yes Upto 10%</t>
        </is>
      </c>
      <c r="CE400" s="30">
        <f>IF(CD400="Yes, more than 10%",-10,IF(CD400="No",10,0))</f>
        <v/>
      </c>
    </row>
    <row r="401">
      <c r="A401" s="30">
        <f>IF(B401=0,"",RANK(B401,$B$2:$B$405,0))</f>
        <v/>
      </c>
      <c r="B401" s="31">
        <f>SUM(N401,Y401,AA401,AC401,AE401,AG401,AI401,AK401,AM401,AO401,AQ401,AS401,AU401,AW401,AY401,BA401,BC401,BE401,BG401,BI401,BK401,BM401,BO401,BQ401,BS401,BU401,BW401,BY401,CA401,CC401,CE401)</f>
        <v/>
      </c>
      <c r="C401" s="32" t="inlineStr">
        <is>
          <t>BIL</t>
        </is>
      </c>
      <c r="D401" s="32" t="inlineStr">
        <is>
          <t>Bhartiya International Limited</t>
        </is>
      </c>
      <c r="E401" s="30" t="inlineStr">
        <is>
          <t>consumer discretionary</t>
        </is>
      </c>
      <c r="F401" s="30" t="inlineStr">
        <is>
          <t>leather / leather products</t>
        </is>
      </c>
      <c r="G401" s="30" t="inlineStr">
        <is>
          <t>smallcap</t>
        </is>
      </c>
      <c r="H401" s="31" t="n">
        <v>1083.76</v>
      </c>
      <c r="I401" s="31" t="n">
        <v>815</v>
      </c>
      <c r="J401" s="31" t="n">
        <v>0.85</v>
      </c>
      <c r="K401" s="31" t="n">
        <v>3594</v>
      </c>
      <c r="L401" s="30" t="n">
        <v>11</v>
      </c>
      <c r="M401" s="30" t="inlineStr">
        <is>
          <t>Underperforming</t>
        </is>
      </c>
      <c r="N401" s="31">
        <f>IF(M401="Underperforming",-5,IF(L401&gt;=95,15,IF(L401&gt;=90,10,IF(L401&gt;=80,5,0))))</f>
        <v/>
      </c>
      <c r="O401" s="31" t="n">
        <v>55.91</v>
      </c>
      <c r="P401" s="31" t="n">
        <v>13.34</v>
      </c>
      <c r="Q401" s="31" t="n">
        <v>558.65</v>
      </c>
      <c r="R401" s="30" t="inlineStr">
        <is>
          <t>Earnings / Momentum Support</t>
        </is>
      </c>
      <c r="S401" s="30" t="inlineStr">
        <is>
          <t>Nifty 50</t>
        </is>
      </c>
      <c r="T401" s="31" t="n">
        <v>1.09</v>
      </c>
      <c r="U401" s="31" t="n">
        <v>-5.45</v>
      </c>
      <c r="V401" s="31" t="n">
        <v>-6.46</v>
      </c>
      <c r="W401" s="31" t="n">
        <v>1.6</v>
      </c>
      <c r="X401" s="30" t="inlineStr">
        <is>
          <t>Growing Industry</t>
        </is>
      </c>
      <c r="Y401" s="30">
        <f>IF(X401="Growing Industry",10,IF(X401="Cyclical in an Upturn",5,0))</f>
        <v/>
      </c>
      <c r="Z401" s="30" t="inlineStr">
        <is>
          <t>Too Many Players with High ROCE</t>
        </is>
      </c>
      <c r="AA401" s="30">
        <f>IF(Z401="Monopoly",10,IF(Z401="Oligopoly",5,IF(Z401="Duopoly that cooperate",10,IF(Z401="Duopoly that compete",5,IF(Z401="Too many players with High ROCE",5,0)))))</f>
        <v/>
      </c>
      <c r="AB401" s="30" t="inlineStr">
        <is>
          <t>No</t>
        </is>
      </c>
      <c r="AC401" s="30">
        <f>IF(AB401="No",5,0)</f>
        <v/>
      </c>
      <c r="AD401" s="30" t="inlineStr">
        <is>
          <t>Headwind</t>
        </is>
      </c>
      <c r="AE401" s="30">
        <f>IF(AD401="Tailwind",10,0)</f>
        <v/>
      </c>
      <c r="AF401" s="30" t="inlineStr">
        <is>
          <t>Structural (10 Years Consistency)</t>
        </is>
      </c>
      <c r="AG401" s="30">
        <f>IF(AF401="Structural (10 Years Consistency)",10,IF(AF401="Shallow Cyclical (2 to 3 years growth)",5,0))</f>
        <v/>
      </c>
      <c r="AH401" s="30" t="inlineStr">
        <is>
          <t>No</t>
        </is>
      </c>
      <c r="AI401" s="30">
        <f>IF(AH401="Yes due to Product Mix change or Operating Leverage",10,IF(AH401="Yes, these are peak margins",-5,IF(AH401="No",5,0)))</f>
        <v/>
      </c>
      <c r="AJ401" s="30" t="inlineStr">
        <is>
          <t>Stable</t>
        </is>
      </c>
      <c r="AK401" s="30">
        <f>IF(AJ401="Stable",10,0)</f>
        <v/>
      </c>
      <c r="AL401" s="30" t="inlineStr">
        <is>
          <t>Yes</t>
        </is>
      </c>
      <c r="AM401" s="30">
        <f>IF(AL401="Yes",10,0)</f>
        <v/>
      </c>
      <c r="AN401" s="30" t="inlineStr">
        <is>
          <t>B2B</t>
        </is>
      </c>
      <c r="AO401" s="30">
        <f>IF(AN401="B2C",10,IF(AN401="B2B",5,0))</f>
        <v/>
      </c>
      <c r="AP401" s="30" t="inlineStr">
        <is>
          <t>No</t>
        </is>
      </c>
      <c r="AQ401" s="30">
        <f>IF(AP401="Yes",10,0)</f>
        <v/>
      </c>
      <c r="AR401" s="30" t="inlineStr">
        <is>
          <t>Higher One Time, Lower Annuity</t>
        </is>
      </c>
      <c r="AS401" s="30">
        <f>IF(AR401="Fully Annuity",10,IF(AR401="Higher Annuity, Lower One Time",5,IF(AR401="Higher One Time, Lower Annuity",3,0)))</f>
        <v/>
      </c>
      <c r="AT401" s="30" t="inlineStr">
        <is>
          <t>Good</t>
        </is>
      </c>
      <c r="AU401" s="30">
        <f>IF(AT401="Good",10,0)</f>
        <v/>
      </c>
      <c r="AV401" s="30" t="inlineStr">
        <is>
          <t>Yes for more than 2 years</t>
        </is>
      </c>
      <c r="AW401" s="30">
        <f>IF(AV401="Yes for more than 2 years",10,IF(AV401="Yes only for next 1 to 2 years",5,0))</f>
        <v/>
      </c>
      <c r="AX401" s="30" t="inlineStr">
        <is>
          <t>0 to 20</t>
        </is>
      </c>
      <c r="AY401" s="30">
        <f>IF(AX401="Above 40",20,IF(AX401="20 to 40",10,IF(AX401="0 to 20",-5,0)))</f>
        <v/>
      </c>
      <c r="AZ401" s="30" t="inlineStr">
        <is>
          <t>Between 50 to 75</t>
        </is>
      </c>
      <c r="BA401" s="30">
        <f>IF(AZ401="Between 50 to 75",10,IF(AZ401="Above 75",0,0))</f>
        <v/>
      </c>
      <c r="BB401" s="30" t="inlineStr">
        <is>
          <t>Stage 1</t>
        </is>
      </c>
      <c r="BC401" s="30">
        <f>IF(BB401="Stage 2",20,IF(BB401="Stage 1",0,IF(BB401="Stage 3",5,IF(BB401="Stage 4",-5,0))))</f>
        <v/>
      </c>
      <c r="BD401" s="30" t="inlineStr">
        <is>
          <t>Positive Trend</t>
        </is>
      </c>
      <c r="BE401" s="30">
        <f>IF(BD401="Positive Trend",20,IF(BD401="Negative Trend",-10,0))</f>
        <v/>
      </c>
      <c r="BF401" s="30" t="inlineStr">
        <is>
          <t>Uptrend</t>
        </is>
      </c>
      <c r="BG401" s="30">
        <f>IF(BF401="Uptrend",10,IF(BF401="Sideways",5,0))</f>
        <v/>
      </c>
      <c r="BH401" s="30" t="inlineStr">
        <is>
          <t>Uptrend</t>
        </is>
      </c>
      <c r="BI401" s="30">
        <f>IF(BH401="Uptrend",10,IF(BH401="Sideways",5,0))</f>
        <v/>
      </c>
      <c r="BJ401" s="30" t="inlineStr">
        <is>
          <t>Close to 52 week high or retracement</t>
        </is>
      </c>
      <c r="BK401" s="30">
        <f>IF(BJ401="Overhead supply in last 2 years in last 2 years",-5,IF(BJ401="Close to 52 week high or retracement",5,IF(BJ401="Blue sky scenario",10,IF(BJ401="Long term Downtrend",-10,0))))</f>
        <v/>
      </c>
      <c r="BL401" s="30" t="inlineStr">
        <is>
          <t>Yes</t>
        </is>
      </c>
      <c r="BM401" s="30">
        <f>IF(BL401="Yes",10,0)</f>
        <v/>
      </c>
      <c r="BN401" s="30" t="inlineStr">
        <is>
          <t>More than 20%</t>
        </is>
      </c>
      <c r="BO401" s="30">
        <f>IF(BN401="More than 20%",10,IF(BN401="Between 12 to 20%",5,IF(BN401="Less than 12%",0,0)))</f>
        <v/>
      </c>
      <c r="BP401" s="30" t="inlineStr">
        <is>
          <t>No</t>
        </is>
      </c>
      <c r="BQ401" s="30">
        <f>IF(BP401="No",10,0)</f>
        <v/>
      </c>
      <c r="BR401" s="30" t="inlineStr">
        <is>
          <t>Yes</t>
        </is>
      </c>
      <c r="BS401" s="30">
        <f>IF(BR401="NO",5,0)</f>
        <v/>
      </c>
      <c r="BT401" s="30" t="inlineStr">
        <is>
          <t>Above 2</t>
        </is>
      </c>
      <c r="BU401" s="30">
        <f>IF(BT401="Above 2",0,IF(BT401="Between 1.5 to 2",5,IF(BT401="Less than 1.5",10,0)))</f>
        <v/>
      </c>
      <c r="BV401" s="30" t="inlineStr">
        <is>
          <t>Less than 50% and Borrowings are increasing</t>
        </is>
      </c>
      <c r="BW401" s="30">
        <f>IF(BV401="Above 70%",10,IF(BV401="Between 50% to 70%",5,IF(BV401="Less than 50%",0,IF(BV401="Negative",-10,IF(BV401="Less than 50% and Borrowings are increasing",-5,0)))))</f>
        <v/>
      </c>
      <c r="BX401" s="30" t="inlineStr">
        <is>
          <t>Between 0.7 to 1.2</t>
        </is>
      </c>
      <c r="BY401" s="30">
        <f>IF(BX401="More than 1.2",-10,IF(BX401="Between 0.7 to 1.2",0,IF(BX401="Less than 0.7",10,0)))</f>
        <v/>
      </c>
      <c r="BZ401" s="30" t="inlineStr">
        <is>
          <t>No</t>
        </is>
      </c>
      <c r="CA401" s="30">
        <f>IF(BZ401="Yes",-10,0)</f>
        <v/>
      </c>
      <c r="CB401" s="30" t="inlineStr">
        <is>
          <t>Less than 15%</t>
        </is>
      </c>
      <c r="CC401" s="30">
        <f>IF(CB401="More than 15%",-10,IF(CB401="Less than 15%",10,0))</f>
        <v/>
      </c>
      <c r="CD401" s="30" t="inlineStr">
        <is>
          <t>No</t>
        </is>
      </c>
      <c r="CE401" s="30">
        <f>IF(CD401="Yes, more than 10%",-10,IF(CD401="No",10,0))</f>
        <v/>
      </c>
    </row>
    <row r="402">
      <c r="A402" s="30">
        <f>IF(B402=0,"",RANK(B402,$B$2:$B$405,0))</f>
        <v/>
      </c>
      <c r="B402" s="31">
        <f>SUM(N402,Y402,AA402,AC402,AE402,AG402,AI402,AK402,AM402,AO402,AQ402,AS402,AU402,AW402,AY402,BA402,BC402,BE402,BG402,BI402,BK402,BM402,BO402,BQ402,BS402,BU402,BW402,BY402,CA402,CC402,CE402)</f>
        <v/>
      </c>
      <c r="C402" s="30" t="inlineStr">
        <is>
          <t>GUJALKALI</t>
        </is>
      </c>
      <c r="D402" s="30" t="inlineStr">
        <is>
          <t>Gujarat Alkalies And Chemicals Limited</t>
        </is>
      </c>
      <c r="E402" s="30" t="inlineStr">
        <is>
          <t>chemicals</t>
        </is>
      </c>
      <c r="F402" s="30" t="inlineStr">
        <is>
          <t>chemicals</t>
        </is>
      </c>
      <c r="G402" s="30" t="inlineStr">
        <is>
          <t>smallcap</t>
        </is>
      </c>
      <c r="H402" s="31" t="n">
        <v>4974.25</v>
      </c>
      <c r="I402" s="31" t="n">
        <v>680.8</v>
      </c>
      <c r="J402" s="31" t="n">
        <v>0.51</v>
      </c>
      <c r="K402" s="31" t="n">
        <v>81514</v>
      </c>
      <c r="L402" s="30" t="n">
        <v>27</v>
      </c>
      <c r="M402" s="30" t="inlineStr">
        <is>
          <t>Outperforming</t>
        </is>
      </c>
      <c r="N402" s="31">
        <f>IF(M402="Underperforming",-5,IF(L402&gt;=95,15,IF(L402&gt;=90,10,IF(L402&gt;=80,5,0))))</f>
        <v/>
      </c>
      <c r="O402" s="31" t="n">
        <v>59.53</v>
      </c>
      <c r="P402" s="31" t="n">
        <v>31.82</v>
      </c>
      <c r="Q402" s="31" t="n">
        <v>567.83</v>
      </c>
      <c r="R402" s="30" t="inlineStr">
        <is>
          <t>Earnings / Momentum Support</t>
        </is>
      </c>
      <c r="S402" s="30" t="inlineStr">
        <is>
          <t>Nifty 50</t>
        </is>
      </c>
      <c r="T402" s="31" t="n">
        <v>1.09</v>
      </c>
      <c r="U402" s="31" t="n">
        <v>21.7</v>
      </c>
      <c r="V402" s="31" t="n">
        <v>20.4</v>
      </c>
      <c r="W402" s="31" t="n">
        <v>5.09</v>
      </c>
      <c r="X402" s="30" t="inlineStr">
        <is>
          <t>Growing Industry</t>
        </is>
      </c>
      <c r="Y402" s="30">
        <f>IF(X402="Growing Industry",10,IF(X402="Cyclical in an Upturn",5,0))</f>
        <v/>
      </c>
      <c r="Z402" s="30" t="inlineStr">
        <is>
          <t>Oligopoly</t>
        </is>
      </c>
      <c r="AA402" s="30">
        <f>IF(Z402="Monopoly",10,IF(Z402="Oligopoly",5,IF(Z402="Duopoly that cooperate",10,IF(Z402="Duopoly that compete",5,IF(Z402="Too many players with High ROCE",5,0)))))</f>
        <v/>
      </c>
      <c r="AB402" s="30" t="inlineStr">
        <is>
          <t>No</t>
        </is>
      </c>
      <c r="AC402" s="30">
        <f>IF(AB402="No",5,0)</f>
        <v/>
      </c>
      <c r="AD402" s="30" t="inlineStr">
        <is>
          <t>Tailwind</t>
        </is>
      </c>
      <c r="AE402" s="30">
        <f>IF(AD402="Tailwind",10,0)</f>
        <v/>
      </c>
      <c r="AF402" s="30" t="inlineStr">
        <is>
          <t>Shallow Cyclical (2 to 3 Years Growth)</t>
        </is>
      </c>
      <c r="AG402" s="30">
        <f>IF(AF402="Structural (10 Years Consistency)",10,IF(AF402="Shallow Cyclical (2 to 3 years growth)",5,0))</f>
        <v/>
      </c>
      <c r="AH402" s="30" t="inlineStr">
        <is>
          <t>Yes due to Product Mix change or Operating Leverage</t>
        </is>
      </c>
      <c r="AI402" s="30">
        <f>IF(AH402="Yes due to Product Mix change or Operating Leverage",10,IF(AH402="Yes, these are peak margins",-5,IF(AH402="No",5,0)))</f>
        <v/>
      </c>
      <c r="AJ402" s="30" t="inlineStr">
        <is>
          <t>Volatile</t>
        </is>
      </c>
      <c r="AK402" s="30">
        <f>IF(AJ402="Stable",10,0)</f>
        <v/>
      </c>
      <c r="AL402" s="30" t="inlineStr">
        <is>
          <t>Yes</t>
        </is>
      </c>
      <c r="AM402" s="30">
        <f>IF(AL402="Yes",10,0)</f>
        <v/>
      </c>
      <c r="AN402" s="30" t="inlineStr">
        <is>
          <t>B2B</t>
        </is>
      </c>
      <c r="AO402" s="30">
        <f>IF(AN402="B2C",10,IF(AN402="B2B",5,0))</f>
        <v/>
      </c>
      <c r="AP402" s="30" t="inlineStr">
        <is>
          <t>Yes</t>
        </is>
      </c>
      <c r="AQ402" s="30">
        <f>IF(AP402="Yes",10,0)</f>
        <v/>
      </c>
      <c r="AR402" s="30" t="inlineStr">
        <is>
          <t>Higher One Time, Lower Annuity</t>
        </is>
      </c>
      <c r="AS402" s="30">
        <f>IF(AR402="Fully Annuity",10,IF(AR402="Higher Annuity, Lower One Time",5,IF(AR402="Higher One Time, Lower Annuity",3,0)))</f>
        <v/>
      </c>
      <c r="AT402" s="30" t="inlineStr">
        <is>
          <t>Allocated capital in Non-core Areas</t>
        </is>
      </c>
      <c r="AU402" s="30">
        <f>IF(AT402="Good",10,0)</f>
        <v/>
      </c>
      <c r="AV402" s="30" t="inlineStr">
        <is>
          <t>Yes for more than 2 years</t>
        </is>
      </c>
      <c r="AW402" s="30">
        <f>IF(AV402="Yes for more than 2 years",10,IF(AV402="Yes only for next 1 to 2 years",5,0))</f>
        <v/>
      </c>
      <c r="AX402" s="30" t="inlineStr">
        <is>
          <t>Above 40</t>
        </is>
      </c>
      <c r="AY402" s="30">
        <f>IF(AX402="Above 40",20,IF(AX402="20 to 40",10,IF(AX402="0 to 20",-5,0)))</f>
        <v/>
      </c>
      <c r="AZ402" s="30" t="inlineStr">
        <is>
          <t>Between 50 to 75</t>
        </is>
      </c>
      <c r="BA402" s="30">
        <f>IF(AZ402="Between 50 to 75",10,IF(AZ402="Above 75",0,0))</f>
        <v/>
      </c>
      <c r="BB402" s="30" t="inlineStr">
        <is>
          <t>Stage 3</t>
        </is>
      </c>
      <c r="BC402" s="30">
        <f>IF(BB402="Stage 2",20,IF(BB402="Stage 1",0,IF(BB402="Stage 3",5,IF(BB402="Stage 4",-5,0))))</f>
        <v/>
      </c>
      <c r="BD402" s="30" t="inlineStr">
        <is>
          <t>Negative Trend</t>
        </is>
      </c>
      <c r="BE402" s="30">
        <f>IF(BD402="Positive Trend",20,IF(BD402="Negative Trend",-10,0))</f>
        <v/>
      </c>
      <c r="BF402" s="30" t="inlineStr">
        <is>
          <t>Sideways</t>
        </is>
      </c>
      <c r="BG402" s="30">
        <f>IF(BF402="Uptrend",10,IF(BF402="Sideways",5,0))</f>
        <v/>
      </c>
      <c r="BH402" s="30" t="inlineStr">
        <is>
          <t>Uptrend</t>
        </is>
      </c>
      <c r="BI402" s="30">
        <f>IF(BH402="Uptrend",10,IF(BH402="Sideways",5,0))</f>
        <v/>
      </c>
      <c r="BJ402" s="30" t="inlineStr">
        <is>
          <t>Overhead supply in last 2 years in last 2 years</t>
        </is>
      </c>
      <c r="BK402" s="30">
        <f>IF(BJ402="Overhead supply in last 2 years in last 2 years",-5,IF(BJ402="Close to 52 week high or retracement",5,IF(BJ402="Blue sky scenario",10,IF(BJ402="Long term Downtrend",-10,0))))</f>
        <v/>
      </c>
      <c r="BL402" s="30" t="inlineStr">
        <is>
          <t>Yes</t>
        </is>
      </c>
      <c r="BM402" s="30">
        <f>IF(BL402="Yes",10,0)</f>
        <v/>
      </c>
      <c r="BN402" s="30" t="inlineStr">
        <is>
          <t>More than 20%</t>
        </is>
      </c>
      <c r="BO402" s="30">
        <f>IF(BN402="More than 20%",10,IF(BN402="Between 12 to 20%",5,IF(BN402="Less than 12%",0,0)))</f>
        <v/>
      </c>
      <c r="BP402" s="30" t="inlineStr">
        <is>
          <t>No</t>
        </is>
      </c>
      <c r="BQ402" s="30">
        <f>IF(BP402="No",10,0)</f>
        <v/>
      </c>
      <c r="BR402" s="30" t="inlineStr">
        <is>
          <t>No</t>
        </is>
      </c>
      <c r="BS402" s="30">
        <f>IF(BR402="NO",5,0)</f>
        <v/>
      </c>
      <c r="BT402" s="30" t="inlineStr">
        <is>
          <t>Less than 1.5</t>
        </is>
      </c>
      <c r="BU402" s="30">
        <f>IF(BT402="Above 2",0,IF(BT402="Between 1.5 to 2",5,IF(BT402="Less than 1.5",10,0)))</f>
        <v/>
      </c>
      <c r="BV402" s="30" t="inlineStr">
        <is>
          <t>Above 70%</t>
        </is>
      </c>
      <c r="BW402" s="30">
        <f>IF(BV402="Above 70%",10,IF(BV402="Between 50% to 70%",5,IF(BV402="Less than 50%",0,IF(BV402="Negative",-10,IF(BV402="Less than 50% and Borrowings are increasing",-5,0)))))</f>
        <v/>
      </c>
      <c r="BX402" s="30" t="inlineStr">
        <is>
          <t>Less than 0.7</t>
        </is>
      </c>
      <c r="BY402" s="30">
        <f>IF(BX402="More than 1.2",-10,IF(BX402="Between 0.7 to 1.2",0,IF(BX402="Less than 0.7",10,0)))</f>
        <v/>
      </c>
      <c r="BZ402" s="30" t="inlineStr">
        <is>
          <t>No</t>
        </is>
      </c>
      <c r="CA402" s="30">
        <f>IF(BZ402="Yes",-10,0)</f>
        <v/>
      </c>
      <c r="CB402" s="30" t="inlineStr">
        <is>
          <t>More than 15%</t>
        </is>
      </c>
      <c r="CC402" s="30">
        <f>IF(CB402="More than 15%",-10,IF(CB402="Less than 15%",10,0))</f>
        <v/>
      </c>
      <c r="CD402" s="30" t="inlineStr">
        <is>
          <t>Yes Upto 10%</t>
        </is>
      </c>
      <c r="CE402" s="30">
        <f>IF(CD402="Yes, more than 10%",-10,IF(CD402="No",10,0))</f>
        <v/>
      </c>
    </row>
    <row r="403">
      <c r="A403" s="30">
        <f>IF(B403=0,"",RANK(B403,$B$2:$B$405,0))</f>
        <v/>
      </c>
      <c r="B403" s="31">
        <f>SUM(N403,Y403,AA403,AC403,AE403,AG403,AI403,AK403,AM403,AO403,AQ403,AS403,AU403,AW403,AY403,BA403,BC403,BE403,BG403,BI403,BK403,BM403,BO403,BQ403,BS403,BU403,BW403,BY403,CA403,CC403,CE403)</f>
        <v/>
      </c>
      <c r="C403" s="32" t="inlineStr">
        <is>
          <t>CEATLTD</t>
        </is>
      </c>
      <c r="D403" s="32" t="inlineStr">
        <is>
          <t>Ceat Limited</t>
        </is>
      </c>
      <c r="E403" s="30" t="inlineStr">
        <is>
          <t>auto</t>
        </is>
      </c>
      <c r="F403" s="30" t="inlineStr">
        <is>
          <t>tyres</t>
        </is>
      </c>
      <c r="G403" s="30" t="inlineStr">
        <is>
          <t>midcap</t>
        </is>
      </c>
      <c r="H403" s="31" t="n">
        <v>14980.69</v>
      </c>
      <c r="I403" s="31" t="n">
        <v>3755.4</v>
      </c>
      <c r="J403" s="31" t="n">
        <v>1.4</v>
      </c>
      <c r="K403" s="31" t="n">
        <v>98294</v>
      </c>
      <c r="L403" s="30" t="n">
        <v>24</v>
      </c>
      <c r="M403" s="30" t="inlineStr">
        <is>
          <t>Underperforming</t>
        </is>
      </c>
      <c r="N403" s="31">
        <f>IF(M403="Underperforming",-5,IF(L403&gt;=95,15,IF(L403&gt;=90,10,IF(L403&gt;=80,5,0))))</f>
        <v/>
      </c>
      <c r="O403" s="31" t="n">
        <v>56.2</v>
      </c>
      <c r="P403" s="31" t="n">
        <v>7</v>
      </c>
      <c r="Q403" s="31" t="n">
        <v>2999.21</v>
      </c>
      <c r="R403" s="30" t="inlineStr">
        <is>
          <t>Earnings / Momentum Support</t>
        </is>
      </c>
      <c r="S403" s="30" t="inlineStr">
        <is>
          <t>Nifty Auto</t>
        </is>
      </c>
      <c r="T403" s="31" t="n">
        <v>22.44</v>
      </c>
      <c r="U403" s="31" t="n">
        <v>12.66</v>
      </c>
      <c r="V403" s="31" t="n">
        <v>-7.99</v>
      </c>
      <c r="W403" s="31" t="n">
        <v>4.78</v>
      </c>
      <c r="X403" s="30" t="inlineStr">
        <is>
          <t>Growing Industry</t>
        </is>
      </c>
      <c r="Y403" s="30">
        <f>IF(X403="Growing Industry",10,IF(X403="Cyclical in an Upturn",5,0))</f>
        <v/>
      </c>
      <c r="Z403" s="30" t="inlineStr">
        <is>
          <t>Too Many Players with High ROCE</t>
        </is>
      </c>
      <c r="AA403" s="30">
        <f>IF(Z403="Monopoly",10,IF(Z403="Oligopoly",5,IF(Z403="Duopoly that cooperate",10,IF(Z403="Duopoly that compete",5,IF(Z403="Too many players with High ROCE",5,0)))))</f>
        <v/>
      </c>
      <c r="AB403" s="30" t="inlineStr">
        <is>
          <t>No</t>
        </is>
      </c>
      <c r="AC403" s="30">
        <f>IF(AB403="No",5,0)</f>
        <v/>
      </c>
      <c r="AD403" s="30" t="inlineStr">
        <is>
          <t>Headwind</t>
        </is>
      </c>
      <c r="AE403" s="30">
        <f>IF(AD403="Tailwind",10,0)</f>
        <v/>
      </c>
      <c r="AF403" s="30" t="inlineStr">
        <is>
          <t>Structural (10 Years Consistency)</t>
        </is>
      </c>
      <c r="AG403" s="30">
        <f>IF(AF403="Structural (10 Years Consistency)",10,IF(AF403="Shallow Cyclical (2 to 3 years growth)",5,0))</f>
        <v/>
      </c>
      <c r="AH403" s="30" t="inlineStr">
        <is>
          <t>No</t>
        </is>
      </c>
      <c r="AI403" s="30">
        <f>IF(AH403="Yes due to Product Mix change or Operating Leverage",10,IF(AH403="Yes, these are peak margins",-5,IF(AH403="No",5,0)))</f>
        <v/>
      </c>
      <c r="AJ403" s="30" t="inlineStr">
        <is>
          <t>Stable</t>
        </is>
      </c>
      <c r="AK403" s="30">
        <f>IF(AJ403="Stable",10,0)</f>
        <v/>
      </c>
      <c r="AL403" s="30" t="inlineStr">
        <is>
          <t>Yes</t>
        </is>
      </c>
      <c r="AM403" s="30">
        <f>IF(AL403="Yes",10,0)</f>
        <v/>
      </c>
      <c r="AN403" s="30" t="inlineStr">
        <is>
          <t>B2B</t>
        </is>
      </c>
      <c r="AO403" s="30">
        <f>IF(AN403="B2C",10,IF(AN403="B2B",5,0))</f>
        <v/>
      </c>
      <c r="AP403" s="30" t="inlineStr">
        <is>
          <t>No</t>
        </is>
      </c>
      <c r="AQ403" s="30">
        <f>IF(AP403="Yes",10,0)</f>
        <v/>
      </c>
      <c r="AR403" s="30" t="inlineStr">
        <is>
          <t>Higher One Time, Lower Annuity</t>
        </is>
      </c>
      <c r="AS403" s="30">
        <f>IF(AR403="Fully Annuity",10,IF(AR403="Higher Annuity, Lower One Time",5,IF(AR403="Higher One Time, Lower Annuity",3,0)))</f>
        <v/>
      </c>
      <c r="AT403" s="30" t="inlineStr">
        <is>
          <t>Good</t>
        </is>
      </c>
      <c r="AU403" s="30">
        <f>IF(AT403="Good",10,0)</f>
        <v/>
      </c>
      <c r="AV403" s="30" t="inlineStr">
        <is>
          <t>Yes for more than 2 years</t>
        </is>
      </c>
      <c r="AW403" s="30">
        <f>IF(AV403="Yes for more than 2 years",10,IF(AV403="Yes only for next 1 to 2 years",5,0))</f>
        <v/>
      </c>
      <c r="AX403" s="30" t="inlineStr">
        <is>
          <t>0 to 20</t>
        </is>
      </c>
      <c r="AY403" s="30">
        <f>IF(AX403="Above 40",20,IF(AX403="20 to 40",10,IF(AX403="0 to 20",-5,0)))</f>
        <v/>
      </c>
      <c r="AZ403" s="30" t="inlineStr">
        <is>
          <t>Between 50 to 75</t>
        </is>
      </c>
      <c r="BA403" s="30">
        <f>IF(AZ403="Between 50 to 75",10,IF(AZ403="Above 75",0,0))</f>
        <v/>
      </c>
      <c r="BB403" s="30" t="inlineStr">
        <is>
          <t>Stage 1</t>
        </is>
      </c>
      <c r="BC403" s="30">
        <f>IF(BB403="Stage 2",20,IF(BB403="Stage 1",0,IF(BB403="Stage 3",5,IF(BB403="Stage 4",-5,0))))</f>
        <v/>
      </c>
      <c r="BD403" s="30" t="inlineStr">
        <is>
          <t>Negative Trend</t>
        </is>
      </c>
      <c r="BE403" s="30">
        <f>IF(BD403="Positive Trend",20,IF(BD403="Negative Trend",-10,0))</f>
        <v/>
      </c>
      <c r="BF403" s="30" t="inlineStr">
        <is>
          <t>Uptrend</t>
        </is>
      </c>
      <c r="BG403" s="30">
        <f>IF(BF403="Uptrend",10,IF(BF403="Sideways",5,0))</f>
        <v/>
      </c>
      <c r="BH403" s="30" t="inlineStr">
        <is>
          <t>Uptrend</t>
        </is>
      </c>
      <c r="BI403" s="30">
        <f>IF(BH403="Uptrend",10,IF(BH403="Sideways",5,0))</f>
        <v/>
      </c>
      <c r="BJ403" s="30" t="inlineStr">
        <is>
          <t>Close to 52 week high or retracement</t>
        </is>
      </c>
      <c r="BK403" s="30">
        <f>IF(BJ403="Overhead supply in last 2 years in last 2 years",-5,IF(BJ403="Close to 52 week high or retracement",5,IF(BJ403="Blue sky scenario",10,IF(BJ403="Long term Downtrend",-10,0))))</f>
        <v/>
      </c>
      <c r="BL403" s="30" t="inlineStr">
        <is>
          <t>Yes</t>
        </is>
      </c>
      <c r="BM403" s="30">
        <f>IF(BL403="Yes",10,0)</f>
        <v/>
      </c>
      <c r="BN403" s="30" t="inlineStr">
        <is>
          <t>Less than 12%</t>
        </is>
      </c>
      <c r="BO403" s="30">
        <f>IF(BN403="More than 20%",10,IF(BN403="Between 12 to 20%",5,IF(BN403="Less than 12%",0,0)))</f>
        <v/>
      </c>
      <c r="BP403" s="30" t="inlineStr">
        <is>
          <t>No</t>
        </is>
      </c>
      <c r="BQ403" s="30">
        <f>IF(BP403="No",10,0)</f>
        <v/>
      </c>
      <c r="BR403" s="30" t="inlineStr">
        <is>
          <t>No</t>
        </is>
      </c>
      <c r="BS403" s="30">
        <f>IF(BR403="NO",5,0)</f>
        <v/>
      </c>
      <c r="BT403" s="30" t="inlineStr">
        <is>
          <t>Above 2</t>
        </is>
      </c>
      <c r="BU403" s="30">
        <f>IF(BT403="Above 2",0,IF(BT403="Between 1.5 to 2",5,IF(BT403="Less than 1.5",10,0)))</f>
        <v/>
      </c>
      <c r="BV403" s="30" t="inlineStr">
        <is>
          <t>Above 70%</t>
        </is>
      </c>
      <c r="BW403" s="30">
        <f>IF(BV403="Above 70%",10,IF(BV403="Between 50% to 70%",5,IF(BV403="Less than 50%",0,IF(BV403="Negative",-10,IF(BV403="Less than 50% and Borrowings are increasing",-5,0)))))</f>
        <v/>
      </c>
      <c r="BX403" s="30" t="inlineStr">
        <is>
          <t>Less than 0.7</t>
        </is>
      </c>
      <c r="BY403" s="30">
        <f>IF(BX403="More than 1.2",-10,IF(BX403="Between 0.7 to 1.2",0,IF(BX403="Less than 0.7",10,0)))</f>
        <v/>
      </c>
      <c r="BZ403" s="30" t="inlineStr">
        <is>
          <t>No</t>
        </is>
      </c>
      <c r="CA403" s="30">
        <f>IF(BZ403="Yes",-10,0)</f>
        <v/>
      </c>
      <c r="CB403" s="30" t="inlineStr">
        <is>
          <t>Less than 15%</t>
        </is>
      </c>
      <c r="CC403" s="30">
        <f>IF(CB403="More than 15%",-10,IF(CB403="Less than 15%",10,0))</f>
        <v/>
      </c>
      <c r="CD403" s="30" t="inlineStr">
        <is>
          <t>No</t>
        </is>
      </c>
      <c r="CE403" s="30">
        <f>IF(CD403="Yes, more than 10%",-10,IF(CD403="No",10,0))</f>
        <v/>
      </c>
    </row>
    <row r="404">
      <c r="A404" s="30">
        <f>IF(B404=0,"",RANK(B404,$B$2:$B$405,0))</f>
        <v/>
      </c>
      <c r="B404" s="31">
        <f>SUM(N404,Y404,AA404,AC404,AE404,AG404,AI404,AK404,AM404,AO404,AQ404,AS404,AU404,AW404,AY404,BA404,BC404,BE404,BG404,BI404,BK404,BM404,BO404,BQ404,BS404,BU404,BW404,BY404,CA404,CC404,CE404)</f>
        <v/>
      </c>
      <c r="C404" s="32" t="inlineStr">
        <is>
          <t>NAVA</t>
        </is>
      </c>
      <c r="D404" s="32" t="inlineStr">
        <is>
          <t>Nava Ltd</t>
        </is>
      </c>
      <c r="E404" s="30" t="inlineStr">
        <is>
          <t>miscellaneous</t>
        </is>
      </c>
      <c r="F404" s="30" t="inlineStr">
        <is>
          <t>diversified - large</t>
        </is>
      </c>
      <c r="G404" s="30" t="inlineStr">
        <is>
          <t>midcap</t>
        </is>
      </c>
      <c r="H404" s="31" t="n">
        <v>16485.45</v>
      </c>
      <c r="I404" s="31" t="n">
        <v>594.2</v>
      </c>
      <c r="J404" s="31" t="n">
        <v>2.1</v>
      </c>
      <c r="K404" s="31" t="n">
        <v>401369</v>
      </c>
      <c r="L404" s="30" t="n">
        <v>1</v>
      </c>
      <c r="M404" s="30" t="inlineStr">
        <is>
          <t>Underperforming</t>
        </is>
      </c>
      <c r="N404" s="31">
        <f>IF(M404="Underperforming",-5,IF(L404&gt;=95,15,IF(L404&gt;=90,10,IF(L404&gt;=80,5,0))))</f>
        <v/>
      </c>
      <c r="O404" s="31" t="n">
        <v>48.25</v>
      </c>
      <c r="P404" s="31" t="n">
        <v>19.48</v>
      </c>
      <c r="Q404" s="31" t="n">
        <v>589.35</v>
      </c>
      <c r="R404" s="30" t="inlineStr">
        <is>
          <t>Earnings / Momentum Support</t>
        </is>
      </c>
      <c r="S404" s="30" t="inlineStr">
        <is>
          <t>Nifty 50</t>
        </is>
      </c>
      <c r="T404" s="31" t="n">
        <v>1.09</v>
      </c>
      <c r="U404" s="31" t="n">
        <v>-3.32</v>
      </c>
      <c r="V404" s="31" t="n">
        <v>-4.36</v>
      </c>
      <c r="W404" s="31" t="n">
        <v>-3.43</v>
      </c>
      <c r="X404" s="30" t="inlineStr">
        <is>
          <t>Growing Industry</t>
        </is>
      </c>
      <c r="Y404" s="30">
        <f>IF(X404="Growing Industry",10,IF(X404="Cyclical in an Upturn",5,0))</f>
        <v/>
      </c>
      <c r="Z404" s="30" t="inlineStr">
        <is>
          <t>Too Many Players with High ROCE</t>
        </is>
      </c>
      <c r="AA404" s="30">
        <f>IF(Z404="Monopoly",10,IF(Z404="Oligopoly",5,IF(Z404="Duopoly that cooperate",10,IF(Z404="Duopoly that compete",5,IF(Z404="Too many players with High ROCE",5,0)))))</f>
        <v/>
      </c>
      <c r="AB404" s="30" t="inlineStr">
        <is>
          <t>No</t>
        </is>
      </c>
      <c r="AC404" s="30">
        <f>IF(AB404="No",5,0)</f>
        <v/>
      </c>
      <c r="AD404" s="30" t="inlineStr">
        <is>
          <t>Tailwind</t>
        </is>
      </c>
      <c r="AE404" s="30">
        <f>IF(AD404="Tailwind",10,0)</f>
        <v/>
      </c>
      <c r="AF404" s="30" t="inlineStr">
        <is>
          <t>Structural (10 Years Consistency)</t>
        </is>
      </c>
      <c r="AG404" s="30">
        <f>IF(AF404="Structural (10 Years Consistency)",10,IF(AF404="Shallow Cyclical (2 to 3 years growth)",5,0))</f>
        <v/>
      </c>
      <c r="AH404" s="30" t="inlineStr">
        <is>
          <t>No</t>
        </is>
      </c>
      <c r="AI404" s="30">
        <f>IF(AH404="Yes due to Product Mix change or Operating Leverage",10,IF(AH404="Yes, these are peak margins",-5,IF(AH404="No",5,0)))</f>
        <v/>
      </c>
      <c r="AJ404" s="30" t="inlineStr">
        <is>
          <t>Stable</t>
        </is>
      </c>
      <c r="AK404" s="30">
        <f>IF(AJ404="Stable",10,0)</f>
        <v/>
      </c>
      <c r="AL404" s="30" t="inlineStr">
        <is>
          <t>Yes</t>
        </is>
      </c>
      <c r="AM404" s="30">
        <f>IF(AL404="Yes",10,0)</f>
        <v/>
      </c>
      <c r="AN404" s="30" t="inlineStr">
        <is>
          <t>B2B</t>
        </is>
      </c>
      <c r="AO404" s="30">
        <f>IF(AN404="B2C",10,IF(AN404="B2B",5,0))</f>
        <v/>
      </c>
      <c r="AP404" s="30" t="inlineStr">
        <is>
          <t>No</t>
        </is>
      </c>
      <c r="AQ404" s="30">
        <f>IF(AP404="Yes",10,0)</f>
        <v/>
      </c>
      <c r="AR404" s="30" t="inlineStr">
        <is>
          <t>Higher One Time, Lower Annuity</t>
        </is>
      </c>
      <c r="AS404" s="30">
        <f>IF(AR404="Fully Annuity",10,IF(AR404="Higher Annuity, Lower One Time",5,IF(AR404="Higher One Time, Lower Annuity",3,0)))</f>
        <v/>
      </c>
      <c r="AT404" s="30" t="inlineStr">
        <is>
          <t>Good</t>
        </is>
      </c>
      <c r="AU404" s="30">
        <f>IF(AT404="Good",10,0)</f>
        <v/>
      </c>
      <c r="AV404" s="30" t="inlineStr">
        <is>
          <t>Yes for more than 2 years</t>
        </is>
      </c>
      <c r="AW404" s="30">
        <f>IF(AV404="Yes for more than 2 years",10,IF(AV404="Yes only for next 1 to 2 years",5,0))</f>
        <v/>
      </c>
      <c r="AX404" s="30" t="inlineStr">
        <is>
          <t>0 to 20</t>
        </is>
      </c>
      <c r="AY404" s="30">
        <f>IF(AX404="Above 40",20,IF(AX404="20 to 40",10,IF(AX404="0 to 20",-5,0)))</f>
        <v/>
      </c>
      <c r="AZ404" s="30" t="inlineStr">
        <is>
          <t>Below 45</t>
        </is>
      </c>
      <c r="BA404" s="30">
        <f>IF(AZ404="Between 50 to 75",10,IF(AZ404="Above 75",0,0))</f>
        <v/>
      </c>
      <c r="BB404" s="30" t="inlineStr">
        <is>
          <t>Stage 4</t>
        </is>
      </c>
      <c r="BC404" s="30">
        <f>IF(BB404="Stage 2",20,IF(BB404="Stage 1",0,IF(BB404="Stage 3",5,IF(BB404="Stage 4",-5,0))))</f>
        <v/>
      </c>
      <c r="BD404" s="30" t="inlineStr">
        <is>
          <t>Negative Trend</t>
        </is>
      </c>
      <c r="BE404" s="30">
        <f>IF(BD404="Positive Trend",20,IF(BD404="Negative Trend",-10,0))</f>
        <v/>
      </c>
      <c r="BF404" s="30" t="inlineStr">
        <is>
          <t>Uptrend</t>
        </is>
      </c>
      <c r="BG404" s="30">
        <f>IF(BF404="Uptrend",10,IF(BF404="Sideways",5,0))</f>
        <v/>
      </c>
      <c r="BH404" s="30" t="inlineStr">
        <is>
          <t>Uptrend</t>
        </is>
      </c>
      <c r="BI404" s="30">
        <f>IF(BH404="Uptrend",10,IF(BH404="Sideways",5,0))</f>
        <v/>
      </c>
      <c r="BJ404" s="30" t="inlineStr">
        <is>
          <t>Close to 52 week high or retracement</t>
        </is>
      </c>
      <c r="BK404" s="30">
        <f>IF(BJ404="Overhead supply in last 2 years in last 2 years",-5,IF(BJ404="Close to 52 week high or retracement",5,IF(BJ404="Blue sky scenario",10,IF(BJ404="Long term Downtrend",-10,0))))</f>
        <v/>
      </c>
      <c r="BL404" s="30" t="inlineStr">
        <is>
          <t>No</t>
        </is>
      </c>
      <c r="BM404" s="30">
        <f>IF(BL404="Yes",10,0)</f>
        <v/>
      </c>
      <c r="BN404" s="30" t="inlineStr">
        <is>
          <t>Less than 12%</t>
        </is>
      </c>
      <c r="BO404" s="30">
        <f>IF(BN404="More than 20%",10,IF(BN404="Between 12 to 20%",5,IF(BN404="Less than 12%",0,0)))</f>
        <v/>
      </c>
      <c r="BP404" s="30" t="inlineStr">
        <is>
          <t>No</t>
        </is>
      </c>
      <c r="BQ404" s="30">
        <f>IF(BP404="No",10,0)</f>
        <v/>
      </c>
      <c r="BR404" s="30" t="inlineStr">
        <is>
          <t>No</t>
        </is>
      </c>
      <c r="BS404" s="30">
        <f>IF(BR404="NO",5,0)</f>
        <v/>
      </c>
      <c r="BT404" s="30" t="inlineStr">
        <is>
          <t>Above 2</t>
        </is>
      </c>
      <c r="BU404" s="30">
        <f>IF(BT404="Above 2",0,IF(BT404="Between 1.5 to 2",5,IF(BT404="Less than 1.5",10,0)))</f>
        <v/>
      </c>
      <c r="BV404" s="30" t="inlineStr">
        <is>
          <t>Above 70%</t>
        </is>
      </c>
      <c r="BW404" s="30">
        <f>IF(BV404="Above 70%",10,IF(BV404="Between 50% to 70%",5,IF(BV404="Less than 50%",0,IF(BV404="Negative",-10,IF(BV404="Less than 50% and Borrowings are increasing",-5,0)))))</f>
        <v/>
      </c>
      <c r="BX404" s="30" t="inlineStr">
        <is>
          <t>Less than 0.7</t>
        </is>
      </c>
      <c r="BY404" s="30">
        <f>IF(BX404="More than 1.2",-10,IF(BX404="Between 0.7 to 1.2",0,IF(BX404="Less than 0.7",10,0)))</f>
        <v/>
      </c>
      <c r="BZ404" s="30" t="inlineStr">
        <is>
          <t>No</t>
        </is>
      </c>
      <c r="CA404" s="30">
        <f>IF(BZ404="Yes",-10,0)</f>
        <v/>
      </c>
      <c r="CB404" s="30" t="inlineStr">
        <is>
          <t>Less than 15%</t>
        </is>
      </c>
      <c r="CC404" s="30">
        <f>IF(CB404="More than 15%",-10,IF(CB404="Less than 15%",10,0))</f>
        <v/>
      </c>
      <c r="CD404" s="30" t="inlineStr">
        <is>
          <t>No</t>
        </is>
      </c>
      <c r="CE404" s="30">
        <f>IF(CD404="Yes, more than 10%",-10,IF(CD404="No",10,0))</f>
        <v/>
      </c>
    </row>
    <row r="405">
      <c r="A405" s="30">
        <f>IF(B405=0,"",RANK(B405,$B$2:$B$405,0))</f>
        <v/>
      </c>
      <c r="B405" s="31">
        <f>SUM(N405,Y405,AA405,AC405,AE405,AG405,AI405,AK405,AM405,AO405,AQ405,AS405,AU405,AW405,AY405,BA405,BC405,BE405,BG405,BI405,BK405,BM405,BO405,BQ405,BS405,BU405,BW405,BY405,CA405,CC405,CE405)</f>
        <v/>
      </c>
      <c r="C405" s="30" t="inlineStr">
        <is>
          <t>MACPOWER</t>
        </is>
      </c>
      <c r="D405" s="30" t="inlineStr">
        <is>
          <t>Macpower CNC Machines Ltd</t>
        </is>
      </c>
      <c r="E405" s="30" t="inlineStr">
        <is>
          <t>industrials</t>
        </is>
      </c>
      <c r="F405" s="30" t="inlineStr">
        <is>
          <t>engineering</t>
        </is>
      </c>
      <c r="G405" s="30" t="inlineStr">
        <is>
          <t>smallcap</t>
        </is>
      </c>
      <c r="H405" s="31" t="n">
        <v>1535.54</v>
      </c>
      <c r="I405" s="31" t="n">
        <v>1581</v>
      </c>
      <c r="J405" s="31" t="n">
        <v>3</v>
      </c>
      <c r="K405" s="31" t="n">
        <v>46677</v>
      </c>
      <c r="L405" s="30" t="inlineStr"/>
      <c r="M405" s="30" t="inlineStr"/>
      <c r="N405" s="31">
        <f>IF(M405="Underperforming",-5,IF(L405&gt;=95,15,IF(L405&gt;=90,10,IF(L405&gt;=80,5,0))))</f>
        <v/>
      </c>
      <c r="O405" s="31" t="inlineStr"/>
      <c r="P405" s="31" t="inlineStr"/>
      <c r="Q405" s="31" t="inlineStr"/>
      <c r="R405" s="30" t="inlineStr"/>
      <c r="S405" s="30" t="inlineStr"/>
      <c r="T405" s="31" t="inlineStr"/>
      <c r="U405" s="31" t="inlineStr"/>
      <c r="V405" s="31" t="inlineStr"/>
      <c r="W405" s="31" t="inlineStr"/>
      <c r="X405" s="30" t="n"/>
      <c r="Y405" s="30">
        <f>IF(X405="Growing Industry",10,IF(X405="Cyclical in an Upturn",5,0))</f>
        <v/>
      </c>
      <c r="Z405" s="30" t="n"/>
      <c r="AA405" s="30">
        <f>IF(Z405="Monopoly",10,IF(Z405="Oligopoly",5,IF(Z405="Duopoly that cooperate",10,IF(Z405="Duopoly that compete",5,IF(Z405="Too many players with High ROCE",5,0)))))</f>
        <v/>
      </c>
      <c r="AB405" s="30" t="n"/>
      <c r="AC405" s="30">
        <f>IF(AB405="No",5,0)</f>
        <v/>
      </c>
      <c r="AD405" s="30" t="n"/>
      <c r="AE405" s="30">
        <f>IF(AD405="Tailwind",10,0)</f>
        <v/>
      </c>
      <c r="AF405" s="30" t="n"/>
      <c r="AG405" s="30">
        <f>IF(AF405="Structural (10 Years Consistency)",10,IF(AF405="Shallow Cyclical (2 to 3 years growth)",5,0))</f>
        <v/>
      </c>
      <c r="AH405" s="30" t="n"/>
      <c r="AI405" s="30">
        <f>IF(AH405="Yes due to Product Mix change or Operating Leverage",10,IF(AH405="Yes, these are peak margins",-5,IF(AH405="No",5,0)))</f>
        <v/>
      </c>
      <c r="AJ405" s="30" t="n"/>
      <c r="AK405" s="30">
        <f>IF(AJ405="Stable",10,0)</f>
        <v/>
      </c>
      <c r="AL405" s="30" t="n"/>
      <c r="AM405" s="30">
        <f>IF(AL405="Yes",10,0)</f>
        <v/>
      </c>
      <c r="AN405" s="30" t="n"/>
      <c r="AO405" s="30">
        <f>IF(AN405="B2C",10,IF(AN405="B2B",5,0))</f>
        <v/>
      </c>
      <c r="AP405" s="30" t="n"/>
      <c r="AQ405" s="30">
        <f>IF(AP405="Yes",10,0)</f>
        <v/>
      </c>
      <c r="AR405" s="30" t="n"/>
      <c r="AS405" s="30">
        <f>IF(AR405="Fully Annuity",10,IF(AR405="Higher Annuity, Lower One Time",5,IF(AR405="Higher One Time, Lower Annuity",3,0)))</f>
        <v/>
      </c>
      <c r="AT405" s="30" t="n"/>
      <c r="AU405" s="30">
        <f>IF(AT405="Good",10,0)</f>
        <v/>
      </c>
      <c r="AV405" s="30" t="n"/>
      <c r="AW405" s="30">
        <f>IF(AV405="Yes for more than 2 years",10,IF(AV405="Yes only for next 1 to 2 years",5,0))</f>
        <v/>
      </c>
      <c r="AX405" s="30" t="n"/>
      <c r="AY405" s="30">
        <f>IF(AX405="Above 40",20,IF(AX405="20 to 40",10,IF(AX405="0 to 20",-5,0)))</f>
        <v/>
      </c>
      <c r="AZ405" s="30" t="n"/>
      <c r="BA405" s="30">
        <f>IF(AZ405="Between 50 to 75",10,IF(AZ405="Above 75",0,0))</f>
        <v/>
      </c>
      <c r="BB405" s="30" t="n"/>
      <c r="BC405" s="30">
        <f>IF(BB405="Stage 2",20,IF(BB405="Stage 1",0,IF(BB405="Stage 3",5,IF(BB405="Stage 4",-5,0))))</f>
        <v/>
      </c>
      <c r="BD405" s="30" t="n"/>
      <c r="BE405" s="30">
        <f>IF(BD405="Positive Trend",20,IF(BD405="Negative Trend",-10,0))</f>
        <v/>
      </c>
      <c r="BF405" s="30" t="n"/>
      <c r="BG405" s="30">
        <f>IF(BF405="Uptrend",10,IF(BF405="Sideways",5,0))</f>
        <v/>
      </c>
      <c r="BH405" s="30" t="n"/>
      <c r="BI405" s="30">
        <f>IF(BH405="Uptrend",10,IF(BH405="Sideways",5,0))</f>
        <v/>
      </c>
      <c r="BJ405" s="30" t="n"/>
      <c r="BK405" s="30">
        <f>IF(BJ405="Overhead supply in last 2 years in last 2 years",-5,IF(BJ405="Close to 52 week high or retracement",5,IF(BJ405="Blue sky scenario",10,IF(BJ405="Long term Downtrend",-10,0))))</f>
        <v/>
      </c>
      <c r="BL405" s="30" t="n"/>
      <c r="BM405" s="30">
        <f>IF(BL405="Yes",10,0)</f>
        <v/>
      </c>
      <c r="BN405" s="30" t="n"/>
      <c r="BO405" s="30">
        <f>IF(BN405="More than 20%",10,IF(BN405="Between 12 to 20%",5,IF(BN405="Less than 12%",0,0)))</f>
        <v/>
      </c>
      <c r="BP405" s="30" t="n"/>
      <c r="BQ405" s="30">
        <f>IF(BP405="No",10,0)</f>
        <v/>
      </c>
      <c r="BR405" s="30" t="n"/>
      <c r="BS405" s="30">
        <f>IF(BR405="NO",5,0)</f>
        <v/>
      </c>
      <c r="BT405" s="30" t="n"/>
      <c r="BU405" s="30">
        <f>IF(BT405="Above 2",0,IF(BT405="Between 1.5 to 2",5,IF(BT405="Less than 1.5",10,0)))</f>
        <v/>
      </c>
      <c r="BV405" s="30" t="n"/>
      <c r="BW405" s="30">
        <f>IF(BV405="Above 70%",10,IF(BV405="Between 50% to 70%",5,IF(BV405="Less than 50%",0,IF(BV405="Negative",-10,IF(BV405="Less than 50% and Borrowings are increasing",-5,0)))))</f>
        <v/>
      </c>
      <c r="BX405" s="30" t="n"/>
      <c r="BY405" s="30">
        <f>IF(BX405="More than 1.2",-10,IF(BX405="Between 0.7 to 1.2",0,IF(BX405="Less than 0.7",10,0)))</f>
        <v/>
      </c>
      <c r="BZ405" s="30" t="n"/>
      <c r="CA405" s="30">
        <f>IF(BZ405="Yes",-10,0)</f>
        <v/>
      </c>
      <c r="CB405" s="30" t="n"/>
      <c r="CC405" s="30">
        <f>IF(CB405="More than 15%",-10,IF(CB405="Less than 15%",10,0))</f>
        <v/>
      </c>
      <c r="CD405" s="30" t="n"/>
      <c r="CE405" s="30">
        <f>IF(CD405="Yes, more than 10%",-10,IF(CD405="No",10,0))</f>
        <v/>
      </c>
    </row>
  </sheetData>
  <autoFilter ref="A1:CE405"/>
  <conditionalFormatting sqref="B2:B40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0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0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0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0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0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0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0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0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0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0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0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0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0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0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0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0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0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0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0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0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0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0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0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0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0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0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0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0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0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40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05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405">
    <cfRule type="cellIs" priority="36" operator="equal" dxfId="3" stopIfTrue="1">
      <formula>"Underperforming"</formula>
    </cfRule>
  </conditionalFormatting>
  <conditionalFormatting sqref="N2:N405">
    <cfRule type="cellIs" priority="37" operator="equal" dxfId="3" stopIfTrue="1">
      <formula>-5</formula>
    </cfRule>
  </conditionalFormatting>
  <conditionalFormatting sqref="Q2:Q405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405" showDropDown="0" showInputMessage="0" showErrorMessage="0" allowBlank="1" type="list">
      <formula1>"Growing Industry,Stagnant Industry,Cyclical in an Upturn"</formula1>
    </dataValidation>
    <dataValidation sqref="Z2:Z40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405" showDropDown="0" showInputMessage="0" showErrorMessage="0" allowBlank="1" type="list">
      <formula1>"Yes,No"</formula1>
    </dataValidation>
    <dataValidation sqref="AD2:AD405" showDropDown="0" showInputMessage="0" showErrorMessage="0" allowBlank="1" type="list">
      <formula1>"Tailwind,Headwind"</formula1>
    </dataValidation>
    <dataValidation sqref="AF2:AF405" showDropDown="0" showInputMessage="0" showErrorMessage="0" allowBlank="1" type="list">
      <formula1>"Structural (10 Years Consistency),Shallow Cyclical (2 to 3 Years Growth),Cyclical"</formula1>
    </dataValidation>
    <dataValidation sqref="AH2:AH405" showDropDown="0" showInputMessage="0" showErrorMessage="0" allowBlank="1" type="list">
      <formula1>"Yes due to Product Mix change or Operating Leverage,Yes, these are peak margins,No"</formula1>
    </dataValidation>
    <dataValidation sqref="AJ2:AJ405" showDropDown="0" showInputMessage="0" showErrorMessage="0" allowBlank="1" type="list">
      <formula1>"Stable,Volatile"</formula1>
    </dataValidation>
    <dataValidation sqref="AL2:AL405" showDropDown="0" showInputMessage="0" showErrorMessage="0" allowBlank="1" type="list">
      <formula1>"Yes,No"</formula1>
    </dataValidation>
    <dataValidation sqref="AN2:AN405" showDropDown="0" showInputMessage="0" showErrorMessage="0" allowBlank="1" type="list">
      <formula1>"B2C,B2B,B2G"</formula1>
    </dataValidation>
    <dataValidation sqref="AP2:AP405" showDropDown="0" showInputMessage="0" showErrorMessage="0" allowBlank="1" type="list">
      <formula1>"Yes,No"</formula1>
    </dataValidation>
    <dataValidation sqref="AR2:AR405" showDropDown="0" showInputMessage="0" showErrorMessage="0" allowBlank="1" type="list">
      <formula1>"Fully Annuity,Higher Annuity, Lower One time,Higher One Time, Lower Annuity,Fully One Time"</formula1>
    </dataValidation>
    <dataValidation sqref="AT2:AT405" showDropDown="0" showInputMessage="0" showErrorMessage="0" allowBlank="1" type="list">
      <formula1>"Good,Allocated capital in Non-core Areas"</formula1>
    </dataValidation>
    <dataValidation sqref="AV2:AV405" showDropDown="0" showInputMessage="0" showErrorMessage="0" allowBlank="1" type="list">
      <formula1>"Yes for more than 2 years,Yes only for next 1 to 2 years,No"</formula1>
    </dataValidation>
    <dataValidation sqref="AX2:AX405" showDropDown="0" showInputMessage="0" showErrorMessage="0" allowBlank="1" type="list">
      <formula1>"Above 40,20 to 40,0 to 20"</formula1>
    </dataValidation>
    <dataValidation sqref="AZ2:AZ405" showDropDown="0" showInputMessage="0" showErrorMessage="0" allowBlank="1" type="list">
      <formula1>"Between 50 to 75,Above 75,Below 45"</formula1>
    </dataValidation>
    <dataValidation sqref="BB2:BB405" showDropDown="0" showInputMessage="0" showErrorMessage="0" allowBlank="1" type="list">
      <formula1>"Stage 1,Stage 2,Stage 3,Stage 4"</formula1>
    </dataValidation>
    <dataValidation sqref="BD2:BD405" showDropDown="0" showInputMessage="0" showErrorMessage="0" allowBlank="1" type="list">
      <formula1>"Positive Trend,Negative Trend"</formula1>
    </dataValidation>
    <dataValidation sqref="BF2:BF405" showDropDown="0" showInputMessage="0" showErrorMessage="0" allowBlank="1" type="list">
      <formula1>"Uptrend,Sideways,Downtrend"</formula1>
    </dataValidation>
    <dataValidation sqref="BH2:BH405" showDropDown="0" showInputMessage="0" showErrorMessage="0" allowBlank="1" type="list">
      <formula1>"Uptrend,Sideways,Downtrend"</formula1>
    </dataValidation>
    <dataValidation sqref="BJ2:BJ40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405" showDropDown="0" showInputMessage="0" showErrorMessage="0" allowBlank="1" type="list">
      <formula1>"Yes,No"</formula1>
    </dataValidation>
    <dataValidation sqref="BN2:BN405" showDropDown="0" showInputMessage="0" showErrorMessage="0" allowBlank="1" type="list">
      <formula1>"More than 20%,Between 12 to 20%,Less than 12%"</formula1>
    </dataValidation>
    <dataValidation sqref="BP2:BP405" showDropDown="0" showInputMessage="0" showErrorMessage="0" allowBlank="1" type="list">
      <formula1>"Yes,No"</formula1>
    </dataValidation>
    <dataValidation sqref="BR2:BR405" showDropDown="0" showInputMessage="0" showErrorMessage="0" allowBlank="1" type="list">
      <formula1>"Yes,No"</formula1>
    </dataValidation>
    <dataValidation sqref="BT2:BT405" showDropDown="0" showInputMessage="0" showErrorMessage="0" allowBlank="1" type="list">
      <formula1>"Above 2,Between 1.5 to 2,Less than 1.5"</formula1>
    </dataValidation>
    <dataValidation sqref="BV2:BV405" showDropDown="0" showInputMessage="0" showErrorMessage="0" allowBlank="1" type="list">
      <formula1>"Above 70%,Between 50% to 70%,Less than 50%,Less than 50% and Borrowings are increasing,Negative"</formula1>
    </dataValidation>
    <dataValidation sqref="BX2:BX405" showDropDown="0" showInputMessage="0" showErrorMessage="0" allowBlank="1" type="list">
      <formula1>"More than 1.2,Between 0.7 to 1.2,Less than 0.7"</formula1>
    </dataValidation>
    <dataValidation sqref="BZ2:BZ405" showDropDown="0" showInputMessage="0" showErrorMessage="0" allowBlank="1" type="list">
      <formula1>"Yes,No"</formula1>
    </dataValidation>
    <dataValidation sqref="CB2:CB405" showDropDown="0" showInputMessage="0" showErrorMessage="0" allowBlank="1" type="list">
      <formula1>"More than 15%,Less than 15%"</formula1>
    </dataValidation>
    <dataValidation sqref="CD2:CD40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5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IF(B2=0,"",RANK(B2,$B$2:$B$53,0))</f>
        <v/>
      </c>
      <c r="B2" s="31">
        <f>SUM(N2,Y2,AA2,AC2,AE2,AG2,AI2,AK2,AM2,AO2,AQ2,AS2,AU2,AW2,AY2,BA2,BC2,BE2,BG2,BI2,BK2,BM2,BO2,BQ2,BS2,BU2,BW2,BY2,CA2)</f>
        <v/>
      </c>
      <c r="C2" s="30" t="inlineStr">
        <is>
          <t>KTKBANK</t>
        </is>
      </c>
      <c r="D2" s="30" t="inlineStr">
        <is>
          <t>The Karnataka Bank Limited</t>
        </is>
      </c>
      <c r="E2" s="30" t="inlineStr">
        <is>
          <t>bank</t>
        </is>
      </c>
      <c r="F2" s="30" t="inlineStr">
        <is>
          <t>banks - private sector</t>
        </is>
      </c>
      <c r="G2" s="30" t="inlineStr">
        <is>
          <t>midcap</t>
        </is>
      </c>
      <c r="H2" s="31" t="n">
        <v>11332.86</v>
      </c>
      <c r="I2" s="31" t="n">
        <v>306.8</v>
      </c>
      <c r="J2" s="31" t="n">
        <v>2.39</v>
      </c>
      <c r="K2" s="31" t="n">
        <v>7797727</v>
      </c>
      <c r="L2" s="30" t="n">
        <v>71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74.23999999999999</v>
      </c>
      <c r="P2" s="31" t="n">
        <v>46.35</v>
      </c>
      <c r="Q2" s="31" t="n">
        <v>253.53</v>
      </c>
      <c r="R2" s="30" t="inlineStr">
        <is>
          <t>Near 52W High Breakout</t>
        </is>
      </c>
      <c r="S2" s="30" t="inlineStr">
        <is>
          <t>Nifty Bank</t>
        </is>
      </c>
      <c r="T2" s="31" t="n">
        <v>5.31</v>
      </c>
      <c r="U2" s="31" t="n">
        <v>84.22</v>
      </c>
      <c r="V2" s="31" t="n">
        <v>74.94</v>
      </c>
      <c r="W2" s="31" t="n">
        <v>17.22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IF(B3=0,"",RANK(B3,$B$2:$B$53,0))</f>
        <v/>
      </c>
      <c r="B3" s="31">
        <f>SUM(N3,Y3,AA3,AC3,AE3,AG3,AI3,AK3,AM3,AO3,AQ3,AS3,AU3,AW3,AY3,BA3,BC3,BE3,BG3,BI3,BK3,BM3,BO3,BQ3,BS3,BU3,BW3,BY3,CA3)</f>
        <v/>
      </c>
      <c r="C3" s="30" t="inlineStr">
        <is>
          <t>UJJIVANSFB</t>
        </is>
      </c>
      <c r="D3" s="30" t="inlineStr">
        <is>
          <t>Ujjivan Small Finance Bank Ltd</t>
        </is>
      </c>
      <c r="E3" s="30" t="inlineStr">
        <is>
          <t>bank</t>
        </is>
      </c>
      <c r="F3" s="30" t="inlineStr">
        <is>
          <t>banks - private sector</t>
        </is>
      </c>
      <c r="G3" s="30" t="inlineStr">
        <is>
          <t>midcap</t>
        </is>
      </c>
      <c r="H3" s="31" t="n">
        <v>13537.04</v>
      </c>
      <c r="I3" s="31" t="n">
        <v>72.05</v>
      </c>
      <c r="J3" s="31" t="n">
        <v>3.54</v>
      </c>
      <c r="K3" s="31" t="n">
        <v>16057454</v>
      </c>
      <c r="L3" s="30" t="n">
        <v>61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69.26000000000001</v>
      </c>
      <c r="P3" s="31" t="n">
        <v>34.47</v>
      </c>
      <c r="Q3" s="31" t="n">
        <v>56.74</v>
      </c>
      <c r="R3" s="30" t="inlineStr">
        <is>
          <t>Near 52W High Breakout</t>
        </is>
      </c>
      <c r="S3" s="30" t="inlineStr">
        <is>
          <t>Nifty Bank</t>
        </is>
      </c>
      <c r="T3" s="31" t="n">
        <v>5.31</v>
      </c>
      <c r="U3" s="31" t="n">
        <v>62.93</v>
      </c>
      <c r="V3" s="31" t="n">
        <v>54.71</v>
      </c>
      <c r="W3" s="31" t="n">
        <v>13.67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IF(B4=0,"",RANK(B4,$B$2:$B$53,0))</f>
        <v/>
      </c>
      <c r="B4" s="31">
        <f>SUM(N4,Y4,AA4,AC4,AE4,AG4,AI4,AK4,AM4,AO4,AQ4,AS4,AU4,AW4,AY4,BA4,BC4,BE4,BG4,BI4,BK4,BM4,BO4,BQ4,BS4,BU4,BW4,BY4,CA4)</f>
        <v/>
      </c>
      <c r="C4" s="30" t="inlineStr">
        <is>
          <t>DCBBANK</t>
        </is>
      </c>
      <c r="D4" s="30" t="inlineStr">
        <is>
          <t>Dcb Bank Limited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midcap</t>
        </is>
      </c>
      <c r="H4" s="31" t="n">
        <v>6091.13</v>
      </c>
      <c r="I4" s="31" t="n">
        <v>194.93</v>
      </c>
      <c r="J4" s="31" t="n">
        <v>3.07</v>
      </c>
      <c r="K4" s="31" t="n">
        <v>2804785</v>
      </c>
      <c r="L4" s="30" t="n">
        <v>54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62.93</v>
      </c>
      <c r="P4" s="31" t="n">
        <v>23.67</v>
      </c>
      <c r="Q4" s="31" t="n">
        <v>157.33</v>
      </c>
      <c r="R4" s="30" t="inlineStr">
        <is>
          <t>Near 52W High Breakout</t>
        </is>
      </c>
      <c r="S4" s="30" t="inlineStr">
        <is>
          <t>Nifty Bank</t>
        </is>
      </c>
      <c r="T4" s="31" t="n">
        <v>5.31</v>
      </c>
      <c r="U4" s="31" t="n">
        <v>54.15</v>
      </c>
      <c r="V4" s="31" t="n">
        <v>46.38</v>
      </c>
      <c r="W4" s="31" t="n">
        <v>11.62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IF(B5=0,"",RANK(B5,$B$2:$B$53,0))</f>
        <v/>
      </c>
      <c r="B5" s="31">
        <f>SUM(N5,Y5,AA5,AC5,AE5,AG5,AI5,AK5,AM5,AO5,AQ5,AS5,AU5,AW5,AY5,BA5,BC5,BE5,BG5,BI5,BK5,BM5,BO5,BQ5,BS5,BU5,BW5,BY5,CA5)</f>
        <v/>
      </c>
      <c r="C5" s="30" t="inlineStr">
        <is>
          <t>MANCREDIT</t>
        </is>
      </c>
      <c r="D5" s="30" t="inlineStr">
        <is>
          <t>Mangal Credit &amp; Fincorp Ltd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smallcap</t>
        </is>
      </c>
      <c r="H5" s="31" t="n">
        <v>517.5</v>
      </c>
      <c r="I5" s="31" t="n">
        <v>252.56</v>
      </c>
      <c r="J5" s="31" t="n">
        <v>3.04</v>
      </c>
      <c r="K5" s="31" t="n">
        <v>875147</v>
      </c>
      <c r="L5" s="30" t="n">
        <v>72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68.58</v>
      </c>
      <c r="P5" s="31" t="n">
        <v>44.21</v>
      </c>
      <c r="Q5" s="31" t="n">
        <v>181.45</v>
      </c>
      <c r="R5" s="30" t="inlineStr">
        <is>
          <t>Near 52W High Breakout</t>
        </is>
      </c>
      <c r="S5" s="30" t="inlineStr">
        <is>
          <t>Nifty Bank</t>
        </is>
      </c>
      <c r="T5" s="31" t="n">
        <v>5.31</v>
      </c>
      <c r="U5" s="31" t="n">
        <v>38.29</v>
      </c>
      <c r="V5" s="31" t="n">
        <v>31.32</v>
      </c>
      <c r="W5" s="31" t="n">
        <v>17.3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Above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IF(B6=0,"",RANK(B6,$B$2:$B$53,0))</f>
        <v/>
      </c>
      <c r="B6" s="31">
        <f>SUM(N6,Y6,AA6,AC6,AE6,AG6,AI6,AK6,AM6,AO6,AQ6,AS6,AU6,AW6,AY6,BA6,BC6,BE6,BG6,BI6,BK6,BM6,BO6,BQ6,BS6,BU6,BW6,BY6,CA6)</f>
        <v/>
      </c>
      <c r="C6" s="30" t="inlineStr">
        <is>
          <t>RBLBANK</t>
        </is>
      </c>
      <c r="D6" s="30" t="inlineStr">
        <is>
          <t>Rbl Bank Limited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largecap</t>
        </is>
      </c>
      <c r="H6" s="31" t="n">
        <v>60362.79</v>
      </c>
      <c r="I6" s="31" t="n">
        <v>392</v>
      </c>
      <c r="J6" s="31" t="n">
        <v>0.5600000000000001</v>
      </c>
      <c r="K6" s="31" t="n">
        <v>5761253</v>
      </c>
      <c r="L6" s="30" t="n">
        <v>55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65.22</v>
      </c>
      <c r="P6" s="31" t="n">
        <v>37.47</v>
      </c>
      <c r="Q6" s="31" t="n">
        <v>326.91</v>
      </c>
      <c r="R6" s="30" t="inlineStr">
        <is>
          <t>Near 52W High Breakout</t>
        </is>
      </c>
      <c r="S6" s="30" t="inlineStr">
        <is>
          <t>Nifty Bank</t>
        </is>
      </c>
      <c r="T6" s="31" t="n">
        <v>5.31</v>
      </c>
      <c r="U6" s="31" t="n">
        <v>49.53</v>
      </c>
      <c r="V6" s="31" t="n">
        <v>41.99</v>
      </c>
      <c r="W6" s="31" t="n">
        <v>11.73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IF(B7=0,"",RANK(B7,$B$2:$B$53,0))</f>
        <v/>
      </c>
      <c r="B7" s="31">
        <f>SUM(N7,Y7,AA7,AC7,AE7,AG7,AI7,AK7,AM7,AO7,AQ7,AS7,AU7,AW7,AY7,BA7,BC7,BE7,BG7,BI7,BK7,BM7,BO7,BQ7,BS7,BU7,BW7,BY7,CA7)</f>
        <v/>
      </c>
      <c r="C7" s="30" t="inlineStr">
        <is>
          <t>M&amp;MFIN</t>
        </is>
      </c>
      <c r="D7" s="30" t="inlineStr">
        <is>
          <t>Mahindra &amp; Mahindra Financial Services Limited</t>
        </is>
      </c>
      <c r="E7" s="30" t="inlineStr">
        <is>
          <t>financials</t>
        </is>
      </c>
      <c r="F7" s="30" t="inlineStr">
        <is>
          <t>finance &amp; investments</t>
        </is>
      </c>
      <c r="G7" s="30" t="inlineStr">
        <is>
          <t>largecap</t>
        </is>
      </c>
      <c r="H7" s="31" t="n">
        <v>55376.45</v>
      </c>
      <c r="I7" s="31" t="n">
        <v>388.8</v>
      </c>
      <c r="J7" s="31" t="n">
        <v>-2.41</v>
      </c>
      <c r="K7" s="31" t="n">
        <v>1785952</v>
      </c>
      <c r="L7" s="30" t="n">
        <v>63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67.5</v>
      </c>
      <c r="P7" s="31" t="n">
        <v>20.29</v>
      </c>
      <c r="Q7" s="31" t="n">
        <v>305.35</v>
      </c>
      <c r="R7" s="30" t="inlineStr">
        <is>
          <t>Near 52W High Breakout</t>
        </is>
      </c>
      <c r="S7" s="30" t="inlineStr">
        <is>
          <t>Nifty Bank</t>
        </is>
      </c>
      <c r="T7" s="31" t="n">
        <v>5.31</v>
      </c>
      <c r="U7" s="31" t="n">
        <v>59.15</v>
      </c>
      <c r="V7" s="31" t="n">
        <v>51.12</v>
      </c>
      <c r="W7" s="31" t="n">
        <v>14.33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IF(B8=0,"",RANK(B8,$B$2:$B$53,0))</f>
        <v/>
      </c>
      <c r="B8" s="31">
        <f>SUM(N8,Y8,AA8,AC8,AE8,AG8,AI8,AK8,AM8,AO8,AQ8,AS8,AU8,AW8,AY8,BA8,BC8,BE8,BG8,BI8,BK8,BM8,BO8,BQ8,BS8,BU8,BW8,BY8,CA8)</f>
        <v/>
      </c>
      <c r="C8" s="30" t="inlineStr">
        <is>
          <t>ESAFSFB</t>
        </is>
      </c>
      <c r="D8" s="30" t="inlineStr">
        <is>
          <t>ESAF Small Finance Bank Ltd</t>
        </is>
      </c>
      <c r="E8" s="30" t="inlineStr">
        <is>
          <t>bank</t>
        </is>
      </c>
      <c r="F8" s="30" t="inlineStr">
        <is>
          <t>banks - private sector</t>
        </is>
      </c>
      <c r="G8" s="30" t="inlineStr">
        <is>
          <t>smallcap</t>
        </is>
      </c>
      <c r="H8" s="31" t="n">
        <v>2152.55</v>
      </c>
      <c r="I8" s="31" t="n">
        <v>42.54</v>
      </c>
      <c r="J8" s="31" t="n">
        <v>1.97</v>
      </c>
      <c r="K8" s="31" t="n">
        <v>3800131</v>
      </c>
      <c r="L8" s="30" t="n">
        <v>73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74.19</v>
      </c>
      <c r="P8" s="31" t="n">
        <v>30.23</v>
      </c>
      <c r="Q8" s="31" t="n">
        <v>32.57</v>
      </c>
      <c r="R8" s="30" t="inlineStr">
        <is>
          <t>Near 52W High Breakout</t>
        </is>
      </c>
      <c r="S8" s="30" t="inlineStr">
        <is>
          <t>Nifty Bank</t>
        </is>
      </c>
      <c r="T8" s="31" t="n">
        <v>5.31</v>
      </c>
      <c r="U8" s="31" t="n">
        <v>41.57</v>
      </c>
      <c r="V8" s="31" t="n">
        <v>34.44</v>
      </c>
      <c r="W8" s="31" t="n">
        <v>17.85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IF(B9=0,"",RANK(B9,$B$2:$B$53,0))</f>
        <v/>
      </c>
      <c r="B9" s="31">
        <f>SUM(N9,Y9,AA9,AC9,AE9,AG9,AI9,AK9,AM9,AO9,AQ9,AS9,AU9,AW9,AY9,BA9,BC9,BE9,BG9,BI9,BK9,BM9,BO9,BQ9,BS9,BU9,BW9,BY9,CA9)</f>
        <v/>
      </c>
      <c r="C9" s="30" t="inlineStr">
        <is>
          <t>TFCILTD</t>
        </is>
      </c>
      <c r="D9" s="30" t="inlineStr">
        <is>
          <t>Tourism Finance Corporation Of India Limited</t>
        </is>
      </c>
      <c r="E9" s="30" t="inlineStr">
        <is>
          <t>financials</t>
        </is>
      </c>
      <c r="F9" s="30" t="inlineStr">
        <is>
          <t>finance - term-lending institutions</t>
        </is>
      </c>
      <c r="G9" s="30" t="inlineStr">
        <is>
          <t>midcap</t>
        </is>
      </c>
      <c r="H9" s="31" t="n">
        <v>5128.4</v>
      </c>
      <c r="I9" s="31" t="n">
        <v>110.81</v>
      </c>
      <c r="J9" s="31" t="n">
        <v>0.04</v>
      </c>
      <c r="K9" s="31" t="n">
        <v>18425822</v>
      </c>
      <c r="L9" s="30" t="n">
        <v>81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77.37</v>
      </c>
      <c r="P9" s="31" t="n">
        <v>48.44</v>
      </c>
      <c r="Q9" s="31" t="n">
        <v>86.18000000000001</v>
      </c>
      <c r="R9" s="30" t="inlineStr">
        <is>
          <t>Near 52W High Breakout</t>
        </is>
      </c>
      <c r="S9" s="30" t="inlineStr">
        <is>
          <t>Nifty Bank</t>
        </is>
      </c>
      <c r="T9" s="31" t="n">
        <v>5.31</v>
      </c>
      <c r="U9" s="31" t="n">
        <v>95.78</v>
      </c>
      <c r="V9" s="31" t="n">
        <v>85.91</v>
      </c>
      <c r="W9" s="31" t="n">
        <v>21.59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between 2.5x to 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Above 40</t>
        </is>
      </c>
      <c r="BM9" s="30">
        <f>IF(BL9="Above 40",20,IF(BL9="20 to 40",10,IF(BL9="0 to 20",-5,0)))</f>
        <v/>
      </c>
      <c r="BN9" s="30" t="inlineStr">
        <is>
          <t>Above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IF(B10=0,"",RANK(B10,$B$2:$B$53,0))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JSFB</t>
        </is>
      </c>
      <c r="D10" s="30" t="inlineStr">
        <is>
          <t>Jana Small Finance Bank Ltd</t>
        </is>
      </c>
      <c r="E10" s="30" t="inlineStr">
        <is>
          <t>bank</t>
        </is>
      </c>
      <c r="F10" s="30" t="inlineStr">
        <is>
          <t>banks - private sector</t>
        </is>
      </c>
      <c r="G10" s="30" t="inlineStr">
        <is>
          <t>midcap</t>
        </is>
      </c>
      <c r="H10" s="31" t="n">
        <v>6031.3</v>
      </c>
      <c r="I10" s="31" t="n">
        <v>560.95</v>
      </c>
      <c r="J10" s="31" t="n">
        <v>-2.03</v>
      </c>
      <c r="K10" s="31" t="n">
        <v>486438</v>
      </c>
      <c r="L10" s="30" t="n">
        <v>51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70.97</v>
      </c>
      <c r="P10" s="31" t="n">
        <v>35.86</v>
      </c>
      <c r="Q10" s="31" t="n">
        <v>441.91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5.31</v>
      </c>
      <c r="U10" s="31" t="n">
        <v>22.18</v>
      </c>
      <c r="V10" s="31" t="n">
        <v>16.02</v>
      </c>
      <c r="W10" s="31" t="n">
        <v>11.05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IF(B11=0,"",RANK(B11,$B$2:$B$53,0))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AUBANK</t>
        </is>
      </c>
      <c r="D11" s="30" t="inlineStr">
        <is>
          <t>AU Small Finance Bank Ltd</t>
        </is>
      </c>
      <c r="E11" s="30" t="inlineStr">
        <is>
          <t>bank</t>
        </is>
      </c>
      <c r="F11" s="30" t="inlineStr">
        <is>
          <t>banks - private sector</t>
        </is>
      </c>
      <c r="G11" s="30" t="inlineStr">
        <is>
          <t>largecap</t>
        </is>
      </c>
      <c r="H11" s="31" t="n">
        <v>78739.42</v>
      </c>
      <c r="I11" s="31" t="n">
        <v>1087.6</v>
      </c>
      <c r="J11" s="31" t="n">
        <v>3.45</v>
      </c>
      <c r="K11" s="31" t="n">
        <v>9439528</v>
      </c>
      <c r="L11" s="30" t="n">
        <v>42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61.55</v>
      </c>
      <c r="P11" s="31" t="n">
        <v>24.6</v>
      </c>
      <c r="Q11" s="31" t="n">
        <v>905.6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5.31</v>
      </c>
      <c r="U11" s="31" t="n">
        <v>47.34</v>
      </c>
      <c r="V11" s="31" t="n">
        <v>39.92</v>
      </c>
      <c r="W11" s="31" t="n">
        <v>9.07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Blue sky scenario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IF(B12=0,"",RANK(B12,$B$2:$B$53,0))</f>
        <v/>
      </c>
      <c r="B12" s="31">
        <f>SUM(N12,Y12,AA12,AC12,AE12,AG12,AI12,AK12,AM12,AO12,AQ12,AS12,AU12,AW12,AY12,BA12,BC12,BE12,BG12,BI12,BK12,BM12,BO12,BQ12,BS12,BU12,BW12,BY12,CA12)</f>
        <v/>
      </c>
      <c r="C12" s="32" t="inlineStr">
        <is>
          <t>GEECEE</t>
        </is>
      </c>
      <c r="D12" s="32" t="inlineStr">
        <is>
          <t>Geecee Ventures Limited</t>
        </is>
      </c>
      <c r="E12" s="30" t="inlineStr">
        <is>
          <t>financials</t>
        </is>
      </c>
      <c r="F12" s="30" t="inlineStr">
        <is>
          <t>finance &amp; investments</t>
        </is>
      </c>
      <c r="G12" s="30" t="inlineStr">
        <is>
          <t>smallcap</t>
        </is>
      </c>
      <c r="H12" s="31" t="n">
        <v>751.88</v>
      </c>
      <c r="I12" s="31" t="n">
        <v>364</v>
      </c>
      <c r="J12" s="31" t="n">
        <v>1.24</v>
      </c>
      <c r="K12" s="31" t="n">
        <v>8415</v>
      </c>
      <c r="L12" s="30" t="n">
        <v>27</v>
      </c>
      <c r="M12" s="30" t="inlineStr">
        <is>
          <t>Underperforming</t>
        </is>
      </c>
      <c r="N12" s="31">
        <f>IF(M12="Underperforming",-5,IF(L12&gt;=95,15,IF(L12&gt;=90,10,IF(L12&gt;=80,5,0))))</f>
        <v/>
      </c>
      <c r="O12" s="31" t="n">
        <v>61.63</v>
      </c>
      <c r="P12" s="31" t="n">
        <v>29.29</v>
      </c>
      <c r="Q12" s="31" t="n">
        <v>283.85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5.31</v>
      </c>
      <c r="U12" s="31" t="n">
        <v>0.27</v>
      </c>
      <c r="V12" s="31" t="n">
        <v>-4.78</v>
      </c>
      <c r="W12" s="31" t="n">
        <v>5.3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IF(B13=0,"",RANK(B13,$B$2:$B$53,0))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ABCAPITAL</t>
        </is>
      </c>
      <c r="D13" s="30" t="inlineStr">
        <is>
          <t>Aditya Birla Capital Ltd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largecap</t>
        </is>
      </c>
      <c r="H13" s="31" t="n">
        <v>116121.74</v>
      </c>
      <c r="I13" s="31" t="n">
        <v>421.5</v>
      </c>
      <c r="J13" s="31" t="n">
        <v>-0.75</v>
      </c>
      <c r="K13" s="31" t="n">
        <v>4241250</v>
      </c>
      <c r="L13" s="30" t="n">
        <v>59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72.48</v>
      </c>
      <c r="P13" s="31" t="n">
        <v>27.35</v>
      </c>
      <c r="Q13" s="31" t="n">
        <v>354.68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5.31</v>
      </c>
      <c r="U13" s="31" t="n">
        <v>56.24</v>
      </c>
      <c r="V13" s="31" t="n">
        <v>48.36</v>
      </c>
      <c r="W13" s="31" t="n">
        <v>13.12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Blue sky scenario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IF(B14=0,"",RANK(B14,$B$2:$B$53,0))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FEDERALBNK</t>
        </is>
      </c>
      <c r="D14" s="30" t="inlineStr">
        <is>
          <t>The Federal Bank  Limited</t>
        </is>
      </c>
      <c r="E14" s="30" t="inlineStr">
        <is>
          <t>bank</t>
        </is>
      </c>
      <c r="F14" s="30" t="inlineStr">
        <is>
          <t>banks - private sector</t>
        </is>
      </c>
      <c r="G14" s="30" t="inlineStr">
        <is>
          <t>largecap</t>
        </is>
      </c>
      <c r="H14" s="31" t="n">
        <v>87973.25</v>
      </c>
      <c r="I14" s="31" t="n">
        <v>353.55</v>
      </c>
      <c r="J14" s="31" t="n">
        <v>-0.8100000000000001</v>
      </c>
      <c r="K14" s="31" t="n">
        <v>7177161</v>
      </c>
      <c r="L14" s="30" t="n">
        <v>70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77.09</v>
      </c>
      <c r="P14" s="31" t="n">
        <v>34.39</v>
      </c>
      <c r="Q14" s="31" t="n">
        <v>308.79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5.31</v>
      </c>
      <c r="U14" s="31" t="n">
        <v>81.05</v>
      </c>
      <c r="V14" s="31" t="n">
        <v>71.92</v>
      </c>
      <c r="W14" s="31" t="n">
        <v>16.77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less than 2.5x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Above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Blue sky scenario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IF(B15=0,"",RANK(B15,$B$2:$B$53,0))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MUFIN</t>
        </is>
      </c>
      <c r="D15" s="30" t="inlineStr">
        <is>
          <t>Mufin Green Finance Ltd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smallcap</t>
        </is>
      </c>
      <c r="H15" s="31" t="n">
        <v>2664.29</v>
      </c>
      <c r="I15" s="31" t="n">
        <v>132.8</v>
      </c>
      <c r="J15" s="31" t="n">
        <v>-1.23</v>
      </c>
      <c r="K15" s="31" t="n">
        <v>871081</v>
      </c>
      <c r="L15" s="30" t="n">
        <v>56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63.33</v>
      </c>
      <c r="P15" s="31" t="n">
        <v>32.14</v>
      </c>
      <c r="Q15" s="31" t="n">
        <v>109.82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5.31</v>
      </c>
      <c r="U15" s="31" t="n">
        <v>52.48</v>
      </c>
      <c r="V15" s="31" t="n">
        <v>44.79</v>
      </c>
      <c r="W15" s="31" t="n">
        <v>12.47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between 2.5x to 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Blue sky scenario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IF(B16=0,"",RANK(B16,$B$2:$B$53,0))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PNBHOUSING</t>
        </is>
      </c>
      <c r="D16" s="30" t="inlineStr">
        <is>
          <t>Pnb Housing Finance Limited</t>
        </is>
      </c>
      <c r="E16" s="30" t="inlineStr">
        <is>
          <t>financials</t>
        </is>
      </c>
      <c r="F16" s="30" t="inlineStr">
        <is>
          <t>finance - housing</t>
        </is>
      </c>
      <c r="G16" s="30" t="inlineStr">
        <is>
          <t>largecap</t>
        </is>
      </c>
      <c r="H16" s="31" t="n">
        <v>29227.77</v>
      </c>
      <c r="I16" s="31" t="n">
        <v>1150</v>
      </c>
      <c r="J16" s="31" t="n">
        <v>2.53</v>
      </c>
      <c r="K16" s="31" t="n">
        <v>3864943</v>
      </c>
      <c r="L16" s="30" t="n">
        <v>49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67.23999999999999</v>
      </c>
      <c r="P16" s="31" t="n">
        <v>32.67</v>
      </c>
      <c r="Q16" s="31" t="n">
        <v>948.35</v>
      </c>
      <c r="R16" s="30" t="inlineStr">
        <is>
          <t>Volume Spike &amp; Near 52W High Breakout</t>
        </is>
      </c>
      <c r="S16" s="30" t="inlineStr">
        <is>
          <t>Nifty Bank</t>
        </is>
      </c>
      <c r="T16" s="31" t="n">
        <v>5.31</v>
      </c>
      <c r="U16" s="31" t="n">
        <v>51.61</v>
      </c>
      <c r="V16" s="31" t="n">
        <v>43.97</v>
      </c>
      <c r="W16" s="31" t="n">
        <v>10.74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less than 2.5x and Growth less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Blue sky scenario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IF(B17=0,"",RANK(B17,$B$2:$B$53,0))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TMB</t>
        </is>
      </c>
      <c r="D17" s="30" t="inlineStr">
        <is>
          <t>Tamilnad Mercantile Bank Ltd</t>
        </is>
      </c>
      <c r="E17" s="30" t="inlineStr">
        <is>
          <t>bank</t>
        </is>
      </c>
      <c r="F17" s="30" t="inlineStr">
        <is>
          <t>banks - private sector</t>
        </is>
      </c>
      <c r="G17" s="30" t="inlineStr">
        <is>
          <t>midcap</t>
        </is>
      </c>
      <c r="H17" s="31" t="n">
        <v>13533.51</v>
      </c>
      <c r="I17" s="31" t="n">
        <v>873.4</v>
      </c>
      <c r="J17" s="31" t="n">
        <v>2.19</v>
      </c>
      <c r="K17" s="31" t="n">
        <v>216117</v>
      </c>
      <c r="L17" s="30" t="n">
        <v>78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72.59999999999999</v>
      </c>
      <c r="P17" s="31" t="n">
        <v>37.59</v>
      </c>
      <c r="Q17" s="31" t="n">
        <v>696.61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5.31</v>
      </c>
      <c r="U17" s="31" t="n">
        <v>104.44</v>
      </c>
      <c r="V17" s="31" t="n">
        <v>94.13</v>
      </c>
      <c r="W17" s="31" t="n">
        <v>19.74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less than 2.5x and Growth less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Blue sky scenario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IF(B18=0,"",RANK(B18,$B$2:$B$53,0))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SOUTHBANK</t>
        </is>
      </c>
      <c r="D18" s="30" t="inlineStr">
        <is>
          <t>The South Indian Bank Limited</t>
        </is>
      </c>
      <c r="E18" s="30" t="inlineStr">
        <is>
          <t>bank</t>
        </is>
      </c>
      <c r="F18" s="30" t="inlineStr">
        <is>
          <t>banks - private sector</t>
        </is>
      </c>
      <c r="G18" s="30" t="inlineStr">
        <is>
          <t>midcap</t>
        </is>
      </c>
      <c r="H18" s="31" t="n">
        <v>12283.97</v>
      </c>
      <c r="I18" s="31" t="n">
        <v>47.43</v>
      </c>
      <c r="J18" s="31" t="n">
        <v>1.09</v>
      </c>
      <c r="K18" s="31" t="n">
        <v>10026732</v>
      </c>
      <c r="L18" s="30" t="n">
        <v>63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63.33</v>
      </c>
      <c r="P18" s="31" t="n">
        <v>28.57</v>
      </c>
      <c r="Q18" s="31" t="n">
        <v>38.67</v>
      </c>
      <c r="R18" s="30" t="inlineStr">
        <is>
          <t>Near 52W High Breakout</t>
        </is>
      </c>
      <c r="S18" s="30" t="inlineStr">
        <is>
          <t>Nifty Bank</t>
        </is>
      </c>
      <c r="T18" s="31" t="n">
        <v>5.31</v>
      </c>
      <c r="U18" s="31" t="n">
        <v>64.08</v>
      </c>
      <c r="V18" s="31" t="n">
        <v>55.81</v>
      </c>
      <c r="W18" s="31" t="n">
        <v>14.29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less than 2.5x and Growth less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Blue sky scenario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IF(B19=0,"",RANK(B19,$B$2:$B$53,0))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MANAPPURAM</t>
        </is>
      </c>
      <c r="D19" s="30" t="inlineStr">
        <is>
          <t>Manappuram Finance Limited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largecap</t>
        </is>
      </c>
      <c r="H19" s="31" t="n">
        <v>34154.26</v>
      </c>
      <c r="I19" s="31" t="n">
        <v>364</v>
      </c>
      <c r="J19" s="31" t="n">
        <v>0.11</v>
      </c>
      <c r="K19" s="31" t="n">
        <v>7771194</v>
      </c>
      <c r="L19" s="30" t="n">
        <v>47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66.8</v>
      </c>
      <c r="P19" s="31" t="n">
        <v>19.13</v>
      </c>
      <c r="Q19" s="31" t="n">
        <v>298.68</v>
      </c>
      <c r="R19" s="30" t="inlineStr">
        <is>
          <t>Volume Spike &amp; Near 52W High Breakout</t>
        </is>
      </c>
      <c r="S19" s="30" t="inlineStr">
        <is>
          <t>Nifty Bank</t>
        </is>
      </c>
      <c r="T19" s="31" t="n">
        <v>5.31</v>
      </c>
      <c r="U19" s="31" t="n">
        <v>41.83</v>
      </c>
      <c r="V19" s="31" t="n">
        <v>34.68</v>
      </c>
      <c r="W19" s="31" t="n">
        <v>10.45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less than 2.5x and Growth more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0 to 20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Blue sky scenario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IF(B20=0,"",RANK(B20,$B$2:$B$53,0))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IDFCFIRSTB</t>
        </is>
      </c>
      <c r="D20" s="30" t="inlineStr">
        <is>
          <t>IDFC First Bank Ltd</t>
        </is>
      </c>
      <c r="E20" s="30" t="inlineStr">
        <is>
          <t>bank</t>
        </is>
      </c>
      <c r="F20" s="30" t="inlineStr">
        <is>
          <t>banks - private sector</t>
        </is>
      </c>
      <c r="G20" s="30" t="inlineStr">
        <is>
          <t>largecap</t>
        </is>
      </c>
      <c r="H20" s="31" t="n">
        <v>73483.7</v>
      </c>
      <c r="I20" s="31" t="n">
        <v>85.34999999999999</v>
      </c>
      <c r="J20" s="31" t="n">
        <v>0.06</v>
      </c>
      <c r="K20" s="31" t="n">
        <v>20096925</v>
      </c>
      <c r="L20" s="30" t="n">
        <v>42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67.14</v>
      </c>
      <c r="P20" s="31" t="n">
        <v>21.21</v>
      </c>
      <c r="Q20" s="31" t="n">
        <v>72.38</v>
      </c>
      <c r="R20" s="30" t="inlineStr">
        <is>
          <t>Near 52W High Breakout</t>
        </is>
      </c>
      <c r="S20" s="30" t="inlineStr">
        <is>
          <t>Nifty Bank</t>
        </is>
      </c>
      <c r="T20" s="31" t="n">
        <v>5.31</v>
      </c>
      <c r="U20" s="31" t="n">
        <v>23.08</v>
      </c>
      <c r="V20" s="31" t="n">
        <v>16.88</v>
      </c>
      <c r="W20" s="31" t="n">
        <v>8.960000000000001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less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Blue sky scenario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IF(B21=0,"",RANK(B21,$B$2:$B$53,0))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NIVABUPA</t>
        </is>
      </c>
      <c r="D21" s="30" t="inlineStr">
        <is>
          <t>Niva Bupa Health Insurance Company Ltd</t>
        </is>
      </c>
      <c r="E21" s="30" t="inlineStr">
        <is>
          <t>financials</t>
        </is>
      </c>
      <c r="F21" s="30" t="inlineStr">
        <is>
          <t>finance &amp; investments</t>
        </is>
      </c>
      <c r="G21" s="30" t="inlineStr">
        <is>
          <t>midcap</t>
        </is>
      </c>
      <c r="H21" s="31" t="n">
        <v>16188.19</v>
      </c>
      <c r="I21" s="31" t="n">
        <v>87.18000000000001</v>
      </c>
      <c r="J21" s="31" t="n">
        <v>-0.41</v>
      </c>
      <c r="K21" s="31" t="n">
        <v>540098</v>
      </c>
      <c r="L21" s="30" t="n">
        <v>18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61.99</v>
      </c>
      <c r="P21" s="31" t="n">
        <v>33.59</v>
      </c>
      <c r="Q21" s="31" t="n">
        <v>73.98</v>
      </c>
      <c r="R21" s="30" t="inlineStr">
        <is>
          <t>Near 52W High Breakout</t>
        </is>
      </c>
      <c r="S21" s="30" t="inlineStr">
        <is>
          <t>Nifty Bank</t>
        </is>
      </c>
      <c r="T21" s="31" t="n">
        <v>5.31</v>
      </c>
      <c r="U21" s="31" t="n">
        <v>9.24</v>
      </c>
      <c r="V21" s="31" t="n">
        <v>3.73</v>
      </c>
      <c r="W21" s="31" t="n">
        <v>3.37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between 2.5x to 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Close to 52 week high or retracement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IF(B22=0,"",RANK(B22,$B$2:$B$53,0))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MONARCH</t>
        </is>
      </c>
      <c r="D22" s="30" t="inlineStr">
        <is>
          <t>Monarch Networth Capital Ltd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smallcap</t>
        </is>
      </c>
      <c r="H22" s="31" t="n">
        <v>3097.39</v>
      </c>
      <c r="I22" s="31" t="n">
        <v>387.3</v>
      </c>
      <c r="J22" s="31" t="n">
        <v>-0.83</v>
      </c>
      <c r="K22" s="31" t="n">
        <v>62307</v>
      </c>
      <c r="L22" s="30" t="n">
        <v>41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71.83</v>
      </c>
      <c r="P22" s="31" t="n">
        <v>29.34</v>
      </c>
      <c r="Q22" s="31" t="n">
        <v>314.97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5.31</v>
      </c>
      <c r="U22" s="31" t="n">
        <v>16.2</v>
      </c>
      <c r="V22" s="31" t="n">
        <v>10.34</v>
      </c>
      <c r="W22" s="31" t="n">
        <v>8.710000000000001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between 2.5x to 5x and Growth more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IF(B23=0,"",RANK(B23,$B$2:$B$53,0))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OFSS</t>
        </is>
      </c>
      <c r="D23" s="30" t="inlineStr">
        <is>
          <t>Oracle Financial Services Software Limited</t>
        </is>
      </c>
      <c r="E23" s="30" t="inlineStr">
        <is>
          <t>i.t</t>
        </is>
      </c>
      <c r="F23" s="30" t="inlineStr">
        <is>
          <t>computers - software - large</t>
        </is>
      </c>
      <c r="G23" s="30" t="inlineStr">
        <is>
          <t>largecap</t>
        </is>
      </c>
      <c r="H23" s="31" t="n">
        <v>102388.13</v>
      </c>
      <c r="I23" s="31" t="n">
        <v>11735</v>
      </c>
      <c r="J23" s="31" t="n">
        <v>-0.2</v>
      </c>
      <c r="K23" s="31" t="n">
        <v>447234</v>
      </c>
      <c r="L23" s="30" t="n">
        <v>62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68.67</v>
      </c>
      <c r="P23" s="31" t="n">
        <v>32.45</v>
      </c>
      <c r="Q23" s="31" t="n">
        <v>9279.84</v>
      </c>
      <c r="R23" s="30" t="inlineStr">
        <is>
          <t>Near 52W High Breakout</t>
        </is>
      </c>
      <c r="S23" s="30" t="inlineStr">
        <is>
          <t>Nifty IT</t>
        </is>
      </c>
      <c r="T23" s="31" t="n">
        <v>-9.289999999999999</v>
      </c>
      <c r="U23" s="31" t="n">
        <v>45.34</v>
      </c>
      <c r="V23" s="31" t="n">
        <v>60.23</v>
      </c>
      <c r="W23" s="31" t="n">
        <v>14.1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above 5x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20 to 40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Blue sky scenario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IF(B24=0,"",RANK(B24,$B$2:$B$53,0))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SHRIRAMFIN</t>
        </is>
      </c>
      <c r="D24" s="30" t="inlineStr">
        <is>
          <t>Shriram Finance Ltd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largecap</t>
        </is>
      </c>
      <c r="H24" s="31" t="n">
        <v>264091.19</v>
      </c>
      <c r="I24" s="31" t="n">
        <v>1141</v>
      </c>
      <c r="J24" s="31" t="n">
        <v>1.66</v>
      </c>
      <c r="K24" s="31" t="n">
        <v>25055607</v>
      </c>
      <c r="L24" s="30" t="n">
        <v>72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66.52</v>
      </c>
      <c r="P24" s="31" t="n">
        <v>13.56</v>
      </c>
      <c r="Q24" s="31" t="n">
        <v>929.26</v>
      </c>
      <c r="R24" s="30" t="inlineStr">
        <is>
          <t>Near 52W High Breakout</t>
        </is>
      </c>
      <c r="S24" s="30" t="inlineStr">
        <is>
          <t>Nifty Bank</t>
        </is>
      </c>
      <c r="T24" s="31" t="n">
        <v>5.31</v>
      </c>
      <c r="U24" s="31" t="n">
        <v>89.91</v>
      </c>
      <c r="V24" s="31" t="n">
        <v>80.34</v>
      </c>
      <c r="W24" s="31" t="n">
        <v>17.29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between 2.5x to 5x and Growth more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0 to 20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Blue sky scenario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IF(B25=0,"",RANK(B25,$B$2:$B$53,0))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CHOICEIN</t>
        </is>
      </c>
      <c r="D25" s="30" t="inlineStr">
        <is>
          <t>Choice International Ltd</t>
        </is>
      </c>
      <c r="E25" s="30" t="inlineStr">
        <is>
          <t>financials</t>
        </is>
      </c>
      <c r="F25" s="30" t="inlineStr">
        <is>
          <t>finance &amp; investments</t>
        </is>
      </c>
      <c r="G25" s="30" t="inlineStr">
        <is>
          <t>midcap</t>
        </is>
      </c>
      <c r="H25" s="31" t="n">
        <v>18364.58</v>
      </c>
      <c r="I25" s="31" t="n">
        <v>833.2</v>
      </c>
      <c r="J25" s="31" t="n">
        <v>1.07</v>
      </c>
      <c r="K25" s="31" t="n">
        <v>684783</v>
      </c>
      <c r="L25" s="30" t="n">
        <v>37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63.46</v>
      </c>
      <c r="P25" s="31" t="n">
        <v>21.51</v>
      </c>
      <c r="Q25" s="31" t="n">
        <v>693.23</v>
      </c>
      <c r="R25" s="30" t="inlineStr">
        <is>
          <t>Near 52W High Breakout</t>
        </is>
      </c>
      <c r="S25" s="30" t="inlineStr">
        <is>
          <t>Nifty Bank</t>
        </is>
      </c>
      <c r="T25" s="31" t="n">
        <v>5.31</v>
      </c>
      <c r="U25" s="31" t="n">
        <v>12.99</v>
      </c>
      <c r="V25" s="31" t="n">
        <v>7.3</v>
      </c>
      <c r="W25" s="31" t="n">
        <v>7.34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above 5x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20 to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Blue sky scenario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IF(B26=0,"",RANK(B26,$B$2:$B$53,0))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CONSOFINVT</t>
        </is>
      </c>
      <c r="D26" s="30" t="inlineStr">
        <is>
          <t>Consolidated Finvest &amp; Holdings Limited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smallcap</t>
        </is>
      </c>
      <c r="H26" s="31" t="n">
        <v>1008.74</v>
      </c>
      <c r="I26" s="31" t="n">
        <v>305</v>
      </c>
      <c r="J26" s="31" t="n">
        <v>-2.26</v>
      </c>
      <c r="K26" s="31" t="n">
        <v>5642</v>
      </c>
      <c r="L26" s="30" t="n">
        <v>73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79.75</v>
      </c>
      <c r="P26" s="31" t="n">
        <v>32.51</v>
      </c>
      <c r="Q26" s="31" t="n">
        <v>241.6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5.31</v>
      </c>
      <c r="U26" s="31" t="n">
        <v>60.14</v>
      </c>
      <c r="V26" s="31" t="n">
        <v>52.07</v>
      </c>
      <c r="W26" s="31" t="n">
        <v>17.94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less than 2.5x and Growth less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20 to 40</t>
        </is>
      </c>
      <c r="BM26" s="30">
        <f>IF(BL26="Above 40",20,IF(BL26="20 to 40",10,IF(BL26="0 to 20",-5,0)))</f>
        <v/>
      </c>
      <c r="BN26" s="30" t="inlineStr">
        <is>
          <t>Above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Blue sky scenario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IF(B27=0,"",RANK(B27,$B$2:$B$53,0))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SMCGLOBAL</t>
        </is>
      </c>
      <c r="D27" s="30" t="inlineStr">
        <is>
          <t>SMC Global Securities Ltd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smallcap</t>
        </is>
      </c>
      <c r="H27" s="31" t="n">
        <v>1671.01</v>
      </c>
      <c r="I27" s="31" t="n">
        <v>80.59999999999999</v>
      </c>
      <c r="J27" s="31" t="n">
        <v>1</v>
      </c>
      <c r="K27" s="31" t="n">
        <v>1033645</v>
      </c>
      <c r="L27" s="30" t="n">
        <v>46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59.04</v>
      </c>
      <c r="P27" s="31" t="n">
        <v>17.62</v>
      </c>
      <c r="Q27" s="31" t="n">
        <v>61.58</v>
      </c>
      <c r="R27" s="30" t="inlineStr">
        <is>
          <t>Earnings / Momentum Support</t>
        </is>
      </c>
      <c r="S27" s="30" t="inlineStr">
        <is>
          <t>Nifty Bank</t>
        </is>
      </c>
      <c r="T27" s="31" t="n">
        <v>5.31</v>
      </c>
      <c r="U27" s="31" t="n">
        <v>18.04</v>
      </c>
      <c r="V27" s="31" t="n">
        <v>12.09</v>
      </c>
      <c r="W27" s="31" t="n">
        <v>9.859999999999999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No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less than 2.5x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0 to 20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IF(B28=0,"",RANK(B28,$B$2:$B$53,0))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KARURVYSYA</t>
        </is>
      </c>
      <c r="D28" s="30" t="inlineStr">
        <is>
          <t>Karur Vysya Bank Limited</t>
        </is>
      </c>
      <c r="E28" s="30" t="inlineStr">
        <is>
          <t>bank</t>
        </is>
      </c>
      <c r="F28" s="30" t="inlineStr">
        <is>
          <t>banks - private sector</t>
        </is>
      </c>
      <c r="G28" s="30" t="inlineStr">
        <is>
          <t>largecap</t>
        </is>
      </c>
      <c r="H28" s="31" t="n">
        <v>32639.57</v>
      </c>
      <c r="I28" s="31" t="n">
        <v>337.5</v>
      </c>
      <c r="J28" s="31" t="n">
        <v>-0.04</v>
      </c>
      <c r="K28" s="31" t="n">
        <v>1675844</v>
      </c>
      <c r="L28" s="30" t="n">
        <v>56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68.81</v>
      </c>
      <c r="P28" s="31" t="n">
        <v>19.12</v>
      </c>
      <c r="Q28" s="31" t="n">
        <v>282.53</v>
      </c>
      <c r="R28" s="30" t="inlineStr">
        <is>
          <t>Near 52W High Breakout</t>
        </is>
      </c>
      <c r="S28" s="30" t="inlineStr">
        <is>
          <t>Nifty Bank</t>
        </is>
      </c>
      <c r="T28" s="31" t="n">
        <v>5.31</v>
      </c>
      <c r="U28" s="31" t="n">
        <v>56.22</v>
      </c>
      <c r="V28" s="31" t="n">
        <v>48.34</v>
      </c>
      <c r="W28" s="31" t="n">
        <v>12.37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less than 2.5x and Growth less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0 to 20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Blue sky scenario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IF(B29=0,"",RANK(B29,$B$2:$B$53,0))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IIFL</t>
        </is>
      </c>
      <c r="D29" s="30" t="inlineStr">
        <is>
          <t>IIFL Finance Ltd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largecap</t>
        </is>
      </c>
      <c r="H29" s="31" t="n">
        <v>25953.33</v>
      </c>
      <c r="I29" s="31" t="n">
        <v>609.35</v>
      </c>
      <c r="J29" s="31" t="n">
        <v>-0.14</v>
      </c>
      <c r="K29" s="31" t="n">
        <v>1098383</v>
      </c>
      <c r="L29" s="30" t="n">
        <v>60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67.44</v>
      </c>
      <c r="P29" s="31" t="n">
        <v>19.22</v>
      </c>
      <c r="Q29" s="31" t="n">
        <v>481.65</v>
      </c>
      <c r="R29" s="30" t="inlineStr">
        <is>
          <t>Earnings / Momentum Support</t>
        </is>
      </c>
      <c r="S29" s="30" t="inlineStr">
        <is>
          <t>Nifty Bank</t>
        </is>
      </c>
      <c r="T29" s="31" t="n">
        <v>5.31</v>
      </c>
      <c r="U29" s="31" t="n">
        <v>35.66</v>
      </c>
      <c r="V29" s="31" t="n">
        <v>28.82</v>
      </c>
      <c r="W29" s="31" t="n">
        <v>13.5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No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less than 2.5x and Growth more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Close to 52 week high or retracement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IF(B30=0,"",RANK(B30,$B$2:$B$53,0))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PRUDENT</t>
        </is>
      </c>
      <c r="D30" s="30" t="inlineStr">
        <is>
          <t>Prudent Corporate Advisory Services Ltd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midcap</t>
        </is>
      </c>
      <c r="H30" s="31" t="n">
        <v>13811.61</v>
      </c>
      <c r="I30" s="31" t="n">
        <v>3232.5</v>
      </c>
      <c r="J30" s="31" t="n">
        <v>-3.09</v>
      </c>
      <c r="K30" s="31" t="n">
        <v>9579</v>
      </c>
      <c r="L30" s="30" t="n">
        <v>39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69.03</v>
      </c>
      <c r="P30" s="31" t="n">
        <v>27.87</v>
      </c>
      <c r="Q30" s="31" t="n">
        <v>2633.31</v>
      </c>
      <c r="R30" s="30" t="inlineStr">
        <is>
          <t>Near 52W High Breakout</t>
        </is>
      </c>
      <c r="S30" s="30" t="inlineStr">
        <is>
          <t>Nifty Bank</t>
        </is>
      </c>
      <c r="T30" s="31" t="n">
        <v>5.31</v>
      </c>
      <c r="U30" s="31" t="n">
        <v>24.7</v>
      </c>
      <c r="V30" s="31" t="n">
        <v>18.41</v>
      </c>
      <c r="W30" s="31" t="n">
        <v>8.01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above 5x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20 to 40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IF(B31=0,"",RANK(B31,$B$2:$B$53,0))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TVSHLTD</t>
        </is>
      </c>
      <c r="D31" s="30" t="inlineStr">
        <is>
          <t>TVS Holdings Ltd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largecap</t>
        </is>
      </c>
      <c r="H31" s="31" t="n">
        <v>29880.79</v>
      </c>
      <c r="I31" s="31" t="n">
        <v>14925</v>
      </c>
      <c r="J31" s="31" t="n">
        <v>1.06</v>
      </c>
      <c r="K31" s="31" t="n">
        <v>4451</v>
      </c>
      <c r="L31" s="30" t="n">
        <v>35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59.56</v>
      </c>
      <c r="P31" s="31" t="n">
        <v>15.35</v>
      </c>
      <c r="Q31" s="31" t="n">
        <v>12442.8</v>
      </c>
      <c r="R31" s="30" t="inlineStr">
        <is>
          <t>Near 52W High Breakout</t>
        </is>
      </c>
      <c r="S31" s="30" t="inlineStr">
        <is>
          <t>Nifty Bank</t>
        </is>
      </c>
      <c r="T31" s="31" t="n">
        <v>5.31</v>
      </c>
      <c r="U31" s="31" t="n">
        <v>32.31</v>
      </c>
      <c r="V31" s="31" t="n">
        <v>25.64</v>
      </c>
      <c r="W31" s="31" t="n">
        <v>7.09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Headwind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between 2.5x to 5x and Growth more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0 to 20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Positive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Blue sky scenario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IF(B32=0,"",RANK(B32,$B$2:$B$53,0))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CHOLAFIN</t>
        </is>
      </c>
      <c r="D32" s="30" t="inlineStr">
        <is>
          <t>Cholamandalam Investment And Finance Company Limited</t>
        </is>
      </c>
      <c r="E32" s="30" t="inlineStr">
        <is>
          <t>financials</t>
        </is>
      </c>
      <c r="F32" s="30" t="inlineStr">
        <is>
          <t>finance &amp; investments</t>
        </is>
      </c>
      <c r="G32" s="30" t="inlineStr">
        <is>
          <t>largecap</t>
        </is>
      </c>
      <c r="H32" s="31" t="n">
        <v>160286.29</v>
      </c>
      <c r="I32" s="31" t="n">
        <v>1940</v>
      </c>
      <c r="J32" s="31" t="n">
        <v>3.19</v>
      </c>
      <c r="K32" s="31" t="n">
        <v>5238115</v>
      </c>
      <c r="L32" s="30" t="n">
        <v>44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65.95999999999999</v>
      </c>
      <c r="P32" s="31" t="n">
        <v>15.43</v>
      </c>
      <c r="Q32" s="31" t="n">
        <v>1592.47</v>
      </c>
      <c r="R32" s="30" t="inlineStr">
        <is>
          <t>Near 52W High Breakout</t>
        </is>
      </c>
      <c r="S32" s="30" t="inlineStr">
        <is>
          <t>Nifty Bank</t>
        </is>
      </c>
      <c r="T32" s="31" t="n">
        <v>5.31</v>
      </c>
      <c r="U32" s="31" t="n">
        <v>34.07</v>
      </c>
      <c r="V32" s="31" t="n">
        <v>27.31</v>
      </c>
      <c r="W32" s="31" t="n">
        <v>9.619999999999999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above 5x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0 to 20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Blue sky scenario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IF(B33=0,"",RANK(B33,$B$2:$B$53,0))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POONAWALLA</t>
        </is>
      </c>
      <c r="D33" s="30" t="inlineStr">
        <is>
          <t>Poonawalla Fincorp Ltd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largecap</t>
        </is>
      </c>
      <c r="H33" s="31" t="n">
        <v>42329.97</v>
      </c>
      <c r="I33" s="31" t="n">
        <v>490.85</v>
      </c>
      <c r="J33" s="31" t="n">
        <v>2.1</v>
      </c>
      <c r="K33" s="31" t="n">
        <v>2831905</v>
      </c>
      <c r="L33" s="30" t="n">
        <v>17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60.33</v>
      </c>
      <c r="P33" s="31" t="n">
        <v>14.85</v>
      </c>
      <c r="Q33" s="31" t="n">
        <v>384.25</v>
      </c>
      <c r="R33" s="30" t="inlineStr">
        <is>
          <t>Earnings / Momentum Support</t>
        </is>
      </c>
      <c r="S33" s="30" t="inlineStr">
        <is>
          <t>Nifty Bank</t>
        </is>
      </c>
      <c r="T33" s="31" t="n">
        <v>5.31</v>
      </c>
      <c r="U33" s="31" t="n">
        <v>10.98</v>
      </c>
      <c r="V33" s="31" t="n">
        <v>5.39</v>
      </c>
      <c r="W33" s="31" t="n">
        <v>3.1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No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between 2.5x to 5x and Growth more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0 to 20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IF(B34=0,"",RANK(B34,$B$2:$B$53,0))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BAJAJFINSV</t>
        </is>
      </c>
      <c r="D34" s="30" t="inlineStr">
        <is>
          <t>Bajaj Finserv Limited</t>
        </is>
      </c>
      <c r="E34" s="30" t="inlineStr">
        <is>
          <t>financials</t>
        </is>
      </c>
      <c r="F34" s="30" t="inlineStr">
        <is>
          <t>finance &amp; investments</t>
        </is>
      </c>
      <c r="G34" s="30" t="inlineStr">
        <is>
          <t>largecap</t>
        </is>
      </c>
      <c r="H34" s="31" t="n">
        <v>333874.73</v>
      </c>
      <c r="I34" s="31" t="n">
        <v>2086</v>
      </c>
      <c r="J34" s="31" t="n">
        <v>0</v>
      </c>
      <c r="K34" s="31" t="n">
        <v>3575444</v>
      </c>
      <c r="L34" s="30" t="n">
        <v>26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63.88</v>
      </c>
      <c r="P34" s="31" t="n">
        <v>15.53</v>
      </c>
      <c r="Q34" s="31" t="n">
        <v>1788.9</v>
      </c>
      <c r="R34" s="30" t="inlineStr">
        <is>
          <t>Near 52W High Breakout</t>
        </is>
      </c>
      <c r="S34" s="30" t="inlineStr">
        <is>
          <t>Nifty Bank</t>
        </is>
      </c>
      <c r="T34" s="31" t="n">
        <v>5.31</v>
      </c>
      <c r="U34" s="31" t="n">
        <v>8.68</v>
      </c>
      <c r="V34" s="31" t="n">
        <v>3.21</v>
      </c>
      <c r="W34" s="31" t="n">
        <v>5.02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between 2.5x to 5x and Growth less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0 to 20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Positive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Blue sky scenario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IF(B35=0,"",RANK(B35,$B$2:$B$53,0))</f>
        <v/>
      </c>
      <c r="B35" s="31">
        <f>SUM(N35,Y35,AA35,AC35,AE35,AG35,AI35,AK35,AM35,AO35,AQ35,AS35,AU35,AW35,AY35,BA35,BC35,BE35,BG35,BI35,BK35,BM35,BO35,BQ35,BS35,BU35,BW35,BY35,CA35)</f>
        <v/>
      </c>
      <c r="C35" s="30" t="inlineStr">
        <is>
          <t>LTF</t>
        </is>
      </c>
      <c r="D35" s="30" t="inlineStr">
        <is>
          <t>L&amp;T Finance Ltd</t>
        </is>
      </c>
      <c r="E35" s="30" t="inlineStr">
        <is>
          <t>financials</t>
        </is>
      </c>
      <c r="F35" s="30" t="inlineStr">
        <is>
          <t>finance &amp; investments</t>
        </is>
      </c>
      <c r="G35" s="30" t="inlineStr">
        <is>
          <t>largecap</t>
        </is>
      </c>
      <c r="H35" s="31" t="n">
        <v>79775.32000000001</v>
      </c>
      <c r="I35" s="31" t="n">
        <v>316.65</v>
      </c>
      <c r="J35" s="31" t="n">
        <v>-0.55</v>
      </c>
      <c r="K35" s="31" t="n">
        <v>3565321</v>
      </c>
      <c r="L35" s="30" t="n">
        <v>61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59.68</v>
      </c>
      <c r="P35" s="31" t="n">
        <v>22.94</v>
      </c>
      <c r="Q35" s="31" t="n">
        <v>262.86</v>
      </c>
      <c r="R35" s="30" t="inlineStr">
        <is>
          <t>Near 52W High Breakout</t>
        </is>
      </c>
      <c r="S35" s="30" t="inlineStr">
        <is>
          <t>Nifty Bank</t>
        </is>
      </c>
      <c r="T35" s="31" t="n">
        <v>5.31</v>
      </c>
      <c r="U35" s="31" t="n">
        <v>64.59</v>
      </c>
      <c r="V35" s="31" t="n">
        <v>56.29</v>
      </c>
      <c r="W35" s="31" t="n">
        <v>13.56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between 2.5x to 5x and Growth more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20 to 40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Negative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Blue sky scenario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IF(B36=0,"",RANK(B36,$B$2:$B$53,0))</f>
        <v/>
      </c>
      <c r="B36" s="31">
        <f>SUM(N36,Y36,AA36,AC36,AE36,AG36,AI36,AK36,AM36,AO36,AQ36,AS36,AU36,AW36,AY36,BA36,BC36,BE36,BG36,BI36,BK36,BM36,BO36,BQ36,BS36,BU36,BW36,BY36,CA36)</f>
        <v/>
      </c>
      <c r="C36" s="30" t="inlineStr">
        <is>
          <t>BAJFINANCE</t>
        </is>
      </c>
      <c r="D36" s="30" t="inlineStr">
        <is>
          <t>Bajaj Finance Limited</t>
        </is>
      </c>
      <c r="E36" s="30" t="inlineStr">
        <is>
          <t>financials</t>
        </is>
      </c>
      <c r="F36" s="30" t="inlineStr">
        <is>
          <t>finance &amp; investments</t>
        </is>
      </c>
      <c r="G36" s="30" t="inlineStr">
        <is>
          <t>largecap</t>
        </is>
      </c>
      <c r="H36" s="31" t="n">
        <v>721463.58</v>
      </c>
      <c r="I36" s="31" t="n">
        <v>1144.8</v>
      </c>
      <c r="J36" s="31" t="n">
        <v>-1.21</v>
      </c>
      <c r="K36" s="31" t="n">
        <v>12508542</v>
      </c>
      <c r="L36" s="30" t="n">
        <v>49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68.63</v>
      </c>
      <c r="P36" s="31" t="n">
        <v>18.06</v>
      </c>
      <c r="Q36" s="31" t="n">
        <v>959.92</v>
      </c>
      <c r="R36" s="30" t="inlineStr">
        <is>
          <t>Near 52W High Breakout</t>
        </is>
      </c>
      <c r="S36" s="30" t="inlineStr">
        <is>
          <t>Nifty Bank</t>
        </is>
      </c>
      <c r="T36" s="31" t="n">
        <v>5.31</v>
      </c>
      <c r="U36" s="31" t="n">
        <v>31.99</v>
      </c>
      <c r="V36" s="31" t="n">
        <v>25.34</v>
      </c>
      <c r="W36" s="31" t="n">
        <v>10.67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above 5x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0 to 20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2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Blue sky scenario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IF(B37=0,"",RANK(B37,$B$2:$B$53,0))</f>
        <v/>
      </c>
      <c r="B37" s="31">
        <f>SUM(N37,Y37,AA37,AC37,AE37,AG37,AI37,AK37,AM37,AO37,AQ37,AS37,AU37,AW37,AY37,BA37,BC37,BE37,BG37,BI37,BK37,BM37,BO37,BQ37,BS37,BU37,BW37,BY37,CA37)</f>
        <v/>
      </c>
      <c r="C37" s="30" t="inlineStr">
        <is>
          <t>UNIONBANK</t>
        </is>
      </c>
      <c r="D37" s="30" t="inlineStr">
        <is>
          <t>Union Bank Of India Ltd</t>
        </is>
      </c>
      <c r="E37" s="30" t="inlineStr">
        <is>
          <t>bank</t>
        </is>
      </c>
      <c r="F37" s="30" t="inlineStr">
        <is>
          <t>banks - public sector</t>
        </is>
      </c>
      <c r="G37" s="30" t="inlineStr">
        <is>
          <t>largecap</t>
        </is>
      </c>
      <c r="H37" s="31" t="n">
        <v>134198.79</v>
      </c>
      <c r="I37" s="31" t="n">
        <v>182.5</v>
      </c>
      <c r="J37" s="31" t="n">
        <v>3.81</v>
      </c>
      <c r="K37" s="31" t="n">
        <v>38880685</v>
      </c>
      <c r="L37" s="30" t="n">
        <v>45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60.61</v>
      </c>
      <c r="P37" s="31" t="n">
        <v>15.32</v>
      </c>
      <c r="Q37" s="31" t="n">
        <v>146.71</v>
      </c>
      <c r="R37" s="30" t="inlineStr">
        <is>
          <t>Earnings / Momentum Support</t>
        </is>
      </c>
      <c r="S37" s="30" t="inlineStr">
        <is>
          <t>Nifty Bank</t>
        </is>
      </c>
      <c r="T37" s="31" t="n">
        <v>5.31</v>
      </c>
      <c r="U37" s="31" t="n">
        <v>40.63</v>
      </c>
      <c r="V37" s="31" t="n">
        <v>33.54</v>
      </c>
      <c r="W37" s="31" t="n">
        <v>9.630000000000001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No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less than 2.5x and Growth less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0 to 20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2</t>
        </is>
      </c>
      <c r="BQ37" s="30">
        <f>IF(BP37="Stage 2",20,IF(BP37="Stage 1",0,IF(BP37="Stage 3",5,IF(BP37="Stage 4",-5,0))))</f>
        <v/>
      </c>
      <c r="BR37" s="30" t="inlineStr">
        <is>
          <t>Positive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Close to 52 week high or retracement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IF(B38=0,"",RANK(B38,$B$2:$B$53,0))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EDELWEISS</t>
        </is>
      </c>
      <c r="D38" s="30" t="inlineStr">
        <is>
          <t>Edelweiss Financial Services Limited</t>
        </is>
      </c>
      <c r="E38" s="30" t="inlineStr">
        <is>
          <t>financials</t>
        </is>
      </c>
      <c r="F38" s="30" t="inlineStr">
        <is>
          <t>finance &amp; investments</t>
        </is>
      </c>
      <c r="G38" s="30" t="inlineStr">
        <is>
          <t>midcap</t>
        </is>
      </c>
      <c r="H38" s="31" t="n">
        <v>11148.25</v>
      </c>
      <c r="I38" s="31" t="n">
        <v>121.16</v>
      </c>
      <c r="J38" s="31" t="n">
        <v>2.87</v>
      </c>
      <c r="K38" s="31" t="n">
        <v>11630931</v>
      </c>
      <c r="L38" s="30" t="n">
        <v>26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55.13</v>
      </c>
      <c r="P38" s="31" t="n">
        <v>8.289999999999999</v>
      </c>
      <c r="Q38" s="31" t="n">
        <v>95.08</v>
      </c>
      <c r="R38" s="30" t="inlineStr">
        <is>
          <t>Near 52W High Breakout</t>
        </is>
      </c>
      <c r="S38" s="30" t="inlineStr">
        <is>
          <t>Nifty Bank</t>
        </is>
      </c>
      <c r="T38" s="31" t="n">
        <v>5.31</v>
      </c>
      <c r="U38" s="31" t="n">
        <v>28.77</v>
      </c>
      <c r="V38" s="31" t="n">
        <v>22.28</v>
      </c>
      <c r="W38" s="31" t="n">
        <v>5.05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Headwind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less than 2.5x and Growth less than 20%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0 to 20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2</t>
        </is>
      </c>
      <c r="BQ38" s="30">
        <f>IF(BP38="Stage 2",20,IF(BP38="Stage 1",0,IF(BP38="Stage 3",5,IF(BP38="Stage 4",-5,0))))</f>
        <v/>
      </c>
      <c r="BR38" s="30" t="inlineStr">
        <is>
          <t>Positive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Close to 52 week high or retracement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IF(B39=0,"",RANK(B39,$B$2:$B$53,0))</f>
        <v/>
      </c>
      <c r="B39" s="31">
        <f>SUM(N39,Y39,AA39,AC39,AE39,AG39,AI39,AK39,AM39,AO39,AQ39,AS39,AU39,AW39,AY39,BA39,BC39,BE39,BG39,BI39,BK39,BM39,BO39,BQ39,BS39,BU39,BW39,BY39,CA39)</f>
        <v/>
      </c>
      <c r="C39" s="32" t="inlineStr">
        <is>
          <t>ICICIBANK</t>
        </is>
      </c>
      <c r="D39" s="32" t="inlineStr">
        <is>
          <t>Icici Bank Limited</t>
        </is>
      </c>
      <c r="E39" s="30" t="inlineStr">
        <is>
          <t>bank</t>
        </is>
      </c>
      <c r="F39" s="30" t="inlineStr">
        <is>
          <t>banks - private sector</t>
        </is>
      </c>
      <c r="G39" s="30" t="inlineStr">
        <is>
          <t>largecap</t>
        </is>
      </c>
      <c r="H39" s="31" t="n">
        <v>1040246.02</v>
      </c>
      <c r="I39" s="31" t="n">
        <v>1457.5</v>
      </c>
      <c r="J39" s="31" t="n">
        <v>0.51</v>
      </c>
      <c r="K39" s="31" t="n">
        <v>28647459</v>
      </c>
      <c r="L39" s="30" t="n">
        <v>22</v>
      </c>
      <c r="M39" s="30" t="inlineStr">
        <is>
          <t>Underperforming</t>
        </is>
      </c>
      <c r="N39" s="31">
        <f>IF(M39="Underperforming",-5,IF(L39&gt;=95,15,IF(L39&gt;=90,10,IF(L39&gt;=80,5,0))))</f>
        <v/>
      </c>
      <c r="O39" s="31" t="n">
        <v>65.73999999999999</v>
      </c>
      <c r="P39" s="31" t="n">
        <v>19.02</v>
      </c>
      <c r="Q39" s="31" t="n">
        <v>1287.21</v>
      </c>
      <c r="R39" s="30" t="inlineStr">
        <is>
          <t>Near 52W High Breakout</t>
        </is>
      </c>
      <c r="S39" s="30" t="inlineStr">
        <is>
          <t>Nifty Bank</t>
        </is>
      </c>
      <c r="T39" s="31" t="n">
        <v>5.31</v>
      </c>
      <c r="U39" s="31" t="n">
        <v>2.93</v>
      </c>
      <c r="V39" s="31" t="n">
        <v>-2.26</v>
      </c>
      <c r="W39" s="31" t="n">
        <v>4.16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between 2.5x to 5x and Growth less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0 to 20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2</t>
        </is>
      </c>
      <c r="BQ39" s="30">
        <f>IF(BP39="Stage 2",20,IF(BP39="Stage 1",0,IF(BP39="Stage 3",5,IF(BP39="Stage 4",-5,0))))</f>
        <v/>
      </c>
      <c r="BR39" s="30" t="inlineStr">
        <is>
          <t>Positive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Blue sky scenario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IF(B40=0,"",RANK(B40,$B$2:$B$53,0))</f>
        <v/>
      </c>
      <c r="B40" s="31">
        <f>SUM(N40,Y40,AA40,AC40,AE40,AG40,AI40,AK40,AM40,AO40,AQ40,AS40,AU40,AW40,AY40,BA40,BC40,BE40,BG40,BI40,BK40,BM40,BO40,BQ40,BS40,BU40,BW40,BY40,CA40)</f>
        <v/>
      </c>
      <c r="C40" s="30" t="inlineStr">
        <is>
          <t>360ONE</t>
        </is>
      </c>
      <c r="D40" s="30" t="inlineStr">
        <is>
          <t>360 ONE WAM Ltd</t>
        </is>
      </c>
      <c r="E40" s="30" t="inlineStr">
        <is>
          <t>financials</t>
        </is>
      </c>
      <c r="F40" s="30" t="inlineStr">
        <is>
          <t>finance &amp; investments</t>
        </is>
      </c>
      <c r="G40" s="30" t="inlineStr">
        <is>
          <t>largecap</t>
        </is>
      </c>
      <c r="H40" s="31" t="n">
        <v>48476.85</v>
      </c>
      <c r="I40" s="31" t="n">
        <v>1186</v>
      </c>
      <c r="J40" s="31" t="n">
        <v>-0.5</v>
      </c>
      <c r="K40" s="31" t="n">
        <v>1904112</v>
      </c>
      <c r="L40" s="30" t="n">
        <v>22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59.31</v>
      </c>
      <c r="P40" s="31" t="n">
        <v>14.15</v>
      </c>
      <c r="Q40" s="31" t="n">
        <v>965.64</v>
      </c>
      <c r="R40" s="30" t="inlineStr">
        <is>
          <t>Near 52W High Breakout</t>
        </is>
      </c>
      <c r="S40" s="30" t="inlineStr">
        <is>
          <t>Nifty Bank</t>
        </is>
      </c>
      <c r="T40" s="31" t="n">
        <v>5.31</v>
      </c>
      <c r="U40" s="31" t="n">
        <v>14.95</v>
      </c>
      <c r="V40" s="31" t="n">
        <v>9.15</v>
      </c>
      <c r="W40" s="31" t="n">
        <v>4.05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between 2.5x to 5x and Growth less than 20%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0 to 20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2</t>
        </is>
      </c>
      <c r="BQ40" s="30">
        <f>IF(BP40="Stage 2",20,IF(BP40="Stage 1",0,IF(BP40="Stage 3",5,IF(BP40="Stage 4",-5,0))))</f>
        <v/>
      </c>
      <c r="BR40" s="30" t="inlineStr">
        <is>
          <t>Positive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IF(B41=0,"",RANK(B41,$B$2:$B$53,0))</f>
        <v/>
      </c>
      <c r="B41" s="31">
        <f>SUM(N41,Y41,AA41,AC41,AE41,AG41,AI41,AK41,AM41,AO41,AQ41,AS41,AU41,AW41,AY41,BA41,BC41,BE41,BG41,BI41,BK41,BM41,BO41,BQ41,BS41,BU41,BW41,BY41,CA41)</f>
        <v/>
      </c>
      <c r="C41" s="30" t="inlineStr">
        <is>
          <t>CARERATING</t>
        </is>
      </c>
      <c r="D41" s="30" t="inlineStr">
        <is>
          <t>CARE Ratings Ltd</t>
        </is>
      </c>
      <c r="E41" s="30" t="inlineStr">
        <is>
          <t>financials</t>
        </is>
      </c>
      <c r="F41" s="30" t="inlineStr">
        <is>
          <t>miscellaneous</t>
        </is>
      </c>
      <c r="G41" s="30" t="inlineStr">
        <is>
          <t>midcap</t>
        </is>
      </c>
      <c r="H41" s="31" t="n">
        <v>5257.87</v>
      </c>
      <c r="I41" s="31" t="n">
        <v>1730.1</v>
      </c>
      <c r="J41" s="31" t="n">
        <v>-1.09</v>
      </c>
      <c r="K41" s="31" t="n">
        <v>50498</v>
      </c>
      <c r="L41" s="30" t="n">
        <v>16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61.2</v>
      </c>
      <c r="P41" s="31" t="n">
        <v>19.28</v>
      </c>
      <c r="Q41" s="31" t="n">
        <v>1466.59</v>
      </c>
      <c r="R41" s="30" t="inlineStr">
        <is>
          <t>Near 52W High Breakout</t>
        </is>
      </c>
      <c r="S41" s="30" t="inlineStr">
        <is>
          <t>Nifty Bank</t>
        </is>
      </c>
      <c r="T41" s="31" t="n">
        <v>5.31</v>
      </c>
      <c r="U41" s="31" t="n">
        <v>6.54</v>
      </c>
      <c r="V41" s="31" t="n">
        <v>1.17</v>
      </c>
      <c r="W41" s="31" t="n">
        <v>2.78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above 5x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0 to 20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2</t>
        </is>
      </c>
      <c r="BQ41" s="30">
        <f>IF(BP41="Stage 2",20,IF(BP41="Stage 1",0,IF(BP41="Stage 3",5,IF(BP41="Stage 4",-5,0))))</f>
        <v/>
      </c>
      <c r="BR41" s="30" t="inlineStr">
        <is>
          <t>Positive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IF(B42=0,"",RANK(B42,$B$2:$B$53,0))</f>
        <v/>
      </c>
      <c r="B42" s="31">
        <f>SUM(N42,Y42,AA42,AC42,AE42,AG42,AI42,AK42,AM42,AO42,AQ42,AS42,AU42,AW42,AY42,BA42,BC42,BE42,BG42,BI42,BK42,BM42,BO42,BQ42,BS42,BU42,BW42,BY42,CA42)</f>
        <v/>
      </c>
      <c r="C42" s="30" t="inlineStr">
        <is>
          <t>NAM-INDIA</t>
        </is>
      </c>
      <c r="D42" s="30" t="inlineStr">
        <is>
          <t>Nippon Life India Asset Management Ltd</t>
        </is>
      </c>
      <c r="E42" s="30" t="inlineStr">
        <is>
          <t>financials</t>
        </is>
      </c>
      <c r="F42" s="30" t="inlineStr">
        <is>
          <t>finance &amp; investments</t>
        </is>
      </c>
      <c r="G42" s="30" t="inlineStr">
        <is>
          <t>largecap</t>
        </is>
      </c>
      <c r="H42" s="31" t="n">
        <v>77674.45</v>
      </c>
      <c r="I42" s="31" t="n">
        <v>1200</v>
      </c>
      <c r="J42" s="31" t="n">
        <v>-1.23</v>
      </c>
      <c r="K42" s="31" t="n">
        <v>994555</v>
      </c>
      <c r="L42" s="30" t="n">
        <v>50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63.9</v>
      </c>
      <c r="P42" s="31" t="n">
        <v>40.92</v>
      </c>
      <c r="Q42" s="31" t="n">
        <v>975.08</v>
      </c>
      <c r="R42" s="30" t="inlineStr">
        <is>
          <t>Near 52W High Breakout</t>
        </is>
      </c>
      <c r="S42" s="30" t="inlineStr">
        <is>
          <t>Nifty Bank</t>
        </is>
      </c>
      <c r="T42" s="31" t="n">
        <v>5.31</v>
      </c>
      <c r="U42" s="31" t="n">
        <v>52.33</v>
      </c>
      <c r="V42" s="31" t="n">
        <v>44.66</v>
      </c>
      <c r="W42" s="31" t="n">
        <v>10.85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above 5x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Above 40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2</t>
        </is>
      </c>
      <c r="BQ42" s="30">
        <f>IF(BP42="Stage 2",20,IF(BP42="Stage 1",0,IF(BP42="Stage 3",5,IF(BP42="Stage 4",-5,0))))</f>
        <v/>
      </c>
      <c r="BR42" s="30" t="inlineStr">
        <is>
          <t>Negative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Blue sky scenario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  <row r="43">
      <c r="A43" s="30">
        <f>IF(B43=0,"",RANK(B43,$B$2:$B$53,0))</f>
        <v/>
      </c>
      <c r="B43" s="31">
        <f>SUM(N43,Y43,AA43,AC43,AE43,AG43,AI43,AK43,AM43,AO43,AQ43,AS43,AU43,AW43,AY43,BA43,BC43,BE43,BG43,BI43,BK43,BM43,BO43,BQ43,BS43,BU43,BW43,BY43,CA43)</f>
        <v/>
      </c>
      <c r="C43" s="30" t="inlineStr">
        <is>
          <t>CAMS</t>
        </is>
      </c>
      <c r="D43" s="30" t="inlineStr">
        <is>
          <t>Computer Age Management Services Ltd</t>
        </is>
      </c>
      <c r="E43" s="30" t="inlineStr">
        <is>
          <t>financials</t>
        </is>
      </c>
      <c r="F43" s="30" t="inlineStr">
        <is>
          <t>miscellaneous</t>
        </is>
      </c>
      <c r="G43" s="30" t="inlineStr">
        <is>
          <t>largecap</t>
        </is>
      </c>
      <c r="H43" s="31" t="n">
        <v>20150.5</v>
      </c>
      <c r="I43" s="31" t="n">
        <v>799.45</v>
      </c>
      <c r="J43" s="31" t="n">
        <v>-1.53</v>
      </c>
      <c r="K43" s="31" t="n">
        <v>1603141</v>
      </c>
      <c r="L43" s="30" t="n">
        <v>8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56.42</v>
      </c>
      <c r="P43" s="31" t="n">
        <v>17.04</v>
      </c>
      <c r="Q43" s="31" t="n">
        <v>681.62</v>
      </c>
      <c r="R43" s="30" t="inlineStr">
        <is>
          <t>Near 52W High Breakout</t>
        </is>
      </c>
      <c r="S43" s="30" t="inlineStr">
        <is>
          <t>Nifty Bank</t>
        </is>
      </c>
      <c r="T43" s="31" t="n">
        <v>5.31</v>
      </c>
      <c r="U43" s="31" t="n">
        <v>8.31</v>
      </c>
      <c r="V43" s="31" t="n">
        <v>2.85</v>
      </c>
      <c r="W43" s="31" t="n">
        <v>1.09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Fragmented with High ROE</t>
        </is>
      </c>
      <c r="AA43" s="30">
        <f>IF(Z43="Fragmented with Low ROE",-5,IF(Z43="Fragmented with High ROE",10,IF(Z43= "highly cyclical",5,0)))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Consistency)",15,IF(AF43="Shallow Cyclical (2 to 3 years growth)",10,IF(AF43 = "Cyclical in an Uptick",5,IF(AF43 = "Cyclical in an Downtick",-10,0))))</f>
        <v/>
      </c>
      <c r="AH43" s="30" t="inlineStr">
        <is>
          <t>Yes</t>
        </is>
      </c>
      <c r="AI43" s="30">
        <f>IF(AH43="Yes",10,0)</f>
        <v/>
      </c>
      <c r="AJ43" s="30" t="inlineStr">
        <is>
          <t>Yes</t>
        </is>
      </c>
      <c r="AK43" s="30">
        <f>IF(AJ43="Yes",10,0)</f>
        <v/>
      </c>
      <c r="AL43" s="30" t="n"/>
      <c r="AM43" s="30">
        <f>IF(AL43="No",10,0)</f>
        <v/>
      </c>
      <c r="AN43" s="30" t="inlineStr">
        <is>
          <t>Yes</t>
        </is>
      </c>
      <c r="AO43" s="30">
        <f>IF(AN43="Yes",10,0)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Yes</t>
        </is>
      </c>
      <c r="AS43" s="30">
        <f>IF(AR43="Yes",5,0)</f>
        <v/>
      </c>
      <c r="AT43" s="30" t="inlineStr">
        <is>
          <t>No</t>
        </is>
      </c>
      <c r="AU43" s="30">
        <f>IF(AT43="No",10,IF(AT43="Yes",-10,0))</f>
        <v/>
      </c>
      <c r="AV43" s="30" t="inlineStr">
        <is>
          <t>No</t>
        </is>
      </c>
      <c r="AW43" s="30">
        <f>IF(AV43="No",10,0)</f>
        <v/>
      </c>
      <c r="AX43" s="30" t="inlineStr">
        <is>
          <t>No</t>
        </is>
      </c>
      <c r="AY43" s="30">
        <f>IF(AX43="No",10,IF(AX43= "Yes CEO Resignation",-5,0))</f>
        <v/>
      </c>
      <c r="AZ43" s="30" t="inlineStr">
        <is>
          <t>No</t>
        </is>
      </c>
      <c r="BA43" s="30">
        <f>IF(AZ43="No",10,IF(AZ43="Yes",-5,0))</f>
        <v/>
      </c>
      <c r="BB43" s="30" t="inlineStr">
        <is>
          <t>No</t>
        </is>
      </c>
      <c r="BC43" s="30">
        <f>IF(BB43="No",5,IF(BB43="Yes",-5,0))</f>
        <v/>
      </c>
      <c r="BD43" s="30" t="inlineStr">
        <is>
          <t>Yes</t>
        </is>
      </c>
      <c r="BE43" s="30">
        <f>IF(BD43="Yes",10,0)</f>
        <v/>
      </c>
      <c r="BF43" s="30" t="inlineStr">
        <is>
          <t>Yes</t>
        </is>
      </c>
      <c r="BG43" s="30">
        <f>IF(BF43="Yes",10,0)</f>
        <v/>
      </c>
      <c r="BH43" s="30" t="inlineStr">
        <is>
          <t>Yes</t>
        </is>
      </c>
      <c r="BI43" s="30">
        <f>IF(BH43="Yes",10,0)</f>
        <v/>
      </c>
      <c r="BJ43" s="30" t="inlineStr">
        <is>
          <t>P/BV above 5x</t>
        </is>
      </c>
      <c r="BK43" s="30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0" t="inlineStr">
        <is>
          <t>0 to 20</t>
        </is>
      </c>
      <c r="BM43" s="30">
        <f>IF(BL43="Above 40",20,IF(BL43="20 to 40",10,IF(BL43="0 to 20",-5,0)))</f>
        <v/>
      </c>
      <c r="BN43" s="30" t="inlineStr">
        <is>
          <t>Between 50 to 75</t>
        </is>
      </c>
      <c r="BO43" s="30">
        <f>IF(BN43="Between 50 to 75",10,IF(BN43="Above 75",0,0))</f>
        <v/>
      </c>
      <c r="BP43" s="30" t="inlineStr">
        <is>
          <t>Stage 2</t>
        </is>
      </c>
      <c r="BQ43" s="30">
        <f>IF(BP43="Stage 2",20,IF(BP43="Stage 1",0,IF(BP43="Stage 3",5,IF(BP43="Stage 4",-5,0))))</f>
        <v/>
      </c>
      <c r="BR43" s="30" t="inlineStr">
        <is>
          <t>Positive Trend</t>
        </is>
      </c>
      <c r="BS43" s="30">
        <f>IF(BR43="Positive Trend",20,IF(BR43="Negative Trend",-10,0))</f>
        <v/>
      </c>
      <c r="BT43" s="30" t="inlineStr">
        <is>
          <t>Uptrend</t>
        </is>
      </c>
      <c r="BU43" s="30">
        <f>IF(BT43="Uptrend",10,IF(BT43="Sideways",5,0))</f>
        <v/>
      </c>
      <c r="BV43" s="30" t="inlineStr">
        <is>
          <t>Uptrend</t>
        </is>
      </c>
      <c r="BW43" s="30">
        <f>IF(BV43="Uptrend",10,IF(BV43="Sideways",5,0))</f>
        <v/>
      </c>
      <c r="BX43" s="30" t="inlineStr">
        <is>
          <t>Close to 52 week high or retracement</t>
        </is>
      </c>
      <c r="BY43" s="30">
        <f>IF(BX43="Overhead supply in last 2 years in last 2 years",-5,IF(BX43="Close to 52 week high or retracement",5,IF(BX43="Blue sky scenario",10,IF(BX43="Long term Downtrend",-10,0))))</f>
        <v/>
      </c>
      <c r="BZ43" s="30" t="inlineStr">
        <is>
          <t>Yes</t>
        </is>
      </c>
      <c r="CA43" s="30">
        <f>IF(BZ43="Yes",10,0)</f>
        <v/>
      </c>
    </row>
    <row r="44">
      <c r="A44" s="30">
        <f>IF(B44=0,"",RANK(B44,$B$2:$B$53,0))</f>
        <v/>
      </c>
      <c r="B44" s="31">
        <f>SUM(N44,Y44,AA44,AC44,AE44,AG44,AI44,AK44,AM44,AO44,AQ44,AS44,AU44,AW44,AY44,BA44,BC44,BE44,BG44,BI44,BK44,BM44,BO44,BQ44,BS44,BU44,BW44,BY44,CA44)</f>
        <v/>
      </c>
      <c r="C44" s="32" t="inlineStr">
        <is>
          <t>FIVESTAR</t>
        </is>
      </c>
      <c r="D44" s="32" t="inlineStr">
        <is>
          <t>Five-Star Business Finance Ltd</t>
        </is>
      </c>
      <c r="E44" s="30" t="inlineStr">
        <is>
          <t>financials</t>
        </is>
      </c>
      <c r="F44" s="30" t="inlineStr">
        <is>
          <t>finance &amp; investments</t>
        </is>
      </c>
      <c r="G44" s="30" t="inlineStr">
        <is>
          <t>midcap</t>
        </is>
      </c>
      <c r="H44" s="31" t="n">
        <v>16167</v>
      </c>
      <c r="I44" s="31" t="n">
        <v>553.25</v>
      </c>
      <c r="J44" s="31" t="n">
        <v>1.01</v>
      </c>
      <c r="K44" s="31" t="n">
        <v>300200</v>
      </c>
      <c r="L44" s="30" t="n">
        <v>22</v>
      </c>
      <c r="M44" s="30" t="inlineStr">
        <is>
          <t>Underperforming</t>
        </is>
      </c>
      <c r="N44" s="31">
        <f>IF(M44="Underperforming",-5,IF(L44&gt;=95,15,IF(L44&gt;=90,10,IF(L44&gt;=80,5,0))))</f>
        <v/>
      </c>
      <c r="O44" s="31" t="n">
        <v>58.85</v>
      </c>
      <c r="P44" s="31" t="n">
        <v>14.56</v>
      </c>
      <c r="Q44" s="31" t="n">
        <v>426.38</v>
      </c>
      <c r="R44" s="30" t="inlineStr">
        <is>
          <t>Earnings / Momentum Support</t>
        </is>
      </c>
      <c r="S44" s="30" t="inlineStr">
        <is>
          <t>Nifty Bank</t>
        </is>
      </c>
      <c r="T44" s="31" t="n">
        <v>5.31</v>
      </c>
      <c r="U44" s="31" t="n">
        <v>-5.33</v>
      </c>
      <c r="V44" s="31" t="n">
        <v>-10.1</v>
      </c>
      <c r="W44" s="31" t="n">
        <v>4.18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Fragmented with High ROE</t>
        </is>
      </c>
      <c r="AA44" s="30">
        <f>IF(Z44="Fragmented with Low ROE",-5,IF(Z44="Fragmented with High ROE",10,IF(Z44= "highly cyclical",5,0)))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Consistency)",15,IF(AF44="Shallow Cyclical (2 to 3 years growth)",10,IF(AF44 = "Cyclical in an Uptick",5,IF(AF44 = "Cyclical in an Downtick",-10,0))))</f>
        <v/>
      </c>
      <c r="AH44" s="30" t="inlineStr">
        <is>
          <t>Yes</t>
        </is>
      </c>
      <c r="AI44" s="30">
        <f>IF(AH44="Yes",10,0)</f>
        <v/>
      </c>
      <c r="AJ44" s="30" t="inlineStr">
        <is>
          <t>Yes</t>
        </is>
      </c>
      <c r="AK44" s="30">
        <f>IF(AJ44="Yes",10,0)</f>
        <v/>
      </c>
      <c r="AL44" s="30" t="n"/>
      <c r="AM44" s="30">
        <f>IF(AL44="No",10,0)</f>
        <v/>
      </c>
      <c r="AN44" s="30" t="inlineStr">
        <is>
          <t>Yes</t>
        </is>
      </c>
      <c r="AO44" s="30">
        <f>IF(AN44="Yes",10,0)</f>
        <v/>
      </c>
      <c r="AP44" s="30" t="inlineStr">
        <is>
          <t>No</t>
        </is>
      </c>
      <c r="AQ44" s="30">
        <f>IF(AP44="Yes",10,0)</f>
        <v/>
      </c>
      <c r="AR44" s="30" t="inlineStr">
        <is>
          <t>Yes</t>
        </is>
      </c>
      <c r="AS44" s="30">
        <f>IF(AR44="Yes",5,0)</f>
        <v/>
      </c>
      <c r="AT44" s="30" t="inlineStr">
        <is>
          <t>No</t>
        </is>
      </c>
      <c r="AU44" s="30">
        <f>IF(AT44="No",10,IF(AT44="Yes",-10,0))</f>
        <v/>
      </c>
      <c r="AV44" s="30" t="inlineStr">
        <is>
          <t>No</t>
        </is>
      </c>
      <c r="AW44" s="30">
        <f>IF(AV44="No",10,0)</f>
        <v/>
      </c>
      <c r="AX44" s="30" t="inlineStr">
        <is>
          <t>No</t>
        </is>
      </c>
      <c r="AY44" s="30">
        <f>IF(AX44="No",10,IF(AX44= "Yes CEO Resignation",-5,0))</f>
        <v/>
      </c>
      <c r="AZ44" s="30" t="inlineStr">
        <is>
          <t>No</t>
        </is>
      </c>
      <c r="BA44" s="30">
        <f>IF(AZ44="No",10,IF(AZ44="Yes",-5,0))</f>
        <v/>
      </c>
      <c r="BB44" s="30" t="inlineStr">
        <is>
          <t>No</t>
        </is>
      </c>
      <c r="BC44" s="30">
        <f>IF(BB44="No",5,IF(BB44="Yes",-5,0))</f>
        <v/>
      </c>
      <c r="BD44" s="30" t="inlineStr">
        <is>
          <t>Yes</t>
        </is>
      </c>
      <c r="BE44" s="30">
        <f>IF(BD44="Yes",10,0)</f>
        <v/>
      </c>
      <c r="BF44" s="30" t="inlineStr">
        <is>
          <t>Yes</t>
        </is>
      </c>
      <c r="BG44" s="30">
        <f>IF(BF44="Yes",10,0)</f>
        <v/>
      </c>
      <c r="BH44" s="30" t="inlineStr">
        <is>
          <t>Yes</t>
        </is>
      </c>
      <c r="BI44" s="30">
        <f>IF(BH44="Yes",10,0)</f>
        <v/>
      </c>
      <c r="BJ44" s="30" t="inlineStr">
        <is>
          <t>P/BV less than 2.5x and Growth less than 20%</t>
        </is>
      </c>
      <c r="BK44" s="30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0" t="inlineStr">
        <is>
          <t>0 to 20</t>
        </is>
      </c>
      <c r="BM44" s="30">
        <f>IF(BL44="Above 40",20,IF(BL44="20 to 40",10,IF(BL44="0 to 20",-5,0)))</f>
        <v/>
      </c>
      <c r="BN44" s="30" t="inlineStr">
        <is>
          <t>Between 50 to 75</t>
        </is>
      </c>
      <c r="BO44" s="30">
        <f>IF(BN44="Between 50 to 75",10,IF(BN44="Above 75",0,0))</f>
        <v/>
      </c>
      <c r="BP44" s="30" t="inlineStr">
        <is>
          <t>Stage 2</t>
        </is>
      </c>
      <c r="BQ44" s="30">
        <f>IF(BP44="Stage 2",20,IF(BP44="Stage 1",0,IF(BP44="Stage 3",5,IF(BP44="Stage 4",-5,0))))</f>
        <v/>
      </c>
      <c r="BR44" s="30" t="inlineStr">
        <is>
          <t>Positive Trend</t>
        </is>
      </c>
      <c r="BS44" s="30">
        <f>IF(BR44="Positive Trend",20,IF(BR44="Negative Trend",-10,0))</f>
        <v/>
      </c>
      <c r="BT44" s="30" t="inlineStr">
        <is>
          <t>Uptrend</t>
        </is>
      </c>
      <c r="BU44" s="30">
        <f>IF(BT44="Uptrend",10,IF(BT44="Sideways",5,0))</f>
        <v/>
      </c>
      <c r="BV44" s="30" t="inlineStr">
        <is>
          <t>Uptrend</t>
        </is>
      </c>
      <c r="BW44" s="30">
        <f>IF(BV44="Uptrend",10,IF(BV44="Sideways",5,0))</f>
        <v/>
      </c>
      <c r="BX44" s="30" t="inlineStr">
        <is>
          <t>Close to 52 week high or retracement</t>
        </is>
      </c>
      <c r="BY44" s="30">
        <f>IF(BX44="Overhead supply in last 2 years in last 2 years",-5,IF(BX44="Close to 52 week high or retracement",5,IF(BX44="Blue sky scenario",10,IF(BX44="Long term Downtrend",-10,0))))</f>
        <v/>
      </c>
      <c r="BZ44" s="30" t="inlineStr">
        <is>
          <t>Yes</t>
        </is>
      </c>
      <c r="CA44" s="30">
        <f>IF(BZ44="Yes",10,0)</f>
        <v/>
      </c>
    </row>
    <row r="45">
      <c r="A45" s="30">
        <f>IF(B45=0,"",RANK(B45,$B$2:$B$53,0))</f>
        <v/>
      </c>
      <c r="B45" s="31">
        <f>SUM(N45,Y45,AA45,AC45,AE45,AG45,AI45,AK45,AM45,AO45,AQ45,AS45,AU45,AW45,AY45,BA45,BC45,BE45,BG45,BI45,BK45,BM45,BO45,BQ45,BS45,BU45,BW45,BY45,CA45)</f>
        <v/>
      </c>
      <c r="C45" s="30" t="inlineStr">
        <is>
          <t>ARMANFIN</t>
        </is>
      </c>
      <c r="D45" s="30" t="inlineStr">
        <is>
          <t>Arman Financial Services Limited</t>
        </is>
      </c>
      <c r="E45" s="30" t="inlineStr">
        <is>
          <t>financials</t>
        </is>
      </c>
      <c r="F45" s="30" t="inlineStr">
        <is>
          <t>finance &amp; investments</t>
        </is>
      </c>
      <c r="G45" s="30" t="inlineStr">
        <is>
          <t>smallcap</t>
        </is>
      </c>
      <c r="H45" s="31" t="n">
        <v>2155.32</v>
      </c>
      <c r="I45" s="31" t="n">
        <v>2037.1</v>
      </c>
      <c r="J45" s="31" t="n">
        <v>-0.62</v>
      </c>
      <c r="K45" s="31" t="n">
        <v>32572</v>
      </c>
      <c r="L45" s="30" t="n">
        <v>46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66.84999999999999</v>
      </c>
      <c r="P45" s="31" t="n">
        <v>22.26</v>
      </c>
      <c r="Q45" s="31" t="n">
        <v>1565.74</v>
      </c>
      <c r="R45" s="30" t="inlineStr">
        <is>
          <t>Near 52W High Breakout</t>
        </is>
      </c>
      <c r="S45" s="30" t="inlineStr">
        <is>
          <t>Nifty Bank</t>
        </is>
      </c>
      <c r="T45" s="31" t="n">
        <v>5.31</v>
      </c>
      <c r="U45" s="31" t="n">
        <v>37.82</v>
      </c>
      <c r="V45" s="31" t="n">
        <v>30.87</v>
      </c>
      <c r="W45" s="31" t="n">
        <v>10.22</v>
      </c>
      <c r="X45" s="30" t="inlineStr">
        <is>
          <t>Cyclical in an Upturn</t>
        </is>
      </c>
      <c r="Y45" s="30">
        <f>IF(X45="Growing Industry",10,IF(X45="Cyclical in an Upturn",5,0))</f>
        <v/>
      </c>
      <c r="Z45" s="30" t="inlineStr">
        <is>
          <t>Fragmented with High ROE</t>
        </is>
      </c>
      <c r="AA45" s="30">
        <f>IF(Z45="Fragmented with Low ROE",-5,IF(Z45="Fragmented with High ROE",10,IF(Z45= "highly cyclical",5,0)))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Cyclical in an Uptick</t>
        </is>
      </c>
      <c r="AG45" s="30">
        <f>IF(AF45="Structural (10 Years Consistency)",15,IF(AF45="Shallow Cyclical (2 to 3 years growth)",10,IF(AF45 = "Cyclical in an Uptick",5,IF(AF45 = "Cyclical in an Downtick",-10,0))))</f>
        <v/>
      </c>
      <c r="AH45" s="30" t="inlineStr">
        <is>
          <t>Yes</t>
        </is>
      </c>
      <c r="AI45" s="30">
        <f>IF(AH45="Yes",10,0)</f>
        <v/>
      </c>
      <c r="AJ45" s="30" t="inlineStr">
        <is>
          <t>Not Applicable</t>
        </is>
      </c>
      <c r="AK45" s="30">
        <f>IF(AJ45="Yes",10,0)</f>
        <v/>
      </c>
      <c r="AL45" s="30" t="inlineStr">
        <is>
          <t>Yes</t>
        </is>
      </c>
      <c r="AM45" s="30">
        <f>IF(AL45="No",10,0)</f>
        <v/>
      </c>
      <c r="AN45" s="30" t="inlineStr">
        <is>
          <t>Yes</t>
        </is>
      </c>
      <c r="AO45" s="30">
        <f>IF(AN45="Yes",10,0)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Yes</t>
        </is>
      </c>
      <c r="AS45" s="30">
        <f>IF(AR45="Yes",5,0)</f>
        <v/>
      </c>
      <c r="AT45" s="30" t="inlineStr">
        <is>
          <t>Not Applicable</t>
        </is>
      </c>
      <c r="AU45" s="30">
        <f>IF(AT45="No",10,IF(AT45="Yes",-10,0))</f>
        <v/>
      </c>
      <c r="AV45" s="30" t="inlineStr">
        <is>
          <t>No</t>
        </is>
      </c>
      <c r="AW45" s="30">
        <f>IF(AV45="No",10,0)</f>
        <v/>
      </c>
      <c r="AX45" s="30" t="inlineStr">
        <is>
          <t>No</t>
        </is>
      </c>
      <c r="AY45" s="30">
        <f>IF(AX45="No",10,IF(AX45= "Yes CEO Resignation",-5,0))</f>
        <v/>
      </c>
      <c r="AZ45" s="30" t="inlineStr">
        <is>
          <t>No</t>
        </is>
      </c>
      <c r="BA45" s="30">
        <f>IF(AZ45="No",10,IF(AZ45="Yes",-5,0))</f>
        <v/>
      </c>
      <c r="BB45" s="30" t="inlineStr">
        <is>
          <t>No</t>
        </is>
      </c>
      <c r="BC45" s="30">
        <f>IF(BB45="No",5,IF(BB45="Yes",-5,0))</f>
        <v/>
      </c>
      <c r="BD45" s="30" t="inlineStr">
        <is>
          <t>Yes</t>
        </is>
      </c>
      <c r="BE45" s="30">
        <f>IF(BD45="Yes",10,0)</f>
        <v/>
      </c>
      <c r="BF45" s="30" t="inlineStr">
        <is>
          <t>Yes</t>
        </is>
      </c>
      <c r="BG45" s="30">
        <f>IF(BF45="Yes",10,0)</f>
        <v/>
      </c>
      <c r="BH45" s="30" t="inlineStr">
        <is>
          <t>Yes</t>
        </is>
      </c>
      <c r="BI45" s="30">
        <f>IF(BH45="Yes",10,0)</f>
        <v/>
      </c>
      <c r="BJ45" s="30" t="inlineStr">
        <is>
          <t>P/BV between 2.5x to 5x and Growth more than 20%</t>
        </is>
      </c>
      <c r="BK45" s="30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0" t="inlineStr">
        <is>
          <t>20 to 40</t>
        </is>
      </c>
      <c r="BM45" s="30">
        <f>IF(BL45="Above 40",20,IF(BL45="20 to 40",10,IF(BL45="0 to 20",-5,0)))</f>
        <v/>
      </c>
      <c r="BN45" s="30" t="inlineStr">
        <is>
          <t>Between 50 to 75</t>
        </is>
      </c>
      <c r="BO45" s="30">
        <f>IF(BN45="Between 50 to 75",10,IF(BN45="Above 75",0,0))</f>
        <v/>
      </c>
      <c r="BP45" s="30" t="inlineStr">
        <is>
          <t>Stage 2</t>
        </is>
      </c>
      <c r="BQ45" s="30">
        <f>IF(BP45="Stage 2",20,IF(BP45="Stage 1",0,IF(BP45="Stage 3",5,IF(BP45="Stage 4",-5,0))))</f>
        <v/>
      </c>
      <c r="BR45" s="30" t="inlineStr">
        <is>
          <t>Positive Trend</t>
        </is>
      </c>
      <c r="BS45" s="30">
        <f>IF(BR45="Positive Trend",20,IF(BR45="Negative Trend",-10,0))</f>
        <v/>
      </c>
      <c r="BT45" s="30" t="inlineStr">
        <is>
          <t>Sideways</t>
        </is>
      </c>
      <c r="BU45" s="30">
        <f>IF(BT45="Uptrend",10,IF(BT45="Sideways",5,0))</f>
        <v/>
      </c>
      <c r="BV45" s="30" t="inlineStr">
        <is>
          <t>Uptrend</t>
        </is>
      </c>
      <c r="BW45" s="30">
        <f>IF(BV45="Uptrend",10,IF(BV45="Sideways",5,0))</f>
        <v/>
      </c>
      <c r="BX45" s="30" t="inlineStr">
        <is>
          <t>Close to 52 week high or retracement</t>
        </is>
      </c>
      <c r="BY45" s="30">
        <f>IF(BX45="Overhead supply in last 2 years in last 2 years",-5,IF(BX45="Close to 52 week high or retracement",5,IF(BX45="Blue sky scenario",10,IF(BX45="Long term Downtrend",-10,0))))</f>
        <v/>
      </c>
      <c r="BZ45" s="30" t="inlineStr">
        <is>
          <t>Yes</t>
        </is>
      </c>
      <c r="CA45" s="30">
        <f>IF(BZ45="Yes",10,0)</f>
        <v/>
      </c>
    </row>
    <row r="46">
      <c r="A46" s="30">
        <f>IF(B46=0,"",RANK(B46,$B$2:$B$53,0))</f>
        <v/>
      </c>
      <c r="B46" s="31">
        <f>SUM(N46,Y46,AA46,AC46,AE46,AG46,AI46,AK46,AM46,AO46,AQ46,AS46,AU46,AW46,AY46,BA46,BC46,BE46,BG46,BI46,BK46,BM46,BO46,BQ46,BS46,BU46,BW46,BY46,CA46)</f>
        <v/>
      </c>
      <c r="C46" s="30" t="inlineStr">
        <is>
          <t>SBIN</t>
        </is>
      </c>
      <c r="D46" s="30" t="inlineStr">
        <is>
          <t>State Bank Of India Ltd</t>
        </is>
      </c>
      <c r="E46" s="30" t="inlineStr">
        <is>
          <t>bank</t>
        </is>
      </c>
      <c r="F46" s="30" t="inlineStr">
        <is>
          <t>banks - public sector</t>
        </is>
      </c>
      <c r="G46" s="30" t="inlineStr">
        <is>
          <t>largecap</t>
        </is>
      </c>
      <c r="H46" s="31" t="n">
        <v>973830.16</v>
      </c>
      <c r="I46" s="31" t="n">
        <v>1085</v>
      </c>
      <c r="J46" s="31" t="n">
        <v>2.84</v>
      </c>
      <c r="K46" s="31" t="n">
        <v>27235922</v>
      </c>
      <c r="L46" s="30" t="n">
        <v>38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57.69</v>
      </c>
      <c r="P46" s="31" t="n">
        <v>7.95</v>
      </c>
      <c r="Q46" s="31" t="n">
        <v>924.78</v>
      </c>
      <c r="R46" s="30" t="inlineStr">
        <is>
          <t>Earnings / Momentum Support</t>
        </is>
      </c>
      <c r="S46" s="30" t="inlineStr">
        <is>
          <t>Nifty Bank</t>
        </is>
      </c>
      <c r="T46" s="31" t="n">
        <v>5.31</v>
      </c>
      <c r="U46" s="31" t="n">
        <v>34.56</v>
      </c>
      <c r="V46" s="31" t="n">
        <v>27.78</v>
      </c>
      <c r="W46" s="31" t="n">
        <v>7.67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Fragmented with High ROE</t>
        </is>
      </c>
      <c r="AA46" s="30">
        <f>IF(Z46="Fragmented with Low ROE",-5,IF(Z46="Fragmented with High ROE",10,IF(Z46= "highly cyclical",5,0)))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Consistency)",15,IF(AF46="Shallow Cyclical (2 to 3 years growth)",10,IF(AF46 = "Cyclical in an Uptick",5,IF(AF46 = "Cyclical in an Downtick",-10,0))))</f>
        <v/>
      </c>
      <c r="AH46" s="30" t="inlineStr">
        <is>
          <t>Yes</t>
        </is>
      </c>
      <c r="AI46" s="30">
        <f>IF(AH46="Yes",10,0)</f>
        <v/>
      </c>
      <c r="AJ46" s="30" t="inlineStr">
        <is>
          <t>Yes</t>
        </is>
      </c>
      <c r="AK46" s="30">
        <f>IF(AJ46="Yes",10,0)</f>
        <v/>
      </c>
      <c r="AL46" s="30" t="n"/>
      <c r="AM46" s="30">
        <f>IF(AL46="No",10,0)</f>
        <v/>
      </c>
      <c r="AN46" s="30" t="inlineStr">
        <is>
          <t>Yes</t>
        </is>
      </c>
      <c r="AO46" s="30">
        <f>IF(AN46="Yes",10,0)</f>
        <v/>
      </c>
      <c r="AP46" s="30" t="inlineStr">
        <is>
          <t>No</t>
        </is>
      </c>
      <c r="AQ46" s="30">
        <f>IF(AP46="Yes",10,0)</f>
        <v/>
      </c>
      <c r="AR46" s="30" t="inlineStr">
        <is>
          <t>Yes</t>
        </is>
      </c>
      <c r="AS46" s="30">
        <f>IF(AR46="Yes",5,0)</f>
        <v/>
      </c>
      <c r="AT46" s="30" t="inlineStr">
        <is>
          <t>No</t>
        </is>
      </c>
      <c r="AU46" s="30">
        <f>IF(AT46="No",10,IF(AT46="Yes",-10,0))</f>
        <v/>
      </c>
      <c r="AV46" s="30" t="inlineStr">
        <is>
          <t>No</t>
        </is>
      </c>
      <c r="AW46" s="30">
        <f>IF(AV46="No",10,0)</f>
        <v/>
      </c>
      <c r="AX46" s="30" t="inlineStr">
        <is>
          <t>No</t>
        </is>
      </c>
      <c r="AY46" s="30">
        <f>IF(AX46="No",10,IF(AX46= "Yes CEO Resignation",-5,0))</f>
        <v/>
      </c>
      <c r="AZ46" s="30" t="inlineStr">
        <is>
          <t>No</t>
        </is>
      </c>
      <c r="BA46" s="30">
        <f>IF(AZ46="No",10,IF(AZ46="Yes",-5,0))</f>
        <v/>
      </c>
      <c r="BB46" s="30" t="inlineStr">
        <is>
          <t>No</t>
        </is>
      </c>
      <c r="BC46" s="30">
        <f>IF(BB46="No",5,IF(BB46="Yes",-5,0))</f>
        <v/>
      </c>
      <c r="BD46" s="30" t="inlineStr">
        <is>
          <t>Yes</t>
        </is>
      </c>
      <c r="BE46" s="30">
        <f>IF(BD46="Yes",10,0)</f>
        <v/>
      </c>
      <c r="BF46" s="30" t="inlineStr">
        <is>
          <t>Yes</t>
        </is>
      </c>
      <c r="BG46" s="30">
        <f>IF(BF46="Yes",10,0)</f>
        <v/>
      </c>
      <c r="BH46" s="30" t="inlineStr">
        <is>
          <t>Yes</t>
        </is>
      </c>
      <c r="BI46" s="30">
        <f>IF(BH46="Yes",10,0)</f>
        <v/>
      </c>
      <c r="BJ46" s="30" t="inlineStr">
        <is>
          <t>P/BV less than 2.5x and Growth less than 20%</t>
        </is>
      </c>
      <c r="BK46" s="30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0" t="inlineStr">
        <is>
          <t>0 to 20</t>
        </is>
      </c>
      <c r="BM46" s="30">
        <f>IF(BL46="Above 40",20,IF(BL46="20 to 40",10,IF(BL46="0 to 20",-5,0)))</f>
        <v/>
      </c>
      <c r="BN46" s="30" t="inlineStr">
        <is>
          <t>Between 50 to 75</t>
        </is>
      </c>
      <c r="BO46" s="30">
        <f>IF(BN46="Between 50 to 75",10,IF(BN46="Above 75",0,0))</f>
        <v/>
      </c>
      <c r="BP46" s="30" t="inlineStr">
        <is>
          <t>Stage 2</t>
        </is>
      </c>
      <c r="BQ46" s="30">
        <f>IF(BP46="Stage 2",20,IF(BP46="Stage 1",0,IF(BP46="Stage 3",5,IF(BP46="Stage 4",-5,0))))</f>
        <v/>
      </c>
      <c r="BR46" s="30" t="inlineStr">
        <is>
          <t>Positive Trend</t>
        </is>
      </c>
      <c r="BS46" s="30">
        <f>IF(BR46="Positive Trend",20,IF(BR46="Negative Trend",-10,0))</f>
        <v/>
      </c>
      <c r="BT46" s="30" t="inlineStr">
        <is>
          <t>Uptrend</t>
        </is>
      </c>
      <c r="BU46" s="30">
        <f>IF(BT46="Uptrend",10,IF(BT46="Sideways",5,0))</f>
        <v/>
      </c>
      <c r="BV46" s="30" t="inlineStr">
        <is>
          <t>Uptrend</t>
        </is>
      </c>
      <c r="BW46" s="30">
        <f>IF(BV46="Uptrend",10,IF(BV46="Sideways",5,0))</f>
        <v/>
      </c>
      <c r="BX46" s="30" t="inlineStr">
        <is>
          <t>Close to 52 week high or retracement</t>
        </is>
      </c>
      <c r="BY46" s="30">
        <f>IF(BX46="Overhead supply in last 2 years in last 2 years",-5,IF(BX46="Close to 52 week high or retracement",5,IF(BX46="Blue sky scenario",10,IF(BX46="Long term Downtrend",-10,0))))</f>
        <v/>
      </c>
      <c r="BZ46" s="30" t="inlineStr">
        <is>
          <t>Yes</t>
        </is>
      </c>
      <c r="CA46" s="30">
        <f>IF(BZ46="Yes",10,0)</f>
        <v/>
      </c>
    </row>
    <row r="47">
      <c r="A47" s="30">
        <f>IF(B47=0,"",RANK(B47,$B$2:$B$53,0))</f>
        <v/>
      </c>
      <c r="B47" s="31">
        <f>SUM(N47,Y47,AA47,AC47,AE47,AG47,AI47,AK47,AM47,AO47,AQ47,AS47,AU47,AW47,AY47,BA47,BC47,BE47,BG47,BI47,BK47,BM47,BO47,BQ47,BS47,BU47,BW47,BY47,CA47)</f>
        <v/>
      </c>
      <c r="C47" s="30" t="inlineStr">
        <is>
          <t>CGCL</t>
        </is>
      </c>
      <c r="D47" s="30" t="inlineStr">
        <is>
          <t>Capri Global Capital Limited</t>
        </is>
      </c>
      <c r="E47" s="30" t="inlineStr">
        <is>
          <t>financials</t>
        </is>
      </c>
      <c r="F47" s="30" t="inlineStr">
        <is>
          <t>finance &amp; investments</t>
        </is>
      </c>
      <c r="G47" s="30" t="inlineStr">
        <is>
          <t>largecap</t>
        </is>
      </c>
      <c r="H47" s="31" t="n">
        <v>22928.13</v>
      </c>
      <c r="I47" s="31" t="n">
        <v>241.07</v>
      </c>
      <c r="J47" s="31" t="n">
        <v>1.16</v>
      </c>
      <c r="K47" s="31" t="n">
        <v>4519331</v>
      </c>
      <c r="L47" s="30" t="n">
        <v>49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65.51000000000001</v>
      </c>
      <c r="P47" s="31" t="n">
        <v>37.61</v>
      </c>
      <c r="Q47" s="31" t="n">
        <v>205.01</v>
      </c>
      <c r="R47" s="30" t="inlineStr">
        <is>
          <t>Earnings / Momentum Support</t>
        </is>
      </c>
      <c r="S47" s="30" t="inlineStr">
        <is>
          <t>Nifty Bank</t>
        </is>
      </c>
      <c r="T47" s="31" t="n">
        <v>5.31</v>
      </c>
      <c r="U47" s="31" t="n">
        <v>32.38</v>
      </c>
      <c r="V47" s="31" t="n">
        <v>25.71</v>
      </c>
      <c r="W47" s="31" t="n">
        <v>10.76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Fragmented with High ROE</t>
        </is>
      </c>
      <c r="AA47" s="30">
        <f>IF(Z47="Fragmented with Low ROE",-5,IF(Z47="Fragmented with High ROE",10,IF(Z47= "highly cyclical",5,0)))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Consistency)",15,IF(AF47="Shallow Cyclical (2 to 3 years growth)",10,IF(AF47 = "Cyclical in an Uptick",5,IF(AF47 = "Cyclical in an Downtick",-10,0))))</f>
        <v/>
      </c>
      <c r="AH47" s="30" t="inlineStr">
        <is>
          <t>Yes</t>
        </is>
      </c>
      <c r="AI47" s="30">
        <f>IF(AH47="Yes",10,0)</f>
        <v/>
      </c>
      <c r="AJ47" s="30" t="inlineStr">
        <is>
          <t>Yes</t>
        </is>
      </c>
      <c r="AK47" s="30">
        <f>IF(AJ47="Yes",10,0)</f>
        <v/>
      </c>
      <c r="AL47" s="30" t="n"/>
      <c r="AM47" s="30">
        <f>IF(AL47="No",10,0)</f>
        <v/>
      </c>
      <c r="AN47" s="30" t="inlineStr">
        <is>
          <t>Yes</t>
        </is>
      </c>
      <c r="AO47" s="30">
        <f>IF(AN47="Yes",10,0)</f>
        <v/>
      </c>
      <c r="AP47" s="30" t="inlineStr">
        <is>
          <t>No</t>
        </is>
      </c>
      <c r="AQ47" s="30">
        <f>IF(AP47="Yes",10,0)</f>
        <v/>
      </c>
      <c r="AR47" s="30" t="inlineStr">
        <is>
          <t>Yes</t>
        </is>
      </c>
      <c r="AS47" s="30">
        <f>IF(AR47="Yes",5,0)</f>
        <v/>
      </c>
      <c r="AT47" s="30" t="inlineStr">
        <is>
          <t>No</t>
        </is>
      </c>
      <c r="AU47" s="30">
        <f>IF(AT47="No",10,IF(AT47="Yes",-10,0))</f>
        <v/>
      </c>
      <c r="AV47" s="30" t="inlineStr">
        <is>
          <t>No</t>
        </is>
      </c>
      <c r="AW47" s="30">
        <f>IF(AV47="No",10,0)</f>
        <v/>
      </c>
      <c r="AX47" s="30" t="inlineStr">
        <is>
          <t>No</t>
        </is>
      </c>
      <c r="AY47" s="30">
        <f>IF(AX47="No",10,IF(AX47= "Yes CEO Resignation",-5,0))</f>
        <v/>
      </c>
      <c r="AZ47" s="30" t="inlineStr">
        <is>
          <t>No</t>
        </is>
      </c>
      <c r="BA47" s="30">
        <f>IF(AZ47="No",10,IF(AZ47="Yes",-5,0))</f>
        <v/>
      </c>
      <c r="BB47" s="30" t="inlineStr">
        <is>
          <t>No</t>
        </is>
      </c>
      <c r="BC47" s="30">
        <f>IF(BB47="No",5,IF(BB47="Yes",-5,0))</f>
        <v/>
      </c>
      <c r="BD47" s="30" t="inlineStr">
        <is>
          <t>Yes</t>
        </is>
      </c>
      <c r="BE47" s="30">
        <f>IF(BD47="Yes",10,0)</f>
        <v/>
      </c>
      <c r="BF47" s="30" t="inlineStr">
        <is>
          <t>Yes</t>
        </is>
      </c>
      <c r="BG47" s="30">
        <f>IF(BF47="Yes",10,0)</f>
        <v/>
      </c>
      <c r="BH47" s="30" t="inlineStr">
        <is>
          <t>Yes</t>
        </is>
      </c>
      <c r="BI47" s="30">
        <f>IF(BH47="Yes",10,0)</f>
        <v/>
      </c>
      <c r="BJ47" s="30" t="inlineStr">
        <is>
          <t>P/BV between 2.5x to 5x and Growth more than 20%</t>
        </is>
      </c>
      <c r="BK47" s="30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0" t="inlineStr">
        <is>
          <t>20 to 40</t>
        </is>
      </c>
      <c r="BM47" s="30">
        <f>IF(BL47="Above 40",20,IF(BL47="20 to 40",10,IF(BL47="0 to 20",-5,0)))</f>
        <v/>
      </c>
      <c r="BN47" s="30" t="inlineStr">
        <is>
          <t>Between 50 to 75</t>
        </is>
      </c>
      <c r="BO47" s="30">
        <f>IF(BN47="Between 50 to 75",10,IF(BN47="Above 75",0,0))</f>
        <v/>
      </c>
      <c r="BP47" s="30" t="inlineStr">
        <is>
          <t>Stage 2</t>
        </is>
      </c>
      <c r="BQ47" s="30">
        <f>IF(BP47="Stage 2",20,IF(BP47="Stage 1",0,IF(BP47="Stage 3",5,IF(BP47="Stage 4",-5,0))))</f>
        <v/>
      </c>
      <c r="BR47" s="30" t="inlineStr">
        <is>
          <t>Negative Trend</t>
        </is>
      </c>
      <c r="BS47" s="30">
        <f>IF(BR47="Positive Trend",20,IF(BR47="Negative Trend",-10,0))</f>
        <v/>
      </c>
      <c r="BT47" s="30" t="inlineStr">
        <is>
          <t>Uptrend</t>
        </is>
      </c>
      <c r="BU47" s="30">
        <f>IF(BT47="Uptrend",10,IF(BT47="Sideways",5,0))</f>
        <v/>
      </c>
      <c r="BV47" s="30" t="inlineStr">
        <is>
          <t>Uptrend</t>
        </is>
      </c>
      <c r="BW47" s="30">
        <f>IF(BV47="Uptrend",10,IF(BV47="Sideways",5,0))</f>
        <v/>
      </c>
      <c r="BX47" s="30" t="inlineStr">
        <is>
          <t>Close to 52 week high or retracement</t>
        </is>
      </c>
      <c r="BY47" s="30">
        <f>IF(BX47="Overhead supply in last 2 years in last 2 years",-5,IF(BX47="Close to 52 week high or retracement",5,IF(BX47="Blue sky scenario",10,IF(BX47="Long term Downtrend",-10,0))))</f>
        <v/>
      </c>
      <c r="BZ47" s="30" t="inlineStr">
        <is>
          <t>Yes</t>
        </is>
      </c>
      <c r="CA47" s="30">
        <f>IF(BZ47="Yes",10,0)</f>
        <v/>
      </c>
    </row>
    <row r="48">
      <c r="A48" s="30">
        <f>IF(B48=0,"",RANK(B48,$B$2:$B$53,0))</f>
        <v/>
      </c>
      <c r="B48" s="31">
        <f>SUM(N48,Y48,AA48,AC48,AE48,AG48,AI48,AK48,AM48,AO48,AQ48,AS48,AU48,AW48,AY48,BA48,BC48,BE48,BG48,BI48,BK48,BM48,BO48,BQ48,BS48,BU48,BW48,BY48,CA48)</f>
        <v/>
      </c>
      <c r="C48" s="30" t="inlineStr">
        <is>
          <t>PNB</t>
        </is>
      </c>
      <c r="D48" s="30" t="inlineStr">
        <is>
          <t>Punjab National Bank Ltd</t>
        </is>
      </c>
      <c r="E48" s="30" t="inlineStr">
        <is>
          <t>bank</t>
        </is>
      </c>
      <c r="F48" s="30" t="inlineStr">
        <is>
          <t>banks - public sector</t>
        </is>
      </c>
      <c r="G48" s="30" t="inlineStr">
        <is>
          <t>largecap</t>
        </is>
      </c>
      <c r="H48" s="31" t="n">
        <v>130502.37</v>
      </c>
      <c r="I48" s="31" t="n">
        <v>114.3</v>
      </c>
      <c r="J48" s="31" t="n">
        <v>0.66</v>
      </c>
      <c r="K48" s="31" t="n">
        <v>23421933</v>
      </c>
      <c r="L48" s="30" t="n">
        <v>25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57.38</v>
      </c>
      <c r="P48" s="31" t="n">
        <v>9.640000000000001</v>
      </c>
      <c r="Q48" s="31" t="n">
        <v>97.56999999999999</v>
      </c>
      <c r="R48" s="30" t="inlineStr">
        <is>
          <t>Earnings / Momentum Support</t>
        </is>
      </c>
      <c r="S48" s="30" t="inlineStr">
        <is>
          <t>Nifty Bank</t>
        </is>
      </c>
      <c r="T48" s="31" t="n">
        <v>5.31</v>
      </c>
      <c r="U48" s="31" t="n">
        <v>12.97</v>
      </c>
      <c r="V48" s="31" t="n">
        <v>7.27</v>
      </c>
      <c r="W48" s="31" t="n">
        <v>4.88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Fragmented with High ROE</t>
        </is>
      </c>
      <c r="AA48" s="30">
        <f>IF(Z48="Fragmented with Low ROE",-5,IF(Z48="Fragmented with High ROE",10,IF(Z48= "highly cyclical",5,0)))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Headwind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Consistency)",15,IF(AF48="Shallow Cyclical (2 to 3 years growth)",10,IF(AF48 = "Cyclical in an Uptick",5,IF(AF48 = "Cyclical in an Downtick",-10,0))))</f>
        <v/>
      </c>
      <c r="AH48" s="30" t="inlineStr">
        <is>
          <t>Yes</t>
        </is>
      </c>
      <c r="AI48" s="30">
        <f>IF(AH48="Yes",10,0)</f>
        <v/>
      </c>
      <c r="AJ48" s="30" t="inlineStr">
        <is>
          <t>Yes</t>
        </is>
      </c>
      <c r="AK48" s="30">
        <f>IF(AJ48="Yes",10,0)</f>
        <v/>
      </c>
      <c r="AL48" s="30" t="n"/>
      <c r="AM48" s="30">
        <f>IF(AL48="No",10,0)</f>
        <v/>
      </c>
      <c r="AN48" s="30" t="inlineStr">
        <is>
          <t>Yes</t>
        </is>
      </c>
      <c r="AO48" s="30">
        <f>IF(AN48="Yes",10,0)</f>
        <v/>
      </c>
      <c r="AP48" s="30" t="inlineStr">
        <is>
          <t>No</t>
        </is>
      </c>
      <c r="AQ48" s="30">
        <f>IF(AP48="Yes",10,0)</f>
        <v/>
      </c>
      <c r="AR48" s="30" t="inlineStr">
        <is>
          <t>Yes</t>
        </is>
      </c>
      <c r="AS48" s="30">
        <f>IF(AR48="Yes",5,0)</f>
        <v/>
      </c>
      <c r="AT48" s="30" t="inlineStr">
        <is>
          <t>No</t>
        </is>
      </c>
      <c r="AU48" s="30">
        <f>IF(AT48="No",10,IF(AT48="Yes",-10,0))</f>
        <v/>
      </c>
      <c r="AV48" s="30" t="inlineStr">
        <is>
          <t>No</t>
        </is>
      </c>
      <c r="AW48" s="30">
        <f>IF(AV48="No",10,0)</f>
        <v/>
      </c>
      <c r="AX48" s="30" t="inlineStr">
        <is>
          <t>No</t>
        </is>
      </c>
      <c r="AY48" s="30">
        <f>IF(AX48="No",10,IF(AX48= "Yes CEO Resignation",-5,0))</f>
        <v/>
      </c>
      <c r="AZ48" s="30" t="inlineStr">
        <is>
          <t>No</t>
        </is>
      </c>
      <c r="BA48" s="30">
        <f>IF(AZ48="No",10,IF(AZ48="Yes",-5,0))</f>
        <v/>
      </c>
      <c r="BB48" s="30" t="inlineStr">
        <is>
          <t>No</t>
        </is>
      </c>
      <c r="BC48" s="30">
        <f>IF(BB48="No",5,IF(BB48="Yes",-5,0))</f>
        <v/>
      </c>
      <c r="BD48" s="30" t="inlineStr">
        <is>
          <t>Yes</t>
        </is>
      </c>
      <c r="BE48" s="30">
        <f>IF(BD48="Yes",10,0)</f>
        <v/>
      </c>
      <c r="BF48" s="30" t="inlineStr">
        <is>
          <t>Yes</t>
        </is>
      </c>
      <c r="BG48" s="30">
        <f>IF(BF48="Yes",10,0)</f>
        <v/>
      </c>
      <c r="BH48" s="30" t="inlineStr">
        <is>
          <t>Yes</t>
        </is>
      </c>
      <c r="BI48" s="30">
        <f>IF(BH48="Yes",10,0)</f>
        <v/>
      </c>
      <c r="BJ48" s="30" t="inlineStr">
        <is>
          <t>P/BV less than 2.5x and Growth less than 20%</t>
        </is>
      </c>
      <c r="BK48" s="30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0" t="inlineStr">
        <is>
          <t>0 to 20</t>
        </is>
      </c>
      <c r="BM48" s="30">
        <f>IF(BL48="Above 40",20,IF(BL48="20 to 40",10,IF(BL48="0 to 20",-5,0)))</f>
        <v/>
      </c>
      <c r="BN48" s="30" t="inlineStr">
        <is>
          <t>Between 50 to 75</t>
        </is>
      </c>
      <c r="BO48" s="30">
        <f>IF(BN48="Between 50 to 75",10,IF(BN48="Above 75",0,0))</f>
        <v/>
      </c>
      <c r="BP48" s="30" t="inlineStr">
        <is>
          <t>Stage 2</t>
        </is>
      </c>
      <c r="BQ48" s="30">
        <f>IF(BP48="Stage 2",20,IF(BP48="Stage 1",0,IF(BP48="Stage 3",5,IF(BP48="Stage 4",-5,0))))</f>
        <v/>
      </c>
      <c r="BR48" s="30" t="inlineStr">
        <is>
          <t>Positive Trend</t>
        </is>
      </c>
      <c r="BS48" s="30">
        <f>IF(BR48="Positive Trend",20,IF(BR48="Negative Trend",-10,0))</f>
        <v/>
      </c>
      <c r="BT48" s="30" t="inlineStr">
        <is>
          <t>Uptrend</t>
        </is>
      </c>
      <c r="BU48" s="30">
        <f>IF(BT48="Uptrend",10,IF(BT48="Sideways",5,0))</f>
        <v/>
      </c>
      <c r="BV48" s="30" t="inlineStr">
        <is>
          <t>Uptrend</t>
        </is>
      </c>
      <c r="BW48" s="30">
        <f>IF(BV48="Uptrend",10,IF(BV48="Sideways",5,0))</f>
        <v/>
      </c>
      <c r="BX48" s="30" t="inlineStr">
        <is>
          <t>Close to 52 week high or retracement</t>
        </is>
      </c>
      <c r="BY48" s="30">
        <f>IF(BX48="Overhead supply in last 2 years in last 2 years",-5,IF(BX48="Close to 52 week high or retracement",5,IF(BX48="Blue sky scenario",10,IF(BX48="Long term Downtrend",-10,0))))</f>
        <v/>
      </c>
      <c r="BZ48" s="30" t="inlineStr">
        <is>
          <t>Yes</t>
        </is>
      </c>
      <c r="CA48" s="30">
        <f>IF(BZ48="Yes",10,0)</f>
        <v/>
      </c>
    </row>
    <row r="49">
      <c r="A49" s="30">
        <f>IF(B49=0,"",RANK(B49,$B$2:$B$53,0))</f>
        <v/>
      </c>
      <c r="B49" s="31">
        <f>SUM(N49,Y49,AA49,AC49,AE49,AG49,AI49,AK49,AM49,AO49,AQ49,AS49,AU49,AW49,AY49,BA49,BC49,BE49,BG49,BI49,BK49,BM49,BO49,BQ49,BS49,BU49,BW49,BY49,CA49)</f>
        <v/>
      </c>
      <c r="C49" s="32" t="inlineStr">
        <is>
          <t>AIIL</t>
        </is>
      </c>
      <c r="D49" s="32" t="inlineStr">
        <is>
          <t>Authum Investment &amp; Infrastructure Ltd</t>
        </is>
      </c>
      <c r="E49" s="30" t="inlineStr">
        <is>
          <t>financials</t>
        </is>
      </c>
      <c r="F49" s="30" t="inlineStr">
        <is>
          <t>finance &amp; investments</t>
        </is>
      </c>
      <c r="G49" s="30" t="inlineStr">
        <is>
          <t>largecap</t>
        </is>
      </c>
      <c r="H49" s="31" t="n">
        <v>48448.31</v>
      </c>
      <c r="I49" s="31" t="n">
        <v>596.2</v>
      </c>
      <c r="J49" s="31" t="n">
        <v>4.5</v>
      </c>
      <c r="K49" s="31" t="n">
        <v>3428888</v>
      </c>
      <c r="L49" s="30" t="n">
        <v>24</v>
      </c>
      <c r="M49" s="30" t="inlineStr">
        <is>
          <t>Underperforming</t>
        </is>
      </c>
      <c r="N49" s="31">
        <f>IF(M49="Underperforming",-5,IF(L49&gt;=95,15,IF(L49&gt;=90,10,IF(L49&gt;=80,5,0))))</f>
        <v/>
      </c>
      <c r="O49" s="31" t="n">
        <v>59.48</v>
      </c>
      <c r="P49" s="31" t="n">
        <v>13.25</v>
      </c>
      <c r="Q49" s="31" t="n">
        <v>432.72</v>
      </c>
      <c r="R49" s="30" t="inlineStr">
        <is>
          <t>Earnings / Momentum Support</t>
        </is>
      </c>
      <c r="S49" s="30" t="inlineStr">
        <is>
          <t>Nifty Bank</t>
        </is>
      </c>
      <c r="T49" s="31" t="n">
        <v>5.31</v>
      </c>
      <c r="U49" s="31" t="n">
        <v>3.21</v>
      </c>
      <c r="V49" s="31" t="n">
        <v>-1.99</v>
      </c>
      <c r="W49" s="31" t="n">
        <v>4.77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Fragmented with High ROE</t>
        </is>
      </c>
      <c r="AA49" s="30">
        <f>IF(Z49="Fragmented with Low ROE",-5,IF(Z49="Fragmented with High ROE",10,IF(Z49= "highly cyclical",5,0)))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Consistency)",15,IF(AF49="Shallow Cyclical (2 to 3 years growth)",10,IF(AF49 = "Cyclical in an Uptick",5,IF(AF49 = "Cyclical in an Downtick",-10,0))))</f>
        <v/>
      </c>
      <c r="AH49" s="30" t="inlineStr">
        <is>
          <t>Yes</t>
        </is>
      </c>
      <c r="AI49" s="30">
        <f>IF(AH49="Yes",10,0)</f>
        <v/>
      </c>
      <c r="AJ49" s="30" t="inlineStr">
        <is>
          <t>Yes</t>
        </is>
      </c>
      <c r="AK49" s="30">
        <f>IF(AJ49="Yes",10,0)</f>
        <v/>
      </c>
      <c r="AL49" s="30" t="n"/>
      <c r="AM49" s="30">
        <f>IF(AL49="No",10,0)</f>
        <v/>
      </c>
      <c r="AN49" s="30" t="inlineStr">
        <is>
          <t>Yes</t>
        </is>
      </c>
      <c r="AO49" s="30">
        <f>IF(AN49="Yes",10,0)</f>
        <v/>
      </c>
      <c r="AP49" s="30" t="inlineStr">
        <is>
          <t>No</t>
        </is>
      </c>
      <c r="AQ49" s="30">
        <f>IF(AP49="Yes",10,0)</f>
        <v/>
      </c>
      <c r="AR49" s="30" t="inlineStr">
        <is>
          <t>Yes</t>
        </is>
      </c>
      <c r="AS49" s="30">
        <f>IF(AR49="Yes",5,0)</f>
        <v/>
      </c>
      <c r="AT49" s="30" t="inlineStr">
        <is>
          <t>No</t>
        </is>
      </c>
      <c r="AU49" s="30">
        <f>IF(AT49="No",10,IF(AT49="Yes",-10,0))</f>
        <v/>
      </c>
      <c r="AV49" s="30" t="inlineStr">
        <is>
          <t>No</t>
        </is>
      </c>
      <c r="AW49" s="30">
        <f>IF(AV49="No",10,0)</f>
        <v/>
      </c>
      <c r="AX49" s="30" t="inlineStr">
        <is>
          <t>No</t>
        </is>
      </c>
      <c r="AY49" s="30">
        <f>IF(AX49="No",10,IF(AX49= "Yes CEO Resignation",-5,0))</f>
        <v/>
      </c>
      <c r="AZ49" s="30" t="inlineStr">
        <is>
          <t>No</t>
        </is>
      </c>
      <c r="BA49" s="30">
        <f>IF(AZ49="No",10,IF(AZ49="Yes",-5,0))</f>
        <v/>
      </c>
      <c r="BB49" s="30" t="inlineStr">
        <is>
          <t>No</t>
        </is>
      </c>
      <c r="BC49" s="30">
        <f>IF(BB49="No",5,IF(BB49="Yes",-5,0))</f>
        <v/>
      </c>
      <c r="BD49" s="30" t="inlineStr">
        <is>
          <t>Yes</t>
        </is>
      </c>
      <c r="BE49" s="30">
        <f>IF(BD49="Yes",10,0)</f>
        <v/>
      </c>
      <c r="BF49" s="30" t="inlineStr">
        <is>
          <t>Yes</t>
        </is>
      </c>
      <c r="BG49" s="30">
        <f>IF(BF49="Yes",10,0)</f>
        <v/>
      </c>
      <c r="BH49" s="30" t="inlineStr">
        <is>
          <t>Yes</t>
        </is>
      </c>
      <c r="BI49" s="30">
        <f>IF(BH49="Yes",10,0)</f>
        <v/>
      </c>
      <c r="BJ49" s="30" t="inlineStr">
        <is>
          <t>P/BV between 2.5x to 5x and Growth less than 20%</t>
        </is>
      </c>
      <c r="BK49" s="30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0" t="inlineStr">
        <is>
          <t>0 to 20</t>
        </is>
      </c>
      <c r="BM49" s="30">
        <f>IF(BL49="Above 40",20,IF(BL49="20 to 40",10,IF(BL49="0 to 20",-5,0)))</f>
        <v/>
      </c>
      <c r="BN49" s="30" t="inlineStr">
        <is>
          <t>Between 50 to 75</t>
        </is>
      </c>
      <c r="BO49" s="30">
        <f>IF(BN49="Between 50 to 75",10,IF(BN49="Above 75",0,0))</f>
        <v/>
      </c>
      <c r="BP49" s="30" t="inlineStr">
        <is>
          <t>Stage 2</t>
        </is>
      </c>
      <c r="BQ49" s="30">
        <f>IF(BP49="Stage 2",20,IF(BP49="Stage 1",0,IF(BP49="Stage 3",5,IF(BP49="Stage 4",-5,0))))</f>
        <v/>
      </c>
      <c r="BR49" s="30" t="inlineStr">
        <is>
          <t>Positive Trend</t>
        </is>
      </c>
      <c r="BS49" s="30">
        <f>IF(BR49="Positive Trend",20,IF(BR49="Negative Trend",-10,0))</f>
        <v/>
      </c>
      <c r="BT49" s="30" t="inlineStr">
        <is>
          <t>Uptrend</t>
        </is>
      </c>
      <c r="BU49" s="30">
        <f>IF(BT49="Uptrend",10,IF(BT49="Sideways",5,0))</f>
        <v/>
      </c>
      <c r="BV49" s="30" t="inlineStr">
        <is>
          <t>Uptrend</t>
        </is>
      </c>
      <c r="BW49" s="30">
        <f>IF(BV49="Uptrend",10,IF(BV49="Sideways",5,0))</f>
        <v/>
      </c>
      <c r="BX49" s="30" t="inlineStr">
        <is>
          <t>Close to 52 week high or retracement</t>
        </is>
      </c>
      <c r="BY49" s="30">
        <f>IF(BX49="Overhead supply in last 2 years in last 2 years",-5,IF(BX49="Close to 52 week high or retracement",5,IF(BX49="Blue sky scenario",10,IF(BX49="Long term Downtrend",-10,0))))</f>
        <v/>
      </c>
      <c r="BZ49" s="30" t="inlineStr">
        <is>
          <t>Yes</t>
        </is>
      </c>
      <c r="CA49" s="30">
        <f>IF(BZ49="Yes",10,0)</f>
        <v/>
      </c>
    </row>
    <row r="50">
      <c r="A50" s="30">
        <f>IF(B50=0,"",RANK(B50,$B$2:$B$53,0))</f>
        <v/>
      </c>
      <c r="B50" s="31">
        <f>SUM(N50,Y50,AA50,AC50,AE50,AG50,AI50,AK50,AM50,AO50,AQ50,AS50,AU50,AW50,AY50,BA50,BC50,BE50,BG50,BI50,BK50,BM50,BO50,BQ50,BS50,BU50,BW50,BY50,CA50)</f>
        <v/>
      </c>
      <c r="C50" s="32" t="inlineStr">
        <is>
          <t>VHL</t>
        </is>
      </c>
      <c r="D50" s="32" t="inlineStr">
        <is>
          <t>Vardhman Holdings Limited</t>
        </is>
      </c>
      <c r="E50" s="30" t="inlineStr">
        <is>
          <t>financials</t>
        </is>
      </c>
      <c r="F50" s="30" t="inlineStr">
        <is>
          <t>finance &amp; investments</t>
        </is>
      </c>
      <c r="G50" s="30" t="inlineStr">
        <is>
          <t>smallcap</t>
        </is>
      </c>
      <c r="H50" s="31" t="n">
        <v>1095.46</v>
      </c>
      <c r="I50" s="31" t="n">
        <v>3579</v>
      </c>
      <c r="J50" s="31" t="n">
        <v>4.27</v>
      </c>
      <c r="K50" s="31" t="n">
        <v>7893</v>
      </c>
      <c r="L50" s="30" t="n">
        <v>3</v>
      </c>
      <c r="M50" s="30" t="inlineStr">
        <is>
          <t>Underperforming</t>
        </is>
      </c>
      <c r="N50" s="31">
        <f>IF(M50="Underperforming",-5,IF(L50&gt;=95,15,IF(L50&gt;=90,10,IF(L50&gt;=80,5,0))))</f>
        <v/>
      </c>
      <c r="O50" s="31" t="n">
        <v>54.76</v>
      </c>
      <c r="P50" s="31" t="n">
        <v>8.27</v>
      </c>
      <c r="Q50" s="31" t="n">
        <v>3024.8</v>
      </c>
      <c r="R50" s="30" t="inlineStr">
        <is>
          <t>Volume Spike / Accumulation</t>
        </is>
      </c>
      <c r="S50" s="30" t="inlineStr">
        <is>
          <t>Nifty Bank</t>
        </is>
      </c>
      <c r="T50" s="31" t="n">
        <v>5.31</v>
      </c>
      <c r="U50" s="31" t="n">
        <v>-6.38</v>
      </c>
      <c r="V50" s="31" t="n">
        <v>-11.1</v>
      </c>
      <c r="W50" s="31" t="n">
        <v>-1.12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Fragmented with High ROE</t>
        </is>
      </c>
      <c r="AA50" s="30">
        <f>IF(Z50="Fragmented with Low ROE",-5,IF(Z50="Fragmented with High ROE",10,IF(Z50= "highly cyclical",5,0)))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Consistency)",15,IF(AF50="Shallow Cyclical (2 to 3 years growth)",10,IF(AF50 = "Cyclical in an Uptick",5,IF(AF50 = "Cyclical in an Downtick",-10,0))))</f>
        <v/>
      </c>
      <c r="AH50" s="30" t="inlineStr">
        <is>
          <t>Yes</t>
        </is>
      </c>
      <c r="AI50" s="30">
        <f>IF(AH50="Yes",10,0)</f>
        <v/>
      </c>
      <c r="AJ50" s="30" t="inlineStr">
        <is>
          <t>Yes</t>
        </is>
      </c>
      <c r="AK50" s="30">
        <f>IF(AJ50="Yes",10,0)</f>
        <v/>
      </c>
      <c r="AL50" s="30" t="n"/>
      <c r="AM50" s="30">
        <f>IF(AL50="No",10,0)</f>
        <v/>
      </c>
      <c r="AN50" s="30" t="inlineStr">
        <is>
          <t>Yes</t>
        </is>
      </c>
      <c r="AO50" s="30">
        <f>IF(AN50="Yes",10,0)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Yes</t>
        </is>
      </c>
      <c r="AS50" s="30">
        <f>IF(AR50="Yes",5,0)</f>
        <v/>
      </c>
      <c r="AT50" s="30" t="inlineStr">
        <is>
          <t>No</t>
        </is>
      </c>
      <c r="AU50" s="30">
        <f>IF(AT50="No",10,IF(AT50="Yes",-10,0))</f>
        <v/>
      </c>
      <c r="AV50" s="30" t="inlineStr">
        <is>
          <t>No</t>
        </is>
      </c>
      <c r="AW50" s="30">
        <f>IF(AV50="No",10,0)</f>
        <v/>
      </c>
      <c r="AX50" s="30" t="inlineStr">
        <is>
          <t>No</t>
        </is>
      </c>
      <c r="AY50" s="30">
        <f>IF(AX50="No",10,IF(AX50= "Yes CEO Resignation",-5,0))</f>
        <v/>
      </c>
      <c r="AZ50" s="30" t="inlineStr">
        <is>
          <t>No</t>
        </is>
      </c>
      <c r="BA50" s="30">
        <f>IF(AZ50="No",10,IF(AZ50="Yes",-5,0))</f>
        <v/>
      </c>
      <c r="BB50" s="30" t="inlineStr">
        <is>
          <t>No</t>
        </is>
      </c>
      <c r="BC50" s="30">
        <f>IF(BB50="No",5,IF(BB50="Yes",-5,0))</f>
        <v/>
      </c>
      <c r="BD50" s="30" t="inlineStr">
        <is>
          <t>Yes</t>
        </is>
      </c>
      <c r="BE50" s="30">
        <f>IF(BD50="Yes",10,0)</f>
        <v/>
      </c>
      <c r="BF50" s="30" t="inlineStr">
        <is>
          <t>Yes</t>
        </is>
      </c>
      <c r="BG50" s="30">
        <f>IF(BF50="Yes",10,0)</f>
        <v/>
      </c>
      <c r="BH50" s="30" t="inlineStr">
        <is>
          <t>Yes</t>
        </is>
      </c>
      <c r="BI50" s="30">
        <f>IF(BH50="Yes",10,0)</f>
        <v/>
      </c>
      <c r="BJ50" s="30" t="inlineStr">
        <is>
          <t>P/BV less than 2.5x and Growth less than 20%</t>
        </is>
      </c>
      <c r="BK50" s="30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0" t="inlineStr">
        <is>
          <t>0 to 20</t>
        </is>
      </c>
      <c r="BM50" s="30">
        <f>IF(BL50="Above 40",20,IF(BL50="20 to 40",10,IF(BL50="0 to 20",-5,0)))</f>
        <v/>
      </c>
      <c r="BN50" s="30" t="inlineStr">
        <is>
          <t>Between 50 to 75</t>
        </is>
      </c>
      <c r="BO50" s="30">
        <f>IF(BN50="Between 50 to 75",10,IF(BN50="Above 75",0,0))</f>
        <v/>
      </c>
      <c r="BP50" s="30" t="inlineStr">
        <is>
          <t>Stage 1</t>
        </is>
      </c>
      <c r="BQ50" s="30">
        <f>IF(BP50="Stage 2",20,IF(BP50="Stage 1",0,IF(BP50="Stage 3",5,IF(BP50="Stage 4",-5,0))))</f>
        <v/>
      </c>
      <c r="BR50" s="30" t="inlineStr">
        <is>
          <t>Positive Trend</t>
        </is>
      </c>
      <c r="BS50" s="30">
        <f>IF(BR50="Positive Trend",20,IF(BR50="Negative Trend",-10,0))</f>
        <v/>
      </c>
      <c r="BT50" s="30" t="inlineStr">
        <is>
          <t>Uptrend</t>
        </is>
      </c>
      <c r="BU50" s="30">
        <f>IF(BT50="Uptrend",10,IF(BT50="Sideways",5,0))</f>
        <v/>
      </c>
      <c r="BV50" s="30" t="inlineStr">
        <is>
          <t>Uptrend</t>
        </is>
      </c>
      <c r="BW50" s="30">
        <f>IF(BV50="Uptrend",10,IF(BV50="Sideways",5,0))</f>
        <v/>
      </c>
      <c r="BX50" s="30" t="inlineStr">
        <is>
          <t>Close to 52 week high or retracement</t>
        </is>
      </c>
      <c r="BY50" s="30">
        <f>IF(BX50="Overhead supply in last 2 years in last 2 years",-5,IF(BX50="Close to 52 week high or retracement",5,IF(BX50="Blue sky scenario",10,IF(BX50="Long term Downtrend",-10,0))))</f>
        <v/>
      </c>
      <c r="BZ50" s="30" t="inlineStr">
        <is>
          <t>Yes</t>
        </is>
      </c>
      <c r="CA50" s="30">
        <f>IF(BZ50="Yes",10,0)</f>
        <v/>
      </c>
    </row>
    <row r="51">
      <c r="A51" s="30">
        <f>IF(B51=0,"",RANK(B51,$B$2:$B$53,0))</f>
        <v/>
      </c>
      <c r="B51" s="31">
        <f>SUM(N51,Y51,AA51,AC51,AE51,AG51,AI51,AK51,AM51,AO51,AQ51,AS51,AU51,AW51,AY51,BA51,BC51,BE51,BG51,BI51,BK51,BM51,BO51,BQ51,BS51,BU51,BW51,BY51,CA51)</f>
        <v/>
      </c>
      <c r="C51" s="32" t="inlineStr">
        <is>
          <t>CRISIL</t>
        </is>
      </c>
      <c r="D51" s="32" t="inlineStr">
        <is>
          <t>Crisil Limited</t>
        </is>
      </c>
      <c r="E51" s="30" t="inlineStr">
        <is>
          <t>financials</t>
        </is>
      </c>
      <c r="F51" s="30" t="inlineStr">
        <is>
          <t>miscellaneous</t>
        </is>
      </c>
      <c r="G51" s="30" t="inlineStr">
        <is>
          <t>largecap</t>
        </is>
      </c>
      <c r="H51" s="31" t="n">
        <v>32730.07</v>
      </c>
      <c r="I51" s="31" t="n">
        <v>4550.6</v>
      </c>
      <c r="J51" s="31" t="n">
        <v>1.68</v>
      </c>
      <c r="K51" s="31" t="n">
        <v>88604</v>
      </c>
      <c r="L51" s="30" t="n">
        <v>3</v>
      </c>
      <c r="M51" s="30" t="inlineStr">
        <is>
          <t>Underperforming</t>
        </is>
      </c>
      <c r="N51" s="31">
        <f>IF(M51="Underperforming",-5,IF(L51&gt;=95,15,IF(L51&gt;=90,10,IF(L51&gt;=80,5,0))))</f>
        <v/>
      </c>
      <c r="O51" s="31" t="n">
        <v>58.2</v>
      </c>
      <c r="P51" s="31" t="n">
        <v>14.96</v>
      </c>
      <c r="Q51" s="31" t="n">
        <v>3702.54</v>
      </c>
      <c r="R51" s="30" t="inlineStr">
        <is>
          <t>Earnings / Momentum Support</t>
        </is>
      </c>
      <c r="S51" s="30" t="inlineStr">
        <is>
          <t>Nifty Bank</t>
        </is>
      </c>
      <c r="T51" s="31" t="n">
        <v>5.31</v>
      </c>
      <c r="U51" s="31" t="n">
        <v>-12.83</v>
      </c>
      <c r="V51" s="31" t="n">
        <v>-17.22</v>
      </c>
      <c r="W51" s="31" t="n">
        <v>-0.93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Fragmented with High ROE</t>
        </is>
      </c>
      <c r="AA51" s="30">
        <f>IF(Z51="Fragmented with Low ROE",-5,IF(Z51="Fragmented with High ROE",10,IF(Z51= "highly cyclical",5,0)))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Consistency)",15,IF(AF51="Shallow Cyclical (2 to 3 years growth)",10,IF(AF51 = "Cyclical in an Uptick",5,IF(AF51 = "Cyclical in an Downtick",-10,0))))</f>
        <v/>
      </c>
      <c r="AH51" s="30" t="inlineStr">
        <is>
          <t>Yes</t>
        </is>
      </c>
      <c r="AI51" s="30">
        <f>IF(AH51="Yes",10,0)</f>
        <v/>
      </c>
      <c r="AJ51" s="30" t="inlineStr">
        <is>
          <t>Yes</t>
        </is>
      </c>
      <c r="AK51" s="30">
        <f>IF(AJ51="Yes",10,0)</f>
        <v/>
      </c>
      <c r="AL51" s="30" t="n"/>
      <c r="AM51" s="30">
        <f>IF(AL51="No",10,0)</f>
        <v/>
      </c>
      <c r="AN51" s="30" t="inlineStr">
        <is>
          <t>Yes</t>
        </is>
      </c>
      <c r="AO51" s="30">
        <f>IF(AN51="Yes",10,0)</f>
        <v/>
      </c>
      <c r="AP51" s="30" t="inlineStr">
        <is>
          <t>No</t>
        </is>
      </c>
      <c r="AQ51" s="30">
        <f>IF(AP51="Yes",10,0)</f>
        <v/>
      </c>
      <c r="AR51" s="30" t="inlineStr">
        <is>
          <t>Yes</t>
        </is>
      </c>
      <c r="AS51" s="30">
        <f>IF(AR51="Yes",5,0)</f>
        <v/>
      </c>
      <c r="AT51" s="30" t="inlineStr">
        <is>
          <t>No</t>
        </is>
      </c>
      <c r="AU51" s="30">
        <f>IF(AT51="No",10,IF(AT51="Yes",-10,0))</f>
        <v/>
      </c>
      <c r="AV51" s="30" t="inlineStr">
        <is>
          <t>No</t>
        </is>
      </c>
      <c r="AW51" s="30">
        <f>IF(AV51="No",10,0)</f>
        <v/>
      </c>
      <c r="AX51" s="30" t="inlineStr">
        <is>
          <t>No</t>
        </is>
      </c>
      <c r="AY51" s="30">
        <f>IF(AX51="No",10,IF(AX51= "Yes CEO Resignation",-5,0))</f>
        <v/>
      </c>
      <c r="AZ51" s="30" t="inlineStr">
        <is>
          <t>No</t>
        </is>
      </c>
      <c r="BA51" s="30">
        <f>IF(AZ51="No",10,IF(AZ51="Yes",-5,0))</f>
        <v/>
      </c>
      <c r="BB51" s="30" t="inlineStr">
        <is>
          <t>No</t>
        </is>
      </c>
      <c r="BC51" s="30">
        <f>IF(BB51="No",5,IF(BB51="Yes",-5,0))</f>
        <v/>
      </c>
      <c r="BD51" s="30" t="inlineStr">
        <is>
          <t>Yes</t>
        </is>
      </c>
      <c r="BE51" s="30">
        <f>IF(BD51="Yes",10,0)</f>
        <v/>
      </c>
      <c r="BF51" s="30" t="inlineStr">
        <is>
          <t>Yes</t>
        </is>
      </c>
      <c r="BG51" s="30">
        <f>IF(BF51="Yes",10,0)</f>
        <v/>
      </c>
      <c r="BH51" s="30" t="inlineStr">
        <is>
          <t>Yes</t>
        </is>
      </c>
      <c r="BI51" s="30">
        <f>IF(BH51="Yes",10,0)</f>
        <v/>
      </c>
      <c r="BJ51" s="30" t="inlineStr">
        <is>
          <t>P/BV above 5x</t>
        </is>
      </c>
      <c r="BK51" s="30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0" t="inlineStr">
        <is>
          <t>0 to 20</t>
        </is>
      </c>
      <c r="BM51" s="30">
        <f>IF(BL51="Above 40",20,IF(BL51="20 to 40",10,IF(BL51="0 to 20",-5,0)))</f>
        <v/>
      </c>
      <c r="BN51" s="30" t="inlineStr">
        <is>
          <t>Between 50 to 75</t>
        </is>
      </c>
      <c r="BO51" s="30">
        <f>IF(BN51="Between 50 to 75",10,IF(BN51="Above 75",0,0))</f>
        <v/>
      </c>
      <c r="BP51" s="30" t="inlineStr">
        <is>
          <t>Stage 2</t>
        </is>
      </c>
      <c r="BQ51" s="30">
        <f>IF(BP51="Stage 2",20,IF(BP51="Stage 1",0,IF(BP51="Stage 3",5,IF(BP51="Stage 4",-5,0))))</f>
        <v/>
      </c>
      <c r="BR51" s="30" t="inlineStr">
        <is>
          <t>Positive Trend</t>
        </is>
      </c>
      <c r="BS51" s="30">
        <f>IF(BR51="Positive Trend",20,IF(BR51="Negative Trend",-10,0))</f>
        <v/>
      </c>
      <c r="BT51" s="30" t="inlineStr">
        <is>
          <t>Uptrend</t>
        </is>
      </c>
      <c r="BU51" s="30">
        <f>IF(BT51="Uptrend",10,IF(BT51="Sideways",5,0))</f>
        <v/>
      </c>
      <c r="BV51" s="30" t="inlineStr">
        <is>
          <t>Uptrend</t>
        </is>
      </c>
      <c r="BW51" s="30">
        <f>IF(BV51="Uptrend",10,IF(BV51="Sideways",5,0))</f>
        <v/>
      </c>
      <c r="BX51" s="30" t="inlineStr">
        <is>
          <t>Close to 52 week high or retracement</t>
        </is>
      </c>
      <c r="BY51" s="30">
        <f>IF(BX51="Overhead supply in last 2 years in last 2 years",-5,IF(BX51="Close to 52 week high or retracement",5,IF(BX51="Blue sky scenario",10,IF(BX51="Long term Downtrend",-10,0))))</f>
        <v/>
      </c>
      <c r="BZ51" s="30" t="inlineStr">
        <is>
          <t>Yes</t>
        </is>
      </c>
      <c r="CA51" s="30">
        <f>IF(BZ51="Yes",10,0)</f>
        <v/>
      </c>
    </row>
    <row r="52">
      <c r="A52" s="30">
        <f>IF(B52=0,"",RANK(B52,$B$2:$B$53,0))</f>
        <v/>
      </c>
      <c r="B52" s="31">
        <f>SUM(N52,Y52,AA52,AC52,AE52,AG52,AI52,AK52,AM52,AO52,AQ52,AS52,AU52,AW52,AY52,BA52,BC52,BE52,BG52,BI52,BK52,BM52,BO52,BQ52,BS52,BU52,BW52,BY52,CA52)</f>
        <v/>
      </c>
      <c r="C52" s="30" t="inlineStr">
        <is>
          <t>ANANDRATHI</t>
        </is>
      </c>
      <c r="D52" s="30" t="inlineStr">
        <is>
          <t>Anand Rathi Wealth Ltd</t>
        </is>
      </c>
      <c r="E52" s="30" t="inlineStr">
        <is>
          <t>financials</t>
        </is>
      </c>
      <c r="F52" s="30" t="inlineStr">
        <is>
          <t>finance &amp; investments</t>
        </is>
      </c>
      <c r="G52" s="30" t="inlineStr">
        <is>
          <t>largecap</t>
        </is>
      </c>
      <c r="H52" s="31" t="n">
        <v>33832.57</v>
      </c>
      <c r="I52" s="31" t="n">
        <v>2071.5</v>
      </c>
      <c r="J52" s="31" t="n">
        <v>1.66</v>
      </c>
      <c r="K52" s="31" t="n">
        <v>560790</v>
      </c>
      <c r="L52" s="30" t="n">
        <v>58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69.33</v>
      </c>
      <c r="P52" s="31" t="n">
        <v>50.5</v>
      </c>
      <c r="Q52" s="31" t="n">
        <v>1843.86</v>
      </c>
      <c r="R52" s="30" t="inlineStr">
        <is>
          <t>Earnings / Momentum Support</t>
        </is>
      </c>
      <c r="S52" s="30" t="inlineStr">
        <is>
          <t>Nifty Bank</t>
        </is>
      </c>
      <c r="T52" s="31" t="n">
        <v>5.31</v>
      </c>
      <c r="U52" s="31" t="n">
        <v>58.17</v>
      </c>
      <c r="V52" s="31" t="n">
        <v>50.2</v>
      </c>
      <c r="W52" s="31" t="n">
        <v>12.82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Fragmented with High ROE</t>
        </is>
      </c>
      <c r="AA52" s="30">
        <f>IF(Z52="Fragmented with Low ROE",-5,IF(Z52="Fragmented with High ROE",10,IF(Z52= "highly cyclical",5,0)))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Consistency)",15,IF(AF52="Shallow Cyclical (2 to 3 years growth)",10,IF(AF52 = "Cyclical in an Uptick",5,IF(AF52 = "Cyclical in an Downtick",-10,0))))</f>
        <v/>
      </c>
      <c r="AH52" s="30" t="inlineStr">
        <is>
          <t>Yes</t>
        </is>
      </c>
      <c r="AI52" s="30">
        <f>IF(AH52="Yes",10,0)</f>
        <v/>
      </c>
      <c r="AJ52" s="30" t="inlineStr">
        <is>
          <t>Yes</t>
        </is>
      </c>
      <c r="AK52" s="30">
        <f>IF(AJ52="Yes",10,0)</f>
        <v/>
      </c>
      <c r="AL52" s="30" t="n"/>
      <c r="AM52" s="30">
        <f>IF(AL52="No",10,0)</f>
        <v/>
      </c>
      <c r="AN52" s="30" t="inlineStr">
        <is>
          <t>Yes</t>
        </is>
      </c>
      <c r="AO52" s="30">
        <f>IF(AN52="Yes",10,0)</f>
        <v/>
      </c>
      <c r="AP52" s="30" t="inlineStr">
        <is>
          <t>No</t>
        </is>
      </c>
      <c r="AQ52" s="30">
        <f>IF(AP52="Yes",10,0)</f>
        <v/>
      </c>
      <c r="AR52" s="30" t="inlineStr">
        <is>
          <t>Yes</t>
        </is>
      </c>
      <c r="AS52" s="30">
        <f>IF(AR52="Yes",5,0)</f>
        <v/>
      </c>
      <c r="AT52" s="30" t="inlineStr">
        <is>
          <t>No</t>
        </is>
      </c>
      <c r="AU52" s="30">
        <f>IF(AT52="No",10,IF(AT52="Yes",-10,0))</f>
        <v/>
      </c>
      <c r="AV52" s="30" t="inlineStr">
        <is>
          <t>No</t>
        </is>
      </c>
      <c r="AW52" s="30">
        <f>IF(AV52="No",10,0)</f>
        <v/>
      </c>
      <c r="AX52" s="30" t="inlineStr">
        <is>
          <t>No</t>
        </is>
      </c>
      <c r="AY52" s="30">
        <f>IF(AX52="No",10,IF(AX52= "Yes CEO Resignation",-5,0))</f>
        <v/>
      </c>
      <c r="AZ52" s="30" t="inlineStr">
        <is>
          <t>No</t>
        </is>
      </c>
      <c r="BA52" s="30">
        <f>IF(AZ52="No",10,IF(AZ52="Yes",-5,0))</f>
        <v/>
      </c>
      <c r="BB52" s="30" t="inlineStr">
        <is>
          <t>No</t>
        </is>
      </c>
      <c r="BC52" s="30">
        <f>IF(BB52="No",5,IF(BB52="Yes",-5,0))</f>
        <v/>
      </c>
      <c r="BD52" s="30" t="inlineStr">
        <is>
          <t>Yes</t>
        </is>
      </c>
      <c r="BE52" s="30">
        <f>IF(BD52="Yes",10,0)</f>
        <v/>
      </c>
      <c r="BF52" s="30" t="inlineStr">
        <is>
          <t>Yes</t>
        </is>
      </c>
      <c r="BG52" s="30">
        <f>IF(BF52="Yes",10,0)</f>
        <v/>
      </c>
      <c r="BH52" s="30" t="inlineStr">
        <is>
          <t>Yes</t>
        </is>
      </c>
      <c r="BI52" s="30">
        <f>IF(BH52="Yes",10,0)</f>
        <v/>
      </c>
      <c r="BJ52" s="30" t="inlineStr">
        <is>
          <t>P/BV above 5x</t>
        </is>
      </c>
      <c r="BK52" s="30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0" t="inlineStr">
        <is>
          <t>Above 40</t>
        </is>
      </c>
      <c r="BM52" s="30">
        <f>IF(BL52="Above 40",20,IF(BL52="20 to 40",10,IF(BL52="0 to 20",-5,0)))</f>
        <v/>
      </c>
      <c r="BN52" s="30" t="inlineStr">
        <is>
          <t>Between 50 to 75</t>
        </is>
      </c>
      <c r="BO52" s="30">
        <f>IF(BN52="Between 50 to 75",10,IF(BN52="Above 75",0,0))</f>
        <v/>
      </c>
      <c r="BP52" s="30" t="inlineStr">
        <is>
          <t>Stage 2</t>
        </is>
      </c>
      <c r="BQ52" s="30">
        <f>IF(BP52="Stage 2",20,IF(BP52="Stage 1",0,IF(BP52="Stage 3",5,IF(BP52="Stage 4",-5,0))))</f>
        <v/>
      </c>
      <c r="BR52" s="30" t="inlineStr">
        <is>
          <t>Negative Trend</t>
        </is>
      </c>
      <c r="BS52" s="30">
        <f>IF(BR52="Positive Trend",20,IF(BR52="Negative Trend",-10,0))</f>
        <v/>
      </c>
      <c r="BT52" s="30" t="inlineStr">
        <is>
          <t>Uptrend</t>
        </is>
      </c>
      <c r="BU52" s="30">
        <f>IF(BT52="Uptrend",10,IF(BT52="Sideways",5,0))</f>
        <v/>
      </c>
      <c r="BV52" s="30" t="inlineStr">
        <is>
          <t>Uptrend</t>
        </is>
      </c>
      <c r="BW52" s="30">
        <f>IF(BV52="Uptrend",10,IF(BV52="Sideways",5,0))</f>
        <v/>
      </c>
      <c r="BX52" s="30" t="inlineStr">
        <is>
          <t>Close to 52 week high or retracement</t>
        </is>
      </c>
      <c r="BY52" s="30">
        <f>IF(BX52="Overhead supply in last 2 years in last 2 years",-5,IF(BX52="Close to 52 week high or retracement",5,IF(BX52="Blue sky scenario",10,IF(BX52="Long term Downtrend",-10,0))))</f>
        <v/>
      </c>
      <c r="BZ52" s="30" t="inlineStr">
        <is>
          <t>Yes</t>
        </is>
      </c>
      <c r="CA52" s="30">
        <f>IF(BZ52="Yes",10,0)</f>
        <v/>
      </c>
    </row>
    <row r="53">
      <c r="A53" s="30">
        <f>IF(B53=0,"",RANK(B53,$B$2:$B$53,0))</f>
        <v/>
      </c>
      <c r="B53" s="31">
        <f>SUM(N53,Y53,AA53,AC53,AE53,AG53,AI53,AK53,AM53,AO53,AQ53,AS53,AU53,AW53,AY53,BA53,BC53,BE53,BG53,BI53,BK53,BM53,BO53,BQ53,BS53,BU53,BW53,BY53,CA53)</f>
        <v/>
      </c>
      <c r="C53" s="30" t="inlineStr">
        <is>
          <t>INDIANB</t>
        </is>
      </c>
      <c r="D53" s="30" t="inlineStr">
        <is>
          <t>Indian Bank Ltd</t>
        </is>
      </c>
      <c r="E53" s="30" t="inlineStr">
        <is>
          <t>bank</t>
        </is>
      </c>
      <c r="F53" s="30" t="inlineStr">
        <is>
          <t>banks - public sector</t>
        </is>
      </c>
      <c r="G53" s="30" t="inlineStr">
        <is>
          <t>largecap</t>
        </is>
      </c>
      <c r="H53" s="31" t="n">
        <v>115030.72</v>
      </c>
      <c r="I53" s="31" t="n">
        <v>877.9</v>
      </c>
      <c r="J53" s="31" t="n">
        <v>2.8</v>
      </c>
      <c r="K53" s="31" t="n">
        <v>5128143</v>
      </c>
      <c r="L53" s="30" t="n">
        <v>37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53.42</v>
      </c>
      <c r="P53" s="31" t="n">
        <v>6.17</v>
      </c>
      <c r="Q53" s="31" t="n">
        <v>704.05</v>
      </c>
      <c r="R53" s="30" t="inlineStr">
        <is>
          <t>Earnings / Momentum Support</t>
        </is>
      </c>
      <c r="S53" s="30" t="inlineStr">
        <is>
          <t>Nifty Bank</t>
        </is>
      </c>
      <c r="T53" s="31" t="n">
        <v>5.31</v>
      </c>
      <c r="U53" s="31" t="n">
        <v>35.22</v>
      </c>
      <c r="V53" s="31" t="n">
        <v>28.4</v>
      </c>
      <c r="W53" s="31" t="n">
        <v>7.33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Fragmented with High ROE</t>
        </is>
      </c>
      <c r="AA53" s="30">
        <f>IF(Z53="Fragmented with Low ROE",-5,IF(Z53="Fragmented with High ROE",10,IF(Z53= "highly cyclical",5,0)))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Consistency)",15,IF(AF53="Shallow Cyclical (2 to 3 years growth)",10,IF(AF53 = "Cyclical in an Uptick",5,IF(AF53 = "Cyclical in an Downtick",-10,0))))</f>
        <v/>
      </c>
      <c r="AH53" s="30" t="inlineStr">
        <is>
          <t>Yes</t>
        </is>
      </c>
      <c r="AI53" s="30">
        <f>IF(AH53="Yes",10,0)</f>
        <v/>
      </c>
      <c r="AJ53" s="30" t="inlineStr">
        <is>
          <t>Yes</t>
        </is>
      </c>
      <c r="AK53" s="30">
        <f>IF(AJ53="Yes",10,0)</f>
        <v/>
      </c>
      <c r="AL53" s="30" t="n"/>
      <c r="AM53" s="30">
        <f>IF(AL53="No",10,0)</f>
        <v/>
      </c>
      <c r="AN53" s="30" t="inlineStr">
        <is>
          <t>Yes</t>
        </is>
      </c>
      <c r="AO53" s="30">
        <f>IF(AN53="Yes",10,0)</f>
        <v/>
      </c>
      <c r="AP53" s="30" t="inlineStr">
        <is>
          <t>No</t>
        </is>
      </c>
      <c r="AQ53" s="30">
        <f>IF(AP53="Yes",10,0)</f>
        <v/>
      </c>
      <c r="AR53" s="30" t="inlineStr">
        <is>
          <t>Yes</t>
        </is>
      </c>
      <c r="AS53" s="30">
        <f>IF(AR53="Yes",5,0)</f>
        <v/>
      </c>
      <c r="AT53" s="30" t="inlineStr">
        <is>
          <t>No</t>
        </is>
      </c>
      <c r="AU53" s="30">
        <f>IF(AT53="No",10,IF(AT53="Yes",-10,0))</f>
        <v/>
      </c>
      <c r="AV53" s="30" t="inlineStr">
        <is>
          <t>No</t>
        </is>
      </c>
      <c r="AW53" s="30">
        <f>IF(AV53="No",10,0)</f>
        <v/>
      </c>
      <c r="AX53" s="30" t="inlineStr">
        <is>
          <t>No</t>
        </is>
      </c>
      <c r="AY53" s="30">
        <f>IF(AX53="No",10,IF(AX53= "Yes CEO Resignation",-5,0))</f>
        <v/>
      </c>
      <c r="AZ53" s="30" t="inlineStr">
        <is>
          <t>No</t>
        </is>
      </c>
      <c r="BA53" s="30">
        <f>IF(AZ53="No",10,IF(AZ53="Yes",-5,0))</f>
        <v/>
      </c>
      <c r="BB53" s="30" t="inlineStr">
        <is>
          <t>No</t>
        </is>
      </c>
      <c r="BC53" s="30">
        <f>IF(BB53="No",5,IF(BB53="Yes",-5,0))</f>
        <v/>
      </c>
      <c r="BD53" s="30" t="inlineStr">
        <is>
          <t>Yes</t>
        </is>
      </c>
      <c r="BE53" s="30">
        <f>IF(BD53="Yes",10,0)</f>
        <v/>
      </c>
      <c r="BF53" s="30" t="inlineStr">
        <is>
          <t>Yes</t>
        </is>
      </c>
      <c r="BG53" s="30">
        <f>IF(BF53="Yes",10,0)</f>
        <v/>
      </c>
      <c r="BH53" s="30" t="inlineStr">
        <is>
          <t>Yes</t>
        </is>
      </c>
      <c r="BI53" s="30">
        <f>IF(BH53="Yes",10,0)</f>
        <v/>
      </c>
      <c r="BJ53" s="30" t="inlineStr">
        <is>
          <t>P/BV less than 2.5x and Growth more than 20%</t>
        </is>
      </c>
      <c r="BK53" s="30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0" t="inlineStr">
        <is>
          <t>0 to 20</t>
        </is>
      </c>
      <c r="BM53" s="30">
        <f>IF(BL53="Above 40",20,IF(BL53="20 to 40",10,IF(BL53="0 to 20",-5,0)))</f>
        <v/>
      </c>
      <c r="BN53" s="30" t="inlineStr">
        <is>
          <t>Between 50 to 75</t>
        </is>
      </c>
      <c r="BO53" s="30">
        <f>IF(BN53="Between 50 to 75",10,IF(BN53="Above 75",0,0))</f>
        <v/>
      </c>
      <c r="BP53" s="30" t="inlineStr">
        <is>
          <t>Stage 1</t>
        </is>
      </c>
      <c r="BQ53" s="30">
        <f>IF(BP53="Stage 2",20,IF(BP53="Stage 1",0,IF(BP53="Stage 3",5,IF(BP53="Stage 4",-5,0))))</f>
        <v/>
      </c>
      <c r="BR53" s="30" t="inlineStr">
        <is>
          <t>Negative Trend</t>
        </is>
      </c>
      <c r="BS53" s="30">
        <f>IF(BR53="Positive Trend",20,IF(BR53="Negative Trend",-10,0))</f>
        <v/>
      </c>
      <c r="BT53" s="30" t="inlineStr">
        <is>
          <t>Uptrend</t>
        </is>
      </c>
      <c r="BU53" s="30">
        <f>IF(BT53="Uptrend",10,IF(BT53="Sideways",5,0))</f>
        <v/>
      </c>
      <c r="BV53" s="30" t="inlineStr">
        <is>
          <t>Uptrend</t>
        </is>
      </c>
      <c r="BW53" s="30">
        <f>IF(BV53="Uptrend",10,IF(BV53="Sideways",5,0))</f>
        <v/>
      </c>
      <c r="BX53" s="30" t="inlineStr">
        <is>
          <t>Close to 52 week high or retracement</t>
        </is>
      </c>
      <c r="BY53" s="30">
        <f>IF(BX53="Overhead supply in last 2 years in last 2 years",-5,IF(BX53="Close to 52 week high or retracement",5,IF(BX53="Blue sky scenario",10,IF(BX53="Long term Downtrend",-10,0))))</f>
        <v/>
      </c>
      <c r="BZ53" s="30" t="inlineStr">
        <is>
          <t>Yes</t>
        </is>
      </c>
      <c r="CA53" s="30">
        <f>IF(BZ53="Yes",10,0)</f>
        <v/>
      </c>
    </row>
  </sheetData>
  <autoFilter ref="A1:CA53"/>
  <conditionalFormatting sqref="B2:B5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53">
    <cfRule type="cellIs" priority="34" operator="equal" dxfId="3" stopIfTrue="1">
      <formula>"Underperforming"</formula>
    </cfRule>
  </conditionalFormatting>
  <conditionalFormatting sqref="N2:N53">
    <cfRule type="cellIs" priority="35" operator="equal" dxfId="3" stopIfTrue="1">
      <formula>-5</formula>
    </cfRule>
  </conditionalFormatting>
  <conditionalFormatting sqref="Q2:Q53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53" showDropDown="0" showInputMessage="0" showErrorMessage="0" allowBlank="1" type="list">
      <formula1>"Growing Industry,Stagnant Industry,Cyclical in an Upturn"</formula1>
    </dataValidation>
    <dataValidation sqref="Z2:Z53" showDropDown="0" showInputMessage="0" showErrorMessage="0" allowBlank="1" type="list">
      <formula1>"Fragmented with Low ROE,Fragmented with High ROE,Highly Cyclical"</formula1>
    </dataValidation>
    <dataValidation sqref="AB2:AB53" showDropDown="0" showInputMessage="0" showErrorMessage="0" allowBlank="1" type="list">
      <formula1>"Yes,No"</formula1>
    </dataValidation>
    <dataValidation sqref="AD2:AD53" showDropDown="0" showInputMessage="0" showErrorMessage="0" allowBlank="1" type="list">
      <formula1>"Tailwind,Headwind"</formula1>
    </dataValidation>
    <dataValidation sqref="AF2:AF5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3" showDropDown="0" showInputMessage="0" showErrorMessage="0" allowBlank="1" type="list">
      <formula1>"Yes,No"</formula1>
    </dataValidation>
    <dataValidation sqref="AJ2:AJ53" showDropDown="0" showInputMessage="0" showErrorMessage="0" allowBlank="1" type="list">
      <formula1>"Yes,No,Not Applicable"</formula1>
    </dataValidation>
    <dataValidation sqref="AL2:AL53" showDropDown="0" showInputMessage="0" showErrorMessage="0" allowBlank="1" type="list">
      <formula1>"Yes,No"</formula1>
    </dataValidation>
    <dataValidation sqref="AN2:AN53" showDropDown="0" showInputMessage="0" showErrorMessage="0" allowBlank="1" type="list">
      <formula1>"Yes,No"</formula1>
    </dataValidation>
    <dataValidation sqref="AP2:AP53" showDropDown="0" showInputMessage="0" showErrorMessage="0" allowBlank="1" type="list">
      <formula1>"Yes,No"</formula1>
    </dataValidation>
    <dataValidation sqref="AR2:AR53" showDropDown="0" showInputMessage="0" showErrorMessage="0" allowBlank="1" type="list">
      <formula1>"Yes,No"</formula1>
    </dataValidation>
    <dataValidation sqref="AT2:AT53" showDropDown="0" showInputMessage="0" showErrorMessage="0" allowBlank="1" type="list">
      <formula1>"No,Yes"</formula1>
    </dataValidation>
    <dataValidation sqref="AV2:AV53" showDropDown="0" showInputMessage="0" showErrorMessage="0" allowBlank="1" type="list">
      <formula1>"No,Yes"</formula1>
    </dataValidation>
    <dataValidation sqref="AX2:AX53" showDropDown="0" showInputMessage="0" showErrorMessage="0" allowBlank="1" type="list">
      <formula1>"No,Yes CEO Resignation,Yes CEO Retirement"</formula1>
    </dataValidation>
    <dataValidation sqref="AZ2:AZ53" showDropDown="0" showInputMessage="0" showErrorMessage="0" allowBlank="1" type="list">
      <formula1>"No,Yes"</formula1>
    </dataValidation>
    <dataValidation sqref="BB2:BB53" showDropDown="0" showInputMessage="0" showErrorMessage="0" allowBlank="1" type="list">
      <formula1>"No,Yes"</formula1>
    </dataValidation>
    <dataValidation sqref="BD2:BD53" showDropDown="0" showInputMessage="0" showErrorMessage="0" allowBlank="1" type="list">
      <formula1>"Yes,No"</formula1>
    </dataValidation>
    <dataValidation sqref="BF2:BF53" showDropDown="0" showInputMessage="0" showErrorMessage="0" allowBlank="1" type="list">
      <formula1>"Yes,No"</formula1>
    </dataValidation>
    <dataValidation sqref="BH2:BH53" showDropDown="0" showInputMessage="0" showErrorMessage="0" allowBlank="1" type="list">
      <formula1>"Yes,No"</formula1>
    </dataValidation>
    <dataValidation sqref="BJ2:BJ5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3" showDropDown="0" showInputMessage="0" showErrorMessage="0" allowBlank="1" type="list">
      <formula1>"Above 40,20 to 40,0 to 20"</formula1>
    </dataValidation>
    <dataValidation sqref="BN2:BN53" showDropDown="0" showInputMessage="0" showErrorMessage="0" allowBlank="1" type="list">
      <formula1>"Between 50 to 75,Above 75,Below 45"</formula1>
    </dataValidation>
    <dataValidation sqref="BP2:BP53" showDropDown="0" showInputMessage="0" showErrorMessage="0" allowBlank="1" type="list">
      <formula1>"Stage 1,Stage 2,Stage 3,Stage 4"</formula1>
    </dataValidation>
    <dataValidation sqref="BR2:BR53" showDropDown="0" showInputMessage="0" showErrorMessage="0" allowBlank="1" type="list">
      <formula1>"Positive Trend,Negative Trend"</formula1>
    </dataValidation>
    <dataValidation sqref="BT2:BT53" showDropDown="0" showInputMessage="0" showErrorMessage="0" allowBlank="1" type="list">
      <formula1>"Uptrend,Sideways,Downtrend"</formula1>
    </dataValidation>
    <dataValidation sqref="BV2:BV53" showDropDown="0" showInputMessage="0" showErrorMessage="0" allowBlank="1" type="list">
      <formula1>"Uptrend,Sideways,Downtrend"</formula1>
    </dataValidation>
    <dataValidation sqref="BX2:BX5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9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IF(B2=0,"",RANK(B2,$B$2:$B$19,0))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138.9</v>
      </c>
      <c r="E2" s="31" t="inlineStr">
        <is>
          <t>5%</t>
        </is>
      </c>
      <c r="F2" s="31" t="n">
        <v>50000</v>
      </c>
      <c r="G2" s="31" t="n">
        <v>19</v>
      </c>
      <c r="H2" s="30" t="inlineStr">
        <is>
          <t>SJS</t>
        </is>
      </c>
      <c r="I2" s="30" t="inlineStr">
        <is>
          <t>S J S Enterprises Ltd</t>
        </is>
      </c>
      <c r="J2" s="30" t="inlineStr">
        <is>
          <t>auto</t>
        </is>
      </c>
      <c r="K2" s="30" t="inlineStr">
        <is>
          <t>plastics products</t>
        </is>
      </c>
      <c r="L2" s="30" t="inlineStr">
        <is>
          <t>midcap</t>
        </is>
      </c>
      <c r="M2" s="31" t="n">
        <v>8034.25</v>
      </c>
      <c r="N2" s="31" t="n">
        <v>2437.7</v>
      </c>
      <c r="O2" s="31" t="n">
        <v>-2.89</v>
      </c>
      <c r="P2" s="31" t="n">
        <v>375740</v>
      </c>
      <c r="Q2" s="30" t="n">
        <v>89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74.34</v>
      </c>
      <c r="U2" s="31" t="n">
        <v>42.12</v>
      </c>
      <c r="V2" s="31" t="n">
        <v>2079.39</v>
      </c>
      <c r="W2" s="30" t="inlineStr">
        <is>
          <t>Volume Spike &amp; Near 52W High Breakout</t>
        </is>
      </c>
      <c r="X2" s="30" t="inlineStr">
        <is>
          <t>Nifty Auto</t>
        </is>
      </c>
      <c r="Y2" s="31" t="n">
        <v>22.44</v>
      </c>
      <c r="Z2" s="31" t="n">
        <v>105.2</v>
      </c>
      <c r="AA2" s="31" t="n">
        <v>67.59999999999999</v>
      </c>
      <c r="AB2" s="31" t="n">
        <v>28.99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Yes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IF(B3=0,"",RANK(B3,$B$2:$B$19,0))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139.9</v>
      </c>
      <c r="E3" s="31" t="inlineStr">
        <is>
          <t>5%</t>
        </is>
      </c>
      <c r="F3" s="31" t="n">
        <v>50000</v>
      </c>
      <c r="G3" s="31" t="n">
        <v>190</v>
      </c>
      <c r="H3" s="30" t="inlineStr">
        <is>
          <t>CUPID</t>
        </is>
      </c>
      <c r="I3" s="30" t="inlineStr">
        <is>
          <t>Cupid Limited</t>
        </is>
      </c>
      <c r="J3" s="30" t="inlineStr">
        <is>
          <t>fmcg</t>
        </is>
      </c>
      <c r="K3" s="30" t="inlineStr">
        <is>
          <t>personal care - indian</t>
        </is>
      </c>
      <c r="L3" s="30" t="inlineStr">
        <is>
          <t>largecap</t>
        </is>
      </c>
      <c r="M3" s="31" t="n">
        <v>33900.24</v>
      </c>
      <c r="N3" s="31" t="n">
        <v>262.61</v>
      </c>
      <c r="O3" s="31" t="n">
        <v>4.16</v>
      </c>
      <c r="P3" s="31" t="n">
        <v>38625283</v>
      </c>
      <c r="Q3" s="30" t="n">
        <v>99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91.91</v>
      </c>
      <c r="U3" s="31" t="n">
        <v>69.40000000000001</v>
      </c>
      <c r="V3" s="31" t="n">
        <v>210.44</v>
      </c>
      <c r="W3" s="30" t="inlineStr">
        <is>
          <t>Near 52W High Breakout</t>
        </is>
      </c>
      <c r="X3" s="30" t="inlineStr">
        <is>
          <t>Nifty FMCG</t>
        </is>
      </c>
      <c r="Y3" s="31" t="n">
        <v>-9.75</v>
      </c>
      <c r="Z3" s="31" t="n">
        <v>788.01</v>
      </c>
      <c r="AA3" s="31" t="n">
        <v>883.9</v>
      </c>
      <c r="AB3" s="31" t="n">
        <v>86.97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B2C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Yes</t>
        </is>
      </c>
      <c r="BX3" s="30">
        <f>IF(BW3="NO",5,0)</f>
        <v/>
      </c>
      <c r="BY3" s="30" t="inlineStr">
        <is>
          <t>Above 2</t>
        </is>
      </c>
      <c r="BZ3" s="30">
        <f>IF(BY3="Above 2",0,IF(BY3="Between 1.5 to 2",5,IF(BY3="Less than 1.5",10,0)))</f>
        <v/>
      </c>
      <c r="CA3" s="30" t="inlineStr">
        <is>
          <t>Less than 50%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IF(B4=0,"",RANK(B4,$B$2:$B$19,0))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139.1</v>
      </c>
      <c r="E4" s="31" t="inlineStr">
        <is>
          <t>5%</t>
        </is>
      </c>
      <c r="F4" s="31" t="n">
        <v>50000</v>
      </c>
      <c r="G4" s="31" t="n">
        <v>602</v>
      </c>
      <c r="H4" s="30" t="inlineStr">
        <is>
          <t>FILATEX</t>
        </is>
      </c>
      <c r="I4" s="30" t="inlineStr">
        <is>
          <t>Filatex India Limited</t>
        </is>
      </c>
      <c r="J4" s="30" t="inlineStr">
        <is>
          <t>textiles</t>
        </is>
      </c>
      <c r="K4" s="30" t="inlineStr">
        <is>
          <t>textiles - manmade</t>
        </is>
      </c>
      <c r="L4" s="30" t="inlineStr">
        <is>
          <t>smallcap</t>
        </is>
      </c>
      <c r="M4" s="31" t="n">
        <v>3612.86</v>
      </c>
      <c r="N4" s="31" t="n">
        <v>81.81</v>
      </c>
      <c r="O4" s="31" t="n">
        <v>0.55</v>
      </c>
      <c r="P4" s="31" t="n">
        <v>4659099</v>
      </c>
      <c r="Q4" s="30" t="n">
        <v>92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75.95999999999999</v>
      </c>
      <c r="U4" s="31" t="n">
        <v>30.41</v>
      </c>
      <c r="V4" s="31" t="n">
        <v>62.94</v>
      </c>
      <c r="W4" s="30" t="inlineStr">
        <is>
          <t>Near 52W High Breakout</t>
        </is>
      </c>
      <c r="X4" s="30" t="inlineStr">
        <is>
          <t>Nifty 50</t>
        </is>
      </c>
      <c r="Y4" s="31" t="n">
        <v>1.09</v>
      </c>
      <c r="Z4" s="31" t="n">
        <v>57.4</v>
      </c>
      <c r="AA4" s="31" t="n">
        <v>55.71</v>
      </c>
      <c r="AB4" s="31" t="n">
        <v>31.85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20 to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Between 12 to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IF(B5=0,"",RANK(B5,$B$2:$B$19,0))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138.6</v>
      </c>
      <c r="E5" s="31" t="inlineStr">
        <is>
          <t>5%</t>
        </is>
      </c>
      <c r="F5" s="31" t="n">
        <v>50000</v>
      </c>
      <c r="G5" s="31" t="n">
        <v>6</v>
      </c>
      <c r="H5" s="30" t="inlineStr">
        <is>
          <t>GRWRHITECH</t>
        </is>
      </c>
      <c r="I5" s="30" t="inlineStr">
        <is>
          <t>Garware Hi Tech Films Ltd</t>
        </is>
      </c>
      <c r="J5" s="30" t="inlineStr">
        <is>
          <t>industrials</t>
        </is>
      </c>
      <c r="K5" s="30" t="inlineStr">
        <is>
          <t>packaging</t>
        </is>
      </c>
      <c r="L5" s="30" t="inlineStr">
        <is>
          <t>midcap</t>
        </is>
      </c>
      <c r="M5" s="31" t="n">
        <v>17214.04</v>
      </c>
      <c r="N5" s="31" t="n">
        <v>7338.5</v>
      </c>
      <c r="O5" s="31" t="n">
        <v>-0.96</v>
      </c>
      <c r="P5" s="31" t="n">
        <v>566993</v>
      </c>
      <c r="Q5" s="30" t="n">
        <v>92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82.20999999999999</v>
      </c>
      <c r="U5" s="31" t="n">
        <v>59.37</v>
      </c>
      <c r="V5" s="31" t="n">
        <v>6176.81</v>
      </c>
      <c r="W5" s="30" t="inlineStr">
        <is>
          <t>Near 52W High Breakout</t>
        </is>
      </c>
      <c r="X5" s="30" t="inlineStr">
        <is>
          <t>Nifty 50</t>
        </is>
      </c>
      <c r="Y5" s="31" t="n">
        <v>1.09</v>
      </c>
      <c r="Z5" s="31" t="n">
        <v>149.4</v>
      </c>
      <c r="AA5" s="31" t="n">
        <v>146.72</v>
      </c>
      <c r="AB5" s="31" t="n">
        <v>30.99</v>
      </c>
      <c r="AC5" s="30" t="inlineStr">
        <is>
          <t>Cyclical in an Upturn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Less than 1.5</t>
        </is>
      </c>
      <c r="BZ5" s="30">
        <f>IF(BY5="Above 2",0,IF(BY5="Between 1.5 to 2",5,IF(BY5="Less than 1.5",10,0)))</f>
        <v/>
      </c>
      <c r="CA5" s="30" t="inlineStr">
        <is>
          <t>Between 50% to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IF(B6=0,"",RANK(B6,$B$2:$B$19,0))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139.2</v>
      </c>
      <c r="E6" s="31" t="inlineStr">
        <is>
          <t>5%</t>
        </is>
      </c>
      <c r="F6" s="31" t="n">
        <v>50000</v>
      </c>
      <c r="G6" s="31" t="n">
        <v>14</v>
      </c>
      <c r="H6" s="30" t="inlineStr">
        <is>
          <t>SHAILY</t>
        </is>
      </c>
      <c r="I6" s="30" t="inlineStr">
        <is>
          <t>Shaily Engineering Plastics Ltd</t>
        </is>
      </c>
      <c r="J6" s="30" t="inlineStr">
        <is>
          <t>plastic products</t>
        </is>
      </c>
      <c r="K6" s="30" t="inlineStr">
        <is>
          <t>plastics products</t>
        </is>
      </c>
      <c r="L6" s="30" t="inlineStr">
        <is>
          <t>midcap</t>
        </is>
      </c>
      <c r="M6" s="31" t="n">
        <v>14609.01</v>
      </c>
      <c r="N6" s="31" t="n">
        <v>3366.3</v>
      </c>
      <c r="O6" s="31" t="n">
        <v>5.99</v>
      </c>
      <c r="P6" s="31" t="n">
        <v>644900</v>
      </c>
      <c r="Q6" s="30" t="n">
        <v>85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70.94</v>
      </c>
      <c r="U6" s="31" t="n">
        <v>28.55</v>
      </c>
      <c r="V6" s="31" t="n">
        <v>2574.04</v>
      </c>
      <c r="W6" s="30" t="inlineStr">
        <is>
          <t>Near 52W High Breakout</t>
        </is>
      </c>
      <c r="X6" s="30" t="inlineStr">
        <is>
          <t>Nifty 50</t>
        </is>
      </c>
      <c r="Y6" s="31" t="n">
        <v>1.09</v>
      </c>
      <c r="Z6" s="31" t="n">
        <v>112.97</v>
      </c>
      <c r="AA6" s="31" t="n">
        <v>110.68</v>
      </c>
      <c r="AB6" s="31" t="n">
        <v>24.7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20 to 40</t>
        </is>
      </c>
      <c r="BD6" s="30">
        <f>IF(BC6="Above 40",20,IF(BC6="20 to 40",10,IF(BC6="0 to 20",-5,0)))</f>
        <v/>
      </c>
      <c r="BE6" s="30" t="inlineStr">
        <is>
          <t>Between 50 to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IF(B7=0,"",RANK(B7,$B$2:$B$19,0))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138.9</v>
      </c>
      <c r="E7" s="31" t="inlineStr">
        <is>
          <t>5%</t>
        </is>
      </c>
      <c r="F7" s="31" t="n">
        <v>50000</v>
      </c>
      <c r="G7" s="31" t="n">
        <v>13</v>
      </c>
      <c r="H7" s="30" t="inlineStr">
        <is>
          <t>SANSERA</t>
        </is>
      </c>
      <c r="I7" s="30" t="inlineStr">
        <is>
          <t>Sansera Engineering Ltd</t>
        </is>
      </c>
      <c r="J7" s="30" t="inlineStr">
        <is>
          <t>auto</t>
        </is>
      </c>
      <c r="K7" s="30" t="inlineStr">
        <is>
          <t>auto ancillaries</t>
        </is>
      </c>
      <c r="L7" s="30" t="inlineStr">
        <is>
          <t>largecap</t>
        </is>
      </c>
      <c r="M7" s="31" t="n">
        <v>23356.41</v>
      </c>
      <c r="N7" s="31" t="n">
        <v>3787.3</v>
      </c>
      <c r="O7" s="31" t="n">
        <v>1.19</v>
      </c>
      <c r="P7" s="31" t="n">
        <v>349481</v>
      </c>
      <c r="Q7" s="30" t="n">
        <v>94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82.45999999999999</v>
      </c>
      <c r="U7" s="31" t="n">
        <v>54.01</v>
      </c>
      <c r="V7" s="31" t="n">
        <v>3076.12</v>
      </c>
      <c r="W7" s="30" t="inlineStr">
        <is>
          <t>Near 52W High Breakout</t>
        </is>
      </c>
      <c r="X7" s="30" t="inlineStr">
        <is>
          <t>Nifty Auto</t>
        </is>
      </c>
      <c r="Y7" s="31" t="n">
        <v>22.44</v>
      </c>
      <c r="Z7" s="31" t="n">
        <v>182.84</v>
      </c>
      <c r="AA7" s="31" t="n">
        <v>131.02</v>
      </c>
      <c r="AB7" s="31" t="n">
        <v>35.3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Between 50% to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IF(B8=0,"",RANK(B8,$B$2:$B$19,0))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138.5</v>
      </c>
      <c r="E8" s="31" t="inlineStr">
        <is>
          <t>5%</t>
        </is>
      </c>
      <c r="F8" s="31" t="n">
        <v>50000</v>
      </c>
      <c r="G8" s="31" t="n">
        <v>31</v>
      </c>
      <c r="H8" s="30" t="inlineStr">
        <is>
          <t>AETHER</t>
        </is>
      </c>
      <c r="I8" s="30" t="inlineStr">
        <is>
          <t>Aether Industries Ltd</t>
        </is>
      </c>
      <c r="J8" s="30" t="inlineStr">
        <is>
          <t>chemicals</t>
        </is>
      </c>
      <c r="K8" s="30" t="inlineStr">
        <is>
          <t>chemicals</t>
        </is>
      </c>
      <c r="L8" s="30" t="inlineStr">
        <is>
          <t>largecap</t>
        </is>
      </c>
      <c r="M8" s="31" t="n">
        <v>21093.34</v>
      </c>
      <c r="N8" s="31" t="n">
        <v>1584.4</v>
      </c>
      <c r="O8" s="31" t="n">
        <v>-0.31</v>
      </c>
      <c r="P8" s="31" t="n">
        <v>240048</v>
      </c>
      <c r="Q8" s="30" t="n">
        <v>85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75.05</v>
      </c>
      <c r="U8" s="31" t="n">
        <v>45.72</v>
      </c>
      <c r="V8" s="31" t="n">
        <v>1274.07</v>
      </c>
      <c r="W8" s="30" t="inlineStr">
        <is>
          <t>Near 52W High Breakout</t>
        </is>
      </c>
      <c r="X8" s="30" t="inlineStr">
        <is>
          <t>Nifty 50</t>
        </is>
      </c>
      <c r="Y8" s="31" t="n">
        <v>1.09</v>
      </c>
      <c r="Z8" s="31" t="n">
        <v>117.33</v>
      </c>
      <c r="AA8" s="31" t="n">
        <v>114.99</v>
      </c>
      <c r="AB8" s="31" t="n">
        <v>24.12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Yes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IF(B9=0,"",RANK(B9,$B$2:$B$19,0))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139.8</v>
      </c>
      <c r="E9" s="31" t="inlineStr">
        <is>
          <t>5%</t>
        </is>
      </c>
      <c r="F9" s="31" t="n">
        <v>50000</v>
      </c>
      <c r="G9" s="31" t="n">
        <v>19</v>
      </c>
      <c r="H9" s="30" t="inlineStr">
        <is>
          <t>SWANDEF</t>
        </is>
      </c>
      <c r="I9" s="30" t="inlineStr">
        <is>
          <t>Swan Defence and Heavy Industries Ltd</t>
        </is>
      </c>
      <c r="J9" s="30" t="inlineStr">
        <is>
          <t>transportation</t>
        </is>
      </c>
      <c r="K9" s="30" t="inlineStr">
        <is>
          <t>miscellaneous</t>
        </is>
      </c>
      <c r="L9" s="30" t="inlineStr">
        <is>
          <t>midcap</t>
        </is>
      </c>
      <c r="M9" s="31" t="n">
        <v>13441.85</v>
      </c>
      <c r="N9" s="31" t="n">
        <v>2650</v>
      </c>
      <c r="O9" s="31" t="n">
        <v>3.86</v>
      </c>
      <c r="P9" s="31" t="n">
        <v>23486</v>
      </c>
      <c r="Q9" s="30" t="n">
        <v>98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73.67</v>
      </c>
      <c r="U9" s="31" t="n">
        <v>51.92</v>
      </c>
      <c r="V9" s="31" t="n">
        <v>2061.85</v>
      </c>
      <c r="W9" s="30" t="inlineStr">
        <is>
          <t>Near 52W High Breakout</t>
        </is>
      </c>
      <c r="X9" s="30" t="inlineStr">
        <is>
          <t>Nifty 50</t>
        </is>
      </c>
      <c r="Y9" s="31" t="n">
        <v>1.09</v>
      </c>
      <c r="Z9" s="31" t="n">
        <v>678.91</v>
      </c>
      <c r="AA9" s="31" t="n">
        <v>670.53</v>
      </c>
      <c r="AB9" s="31" t="n">
        <v>70.28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Between 50 to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No</t>
        </is>
      </c>
      <c r="BX9" s="30">
        <f>IF(BW9="NO",5,0)</f>
        <v/>
      </c>
      <c r="BY9" s="30" t="inlineStr">
        <is>
          <t>Less than 1.5</t>
        </is>
      </c>
      <c r="BZ9" s="30">
        <f>IF(BY9="Above 2",0,IF(BY9="Between 1.5 to 2",5,IF(BY9="Less than 1.5",10,0)))</f>
        <v/>
      </c>
      <c r="CA9" s="30" t="inlineStr">
        <is>
          <t>Negative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More than 1.2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IF(B10=0,"",RANK(B10,$B$2:$B$19,0))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139.3</v>
      </c>
      <c r="E10" s="31" t="inlineStr">
        <is>
          <t>5%</t>
        </is>
      </c>
      <c r="F10" s="31" t="n">
        <v>50000</v>
      </c>
      <c r="G10" s="31" t="n">
        <v>29</v>
      </c>
      <c r="H10" s="30" t="inlineStr">
        <is>
          <t>PIDILITIND</t>
        </is>
      </c>
      <c r="I10" s="30" t="inlineStr">
        <is>
          <t>Pidilite Industries Limited</t>
        </is>
      </c>
      <c r="J10" s="30" t="inlineStr">
        <is>
          <t>chemicals</t>
        </is>
      </c>
      <c r="K10" s="30" t="inlineStr">
        <is>
          <t>chemicals</t>
        </is>
      </c>
      <c r="L10" s="30" t="inlineStr">
        <is>
          <t>largecap</t>
        </is>
      </c>
      <c r="M10" s="31" t="n">
        <v>169459.6</v>
      </c>
      <c r="N10" s="31" t="n">
        <v>1686</v>
      </c>
      <c r="O10" s="31" t="n">
        <v>1.26</v>
      </c>
      <c r="P10" s="31" t="n">
        <v>3512973</v>
      </c>
      <c r="Q10" s="30" t="n">
        <v>25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72.13</v>
      </c>
      <c r="U10" s="31" t="n">
        <v>25.57</v>
      </c>
      <c r="V10" s="31" t="n">
        <v>1469.06</v>
      </c>
      <c r="W10" s="30" t="inlineStr">
        <is>
          <t>Near 52W High Breakout</t>
        </is>
      </c>
      <c r="X10" s="30" t="inlineStr">
        <is>
          <t>Nifty 50</t>
        </is>
      </c>
      <c r="Y10" s="31" t="n">
        <v>1.09</v>
      </c>
      <c r="Z10" s="31" t="n">
        <v>9.48</v>
      </c>
      <c r="AA10" s="31" t="n">
        <v>8.300000000000001</v>
      </c>
      <c r="AB10" s="31" t="n">
        <v>4.89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20 to 40</t>
        </is>
      </c>
      <c r="BD10" s="30">
        <f>IF(BC10="Above 40",20,IF(BC10="20 to 40",10,IF(BC10="0 to 20",-5,0)))</f>
        <v/>
      </c>
      <c r="BE10" s="30" t="inlineStr">
        <is>
          <t>Between 50 to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IF(B11=0,"",RANK(B11,$B$2:$B$19,0))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138.9</v>
      </c>
      <c r="E11" s="31" t="inlineStr">
        <is>
          <t>5%</t>
        </is>
      </c>
      <c r="F11" s="31" t="n">
        <v>50000</v>
      </c>
      <c r="G11" s="31" t="n">
        <v>19</v>
      </c>
      <c r="H11" s="30" t="inlineStr">
        <is>
          <t>KERNEX</t>
        </is>
      </c>
      <c r="I11" s="30" t="inlineStr">
        <is>
          <t>Kernex Microsystems (india) Limited</t>
        </is>
      </c>
      <c r="J11" s="30" t="inlineStr">
        <is>
          <t>consumer discretionary</t>
        </is>
      </c>
      <c r="K11" s="30" t="inlineStr">
        <is>
          <t>electronics - components</t>
        </is>
      </c>
      <c r="L11" s="30" t="inlineStr">
        <is>
          <t>smallcap</t>
        </is>
      </c>
      <c r="M11" s="31" t="n">
        <v>4283.58</v>
      </c>
      <c r="N11" s="31" t="n">
        <v>2432.5</v>
      </c>
      <c r="O11" s="31" t="n">
        <v>-4.58</v>
      </c>
      <c r="P11" s="31" t="n">
        <v>227314</v>
      </c>
      <c r="Q11" s="30" t="n">
        <v>93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73.90000000000001</v>
      </c>
      <c r="U11" s="31" t="n">
        <v>60.44</v>
      </c>
      <c r="V11" s="31" t="n">
        <v>1871.64</v>
      </c>
      <c r="W11" s="30" t="inlineStr">
        <is>
          <t>Near 52W High Breakout</t>
        </is>
      </c>
      <c r="X11" s="30" t="inlineStr">
        <is>
          <t>Nifty 50</t>
        </is>
      </c>
      <c r="Y11" s="31" t="n">
        <v>1.09</v>
      </c>
      <c r="Z11" s="31" t="n">
        <v>135.09</v>
      </c>
      <c r="AA11" s="31" t="n">
        <v>132.56</v>
      </c>
      <c r="AB11" s="31" t="n">
        <v>33.21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Above 40</t>
        </is>
      </c>
      <c r="BD11" s="30">
        <f>IF(BC11="Above 40",20,IF(BC11="20 to 40",10,IF(BC11="0 to 20",-5,0)))</f>
        <v/>
      </c>
      <c r="BE11" s="30" t="inlineStr">
        <is>
          <t>Between 50 to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Negative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IF(B12=0,"",RANK(B12,$B$2:$B$19,0))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138.5</v>
      </c>
      <c r="E12" s="31" t="inlineStr">
        <is>
          <t>5%</t>
        </is>
      </c>
      <c r="F12" s="31" t="n">
        <v>50000</v>
      </c>
      <c r="G12" s="31" t="n">
        <v>58</v>
      </c>
      <c r="H12" s="30" t="inlineStr">
        <is>
          <t>ASTERDM</t>
        </is>
      </c>
      <c r="I12" s="30" t="inlineStr">
        <is>
          <t>Aster DM Healthcare Ltd</t>
        </is>
      </c>
      <c r="J12" s="30" t="inlineStr">
        <is>
          <t>healthcare</t>
        </is>
      </c>
      <c r="K12" s="30" t="inlineStr">
        <is>
          <t>healthcare</t>
        </is>
      </c>
      <c r="L12" s="30" t="inlineStr">
        <is>
          <t>largecap</t>
        </is>
      </c>
      <c r="M12" s="31" t="n">
        <v>73403.53999999999</v>
      </c>
      <c r="N12" s="31" t="n">
        <v>837.6</v>
      </c>
      <c r="O12" s="31" t="n">
        <v>-0.53</v>
      </c>
      <c r="P12" s="31" t="n">
        <v>2438796</v>
      </c>
      <c r="Q12" s="30" t="n">
        <v>59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68.7</v>
      </c>
      <c r="U12" s="31" t="n">
        <v>48.79</v>
      </c>
      <c r="V12" s="31" t="n">
        <v>705.36</v>
      </c>
      <c r="W12" s="30" t="inlineStr">
        <is>
          <t>Near 52W High Breakout</t>
        </is>
      </c>
      <c r="X12" s="30" t="inlineStr">
        <is>
          <t>Nifty Pharma</t>
        </is>
      </c>
      <c r="Y12" s="31" t="n">
        <v>24.42</v>
      </c>
      <c r="Z12" s="31" t="n">
        <v>49.21</v>
      </c>
      <c r="AA12" s="31" t="n">
        <v>19.92</v>
      </c>
      <c r="AB12" s="31" t="n">
        <v>13.03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Yes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Annuity, Lower One Time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Less than 12%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IF(B13=0,"",RANK(B13,$B$2:$B$19,0))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139.1</v>
      </c>
      <c r="E13" s="31" t="inlineStr">
        <is>
          <t>5%</t>
        </is>
      </c>
      <c r="F13" s="31" t="n">
        <v>50000</v>
      </c>
      <c r="G13" s="31" t="n">
        <v>69</v>
      </c>
      <c r="H13" s="30" t="inlineStr">
        <is>
          <t>SIGMAADV</t>
        </is>
      </c>
      <c r="I13" s="30" t="inlineStr">
        <is>
          <t>Sigma Advanced System Ltd</t>
        </is>
      </c>
      <c r="J13" s="30" t="inlineStr">
        <is>
          <t>aerospace &amp; defence</t>
        </is>
      </c>
      <c r="K13" s="30" t="inlineStr">
        <is>
          <t>electronics - components</t>
        </is>
      </c>
      <c r="L13" s="30" t="inlineStr">
        <is>
          <t>midcap</t>
        </is>
      </c>
      <c r="M13" s="31" t="n">
        <v>13350.01</v>
      </c>
      <c r="N13" s="31" t="n">
        <v>692.05</v>
      </c>
      <c r="O13" s="31" t="n">
        <v>-1.77</v>
      </c>
      <c r="P13" s="31" t="n">
        <v>302489</v>
      </c>
      <c r="Q13" s="30" t="n">
        <v>98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78.84999999999999</v>
      </c>
      <c r="U13" s="31" t="n">
        <v>67.31999999999999</v>
      </c>
      <c r="V13" s="31" t="n">
        <v>532.42</v>
      </c>
      <c r="W13" s="30" t="inlineStr">
        <is>
          <t>Near 52W High Breakout</t>
        </is>
      </c>
      <c r="X13" s="30" t="inlineStr">
        <is>
          <t>Nifty 50</t>
        </is>
      </c>
      <c r="Y13" s="31" t="n">
        <v>1.09</v>
      </c>
      <c r="Z13" s="31" t="n">
        <v>505.37</v>
      </c>
      <c r="AA13" s="31" t="n">
        <v>498.86</v>
      </c>
      <c r="AB13" s="31" t="n">
        <v>76.33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Above 40</t>
        </is>
      </c>
      <c r="BD13" s="30">
        <f>IF(BC13="Above 40",20,IF(BC13="20 to 40",10,IF(BC13="0 to 20",-5,0)))</f>
        <v/>
      </c>
      <c r="BE13" s="30" t="inlineStr">
        <is>
          <t>Above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More than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Less than 1.5</t>
        </is>
      </c>
      <c r="BZ13" s="30">
        <f>IF(BY13="Above 2",0,IF(BY13="Between 1.5 to 2",5,IF(BY13="Less than 1.5",10,0)))</f>
        <v/>
      </c>
      <c r="CA13" s="30" t="inlineStr">
        <is>
          <t>Negative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Between 0.7 to 1.2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IF(B14=0,"",RANK(B14,$B$2:$B$19,0))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139.4</v>
      </c>
      <c r="E14" s="31" t="inlineStr">
        <is>
          <t>5%</t>
        </is>
      </c>
      <c r="F14" s="31" t="n">
        <v>50000</v>
      </c>
      <c r="G14" s="31" t="n">
        <v>25</v>
      </c>
      <c r="H14" s="32" t="inlineStr">
        <is>
          <t>LALPATHLAB</t>
        </is>
      </c>
      <c r="I14" s="32" t="inlineStr">
        <is>
          <t>Dr. Lal Path Labs Ltd.</t>
        </is>
      </c>
      <c r="J14" s="30" t="inlineStr">
        <is>
          <t>healthcare</t>
        </is>
      </c>
      <c r="K14" s="30" t="inlineStr">
        <is>
          <t>healthcare</t>
        </is>
      </c>
      <c r="L14" s="30" t="inlineStr">
        <is>
          <t>largecap</t>
        </is>
      </c>
      <c r="M14" s="31" t="n">
        <v>31634.92</v>
      </c>
      <c r="N14" s="31" t="n">
        <v>1928</v>
      </c>
      <c r="O14" s="31" t="n">
        <v>2.17</v>
      </c>
      <c r="P14" s="31" t="n">
        <v>427191</v>
      </c>
      <c r="Q14" s="30" t="n">
        <v>40</v>
      </c>
      <c r="R14" s="30" t="inlineStr">
        <is>
          <t>Underperforming</t>
        </is>
      </c>
      <c r="S14" s="31">
        <f>IF(R14="Underperforming",-5,IF(Q14&gt;=95,15,IF(Q14&gt;=90,10,IF(Q14&gt;=80,5,0))))</f>
        <v/>
      </c>
      <c r="T14" s="31" t="n">
        <v>75.18000000000001</v>
      </c>
      <c r="U14" s="31" t="n">
        <v>40.58</v>
      </c>
      <c r="V14" s="31" t="n">
        <v>1611.1</v>
      </c>
      <c r="W14" s="30" t="inlineStr">
        <is>
          <t>Near 52W High Breakout</t>
        </is>
      </c>
      <c r="X14" s="30" t="inlineStr">
        <is>
          <t>Nifty Pharma</t>
        </is>
      </c>
      <c r="Y14" s="31" t="n">
        <v>24.42</v>
      </c>
      <c r="Z14" s="31" t="n">
        <v>23.04</v>
      </c>
      <c r="AA14" s="31" t="n">
        <v>-1.11</v>
      </c>
      <c r="AB14" s="31" t="n">
        <v>8.369999999999999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Yes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Annuity, Lower One Time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Above 40</t>
        </is>
      </c>
      <c r="BD14" s="30">
        <f>IF(BC14="Above 40",20,IF(BC14="20 to 40",10,IF(BC14="0 to 20",-5,0)))</f>
        <v/>
      </c>
      <c r="BE14" s="30" t="inlineStr">
        <is>
          <t>Above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IF(B15=0,"",RANK(B15,$B$2:$B$19,0))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140</v>
      </c>
      <c r="E15" s="31" t="inlineStr">
        <is>
          <t>5%</t>
        </is>
      </c>
      <c r="F15" s="31" t="n">
        <v>50000</v>
      </c>
      <c r="G15" s="31" t="n">
        <v>13</v>
      </c>
      <c r="H15" s="30" t="inlineStr">
        <is>
          <t>INDOTECH</t>
        </is>
      </c>
      <c r="I15" s="30" t="inlineStr">
        <is>
          <t>Indo Tech Transformers Limited</t>
        </is>
      </c>
      <c r="J15" s="30" t="inlineStr">
        <is>
          <t>industrials</t>
        </is>
      </c>
      <c r="K15" s="30" t="inlineStr">
        <is>
          <t>electric equipment</t>
        </is>
      </c>
      <c r="L15" s="30" t="inlineStr">
        <is>
          <t>smallcap</t>
        </is>
      </c>
      <c r="M15" s="31" t="n">
        <v>3830.85</v>
      </c>
      <c r="N15" s="31" t="n">
        <v>3787.5</v>
      </c>
      <c r="O15" s="31" t="n">
        <v>5</v>
      </c>
      <c r="P15" s="31" t="n">
        <v>22978</v>
      </c>
      <c r="Q15" s="30" t="n">
        <v>93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78.94</v>
      </c>
      <c r="U15" s="31" t="n">
        <v>49.32</v>
      </c>
      <c r="V15" s="31" t="n">
        <v>2852.75</v>
      </c>
      <c r="W15" s="30" t="inlineStr">
        <is>
          <t>Near 52W High Breakout</t>
        </is>
      </c>
      <c r="X15" s="30" t="inlineStr">
        <is>
          <t>Nifty 50</t>
        </is>
      </c>
      <c r="Y15" s="31" t="n">
        <v>1.09</v>
      </c>
      <c r="Z15" s="31" t="n">
        <v>141.5</v>
      </c>
      <c r="AA15" s="31" t="n">
        <v>138.91</v>
      </c>
      <c r="AB15" s="31" t="n">
        <v>32.89</v>
      </c>
      <c r="AC15" s="30" t="inlineStr">
        <is>
          <t>Cyclical in an Upturn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Above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Between 12 to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Less than 50%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IF(B16=0,"",RANK(B16,$B$2:$B$19,0))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140</v>
      </c>
      <c r="E16" s="31" t="inlineStr">
        <is>
          <t>5%</t>
        </is>
      </c>
      <c r="F16" s="31" t="n">
        <v>50000</v>
      </c>
      <c r="G16" s="31" t="n">
        <v>143</v>
      </c>
      <c r="H16" s="30" t="inlineStr">
        <is>
          <t>DIACABS</t>
        </is>
      </c>
      <c r="I16" s="30" t="inlineStr">
        <is>
          <t>Diamond Power Infrastructure Ltd</t>
        </is>
      </c>
      <c r="J16" s="30" t="inlineStr">
        <is>
          <t>industrials</t>
        </is>
      </c>
      <c r="K16" s="30" t="inlineStr">
        <is>
          <t>cables - power</t>
        </is>
      </c>
      <c r="L16" s="30" t="inlineStr">
        <is>
          <t>midcap</t>
        </is>
      </c>
      <c r="M16" s="31" t="n">
        <v>17505.98</v>
      </c>
      <c r="N16" s="31" t="n">
        <v>348.8</v>
      </c>
      <c r="O16" s="31" t="n">
        <v>5</v>
      </c>
      <c r="P16" s="31" t="n">
        <v>704735</v>
      </c>
      <c r="Q16" s="30" t="n">
        <v>97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87.73</v>
      </c>
      <c r="U16" s="31" t="n">
        <v>60.06</v>
      </c>
      <c r="V16" s="31" t="n">
        <v>268.69</v>
      </c>
      <c r="W16" s="30" t="inlineStr">
        <is>
          <t>Near 52W High Breakout</t>
        </is>
      </c>
      <c r="X16" s="30" t="inlineStr">
        <is>
          <t>Nifty Energy</t>
        </is>
      </c>
      <c r="Y16" s="31" t="n">
        <v>9.720000000000001</v>
      </c>
      <c r="Z16" s="31" t="n">
        <v>114.16</v>
      </c>
      <c r="AA16" s="31" t="n">
        <v>95.19</v>
      </c>
      <c r="AB16" s="31" t="n">
        <v>47.3</v>
      </c>
      <c r="AC16" s="30" t="inlineStr">
        <is>
          <t>Cyclical in an Upturn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Above 40</t>
        </is>
      </c>
      <c r="BD16" s="30">
        <f>IF(BC16="Above 40",20,IF(BC16="20 to 40",10,IF(BC16="0 to 20",-5,0)))</f>
        <v/>
      </c>
      <c r="BE16" s="30" t="inlineStr">
        <is>
          <t>Above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More than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Negative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IF(B17=0,"",RANK(B17,$B$2:$B$19,0))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139.6</v>
      </c>
      <c r="E17" s="31" t="inlineStr">
        <is>
          <t>5%</t>
        </is>
      </c>
      <c r="F17" s="31" t="n">
        <v>50000</v>
      </c>
      <c r="G17" s="31" t="n">
        <v>34</v>
      </c>
      <c r="H17" s="30" t="inlineStr">
        <is>
          <t>PAYTM</t>
        </is>
      </c>
      <c r="I17" s="30" t="inlineStr">
        <is>
          <t>One 97 Communications Ltd</t>
        </is>
      </c>
      <c r="J17" s="30" t="inlineStr">
        <is>
          <t>i.t</t>
        </is>
      </c>
      <c r="K17" s="30" t="inlineStr">
        <is>
          <t>miscellaneous</t>
        </is>
      </c>
      <c r="L17" s="30" t="inlineStr">
        <is>
          <t>largecap</t>
        </is>
      </c>
      <c r="M17" s="31" t="n">
        <v>91504.16</v>
      </c>
      <c r="N17" s="31" t="n">
        <v>1442</v>
      </c>
      <c r="O17" s="31" t="n">
        <v>0.91</v>
      </c>
      <c r="P17" s="31" t="n">
        <v>7304158</v>
      </c>
      <c r="Q17" s="30" t="n">
        <v>54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67.58</v>
      </c>
      <c r="U17" s="31" t="n">
        <v>16.2</v>
      </c>
      <c r="V17" s="31" t="n">
        <v>1146.76</v>
      </c>
      <c r="W17" s="30" t="inlineStr">
        <is>
          <t>Near 52W High Breakout</t>
        </is>
      </c>
      <c r="X17" s="30" t="inlineStr">
        <is>
          <t>Nifty IT</t>
        </is>
      </c>
      <c r="Y17" s="31" t="n">
        <v>-9.289999999999999</v>
      </c>
      <c r="Z17" s="31" t="n">
        <v>36.15</v>
      </c>
      <c r="AA17" s="31" t="n">
        <v>50.1</v>
      </c>
      <c r="AB17" s="31" t="n">
        <v>11.72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0 to 20</t>
        </is>
      </c>
      <c r="BD17" s="30">
        <f>IF(BC17="Above 40",20,IF(BC17="20 to 40",10,IF(BC17="0 to 20",-5,0)))</f>
        <v/>
      </c>
      <c r="BE17" s="30" t="inlineStr">
        <is>
          <t>Between 50 to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Between 1.5 to 2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IF(B18=0,"",RANK(B18,$B$2:$B$19,0))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140</v>
      </c>
      <c r="E18" s="31" t="inlineStr">
        <is>
          <t>5%</t>
        </is>
      </c>
      <c r="F18" s="31" t="n">
        <v>50000</v>
      </c>
      <c r="G18" s="31" t="n">
        <v>203</v>
      </c>
      <c r="H18" s="30" t="inlineStr">
        <is>
          <t>UEL</t>
        </is>
      </c>
      <c r="I18" s="30" t="inlineStr">
        <is>
          <t>Ujaas Energy Ltd</t>
        </is>
      </c>
      <c r="J18" s="30" t="inlineStr">
        <is>
          <t>power &amp; utilities</t>
        </is>
      </c>
      <c r="K18" s="30" t="inlineStr">
        <is>
          <t>power generation and supply</t>
        </is>
      </c>
      <c r="L18" s="30" t="inlineStr">
        <is>
          <t>smallcap</t>
        </is>
      </c>
      <c r="M18" s="31" t="n">
        <v>2977.44</v>
      </c>
      <c r="N18" s="31" t="n">
        <v>245.52</v>
      </c>
      <c r="O18" s="31" t="n">
        <v>10</v>
      </c>
      <c r="P18" s="31" t="n">
        <v>8985</v>
      </c>
      <c r="Q18" s="30" t="n">
        <v>89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76.52</v>
      </c>
      <c r="U18" s="31" t="n">
        <v>13.05</v>
      </c>
      <c r="V18" s="31" t="n">
        <v>175.88</v>
      </c>
      <c r="W18" s="30" t="inlineStr">
        <is>
          <t>Volume Spike &amp; Near 52W High Breakout</t>
        </is>
      </c>
      <c r="X18" s="30" t="inlineStr">
        <is>
          <t>Nifty IT</t>
        </is>
      </c>
      <c r="Y18" s="31" t="n">
        <v>-9.289999999999999</v>
      </c>
      <c r="Z18" s="31" t="n">
        <v>100.89</v>
      </c>
      <c r="AA18" s="31" t="n">
        <v>121.46</v>
      </c>
      <c r="AB18" s="31" t="n">
        <v>28.96</v>
      </c>
      <c r="AC18" s="30" t="inlineStr">
        <is>
          <t>Growing Industry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0 to 20</t>
        </is>
      </c>
      <c r="BD18" s="30">
        <f>IF(BC18="Above 40",20,IF(BC18="20 to 40",10,IF(BC18="0 to 20",-5,0)))</f>
        <v/>
      </c>
      <c r="BE18" s="30" t="inlineStr">
        <is>
          <t>Above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Above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IF(B19=0,"",RANK(B19,$B$2:$B$19,0))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139</v>
      </c>
      <c r="E19" s="31" t="inlineStr">
        <is>
          <t>5%</t>
        </is>
      </c>
      <c r="F19" s="31" t="n">
        <v>50000</v>
      </c>
      <c r="G19" s="31" t="n">
        <v>5</v>
      </c>
      <c r="H19" s="30" t="inlineStr">
        <is>
          <t>NAVINFLUOR</t>
        </is>
      </c>
      <c r="I19" s="30" t="inlineStr">
        <is>
          <t>Navin Fluorine International Limited</t>
        </is>
      </c>
      <c r="J19" s="30" t="inlineStr">
        <is>
          <t>chemicals</t>
        </is>
      </c>
      <c r="K19" s="30" t="inlineStr">
        <is>
          <t>chemicals</t>
        </is>
      </c>
      <c r="L19" s="30" t="inlineStr">
        <is>
          <t>largecap</t>
        </is>
      </c>
      <c r="M19" s="31" t="n">
        <v>39030.01</v>
      </c>
      <c r="N19" s="31" t="n">
        <v>8650</v>
      </c>
      <c r="O19" s="31" t="n">
        <v>13.67</v>
      </c>
      <c r="P19" s="31" t="n">
        <v>3853522</v>
      </c>
      <c r="Q19" s="30" t="n">
        <v>69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75.73</v>
      </c>
      <c r="U19" s="31" t="n">
        <v>53.81</v>
      </c>
      <c r="V19" s="31" t="n">
        <v>6994.13</v>
      </c>
      <c r="W19" s="30" t="inlineStr">
        <is>
          <t>Volume Spike &amp; Near 52W High Breakout</t>
        </is>
      </c>
      <c r="X19" s="30" t="inlineStr">
        <is>
          <t>Nifty 50</t>
        </is>
      </c>
      <c r="Y19" s="31" t="n">
        <v>1.09</v>
      </c>
      <c r="Z19" s="31" t="n">
        <v>75.76000000000001</v>
      </c>
      <c r="AA19" s="31" t="n">
        <v>73.87</v>
      </c>
      <c r="AB19" s="31" t="n">
        <v>16.28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Oligopoly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Shallow Cyclical (2 to 3 Years Growth)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20 to 40</t>
        </is>
      </c>
      <c r="BD19" s="30">
        <f>IF(BC19="Above 40",20,IF(BC19="20 to 40",10,IF(BC19="0 to 20",-5,0)))</f>
        <v/>
      </c>
      <c r="BE19" s="30" t="inlineStr">
        <is>
          <t>Between 50 to 75</t>
        </is>
      </c>
      <c r="BF19" s="30">
        <f>IF(BE19="Between 50 to 75",10,IF(BE19="Above 75",0,0))</f>
        <v/>
      </c>
      <c r="BG19" s="30" t="inlineStr">
        <is>
          <t>Stage 3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Close to 52 week high or retracement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More than 20%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Yes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Between 50% to 70%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Less than 0.7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</sheetData>
  <autoFilter ref="A1:CJ19"/>
  <conditionalFormatting sqref="B2:B1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9">
    <cfRule type="cellIs" priority="36" operator="equal" dxfId="3" stopIfTrue="1">
      <formula>"Underperforming"</formula>
    </cfRule>
  </conditionalFormatting>
  <conditionalFormatting sqref="S2:S19">
    <cfRule type="cellIs" priority="37" operator="equal" dxfId="3" stopIfTrue="1">
      <formula>-5</formula>
    </cfRule>
  </conditionalFormatting>
  <conditionalFormatting sqref="V2:V19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9" showDropDown="0" showInputMessage="0" showErrorMessage="0" allowBlank="1" type="list">
      <formula1>"Growing Industry,Stagnant Industry,Cyclical in an Upturn"</formula1>
    </dataValidation>
    <dataValidation sqref="AE2:AE1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9" showDropDown="0" showInputMessage="0" showErrorMessage="0" allowBlank="1" type="list">
      <formula1>"Yes,No"</formula1>
    </dataValidation>
    <dataValidation sqref="AI2:AI19" showDropDown="0" showInputMessage="0" showErrorMessage="0" allowBlank="1" type="list">
      <formula1>"Tailwind,Headwind"</formula1>
    </dataValidation>
    <dataValidation sqref="AK2:AK19" showDropDown="0" showInputMessage="0" showErrorMessage="0" allowBlank="1" type="list">
      <formula1>"Structural (10 Years Consistency),Shallow Cyclical (2 to 3 Years Growth),Cyclical"</formula1>
    </dataValidation>
    <dataValidation sqref="AM2:AM19" showDropDown="0" showInputMessage="0" showErrorMessage="0" allowBlank="1" type="list">
      <formula1>"Yes due to Product Mix change or Operating Leverage,Yes, these are peak margins,No"</formula1>
    </dataValidation>
    <dataValidation sqref="AO2:AO19" showDropDown="0" showInputMessage="0" showErrorMessage="0" allowBlank="1" type="list">
      <formula1>"Stable,Volatile"</formula1>
    </dataValidation>
    <dataValidation sqref="AQ2:AQ19" showDropDown="0" showInputMessage="0" showErrorMessage="0" allowBlank="1" type="list">
      <formula1>"Yes,No"</formula1>
    </dataValidation>
    <dataValidation sqref="AS2:AS19" showDropDown="0" showInputMessage="0" showErrorMessage="0" allowBlank="1" type="list">
      <formula1>"B2C,B2B,B2G"</formula1>
    </dataValidation>
    <dataValidation sqref="AU2:AU19" showDropDown="0" showInputMessage="0" showErrorMessage="0" allowBlank="1" type="list">
      <formula1>"Yes,No"</formula1>
    </dataValidation>
    <dataValidation sqref="AW2:AW19" showDropDown="0" showInputMessage="0" showErrorMessage="0" allowBlank="1" type="list">
      <formula1>"Fully Annuity,Higher Annuity, Lower One time,Higher One Time, Lower Annuity,Fully One Time"</formula1>
    </dataValidation>
    <dataValidation sqref="AY2:AY19" showDropDown="0" showInputMessage="0" showErrorMessage="0" allowBlank="1" type="list">
      <formula1>"Good,Allocated capital in Non-core Areas"</formula1>
    </dataValidation>
    <dataValidation sqref="BA2:BA19" showDropDown="0" showInputMessage="0" showErrorMessage="0" allowBlank="1" type="list">
      <formula1>"Yes for more than 2 years,Yes only for next 1 to 2 years,No"</formula1>
    </dataValidation>
    <dataValidation sqref="BC2:BC19" showDropDown="0" showInputMessage="0" showErrorMessage="0" allowBlank="1" type="list">
      <formula1>"Above 40,20 to 40,0 to 20"</formula1>
    </dataValidation>
    <dataValidation sqref="BE2:BE19" showDropDown="0" showInputMessage="0" showErrorMessage="0" allowBlank="1" type="list">
      <formula1>"Between 50 to 75,Above 75,Below 45"</formula1>
    </dataValidation>
    <dataValidation sqref="BG2:BG19" showDropDown="0" showInputMessage="0" showErrorMessage="0" allowBlank="1" type="list">
      <formula1>"Stage 1,Stage 2,Stage 3,Stage 4"</formula1>
    </dataValidation>
    <dataValidation sqref="BI2:BI19" showDropDown="0" showInputMessage="0" showErrorMessage="0" allowBlank="1" type="list">
      <formula1>"Positive Trend,Negative Trend"</formula1>
    </dataValidation>
    <dataValidation sqref="BK2:BK19" showDropDown="0" showInputMessage="0" showErrorMessage="0" allowBlank="1" type="list">
      <formula1>"Uptrend,Sideways,Downtrend"</formula1>
    </dataValidation>
    <dataValidation sqref="BM2:BM19" showDropDown="0" showInputMessage="0" showErrorMessage="0" allowBlank="1" type="list">
      <formula1>"Uptrend,Sideways,Downtrend"</formula1>
    </dataValidation>
    <dataValidation sqref="BO2:BO1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9" showDropDown="0" showInputMessage="0" showErrorMessage="0" allowBlank="1" type="list">
      <formula1>"Yes,No"</formula1>
    </dataValidation>
    <dataValidation sqref="BS2:BS19" showDropDown="0" showInputMessage="0" showErrorMessage="0" allowBlank="1" type="list">
      <formula1>"More than 20%,Between 12 to 20%,Less than 12%"</formula1>
    </dataValidation>
    <dataValidation sqref="BU2:BU19" showDropDown="0" showInputMessage="0" showErrorMessage="0" allowBlank="1" type="list">
      <formula1>"Yes,No"</formula1>
    </dataValidation>
    <dataValidation sqref="BW2:BW19" showDropDown="0" showInputMessage="0" showErrorMessage="0" allowBlank="1" type="list">
      <formula1>"Yes,No"</formula1>
    </dataValidation>
    <dataValidation sqref="BY2:BY19" showDropDown="0" showInputMessage="0" showErrorMessage="0" allowBlank="1" type="list">
      <formula1>"Above 2,Between 1.5 to 2,Less than 1.5"</formula1>
    </dataValidation>
    <dataValidation sqref="CA2:CA19" showDropDown="0" showInputMessage="0" showErrorMessage="0" allowBlank="1" type="list">
      <formula1>"Above 70%,Between 50% to 70%,Less than 50%,Less than 50% and Borrowings are increasing,Negative"</formula1>
    </dataValidation>
    <dataValidation sqref="CC2:CC19" showDropDown="0" showInputMessage="0" showErrorMessage="0" allowBlank="1" type="list">
      <formula1>"More than 1.2,Between 0.7 to 1.2,Less than 0.7"</formula1>
    </dataValidation>
    <dataValidation sqref="CE2:CE19" showDropDown="0" showInputMessage="0" showErrorMessage="0" allowBlank="1" type="list">
      <formula1>"Yes,No"</formula1>
    </dataValidation>
    <dataValidation sqref="CG2:CG19" showDropDown="0" showInputMessage="0" showErrorMessage="0" allowBlank="1" type="list">
      <formula1>"More than 15%,Less than 15%"</formula1>
    </dataValidation>
    <dataValidation sqref="CI2:CI1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5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IF(B2=0,"",RANK(B2,$B$2:$B$5,0))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139.3</v>
      </c>
      <c r="E2" s="31" t="inlineStr">
        <is>
          <t>5%</t>
        </is>
      </c>
      <c r="F2" s="31" t="n">
        <v>50000</v>
      </c>
      <c r="G2" s="31" t="n">
        <v>128</v>
      </c>
      <c r="H2" s="30" t="inlineStr">
        <is>
          <t>RBLBANK</t>
        </is>
      </c>
      <c r="I2" s="30" t="inlineStr">
        <is>
          <t>Rbl Bank Limited</t>
        </is>
      </c>
      <c r="J2" s="30" t="inlineStr">
        <is>
          <t>bank</t>
        </is>
      </c>
      <c r="K2" s="30" t="inlineStr">
        <is>
          <t>banks - private sector</t>
        </is>
      </c>
      <c r="L2" s="30" t="inlineStr">
        <is>
          <t>largecap</t>
        </is>
      </c>
      <c r="M2" s="31" t="n">
        <v>60362.79</v>
      </c>
      <c r="N2" s="31" t="n">
        <v>392</v>
      </c>
      <c r="O2" s="31" t="n">
        <v>0.5600000000000001</v>
      </c>
      <c r="P2" s="31" t="n">
        <v>5761253</v>
      </c>
      <c r="Q2" s="30" t="n">
        <v>55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65.22</v>
      </c>
      <c r="U2" s="31" t="n">
        <v>37.47</v>
      </c>
      <c r="V2" s="31" t="n">
        <v>326.91</v>
      </c>
      <c r="W2" s="30" t="inlineStr">
        <is>
          <t>Near 52W High Breakout</t>
        </is>
      </c>
      <c r="X2" s="30" t="inlineStr">
        <is>
          <t>Nifty Bank</t>
        </is>
      </c>
      <c r="Y2" s="31" t="n">
        <v>5.31</v>
      </c>
      <c r="Z2" s="31" t="n">
        <v>49.53</v>
      </c>
      <c r="AA2" s="31" t="n">
        <v>41.99</v>
      </c>
      <c r="AB2" s="31" t="n">
        <v>11.73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20 to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IF(B3=0,"",RANK(B3,$B$2:$B$5,0))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52W Breakout</t>
        </is>
      </c>
      <c r="D3" s="31" t="n">
        <v>139.6</v>
      </c>
      <c r="E3" s="31" t="inlineStr">
        <is>
          <t>5%</t>
        </is>
      </c>
      <c r="F3" s="31" t="n">
        <v>50000</v>
      </c>
      <c r="G3" s="31" t="n">
        <v>45</v>
      </c>
      <c r="H3" s="30" t="inlineStr">
        <is>
          <t>AUBANK</t>
        </is>
      </c>
      <c r="I3" s="30" t="inlineStr">
        <is>
          <t>AU Small Finance Bank Ltd</t>
        </is>
      </c>
      <c r="J3" s="30" t="inlineStr">
        <is>
          <t>bank</t>
        </is>
      </c>
      <c r="K3" s="30" t="inlineStr">
        <is>
          <t>banks - private sector</t>
        </is>
      </c>
      <c r="L3" s="30" t="inlineStr">
        <is>
          <t>largecap</t>
        </is>
      </c>
      <c r="M3" s="31" t="n">
        <v>78739.42</v>
      </c>
      <c r="N3" s="31" t="n">
        <v>1087.6</v>
      </c>
      <c r="O3" s="31" t="n">
        <v>3.45</v>
      </c>
      <c r="P3" s="31" t="n">
        <v>9439528</v>
      </c>
      <c r="Q3" s="30" t="n">
        <v>42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61.55</v>
      </c>
      <c r="U3" s="31" t="n">
        <v>24.6</v>
      </c>
      <c r="V3" s="31" t="n">
        <v>905.6</v>
      </c>
      <c r="W3" s="30" t="inlineStr">
        <is>
          <t>Near 52W High Breakout</t>
        </is>
      </c>
      <c r="X3" s="30" t="inlineStr">
        <is>
          <t>Nifty Bank</t>
        </is>
      </c>
      <c r="Y3" s="31" t="n">
        <v>5.31</v>
      </c>
      <c r="Z3" s="31" t="n">
        <v>47.34</v>
      </c>
      <c r="AA3" s="31" t="n">
        <v>39.92</v>
      </c>
      <c r="AB3" s="31" t="n">
        <v>9.07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Yes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between 2.5x to 5x and Growth more than 20%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20 to 40</t>
        </is>
      </c>
      <c r="BR3" s="30">
        <f>IF(BQ3="Above 40",20,IF(BQ3="20 to 40",10,IF(BQ3="0 to 20",-5,0)))</f>
        <v/>
      </c>
      <c r="BS3" s="30" t="inlineStr">
        <is>
          <t>Between 50 to 75</t>
        </is>
      </c>
      <c r="BT3" s="30">
        <f>IF(BS3="Between 50 to 75",10,IF(BS3="Above 75",0,0))</f>
        <v/>
      </c>
      <c r="BU3" s="30" t="inlineStr">
        <is>
          <t>Stage 2</t>
        </is>
      </c>
      <c r="BV3" s="30">
        <f>IF(BU3="Stage 2",20,IF(BU3="Stage 1",0,IF(BU3="Stage 3",5,IF(BU3="Stage 4",-5,0))))</f>
        <v/>
      </c>
      <c r="BW3" s="30" t="inlineStr">
        <is>
          <t>Positive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Blue sky scenario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  <row r="4">
      <c r="A4" s="30">
        <f>IF(B4=0,"",RANK(B4,$B$2:$B$5,0))</f>
        <v/>
      </c>
      <c r="B4" s="31">
        <f>SUM(S4,AD4,AF4,AH4,AJ4,AL4,AN4,AP4,AR4,AT4,AV4,AX4,AZ4,BB4,BD4,BF4,BH4,BJ4,BL4,BN4,BP4,BR4,BT4,BV4,BX4,BZ4,CB4,CD4,CF4)</f>
        <v/>
      </c>
      <c r="C4" s="30" t="inlineStr">
        <is>
          <t>52W Breakout</t>
        </is>
      </c>
      <c r="D4" s="31" t="n">
        <v>139.2</v>
      </c>
      <c r="E4" s="31" t="inlineStr">
        <is>
          <t>5%</t>
        </is>
      </c>
      <c r="F4" s="31" t="n">
        <v>50000</v>
      </c>
      <c r="G4" s="31" t="n">
        <v>43</v>
      </c>
      <c r="H4" s="30" t="inlineStr">
        <is>
          <t>SHRIRAMFIN</t>
        </is>
      </c>
      <c r="I4" s="30" t="inlineStr">
        <is>
          <t>Shriram Finance Ltd</t>
        </is>
      </c>
      <c r="J4" s="30" t="inlineStr">
        <is>
          <t>financials</t>
        </is>
      </c>
      <c r="K4" s="30" t="inlineStr">
        <is>
          <t>finance &amp; investments</t>
        </is>
      </c>
      <c r="L4" s="30" t="inlineStr">
        <is>
          <t>largecap</t>
        </is>
      </c>
      <c r="M4" s="31" t="n">
        <v>264091.19</v>
      </c>
      <c r="N4" s="31" t="n">
        <v>1141</v>
      </c>
      <c r="O4" s="31" t="n">
        <v>1.66</v>
      </c>
      <c r="P4" s="31" t="n">
        <v>25055607</v>
      </c>
      <c r="Q4" s="30" t="n">
        <v>72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66.52</v>
      </c>
      <c r="U4" s="31" t="n">
        <v>13.56</v>
      </c>
      <c r="V4" s="31" t="n">
        <v>929.26</v>
      </c>
      <c r="W4" s="30" t="inlineStr">
        <is>
          <t>Near 52W High Breakout</t>
        </is>
      </c>
      <c r="X4" s="30" t="inlineStr">
        <is>
          <t>Nifty Bank</t>
        </is>
      </c>
      <c r="Y4" s="31" t="n">
        <v>5.31</v>
      </c>
      <c r="Z4" s="31" t="n">
        <v>89.91</v>
      </c>
      <c r="AA4" s="31" t="n">
        <v>80.34</v>
      </c>
      <c r="AB4" s="31" t="n">
        <v>17.29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Fragmented with High ROE</t>
        </is>
      </c>
      <c r="AF4" s="30">
        <f>IF(AE4="Fragmented with Low ROE",-5,IF(AE4="Fragmented with High ROE",10,IF(AE4= "highly cyclical",5,0)))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Consistency)",15,IF(AK4="Shallow Cyclical (2 to 3 years growth)",10,IF(AK4 = "Cyclical in an Uptick",5,IF(AK4 = "Cyclical in an Downtick",-10,0))))</f>
        <v/>
      </c>
      <c r="AM4" s="30" t="inlineStr">
        <is>
          <t>Yes</t>
        </is>
      </c>
      <c r="AN4" s="30">
        <f>IF(AM4="Yes",10,0)</f>
        <v/>
      </c>
      <c r="AO4" s="30" t="inlineStr">
        <is>
          <t>Yes</t>
        </is>
      </c>
      <c r="AP4" s="30">
        <f>IF(AO4="Yes",10,0)</f>
        <v/>
      </c>
      <c r="AQ4" s="30" t="n"/>
      <c r="AR4" s="30">
        <f>IF(AQ4="No",10,0)</f>
        <v/>
      </c>
      <c r="AS4" s="30" t="inlineStr">
        <is>
          <t>Yes</t>
        </is>
      </c>
      <c r="AT4" s="30">
        <f>IF(AS4="Yes",10,0)</f>
        <v/>
      </c>
      <c r="AU4" s="30" t="inlineStr">
        <is>
          <t>Yes</t>
        </is>
      </c>
      <c r="AV4" s="30">
        <f>IF(AU4="Yes",10,0)</f>
        <v/>
      </c>
      <c r="AW4" s="30" t="inlineStr">
        <is>
          <t>Yes</t>
        </is>
      </c>
      <c r="AX4" s="30">
        <f>IF(AW4="Yes",5,0)</f>
        <v/>
      </c>
      <c r="AY4" s="30" t="inlineStr">
        <is>
          <t>No</t>
        </is>
      </c>
      <c r="AZ4" s="30">
        <f>IF(AY4="No",10,IF(AY4="Yes",-10,0))</f>
        <v/>
      </c>
      <c r="BA4" s="30" t="inlineStr">
        <is>
          <t>No</t>
        </is>
      </c>
      <c r="BB4" s="30">
        <f>IF(BA4="No",10,0)</f>
        <v/>
      </c>
      <c r="BC4" s="30" t="inlineStr">
        <is>
          <t>No</t>
        </is>
      </c>
      <c r="BD4" s="30">
        <f>IF(BC4="No",10,IF(BC4= "Yes CEO Resignation",-5,0))</f>
        <v/>
      </c>
      <c r="BE4" s="30" t="inlineStr">
        <is>
          <t>No</t>
        </is>
      </c>
      <c r="BF4" s="30">
        <f>IF(BE4="No",10,IF(BE4="Yes",-5,0))</f>
        <v/>
      </c>
      <c r="BG4" s="30" t="inlineStr">
        <is>
          <t>No</t>
        </is>
      </c>
      <c r="BH4" s="30">
        <f>IF(BG4="No",5,IF(BG4="Yes",-5,0))</f>
        <v/>
      </c>
      <c r="BI4" s="30" t="inlineStr">
        <is>
          <t>Yes</t>
        </is>
      </c>
      <c r="BJ4" s="30">
        <f>IF(BI4="Yes",10,0)</f>
        <v/>
      </c>
      <c r="BK4" s="30" t="inlineStr">
        <is>
          <t>Yes</t>
        </is>
      </c>
      <c r="BL4" s="30">
        <f>IF(BK4="Yes",10,0)</f>
        <v/>
      </c>
      <c r="BM4" s="30" t="inlineStr">
        <is>
          <t>Yes</t>
        </is>
      </c>
      <c r="BN4" s="30">
        <f>IF(BM4="Yes",10,0)</f>
        <v/>
      </c>
      <c r="BO4" s="30" t="inlineStr">
        <is>
          <t>P/BV between 2.5x to 5x and Growth more than 20%</t>
        </is>
      </c>
      <c r="BP4" s="30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0" t="inlineStr">
        <is>
          <t>0 to 20</t>
        </is>
      </c>
      <c r="BR4" s="30">
        <f>IF(BQ4="Above 40",20,IF(BQ4="20 to 40",10,IF(BQ4="0 to 20",-5,0)))</f>
        <v/>
      </c>
      <c r="BS4" s="30" t="inlineStr">
        <is>
          <t>Between 50 to 75</t>
        </is>
      </c>
      <c r="BT4" s="30">
        <f>IF(BS4="Between 50 to 75",10,IF(BS4="Above 75",0,0))</f>
        <v/>
      </c>
      <c r="BU4" s="30" t="inlineStr">
        <is>
          <t>Stage 2</t>
        </is>
      </c>
      <c r="BV4" s="30">
        <f>IF(BU4="Stage 2",20,IF(BU4="Stage 1",0,IF(BU4="Stage 3",5,IF(BU4="Stage 4",-5,0))))</f>
        <v/>
      </c>
      <c r="BW4" s="30" t="inlineStr">
        <is>
          <t>Positive Trend</t>
        </is>
      </c>
      <c r="BX4" s="30">
        <f>IF(BW4="Positive Trend",20,IF(BW4="Negative Trend",-10,0))</f>
        <v/>
      </c>
      <c r="BY4" s="30" t="inlineStr">
        <is>
          <t>Uptrend</t>
        </is>
      </c>
      <c r="BZ4" s="30">
        <f>IF(BY4="Uptrend",10,IF(BY4="Sideways",5,0))</f>
        <v/>
      </c>
      <c r="CA4" s="30" t="inlineStr">
        <is>
          <t>Uptrend</t>
        </is>
      </c>
      <c r="CB4" s="30">
        <f>IF(CA4="Uptrend",10,IF(CA4="Sideways",5,0))</f>
        <v/>
      </c>
      <c r="CC4" s="30" t="inlineStr">
        <is>
          <t>Blue sky scenario</t>
        </is>
      </c>
      <c r="CD4" s="30">
        <f>IF(CC4="Overhead supply in last 2 years in last 2 years",-5,IF(CC4="Close to 52 week high or retracement",5,IF(CC4="Blue sky scenario",10,IF(CC4="Long term Downtrend",-10,0))))</f>
        <v/>
      </c>
      <c r="CE4" s="30" t="inlineStr">
        <is>
          <t>Yes</t>
        </is>
      </c>
      <c r="CF4" s="30">
        <f>IF(CE4="Yes",10,0)</f>
        <v/>
      </c>
    </row>
    <row r="5">
      <c r="A5" s="30">
        <f>IF(B5=0,"",RANK(B5,$B$2:$B$5,0))</f>
        <v/>
      </c>
      <c r="B5" s="31">
        <f>SUM(S5,AD5,AF5,AH5,AJ5,AL5,AN5,AP5,AR5,AT5,AV5,AX5,AZ5,BB5,BD5,BF5,BH5,BJ5,BL5,BN5,BP5,BR5,BT5,BV5,BX5,BZ5,CB5,CD5,CF5)</f>
        <v/>
      </c>
      <c r="C5" s="30" t="inlineStr">
        <is>
          <t>52W Breakout</t>
        </is>
      </c>
      <c r="D5" s="31" t="n">
        <v>139.5</v>
      </c>
      <c r="E5" s="31" t="inlineStr">
        <is>
          <t>5%</t>
        </is>
      </c>
      <c r="F5" s="31" t="n">
        <v>50000</v>
      </c>
      <c r="G5" s="31" t="n">
        <v>25</v>
      </c>
      <c r="H5" s="30" t="inlineStr">
        <is>
          <t>CHOLAFIN</t>
        </is>
      </c>
      <c r="I5" s="30" t="inlineStr">
        <is>
          <t>Cholamandalam Investment And Finance Company Limited</t>
        </is>
      </c>
      <c r="J5" s="30" t="inlineStr">
        <is>
          <t>financials</t>
        </is>
      </c>
      <c r="K5" s="30" t="inlineStr">
        <is>
          <t>finance &amp; investments</t>
        </is>
      </c>
      <c r="L5" s="30" t="inlineStr">
        <is>
          <t>largecap</t>
        </is>
      </c>
      <c r="M5" s="31" t="n">
        <v>160286.29</v>
      </c>
      <c r="N5" s="31" t="n">
        <v>1940</v>
      </c>
      <c r="O5" s="31" t="n">
        <v>3.19</v>
      </c>
      <c r="P5" s="31" t="n">
        <v>5238115</v>
      </c>
      <c r="Q5" s="30" t="n">
        <v>44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65.95999999999999</v>
      </c>
      <c r="U5" s="31" t="n">
        <v>15.43</v>
      </c>
      <c r="V5" s="31" t="n">
        <v>1592.47</v>
      </c>
      <c r="W5" s="30" t="inlineStr">
        <is>
          <t>Near 52W High Breakout</t>
        </is>
      </c>
      <c r="X5" s="30" t="inlineStr">
        <is>
          <t>Nifty Bank</t>
        </is>
      </c>
      <c r="Y5" s="31" t="n">
        <v>5.31</v>
      </c>
      <c r="Z5" s="31" t="n">
        <v>34.07</v>
      </c>
      <c r="AA5" s="31" t="n">
        <v>27.31</v>
      </c>
      <c r="AB5" s="31" t="n">
        <v>9.619999999999999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Fragmented with High ROE</t>
        </is>
      </c>
      <c r="AF5" s="30">
        <f>IF(AE5="Fragmented with Low ROE",-5,IF(AE5="Fragmented with High ROE",10,IF(AE5= "highly cyclical",5,0)))</f>
        <v/>
      </c>
      <c r="AG5" s="30" t="inlineStr">
        <is>
          <t>Yes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Consistency)",15,IF(AK5="Shallow Cyclical (2 to 3 years growth)",10,IF(AK5 = "Cyclical in an Uptick",5,IF(AK5 = "Cyclical in an Downtick",-10,0))))</f>
        <v/>
      </c>
      <c r="AM5" s="30" t="inlineStr">
        <is>
          <t>Yes</t>
        </is>
      </c>
      <c r="AN5" s="30">
        <f>IF(AM5="Yes",10,0)</f>
        <v/>
      </c>
      <c r="AO5" s="30" t="inlineStr">
        <is>
          <t>Yes</t>
        </is>
      </c>
      <c r="AP5" s="30">
        <f>IF(AO5="Yes",10,0)</f>
        <v/>
      </c>
      <c r="AQ5" s="30" t="n"/>
      <c r="AR5" s="30">
        <f>IF(AQ5="No",10,0)</f>
        <v/>
      </c>
      <c r="AS5" s="30" t="inlineStr">
        <is>
          <t>Yes</t>
        </is>
      </c>
      <c r="AT5" s="30">
        <f>IF(AS5="Yes",10,0)</f>
        <v/>
      </c>
      <c r="AU5" s="30" t="inlineStr">
        <is>
          <t>Yes</t>
        </is>
      </c>
      <c r="AV5" s="30">
        <f>IF(AU5="Yes",10,0)</f>
        <v/>
      </c>
      <c r="AW5" s="30" t="inlineStr">
        <is>
          <t>Yes</t>
        </is>
      </c>
      <c r="AX5" s="30">
        <f>IF(AW5="Yes",5,0)</f>
        <v/>
      </c>
      <c r="AY5" s="30" t="inlineStr">
        <is>
          <t>No</t>
        </is>
      </c>
      <c r="AZ5" s="30">
        <f>IF(AY5="No",10,IF(AY5="Yes",-10,0))</f>
        <v/>
      </c>
      <c r="BA5" s="30" t="inlineStr">
        <is>
          <t>No</t>
        </is>
      </c>
      <c r="BB5" s="30">
        <f>IF(BA5="No",10,0)</f>
        <v/>
      </c>
      <c r="BC5" s="30" t="inlineStr">
        <is>
          <t>No</t>
        </is>
      </c>
      <c r="BD5" s="30">
        <f>IF(BC5="No",10,IF(BC5= "Yes CEO Resignation",-5,0))</f>
        <v/>
      </c>
      <c r="BE5" s="30" t="inlineStr">
        <is>
          <t>No</t>
        </is>
      </c>
      <c r="BF5" s="30">
        <f>IF(BE5="No",10,IF(BE5="Yes",-5,0))</f>
        <v/>
      </c>
      <c r="BG5" s="30" t="inlineStr">
        <is>
          <t>No</t>
        </is>
      </c>
      <c r="BH5" s="30">
        <f>IF(BG5="No",5,IF(BG5="Yes",-5,0))</f>
        <v/>
      </c>
      <c r="BI5" s="30" t="inlineStr">
        <is>
          <t>Yes</t>
        </is>
      </c>
      <c r="BJ5" s="30">
        <f>IF(BI5="Yes",10,0)</f>
        <v/>
      </c>
      <c r="BK5" s="30" t="inlineStr">
        <is>
          <t>Yes</t>
        </is>
      </c>
      <c r="BL5" s="30">
        <f>IF(BK5="Yes",10,0)</f>
        <v/>
      </c>
      <c r="BM5" s="30" t="inlineStr">
        <is>
          <t>Yes</t>
        </is>
      </c>
      <c r="BN5" s="30">
        <f>IF(BM5="Yes",10,0)</f>
        <v/>
      </c>
      <c r="BO5" s="30" t="inlineStr">
        <is>
          <t>P/BV above 5x</t>
        </is>
      </c>
      <c r="BP5" s="30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0" t="inlineStr">
        <is>
          <t>0 to 20</t>
        </is>
      </c>
      <c r="BR5" s="30">
        <f>IF(BQ5="Above 40",20,IF(BQ5="20 to 40",10,IF(BQ5="0 to 20",-5,0)))</f>
        <v/>
      </c>
      <c r="BS5" s="30" t="inlineStr">
        <is>
          <t>Between 50 to 75</t>
        </is>
      </c>
      <c r="BT5" s="30">
        <f>IF(BS5="Between 50 to 75",10,IF(BS5="Above 75",0,0))</f>
        <v/>
      </c>
      <c r="BU5" s="30" t="inlineStr">
        <is>
          <t>Stage 2</t>
        </is>
      </c>
      <c r="BV5" s="30">
        <f>IF(BU5="Stage 2",20,IF(BU5="Stage 1",0,IF(BU5="Stage 3",5,IF(BU5="Stage 4",-5,0))))</f>
        <v/>
      </c>
      <c r="BW5" s="30" t="inlineStr">
        <is>
          <t>Positive Trend</t>
        </is>
      </c>
      <c r="BX5" s="30">
        <f>IF(BW5="Positive Trend",20,IF(BW5="Negative Trend",-10,0))</f>
        <v/>
      </c>
      <c r="BY5" s="30" t="inlineStr">
        <is>
          <t>Uptrend</t>
        </is>
      </c>
      <c r="BZ5" s="30">
        <f>IF(BY5="Uptrend",10,IF(BY5="Sideways",5,0))</f>
        <v/>
      </c>
      <c r="CA5" s="30" t="inlineStr">
        <is>
          <t>Uptrend</t>
        </is>
      </c>
      <c r="CB5" s="30">
        <f>IF(CA5="Uptrend",10,IF(CA5="Sideways",5,0))</f>
        <v/>
      </c>
      <c r="CC5" s="30" t="inlineStr">
        <is>
          <t>Blue sky scenario</t>
        </is>
      </c>
      <c r="CD5" s="30">
        <f>IF(CC5="Overhead supply in last 2 years in last 2 years",-5,IF(CC5="Close to 52 week high or retracement",5,IF(CC5="Blue sky scenario",10,IF(CC5="Long term Downtrend",-10,0))))</f>
        <v/>
      </c>
      <c r="CE5" s="30" t="inlineStr">
        <is>
          <t>Yes</t>
        </is>
      </c>
      <c r="CF5" s="30">
        <f>IF(CE5="Yes",10,0)</f>
        <v/>
      </c>
    </row>
  </sheetData>
  <autoFilter ref="A1:CF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5">
    <cfRule type="cellIs" priority="34" operator="equal" dxfId="3" stopIfTrue="1">
      <formula>"Underperforming"</formula>
    </cfRule>
  </conditionalFormatting>
  <conditionalFormatting sqref="S2:S5">
    <cfRule type="cellIs" priority="35" operator="equal" dxfId="3" stopIfTrue="1">
      <formula>-5</formula>
    </cfRule>
  </conditionalFormatting>
  <conditionalFormatting sqref="V2:V5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5" showDropDown="0" showInputMessage="0" showErrorMessage="0" allowBlank="1" type="list">
      <formula1>"Growing Industry,Stagnant Industry,Cyclical in an Upturn"</formula1>
    </dataValidation>
    <dataValidation sqref="AE2:AE5" showDropDown="0" showInputMessage="0" showErrorMessage="0" allowBlank="1" type="list">
      <formula1>"Fragmented with Low ROE,Fragmented with High ROE,Highly Cyclical"</formula1>
    </dataValidation>
    <dataValidation sqref="AG2:AG5" showDropDown="0" showInputMessage="0" showErrorMessage="0" allowBlank="1" type="list">
      <formula1>"Yes,No"</formula1>
    </dataValidation>
    <dataValidation sqref="AI2:AI5" showDropDown="0" showInputMessage="0" showErrorMessage="0" allowBlank="1" type="list">
      <formula1>"Tailwind,Headwind"</formula1>
    </dataValidation>
    <dataValidation sqref="AK2:AK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5" showDropDown="0" showInputMessage="0" showErrorMessage="0" allowBlank="1" type="list">
      <formula1>"Yes,No"</formula1>
    </dataValidation>
    <dataValidation sqref="AO2:AO5" showDropDown="0" showInputMessage="0" showErrorMessage="0" allowBlank="1" type="list">
      <formula1>"Yes,No,Not Applicable"</formula1>
    </dataValidation>
    <dataValidation sqref="AQ2:AQ5" showDropDown="0" showInputMessage="0" showErrorMessage="0" allowBlank="1" type="list">
      <formula1>"Yes,No"</formula1>
    </dataValidation>
    <dataValidation sqref="AS2:AS5" showDropDown="0" showInputMessage="0" showErrorMessage="0" allowBlank="1" type="list">
      <formula1>"Yes,No"</formula1>
    </dataValidation>
    <dataValidation sqref="AU2:AU5" showDropDown="0" showInputMessage="0" showErrorMessage="0" allowBlank="1" type="list">
      <formula1>"Yes,No"</formula1>
    </dataValidation>
    <dataValidation sqref="AW2:AW5" showDropDown="0" showInputMessage="0" showErrorMessage="0" allowBlank="1" type="list">
      <formula1>"Yes,No"</formula1>
    </dataValidation>
    <dataValidation sqref="AY2:AY5" showDropDown="0" showInputMessage="0" showErrorMessage="0" allowBlank="1" type="list">
      <formula1>"No,Yes"</formula1>
    </dataValidation>
    <dataValidation sqref="BA2:BA5" showDropDown="0" showInputMessage="0" showErrorMessage="0" allowBlank="1" type="list">
      <formula1>"No,Yes"</formula1>
    </dataValidation>
    <dataValidation sqref="BC2:BC5" showDropDown="0" showInputMessage="0" showErrorMessage="0" allowBlank="1" type="list">
      <formula1>"No,Yes CEO Resignation,Yes CEO Retirement"</formula1>
    </dataValidation>
    <dataValidation sqref="BE2:BE5" showDropDown="0" showInputMessage="0" showErrorMessage="0" allowBlank="1" type="list">
      <formula1>"No,Yes"</formula1>
    </dataValidation>
    <dataValidation sqref="BG2:BG5" showDropDown="0" showInputMessage="0" showErrorMessage="0" allowBlank="1" type="list">
      <formula1>"No,Yes"</formula1>
    </dataValidation>
    <dataValidation sqref="BI2:BI5" showDropDown="0" showInputMessage="0" showErrorMessage="0" allowBlank="1" type="list">
      <formula1>"Yes,No"</formula1>
    </dataValidation>
    <dataValidation sqref="BK2:BK5" showDropDown="0" showInputMessage="0" showErrorMessage="0" allowBlank="1" type="list">
      <formula1>"Yes,No"</formula1>
    </dataValidation>
    <dataValidation sqref="BM2:BM5" showDropDown="0" showInputMessage="0" showErrorMessage="0" allowBlank="1" type="list">
      <formula1>"Yes,No"</formula1>
    </dataValidation>
    <dataValidation sqref="BO2:BO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5" showDropDown="0" showInputMessage="0" showErrorMessage="0" allowBlank="1" type="list">
      <formula1>"Above 40,20 to 40,0 to 20"</formula1>
    </dataValidation>
    <dataValidation sqref="BS2:BS5" showDropDown="0" showInputMessage="0" showErrorMessage="0" allowBlank="1" type="list">
      <formula1>"Between 50 to 75,Above 75,Below 45"</formula1>
    </dataValidation>
    <dataValidation sqref="BU2:BU5" showDropDown="0" showInputMessage="0" showErrorMessage="0" allowBlank="1" type="list">
      <formula1>"Stage 1,Stage 2,Stage 3,Stage 4"</formula1>
    </dataValidation>
    <dataValidation sqref="BW2:BW5" showDropDown="0" showInputMessage="0" showErrorMessage="0" allowBlank="1" type="list">
      <formula1>"Positive Trend,Negative Trend"</formula1>
    </dataValidation>
    <dataValidation sqref="BY2:BY5" showDropDown="0" showInputMessage="0" showErrorMessage="0" allowBlank="1" type="list">
      <formula1>"Uptrend,Sideways,Downtrend"</formula1>
    </dataValidation>
    <dataValidation sqref="CA2:CA5" showDropDown="0" showInputMessage="0" showErrorMessage="0" allowBlank="1" type="list">
      <formula1>"Uptrend,Sideways,Downtrend"</formula1>
    </dataValidation>
    <dataValidation sqref="CC2:CC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2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IF(B2=0,"",RANK(B2,$B$2:$B$91,0))</f>
        <v/>
      </c>
      <c r="B2" s="31">
        <f>SUM(N2,Y2,AA2,AC2,AE2,AG2,AI2,AK2,AM2,AO2,AQ2,AS2,AU2,AW2,AY2,BA2,BC2,BE2,BG2,BI2,BK2,BM2,BO2,BQ2,BS2,BU2,BW2,BY2,CA2,CC2,CE2,CG2)</f>
        <v/>
      </c>
      <c r="C2" s="33" t="inlineStr">
        <is>
          <t>IBULLSLTD</t>
        </is>
      </c>
      <c r="D2" s="33" t="inlineStr">
        <is>
          <t>Indiabulls Limited</t>
        </is>
      </c>
      <c r="E2" s="30" t="inlineStr">
        <is>
          <t>miscellaneous</t>
        </is>
      </c>
      <c r="F2" s="30" t="inlineStr">
        <is>
          <t>Diversified</t>
        </is>
      </c>
      <c r="G2" s="30" t="inlineStr">
        <is>
          <t>midcap</t>
        </is>
      </c>
      <c r="H2" s="31" t="n">
        <v>7105.11</v>
      </c>
      <c r="I2" s="31" t="n">
        <v>30.5</v>
      </c>
      <c r="J2" s="31" t="n">
        <v>4.99</v>
      </c>
      <c r="K2" s="31" t="n">
        <v>0</v>
      </c>
      <c r="L2" s="30" t="n">
        <v>94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70.56</v>
      </c>
      <c r="P2" s="31" t="n">
        <v>46.36</v>
      </c>
      <c r="Q2" s="31" t="n">
        <v>21.26</v>
      </c>
      <c r="R2" s="30" t="inlineStr">
        <is>
          <t>Near 52W High Breakout</t>
        </is>
      </c>
      <c r="S2" s="30" t="inlineStr">
        <is>
          <t>Nifty 50</t>
        </is>
      </c>
      <c r="T2" s="31" t="n">
        <v>1.09</v>
      </c>
      <c r="U2" s="31" t="n">
        <v>83.40000000000001</v>
      </c>
      <c r="V2" s="31" t="n">
        <v>81.43000000000001</v>
      </c>
      <c r="W2" s="31" t="n">
        <v>34.15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19</t>
        </is>
      </c>
      <c r="CG2" s="30">
        <f>IF(CF2&gt;20,10,IF(CF2&gt;=10,5,2))</f>
        <v/>
      </c>
    </row>
    <row r="3">
      <c r="A3" s="30">
        <f>IF(B3=0,"",RANK(B3,$B$2:$B$91,0))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SJS</t>
        </is>
      </c>
      <c r="D3" s="30" t="inlineStr">
        <is>
          <t>S J S Enterprises Ltd</t>
        </is>
      </c>
      <c r="E3" s="30" t="inlineStr">
        <is>
          <t>auto</t>
        </is>
      </c>
      <c r="F3" s="30" t="inlineStr">
        <is>
          <t>Auto Ancillaries - Diversified</t>
        </is>
      </c>
      <c r="G3" s="30" t="inlineStr">
        <is>
          <t>midcap</t>
        </is>
      </c>
      <c r="H3" s="31" t="n">
        <v>7692.8</v>
      </c>
      <c r="I3" s="31" t="n">
        <v>2402</v>
      </c>
      <c r="J3" s="31" t="n">
        <v>-4.31</v>
      </c>
      <c r="K3" s="31" t="n">
        <v>0</v>
      </c>
      <c r="L3" s="30" t="n">
        <v>89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74.34</v>
      </c>
      <c r="P3" s="31" t="n">
        <v>42.12</v>
      </c>
      <c r="Q3" s="31" t="n">
        <v>2079.39</v>
      </c>
      <c r="R3" s="30" t="inlineStr">
        <is>
          <t>Volume Spike &amp; Near 52W High Breakout</t>
        </is>
      </c>
      <c r="S3" s="30" t="inlineStr">
        <is>
          <t>Nifty Auto</t>
        </is>
      </c>
      <c r="T3" s="31" t="n">
        <v>22.44</v>
      </c>
      <c r="U3" s="31" t="n">
        <v>105.2</v>
      </c>
      <c r="V3" s="31" t="n">
        <v>67.59999999999999</v>
      </c>
      <c r="W3" s="31" t="n">
        <v>28.99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Yes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24</t>
        </is>
      </c>
      <c r="CG3" s="30">
        <f>IF(CF3&gt;20,10,IF(CF3&gt;=10,5,2))</f>
        <v/>
      </c>
    </row>
    <row r="4">
      <c r="A4" s="30">
        <f>IF(B4=0,"",RANK(B4,$B$2:$B$91,0))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SPORTKING</t>
        </is>
      </c>
      <c r="D4" s="30" t="inlineStr">
        <is>
          <t>Sportking India Ltd</t>
        </is>
      </c>
      <c r="E4" s="30" t="inlineStr">
        <is>
          <t>Consumer Cyclical</t>
        </is>
      </c>
      <c r="F4" s="30" t="inlineStr">
        <is>
          <t>Textiles - Spinning</t>
        </is>
      </c>
      <c r="G4" s="30" t="inlineStr">
        <is>
          <t>smallcap</t>
        </is>
      </c>
      <c r="H4" s="31" t="n">
        <v>2629.37</v>
      </c>
      <c r="I4" s="31" t="n">
        <v>206.92</v>
      </c>
      <c r="J4" s="31" t="n">
        <v>-1.58</v>
      </c>
      <c r="K4" s="31" t="n">
        <v>0</v>
      </c>
      <c r="L4" s="30" t="n">
        <v>84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73.31999999999999</v>
      </c>
      <c r="P4" s="31" t="n">
        <v>71.13</v>
      </c>
      <c r="Q4" s="31" t="n">
        <v>154.44</v>
      </c>
      <c r="R4" s="30" t="inlineStr">
        <is>
          <t>Volume Spike &amp; Near 52W High Breakout</t>
        </is>
      </c>
      <c r="S4" s="30" t="inlineStr">
        <is>
          <t>Nifty 50</t>
        </is>
      </c>
      <c r="T4" s="31" t="n">
        <v>1.09</v>
      </c>
      <c r="U4" s="31" t="n">
        <v>96.28</v>
      </c>
      <c r="V4" s="31" t="n">
        <v>94.17</v>
      </c>
      <c r="W4" s="31" t="n">
        <v>23.79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B2C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Above 2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23</t>
        </is>
      </c>
      <c r="CG4" s="30">
        <f>IF(CF4&gt;20,10,IF(CF4&gt;=10,5,2))</f>
        <v/>
      </c>
    </row>
    <row r="5">
      <c r="A5" s="30">
        <f>IF(B5=0,"",RANK(B5,$B$2:$B$91,0))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AEGISLOG</t>
        </is>
      </c>
      <c r="D5" s="30" t="inlineStr">
        <is>
          <t>Aegis Logistics Ltd</t>
        </is>
      </c>
      <c r="E5" s="30" t="inlineStr">
        <is>
          <t>services</t>
        </is>
      </c>
      <c r="F5" s="30" t="inlineStr">
        <is>
          <t>Logistics</t>
        </is>
      </c>
      <c r="G5" s="30" t="inlineStr">
        <is>
          <t>largecap</t>
        </is>
      </c>
      <c r="H5" s="31" t="n">
        <v>48985.56</v>
      </c>
      <c r="I5" s="31" t="n">
        <v>1395.6</v>
      </c>
      <c r="J5" s="31" t="n">
        <v>-0.01</v>
      </c>
      <c r="K5" s="31" t="n">
        <v>0</v>
      </c>
      <c r="L5" s="30" t="n">
        <v>96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77.43000000000001</v>
      </c>
      <c r="P5" s="31" t="n">
        <v>49.23</v>
      </c>
      <c r="Q5" s="31" t="n">
        <v>1057.32</v>
      </c>
      <c r="R5" s="30" t="inlineStr">
        <is>
          <t>Near 52W High Breakout</t>
        </is>
      </c>
      <c r="S5" s="30" t="inlineStr">
        <is>
          <t>Nifty 50</t>
        </is>
      </c>
      <c r="T5" s="31" t="n">
        <v>1.09</v>
      </c>
      <c r="U5" s="31" t="n">
        <v>100.02</v>
      </c>
      <c r="V5" s="31" t="n">
        <v>97.87</v>
      </c>
      <c r="W5" s="31" t="n">
        <v>39.49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23</t>
        </is>
      </c>
      <c r="CG5" s="30">
        <f>IF(CF5&gt;20,10,IF(CF5&gt;=10,5,2))</f>
        <v/>
      </c>
    </row>
    <row r="6">
      <c r="A6" s="30">
        <f>IF(B6=0,"",RANK(B6,$B$2:$B$91,0))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E2E</t>
        </is>
      </c>
      <c r="D6" s="30" t="inlineStr">
        <is>
          <t>E2E Networks Ltd</t>
        </is>
      </c>
      <c r="E6" s="30" t="inlineStr">
        <is>
          <t>i.t</t>
        </is>
      </c>
      <c r="F6" s="30" t="inlineStr">
        <is>
          <t>Data Centre</t>
        </is>
      </c>
      <c r="G6" s="30" t="inlineStr">
        <is>
          <t>midcap</t>
        </is>
      </c>
      <c r="H6" s="31" t="n">
        <v>12333.89</v>
      </c>
      <c r="I6" s="31" t="n">
        <v>600</v>
      </c>
      <c r="J6" s="31" t="n">
        <v>0.23</v>
      </c>
      <c r="K6" s="31" t="n">
        <v>0</v>
      </c>
      <c r="L6" s="30" t="n">
        <v>97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74.90000000000001</v>
      </c>
      <c r="P6" s="31" t="n">
        <v>46.94</v>
      </c>
      <c r="Q6" s="31" t="n">
        <v>435.92</v>
      </c>
      <c r="R6" s="30" t="inlineStr">
        <is>
          <t>Near 52W High Breakout</t>
        </is>
      </c>
      <c r="S6" s="30" t="inlineStr">
        <is>
          <t>Nifty IT</t>
        </is>
      </c>
      <c r="T6" s="31" t="n">
        <v>-9.289999999999999</v>
      </c>
      <c r="U6" s="31" t="n">
        <v>204</v>
      </c>
      <c r="V6" s="31" t="n">
        <v>235.13</v>
      </c>
      <c r="W6" s="31" t="n">
        <v>45.86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22</t>
        </is>
      </c>
      <c r="CG6" s="30">
        <f>IF(CF6&gt;20,10,IF(CF6&gt;=10,5,2))</f>
        <v/>
      </c>
    </row>
    <row r="7">
      <c r="A7" s="30">
        <f>IF(B7=0,"",RANK(B7,$B$2:$B$91,0))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MENONBE</t>
        </is>
      </c>
      <c r="D7" s="30" t="inlineStr">
        <is>
          <t>Menon Bearings Ltd</t>
        </is>
      </c>
      <c r="E7" s="30" t="inlineStr">
        <is>
          <t>auto</t>
        </is>
      </c>
      <c r="F7" s="30" t="inlineStr">
        <is>
          <t>Auto Ancillaries - Bearings</t>
        </is>
      </c>
      <c r="G7" s="30" t="inlineStr">
        <is>
          <t>smallcap</t>
        </is>
      </c>
      <c r="H7" s="31" t="n">
        <v>1286.12</v>
      </c>
      <c r="I7" s="31" t="n">
        <v>229.5</v>
      </c>
      <c r="J7" s="31" t="n">
        <v>-1.44</v>
      </c>
      <c r="K7" s="31" t="n">
        <v>0</v>
      </c>
      <c r="L7" s="30" t="n">
        <v>94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79.92</v>
      </c>
      <c r="P7" s="31" t="n">
        <v>51.95</v>
      </c>
      <c r="Q7" s="31" t="n">
        <v>175.03</v>
      </c>
      <c r="R7" s="30" t="inlineStr">
        <is>
          <t>Near 52W High Breakout</t>
        </is>
      </c>
      <c r="S7" s="30" t="inlineStr">
        <is>
          <t>Nifty Auto</t>
        </is>
      </c>
      <c r="T7" s="31" t="n">
        <v>22.44</v>
      </c>
      <c r="U7" s="31" t="n">
        <v>81.76000000000001</v>
      </c>
      <c r="V7" s="31" t="n">
        <v>48.45</v>
      </c>
      <c r="W7" s="31" t="n">
        <v>37.02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Above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20</t>
        </is>
      </c>
      <c r="CG7" s="30">
        <f>IF(CF7&gt;20,10,IF(CF7&gt;=10,5,2))</f>
        <v/>
      </c>
    </row>
    <row r="8">
      <c r="A8" s="30">
        <f>IF(B8=0,"",RANK(B8,$B$2:$B$91,0))</f>
        <v/>
      </c>
      <c r="B8" s="31">
        <f>SUM(N8,Y8,AA8,AC8,AE8,AG8,AI8,AK8,AM8,AO8,AQ8,AS8,AU8,AW8,AY8,BA8,BC8,BE8,BG8,BI8,BK8,BM8,BO8,BQ8,BS8,BU8,BW8,BY8,CA8,CC8,CE8,CG8)</f>
        <v/>
      </c>
      <c r="C8" s="33" t="inlineStr">
        <is>
          <t>AIMTRON</t>
        </is>
      </c>
      <c r="D8" s="33" t="inlineStr">
        <is>
          <t>Aimtron Electronics Ltd</t>
        </is>
      </c>
      <c r="E8" s="30" t="inlineStr">
        <is>
          <t>unknown</t>
        </is>
      </c>
      <c r="F8" s="30" t="inlineStr">
        <is>
          <t>EMS</t>
        </is>
      </c>
      <c r="G8" s="30" t="inlineStr">
        <is>
          <t>smallcap</t>
        </is>
      </c>
      <c r="H8" s="31" t="n">
        <v>3397.14</v>
      </c>
      <c r="I8" s="31" t="n">
        <v>1630</v>
      </c>
      <c r="J8" s="31" t="n">
        <v>1.11</v>
      </c>
      <c r="K8" s="31" t="n">
        <v>0</v>
      </c>
      <c r="L8" s="30" t="n">
        <v>91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78.29000000000001</v>
      </c>
      <c r="P8" s="31" t="n">
        <v>61.21</v>
      </c>
      <c r="Q8" s="31" t="n">
        <v>1213.27</v>
      </c>
      <c r="R8" s="30" t="inlineStr">
        <is>
          <t>Volume Spike &amp; Near 52W High Breakout</t>
        </is>
      </c>
      <c r="S8" s="30" t="inlineStr">
        <is>
          <t>Nifty 50</t>
        </is>
      </c>
      <c r="T8" s="31" t="n">
        <v>1.09</v>
      </c>
      <c r="U8" s="31" t="n">
        <v>132.02</v>
      </c>
      <c r="V8" s="31" t="n">
        <v>129.53</v>
      </c>
      <c r="W8" s="31" t="n">
        <v>29.78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19</t>
        </is>
      </c>
      <c r="CG8" s="30">
        <f>IF(CF8&gt;20,10,IF(CF8&gt;=10,5,2))</f>
        <v/>
      </c>
    </row>
    <row r="9">
      <c r="A9" s="30">
        <f>IF(B9=0,"",RANK(B9,$B$2:$B$91,0))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SAKAR</t>
        </is>
      </c>
      <c r="D9" s="30" t="inlineStr">
        <is>
          <t>Sakar Healthcare Ltd</t>
        </is>
      </c>
      <c r="E9" s="30" t="inlineStr">
        <is>
          <t>healthcare</t>
        </is>
      </c>
      <c r="F9" s="30" t="inlineStr">
        <is>
          <t>Hospitals</t>
        </is>
      </c>
      <c r="G9" s="30" t="inlineStr">
        <is>
          <t>smallcap</t>
        </is>
      </c>
      <c r="H9" s="31" t="n">
        <v>2048.77</v>
      </c>
      <c r="I9" s="31" t="n">
        <v>920.8</v>
      </c>
      <c r="J9" s="31" t="n">
        <v>3.38</v>
      </c>
      <c r="K9" s="31" t="n">
        <v>0</v>
      </c>
      <c r="L9" s="30" t="n">
        <v>95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71.42</v>
      </c>
      <c r="P9" s="31" t="n">
        <v>54.08</v>
      </c>
      <c r="Q9" s="31" t="n">
        <v>655.09</v>
      </c>
      <c r="R9" s="30" t="inlineStr">
        <is>
          <t>Near 52W High Breakout</t>
        </is>
      </c>
      <c r="S9" s="30" t="inlineStr">
        <is>
          <t>Nifty Pharma</t>
        </is>
      </c>
      <c r="T9" s="31" t="n">
        <v>24.42</v>
      </c>
      <c r="U9" s="31" t="n">
        <v>180.77</v>
      </c>
      <c r="V9" s="31" t="n">
        <v>125.67</v>
      </c>
      <c r="W9" s="31" t="n">
        <v>38.76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Yes</t>
        </is>
      </c>
      <c r="BS9" s="30">
        <f>IF(BR9="NO",5,0)</f>
        <v/>
      </c>
      <c r="BT9" s="30" t="inlineStr">
        <is>
          <t>Above 2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23</t>
        </is>
      </c>
      <c r="CG9" s="30">
        <f>IF(CF9&gt;20,10,IF(CF9&gt;=10,5,2))</f>
        <v/>
      </c>
    </row>
    <row r="10">
      <c r="A10" s="30">
        <f>IF(B10=0,"",RANK(B10,$B$2:$B$91,0))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3" t="inlineStr">
        <is>
          <t>PGIL</t>
        </is>
      </c>
      <c r="D10" s="33" t="inlineStr">
        <is>
          <t>Pearl Global Industries Ltd</t>
        </is>
      </c>
      <c r="E10" s="30" t="inlineStr">
        <is>
          <t>consumer discretionary</t>
        </is>
      </c>
      <c r="F10" s="30" t="inlineStr">
        <is>
          <t>Textiles - Readymade Apparel</t>
        </is>
      </c>
      <c r="G10" s="30" t="inlineStr">
        <is>
          <t>midcap</t>
        </is>
      </c>
      <c r="H10" s="31" t="n">
        <v>10267.23</v>
      </c>
      <c r="I10" s="31" t="n">
        <v>2222.8</v>
      </c>
      <c r="J10" s="31" t="n">
        <v>5.62</v>
      </c>
      <c r="K10" s="31" t="n">
        <v>0</v>
      </c>
      <c r="L10" s="30" t="n">
        <v>79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70.59</v>
      </c>
      <c r="P10" s="31" t="n">
        <v>50.17</v>
      </c>
      <c r="Q10" s="31" t="n">
        <v>1709.5</v>
      </c>
      <c r="R10" s="30" t="inlineStr">
        <is>
          <t>Near 52W High Breakout</t>
        </is>
      </c>
      <c r="S10" s="30" t="inlineStr">
        <is>
          <t>Nifty 50</t>
        </is>
      </c>
      <c r="T10" s="31" t="n">
        <v>1.09</v>
      </c>
      <c r="U10" s="31" t="n">
        <v>67.55</v>
      </c>
      <c r="V10" s="31" t="n">
        <v>65.73999999999999</v>
      </c>
      <c r="W10" s="31" t="n">
        <v>20.42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Between 1.5 to 2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26</t>
        </is>
      </c>
      <c r="CG10" s="30">
        <f>IF(CF10&gt;20,10,IF(CF10&gt;=10,5,2))</f>
        <v/>
      </c>
    </row>
    <row r="11">
      <c r="A11" s="30">
        <f>IF(B11=0,"",RANK(B11,$B$2:$B$91,0))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RPTECH</t>
        </is>
      </c>
      <c r="D11" s="30" t="inlineStr">
        <is>
          <t>Rashi Peripherals Ltd</t>
        </is>
      </c>
      <c r="E11" s="30" t="inlineStr">
        <is>
          <t>services</t>
        </is>
      </c>
      <c r="F11" s="30" t="inlineStr">
        <is>
          <t>Trading</t>
        </is>
      </c>
      <c r="G11" s="30" t="inlineStr">
        <is>
          <t>midcap</t>
        </is>
      </c>
      <c r="H11" s="31" t="n">
        <v>5745.79</v>
      </c>
      <c r="I11" s="31" t="n">
        <v>871.9</v>
      </c>
      <c r="J11" s="31" t="n">
        <v>-3.43</v>
      </c>
      <c r="K11" s="31" t="n">
        <v>0</v>
      </c>
      <c r="L11" s="30" t="n">
        <v>96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81.92</v>
      </c>
      <c r="P11" s="31" t="n">
        <v>77.53</v>
      </c>
      <c r="Q11" s="31" t="n">
        <v>661.71</v>
      </c>
      <c r="R11" s="30" t="inlineStr">
        <is>
          <t>Near 52W High Breakout</t>
        </is>
      </c>
      <c r="S11" s="30" t="inlineStr">
        <is>
          <t>Nifty 50</t>
        </is>
      </c>
      <c r="T11" s="31" t="n">
        <v>1.09</v>
      </c>
      <c r="U11" s="31" t="n">
        <v>211.34</v>
      </c>
      <c r="V11" s="31" t="n">
        <v>207.99</v>
      </c>
      <c r="W11" s="31" t="n">
        <v>39.97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Less than 50%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25</t>
        </is>
      </c>
      <c r="CG11" s="30">
        <f>IF(CF11&gt;20,10,IF(CF11&gt;=10,5,2))</f>
        <v/>
      </c>
    </row>
    <row r="12">
      <c r="A12" s="30">
        <f>IF(B12=0,"",RANK(B12,$B$2:$B$91,0))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REDINGTON</t>
        </is>
      </c>
      <c r="D12" s="30" t="inlineStr">
        <is>
          <t>Redington Ltd</t>
        </is>
      </c>
      <c r="E12" s="30" t="inlineStr">
        <is>
          <t>services</t>
        </is>
      </c>
      <c r="F12" s="30" t="inlineStr">
        <is>
          <t>Computer - Hardware</t>
        </is>
      </c>
      <c r="G12" s="30" t="inlineStr">
        <is>
          <t>largecap</t>
        </is>
      </c>
      <c r="H12" s="31" t="n">
        <v>27405.1</v>
      </c>
      <c r="I12" s="31" t="n">
        <v>350.55</v>
      </c>
      <c r="J12" s="31" t="n">
        <v>0.78</v>
      </c>
      <c r="K12" s="31" t="n">
        <v>0</v>
      </c>
      <c r="L12" s="30" t="n">
        <v>84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72.31999999999999</v>
      </c>
      <c r="P12" s="31" t="n">
        <v>27.91</v>
      </c>
      <c r="Q12" s="31" t="n">
        <v>270.16</v>
      </c>
      <c r="R12" s="30" t="inlineStr">
        <is>
          <t>Volume Spike &amp; Near 52W High Breakout</t>
        </is>
      </c>
      <c r="S12" s="30" t="inlineStr">
        <is>
          <t>Nifty 50</t>
        </is>
      </c>
      <c r="T12" s="31" t="n">
        <v>1.09</v>
      </c>
      <c r="U12" s="31" t="n">
        <v>48.76</v>
      </c>
      <c r="V12" s="31" t="n">
        <v>47.16</v>
      </c>
      <c r="W12" s="31" t="n">
        <v>23.55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20 to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23</t>
        </is>
      </c>
      <c r="CG12" s="30">
        <f>IF(CF12&gt;20,10,IF(CF12&gt;=10,5,2))</f>
        <v/>
      </c>
    </row>
    <row r="13">
      <c r="A13" s="30">
        <f>IF(B13=0,"",RANK(B13,$B$2:$B$91,0))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ATHERENERG</t>
        </is>
      </c>
      <c r="D13" s="30" t="inlineStr">
        <is>
          <t>Ather Energy Ltd</t>
        </is>
      </c>
      <c r="E13" s="30" t="inlineStr">
        <is>
          <t>auto</t>
        </is>
      </c>
      <c r="F13" s="30" t="inlineStr">
        <is>
          <t>Auto - 2 &amp; 3 Wheelers</t>
        </is>
      </c>
      <c r="G13" s="30" t="inlineStr">
        <is>
          <t>largecap</t>
        </is>
      </c>
      <c r="H13" s="31" t="n">
        <v>57004.27</v>
      </c>
      <c r="I13" s="31" t="n">
        <v>1445</v>
      </c>
      <c r="J13" s="31" t="n">
        <v>-1.75</v>
      </c>
      <c r="K13" s="31" t="n">
        <v>0</v>
      </c>
      <c r="L13" s="30" t="n">
        <v>98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79.51000000000001</v>
      </c>
      <c r="P13" s="31" t="n">
        <v>58.55</v>
      </c>
      <c r="Q13" s="31" t="n">
        <v>1119.09</v>
      </c>
      <c r="R13" s="30" t="inlineStr">
        <is>
          <t>Volume Spike &amp; Near 52W High Breakout</t>
        </is>
      </c>
      <c r="S13" s="30" t="inlineStr">
        <is>
          <t>Nifty Auto</t>
        </is>
      </c>
      <c r="T13" s="31" t="n">
        <v>22.44</v>
      </c>
      <c r="U13" s="31" t="n">
        <v>335.96</v>
      </c>
      <c r="V13" s="31" t="n">
        <v>256.07</v>
      </c>
      <c r="W13" s="31" t="n">
        <v>54.29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Above 2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22</t>
        </is>
      </c>
      <c r="CG13" s="30">
        <f>IF(CF13&gt;20,10,IF(CF13&gt;=10,5,2))</f>
        <v/>
      </c>
    </row>
    <row r="14">
      <c r="A14" s="30">
        <f>IF(B14=0,"",RANK(B14,$B$2:$B$91,0))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AXISOL</t>
        </is>
      </c>
      <c r="D14" s="30" t="inlineStr">
        <is>
          <t>Axis Solutions Ltd</t>
        </is>
      </c>
      <c r="E14" s="30" t="inlineStr">
        <is>
          <t>Industrials</t>
        </is>
      </c>
      <c r="F14" s="30" t="inlineStr">
        <is>
          <t>Engineering - Light - General</t>
        </is>
      </c>
      <c r="G14" s="30" t="inlineStr">
        <is>
          <t>smallcap</t>
        </is>
      </c>
      <c r="H14" s="31" t="n">
        <v>1995.57</v>
      </c>
      <c r="I14" s="31" t="n">
        <v>422.25</v>
      </c>
      <c r="J14" s="31" t="n">
        <v>4.31</v>
      </c>
      <c r="K14" s="31" t="n">
        <v>0</v>
      </c>
      <c r="L14" s="30" t="n">
        <v>99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82.75</v>
      </c>
      <c r="P14" s="31" t="n">
        <v>64.66</v>
      </c>
      <c r="Q14" s="31" t="n">
        <v>347.52</v>
      </c>
      <c r="R14" s="30" t="inlineStr">
        <is>
          <t>Volume Spike &amp; Near 52W High Breakout</t>
        </is>
      </c>
      <c r="S14" s="30" t="inlineStr">
        <is>
          <t>Nifty 50</t>
        </is>
      </c>
      <c r="T14" s="31" t="n">
        <v>1.09</v>
      </c>
      <c r="U14" s="31" t="n">
        <v>1943.83</v>
      </c>
      <c r="V14" s="31" t="n">
        <v>1921.84</v>
      </c>
      <c r="W14" s="31" t="n">
        <v>106.97</v>
      </c>
      <c r="X14" s="30" t="inlineStr">
        <is>
          <t>Cyclical in an Upturn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21</t>
        </is>
      </c>
      <c r="CG14" s="30">
        <f>IF(CF14&gt;20,10,IF(CF14&gt;=10,5,2))</f>
        <v/>
      </c>
    </row>
    <row r="15">
      <c r="A15" s="30">
        <f>IF(B15=0,"",RANK(B15,$B$2:$B$91,0))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3" t="inlineStr">
        <is>
          <t>NEULANDLAB</t>
        </is>
      </c>
      <c r="D15" s="33" t="inlineStr">
        <is>
          <t>Neuland Laboratories Ltd</t>
        </is>
      </c>
      <c r="E15" s="30" t="inlineStr">
        <is>
          <t>healthcare</t>
        </is>
      </c>
      <c r="F15" s="30" t="inlineStr">
        <is>
          <t>Pharma - API &amp; CRAMS</t>
        </is>
      </c>
      <c r="G15" s="30" t="inlineStr">
        <is>
          <t>largecap</t>
        </is>
      </c>
      <c r="H15" s="31" t="n">
        <v>27712.56</v>
      </c>
      <c r="I15" s="31" t="n">
        <v>21600</v>
      </c>
      <c r="J15" s="31" t="n">
        <v>8.24</v>
      </c>
      <c r="K15" s="31" t="n">
        <v>0</v>
      </c>
      <c r="L15" s="30" t="n">
        <v>74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73.87</v>
      </c>
      <c r="P15" s="31" t="n">
        <v>50.05</v>
      </c>
      <c r="Q15" s="31" t="n">
        <v>17235.24</v>
      </c>
      <c r="R15" s="30" t="inlineStr">
        <is>
          <t>Volume Spike &amp; Near 52W High Breakout</t>
        </is>
      </c>
      <c r="S15" s="30" t="inlineStr">
        <is>
          <t>Nifty Pharma</t>
        </is>
      </c>
      <c r="T15" s="31" t="n">
        <v>24.42</v>
      </c>
      <c r="U15" s="31" t="n">
        <v>65.29000000000001</v>
      </c>
      <c r="V15" s="31" t="n">
        <v>32.85</v>
      </c>
      <c r="W15" s="31" t="n">
        <v>17.99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26</t>
        </is>
      </c>
      <c r="CG15" s="30">
        <f>IF(CF15&gt;20,10,IF(CF15&gt;=10,5,2))</f>
        <v/>
      </c>
    </row>
    <row r="16">
      <c r="A16" s="30">
        <f>IF(B16=0,"",RANK(B16,$B$2:$B$91,0))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3" t="inlineStr">
        <is>
          <t>ASMTEC</t>
        </is>
      </c>
      <c r="D16" s="33" t="inlineStr">
        <is>
          <t>ASM Technologies Ltd</t>
        </is>
      </c>
      <c r="E16" s="30" t="inlineStr">
        <is>
          <t>Technology</t>
        </is>
      </c>
      <c r="F16" s="30" t="inlineStr">
        <is>
          <t>IT - Software</t>
        </is>
      </c>
      <c r="G16" s="30" t="inlineStr">
        <is>
          <t>midcap</t>
        </is>
      </c>
      <c r="H16" s="31" t="n">
        <v>7246.65</v>
      </c>
      <c r="I16" s="31" t="n">
        <v>4968</v>
      </c>
      <c r="J16" s="31" t="n">
        <v>0.44</v>
      </c>
      <c r="K16" s="31" t="n">
        <v>0</v>
      </c>
      <c r="L16" s="30" t="n">
        <v>86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74.75</v>
      </c>
      <c r="P16" s="31" t="n">
        <v>38</v>
      </c>
      <c r="Q16" s="31" t="n">
        <v>3651.11</v>
      </c>
      <c r="R16" s="30" t="inlineStr">
        <is>
          <t>Near 52W High Breakout</t>
        </is>
      </c>
      <c r="S16" s="30" t="inlineStr">
        <is>
          <t>Nifty 50</t>
        </is>
      </c>
      <c r="T16" s="31" t="n">
        <v>1.09</v>
      </c>
      <c r="U16" s="31" t="n">
        <v>76.44</v>
      </c>
      <c r="V16" s="31" t="n">
        <v>74.54000000000001</v>
      </c>
      <c r="W16" s="31" t="n">
        <v>25.77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20 to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21</t>
        </is>
      </c>
      <c r="CG16" s="30">
        <f>IF(CF16&gt;20,10,IF(CF16&gt;=10,5,2))</f>
        <v/>
      </c>
    </row>
    <row r="17">
      <c r="A17" s="30">
        <f>IF(B17=0,"",RANK(B17,$B$2:$B$91,0))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KPL</t>
        </is>
      </c>
      <c r="D17" s="30" t="inlineStr">
        <is>
          <t>Kwality Pharmaceuticals Ltd</t>
        </is>
      </c>
      <c r="E17" s="30" t="inlineStr">
        <is>
          <t>Healthcare</t>
        </is>
      </c>
      <c r="F17" s="30" t="inlineStr">
        <is>
          <t>Pharma - Formulators</t>
        </is>
      </c>
      <c r="G17" s="30" t="inlineStr">
        <is>
          <t>smallcap</t>
        </is>
      </c>
      <c r="H17" s="31" t="n">
        <v>2752.81</v>
      </c>
      <c r="I17" s="31" t="n">
        <v>2653</v>
      </c>
      <c r="J17" s="31" t="n">
        <v>3.78</v>
      </c>
      <c r="K17" s="31" t="n">
        <v>0</v>
      </c>
      <c r="L17" s="30" t="n">
        <v>93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69.51000000000001</v>
      </c>
      <c r="P17" s="31" t="n">
        <v>65.04000000000001</v>
      </c>
      <c r="Q17" s="31" t="n">
        <v>2046.15</v>
      </c>
      <c r="R17" s="30" t="inlineStr">
        <is>
          <t>Near 52W High Breakout</t>
        </is>
      </c>
      <c r="S17" s="30" t="inlineStr">
        <is>
          <t>Nifty Pharma</t>
        </is>
      </c>
      <c r="T17" s="31" t="n">
        <v>24.42</v>
      </c>
      <c r="U17" s="31" t="n">
        <v>134.21</v>
      </c>
      <c r="V17" s="31" t="n">
        <v>88.23999999999999</v>
      </c>
      <c r="W17" s="31" t="n">
        <v>32.96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Less than 50%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19</t>
        </is>
      </c>
      <c r="CG17" s="30">
        <f>IF(CF17&gt;20,10,IF(CF17&gt;=10,5,2))</f>
        <v/>
      </c>
    </row>
    <row r="18">
      <c r="A18" s="30">
        <f>IF(B18=0,"",RANK(B18,$B$2:$B$91,0))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3" t="inlineStr">
        <is>
          <t>SANGHVIMOV</t>
        </is>
      </c>
      <c r="D18" s="33" t="inlineStr">
        <is>
          <t>Sanghvi Movers Ltd</t>
        </is>
      </c>
      <c r="E18" s="30" t="inlineStr">
        <is>
          <t>miscellaneous</t>
        </is>
      </c>
      <c r="F18" s="30" t="inlineStr">
        <is>
          <t>Capital Goods - EPC/Cranes</t>
        </is>
      </c>
      <c r="G18" s="30" t="inlineStr">
        <is>
          <t>smallcap</t>
        </is>
      </c>
      <c r="H18" s="31" t="n">
        <v>4181.62</v>
      </c>
      <c r="I18" s="31" t="n">
        <v>483</v>
      </c>
      <c r="J18" s="31" t="n">
        <v>1.86</v>
      </c>
      <c r="K18" s="31" t="n">
        <v>0</v>
      </c>
      <c r="L18" s="30" t="n">
        <v>77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67.31999999999999</v>
      </c>
      <c r="P18" s="31" t="n">
        <v>38.42</v>
      </c>
      <c r="Q18" s="31" t="n">
        <v>353.2</v>
      </c>
      <c r="R18" s="30" t="inlineStr">
        <is>
          <t>Volume Spike &amp; Near 52W High Breakout</t>
        </is>
      </c>
      <c r="S18" s="30" t="inlineStr">
        <is>
          <t>Nifty 50</t>
        </is>
      </c>
      <c r="T18" s="31" t="n">
        <v>1.09</v>
      </c>
      <c r="U18" s="31" t="n">
        <v>56.98</v>
      </c>
      <c r="V18" s="31" t="n">
        <v>55.29</v>
      </c>
      <c r="W18" s="31" t="n">
        <v>19.58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20 to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21</t>
        </is>
      </c>
      <c r="CG18" s="30">
        <f>IF(CF18&gt;20,10,IF(CF18&gt;=10,5,2))</f>
        <v/>
      </c>
    </row>
    <row r="19">
      <c r="A19" s="30">
        <f>IF(B19=0,"",RANK(B19,$B$2:$B$91,0))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BHEL</t>
        </is>
      </c>
      <c r="D19" s="30" t="inlineStr">
        <is>
          <t>Bharat Heavy Electricals Ltd</t>
        </is>
      </c>
      <c r="E19" s="30" t="inlineStr">
        <is>
          <t>Industrials</t>
        </is>
      </c>
      <c r="F19" s="30" t="inlineStr">
        <is>
          <t>Capital Goods - Engineering Heavy</t>
        </is>
      </c>
      <c r="G19" s="30" t="inlineStr">
        <is>
          <t>largecap</t>
        </is>
      </c>
      <c r="H19" s="31" t="n">
        <v>142120.42</v>
      </c>
      <c r="I19" s="31" t="n">
        <v>408.15</v>
      </c>
      <c r="J19" s="31" t="n">
        <v>-1.03</v>
      </c>
      <c r="K19" s="31" t="n">
        <v>0</v>
      </c>
      <c r="L19" s="30" t="n">
        <v>64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63.49</v>
      </c>
      <c r="P19" s="31" t="n">
        <v>44.31</v>
      </c>
      <c r="Q19" s="31" t="n">
        <v>338.91</v>
      </c>
      <c r="R19" s="30" t="inlineStr">
        <is>
          <t>Near 52W High Breakout</t>
        </is>
      </c>
      <c r="S19" s="30" t="inlineStr">
        <is>
          <t>Nifty 50</t>
        </is>
      </c>
      <c r="T19" s="31" t="n">
        <v>1.09</v>
      </c>
      <c r="U19" s="31" t="n">
        <v>84.04000000000001</v>
      </c>
      <c r="V19" s="31" t="n">
        <v>82.06</v>
      </c>
      <c r="W19" s="31" t="n">
        <v>14.78</v>
      </c>
      <c r="X19" s="30" t="inlineStr">
        <is>
          <t>Cyclical in an Upturn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19</t>
        </is>
      </c>
      <c r="CG19" s="30">
        <f>IF(CF19&gt;20,10,IF(CF19&gt;=10,5,2))</f>
        <v/>
      </c>
    </row>
    <row r="20">
      <c r="A20" s="30">
        <f>IF(B20=0,"",RANK(B20,$B$2:$B$91,0))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3" t="inlineStr">
        <is>
          <t>STOVEKRAFT</t>
        </is>
      </c>
      <c r="D20" s="33" t="inlineStr">
        <is>
          <t>Stove Kraft Ltd</t>
        </is>
      </c>
      <c r="E20" s="30" t="inlineStr">
        <is>
          <t>consumer discretionary</t>
        </is>
      </c>
      <c r="F20" s="30" t="inlineStr">
        <is>
          <t>Domestic Appliances</t>
        </is>
      </c>
      <c r="G20" s="30" t="inlineStr">
        <is>
          <t>smallcap</t>
        </is>
      </c>
      <c r="H20" s="31" t="n">
        <v>2661.83</v>
      </c>
      <c r="I20" s="31" t="n">
        <v>804</v>
      </c>
      <c r="J20" s="31" t="n">
        <v>6.35</v>
      </c>
      <c r="K20" s="31" t="n">
        <v>0</v>
      </c>
      <c r="L20" s="30" t="n">
        <v>72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74.26000000000001</v>
      </c>
      <c r="P20" s="31" t="n">
        <v>46.75</v>
      </c>
      <c r="Q20" s="31" t="n">
        <v>618.54</v>
      </c>
      <c r="R20" s="30" t="inlineStr">
        <is>
          <t>Volume Spike &amp; Near 52W High Breakout</t>
        </is>
      </c>
      <c r="S20" s="30" t="inlineStr">
        <is>
          <t>Nifty 50</t>
        </is>
      </c>
      <c r="T20" s="31" t="n">
        <v>1.09</v>
      </c>
      <c r="U20" s="31" t="n">
        <v>33.34</v>
      </c>
      <c r="V20" s="31" t="n">
        <v>31.91</v>
      </c>
      <c r="W20" s="31" t="n">
        <v>17.61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19</t>
        </is>
      </c>
      <c r="CG20" s="30">
        <f>IF(CF20&gt;20,10,IF(CF20&gt;=10,5,2))</f>
        <v/>
      </c>
    </row>
    <row r="21">
      <c r="A21" s="30">
        <f>IF(B21=0,"",RANK(B21,$B$2:$B$91,0))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CNL</t>
        </is>
      </c>
      <c r="D21" s="30" t="inlineStr">
        <is>
          <t>Creative Newtech Ltd</t>
        </is>
      </c>
      <c r="E21" s="30" t="inlineStr">
        <is>
          <t>Technology</t>
        </is>
      </c>
      <c r="F21" s="30" t="inlineStr">
        <is>
          <t>E-Commerce - Platform - Utility</t>
        </is>
      </c>
      <c r="G21" s="30" t="inlineStr">
        <is>
          <t>smallcap</t>
        </is>
      </c>
      <c r="H21" s="31" t="n">
        <v>1623.3</v>
      </c>
      <c r="I21" s="31" t="n">
        <v>1081</v>
      </c>
      <c r="J21" s="31" t="n">
        <v>-4.48</v>
      </c>
      <c r="K21" s="31" t="n">
        <v>0</v>
      </c>
      <c r="L21" s="30" t="n">
        <v>91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85.09999999999999</v>
      </c>
      <c r="P21" s="31" t="n">
        <v>43.56</v>
      </c>
      <c r="Q21" s="31" t="n">
        <v>832.4400000000001</v>
      </c>
      <c r="R21" s="30" t="inlineStr">
        <is>
          <t>Near 52W High Breakout</t>
        </is>
      </c>
      <c r="S21" s="30" t="inlineStr">
        <is>
          <t>Nifty 50</t>
        </is>
      </c>
      <c r="T21" s="31" t="n">
        <v>1.09</v>
      </c>
      <c r="U21" s="31" t="n">
        <v>78.17</v>
      </c>
      <c r="V21" s="31" t="n">
        <v>76.25</v>
      </c>
      <c r="W21" s="31" t="n">
        <v>30.15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Oligopoly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Between 0.7 to 1.2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22</t>
        </is>
      </c>
      <c r="CG21" s="30">
        <f>IF(CF21&gt;20,10,IF(CF21&gt;=10,5,2))</f>
        <v/>
      </c>
    </row>
    <row r="22">
      <c r="A22" s="30">
        <f>IF(B22=0,"",RANK(B22,$B$2:$B$91,0))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THYROCARE</t>
        </is>
      </c>
      <c r="D22" s="30" t="inlineStr">
        <is>
          <t>Thyrocare Technologies Ltd</t>
        </is>
      </c>
      <c r="E22" s="30" t="inlineStr">
        <is>
          <t>healthcare</t>
        </is>
      </c>
      <c r="F22" s="30" t="inlineStr">
        <is>
          <t>Diagnostics</t>
        </is>
      </c>
      <c r="G22" s="30" t="inlineStr">
        <is>
          <t>midcap</t>
        </is>
      </c>
      <c r="H22" s="31" t="n">
        <v>9610.4</v>
      </c>
      <c r="I22" s="31" t="n">
        <v>603.8</v>
      </c>
      <c r="J22" s="31" t="n">
        <v>0.63</v>
      </c>
      <c r="K22" s="31" t="n">
        <v>0</v>
      </c>
      <c r="L22" s="30" t="n">
        <v>55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70.52</v>
      </c>
      <c r="P22" s="31" t="n">
        <v>55.75</v>
      </c>
      <c r="Q22" s="31" t="n">
        <v>454.37</v>
      </c>
      <c r="R22" s="30" t="inlineStr">
        <is>
          <t>Near 52W High Breakout</t>
        </is>
      </c>
      <c r="S22" s="30" t="inlineStr">
        <is>
          <t>Nifty Pharma</t>
        </is>
      </c>
      <c r="T22" s="31" t="n">
        <v>24.42</v>
      </c>
      <c r="U22" s="31" t="n">
        <v>35.7</v>
      </c>
      <c r="V22" s="31" t="n">
        <v>9.07</v>
      </c>
      <c r="W22" s="31" t="n">
        <v>11.86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Between 1.5 to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21</t>
        </is>
      </c>
      <c r="CG22" s="30">
        <f>IF(CF22&gt;20,10,IF(CF22&gt;=10,5,2))</f>
        <v/>
      </c>
    </row>
    <row r="23">
      <c r="A23" s="30">
        <f>IF(B23=0,"",RANK(B23,$B$2:$B$91,0))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CUPID</t>
        </is>
      </c>
      <c r="D23" s="30" t="inlineStr">
        <is>
          <t>Cupid Ltd</t>
        </is>
      </c>
      <c r="E23" s="30" t="inlineStr">
        <is>
          <t>fmcg</t>
        </is>
      </c>
      <c r="F23" s="30" t="inlineStr">
        <is>
          <t>Contraceptives/Protectives</t>
        </is>
      </c>
      <c r="G23" s="30" t="inlineStr">
        <is>
          <t>largecap</t>
        </is>
      </c>
      <c r="H23" s="31" t="n">
        <v>35364.58</v>
      </c>
      <c r="I23" s="31" t="n">
        <v>263</v>
      </c>
      <c r="J23" s="31" t="n">
        <v>4.32</v>
      </c>
      <c r="K23" s="31" t="n">
        <v>0</v>
      </c>
      <c r="L23" s="30" t="n">
        <v>99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91.91</v>
      </c>
      <c r="P23" s="31" t="n">
        <v>69.40000000000001</v>
      </c>
      <c r="Q23" s="31" t="n">
        <v>210.44</v>
      </c>
      <c r="R23" s="30" t="inlineStr">
        <is>
          <t>Near 52W High Breakout</t>
        </is>
      </c>
      <c r="S23" s="30" t="inlineStr">
        <is>
          <t>Nifty FMCG</t>
        </is>
      </c>
      <c r="T23" s="31" t="n">
        <v>-9.75</v>
      </c>
      <c r="U23" s="31" t="n">
        <v>788.01</v>
      </c>
      <c r="V23" s="31" t="n">
        <v>883.9</v>
      </c>
      <c r="W23" s="31" t="n">
        <v>86.97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B2C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Less than 50%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20</t>
        </is>
      </c>
      <c r="CG23" s="30">
        <f>IF(CF23&gt;20,10,IF(CF23&gt;=10,5,2))</f>
        <v/>
      </c>
    </row>
    <row r="24">
      <c r="A24" s="30">
        <f>IF(B24=0,"",RANK(B24,$B$2:$B$91,0))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HUHTAMAKI</t>
        </is>
      </c>
      <c r="D24" s="30" t="inlineStr">
        <is>
          <t>Huhtamaki India Ltd</t>
        </is>
      </c>
      <c r="E24" s="30" t="inlineStr">
        <is>
          <t>industrials</t>
        </is>
      </c>
      <c r="F24" s="30" t="inlineStr">
        <is>
          <t>Packaging - FMCG/Consumers</t>
        </is>
      </c>
      <c r="G24" s="30" t="inlineStr">
        <is>
          <t>smallcap</t>
        </is>
      </c>
      <c r="H24" s="31" t="n">
        <v>2161.44</v>
      </c>
      <c r="I24" s="31" t="n">
        <v>286.2</v>
      </c>
      <c r="J24" s="31" t="n">
        <v>0.74</v>
      </c>
      <c r="K24" s="31" t="n">
        <v>0</v>
      </c>
      <c r="L24" s="30" t="n">
        <v>83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72.36</v>
      </c>
      <c r="P24" s="31" t="n">
        <v>28.66</v>
      </c>
      <c r="Q24" s="31" t="n">
        <v>240.92</v>
      </c>
      <c r="R24" s="30" t="inlineStr">
        <is>
          <t>Earnings / Momentum Support</t>
        </is>
      </c>
      <c r="S24" s="30" t="inlineStr">
        <is>
          <t>Nifty 50</t>
        </is>
      </c>
      <c r="T24" s="31" t="n">
        <v>1.09</v>
      </c>
      <c r="U24" s="31" t="n">
        <v>43.72</v>
      </c>
      <c r="V24" s="31" t="n">
        <v>42.17</v>
      </c>
      <c r="W24" s="31" t="n">
        <v>23.21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B2C</t>
        </is>
      </c>
      <c r="AO24" s="30">
        <f>IF(AN24="B2C",10,IF(AN24="B2B",5,0))</f>
        <v/>
      </c>
      <c r="AP24" s="30" t="inlineStr">
        <is>
          <t>No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20</t>
        </is>
      </c>
      <c r="CG24" s="30">
        <f>IF(CF24&gt;20,10,IF(CF24&gt;=10,5,2))</f>
        <v/>
      </c>
    </row>
    <row r="25">
      <c r="A25" s="30">
        <f>IF(B25=0,"",RANK(B25,$B$2:$B$91,0))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UNIPARTS</t>
        </is>
      </c>
      <c r="D25" s="30" t="inlineStr">
        <is>
          <t>Uniparts India Ltd</t>
        </is>
      </c>
      <c r="E25" s="30" t="inlineStr">
        <is>
          <t>industrials</t>
        </is>
      </c>
      <c r="F25" s="30" t="inlineStr">
        <is>
          <t>Castings, Forgings &amp; Fastners</t>
        </is>
      </c>
      <c r="G25" s="30" t="inlineStr">
        <is>
          <t>smallcap</t>
        </is>
      </c>
      <c r="H25" s="31" t="n">
        <v>3533.58</v>
      </c>
      <c r="I25" s="31" t="n">
        <v>782.75</v>
      </c>
      <c r="J25" s="31" t="n">
        <v>-2.36</v>
      </c>
      <c r="K25" s="31" t="n">
        <v>0</v>
      </c>
      <c r="L25" s="30" t="n">
        <v>90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77.26000000000001</v>
      </c>
      <c r="P25" s="31" t="n">
        <v>59.62</v>
      </c>
      <c r="Q25" s="31" t="n">
        <v>620.83</v>
      </c>
      <c r="R25" s="30" t="inlineStr">
        <is>
          <t>Volume Spike &amp; Near 52W High Breakout</t>
        </is>
      </c>
      <c r="S25" s="30" t="inlineStr">
        <is>
          <t>Nifty 50</t>
        </is>
      </c>
      <c r="T25" s="31" t="n">
        <v>1.09</v>
      </c>
      <c r="U25" s="31" t="n">
        <v>150.45</v>
      </c>
      <c r="V25" s="31" t="n">
        <v>147.76</v>
      </c>
      <c r="W25" s="31" t="n">
        <v>29.7</v>
      </c>
      <c r="X25" s="30" t="inlineStr">
        <is>
          <t>Cyclical in an Upturn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27</t>
        </is>
      </c>
      <c r="CG25" s="30">
        <f>IF(CF25&gt;20,10,IF(CF25&gt;=10,5,2))</f>
        <v/>
      </c>
    </row>
    <row r="26">
      <c r="A26" s="30">
        <f>IF(B26=0,"",RANK(B26,$B$2:$B$91,0))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RRKABEL</t>
        </is>
      </c>
      <c r="D26" s="30" t="inlineStr">
        <is>
          <t>R R Kabel Ltd</t>
        </is>
      </c>
      <c r="E26" s="30" t="inlineStr">
        <is>
          <t>industrials</t>
        </is>
      </c>
      <c r="F26" s="30" t="inlineStr">
        <is>
          <t>Cables - Power</t>
        </is>
      </c>
      <c r="G26" s="30" t="inlineStr">
        <is>
          <t>largecap</t>
        </is>
      </c>
      <c r="H26" s="31" t="n">
        <v>31249.92</v>
      </c>
      <c r="I26" s="31" t="n">
        <v>2762.9</v>
      </c>
      <c r="J26" s="31" t="n">
        <v>-1.08</v>
      </c>
      <c r="K26" s="31" t="n">
        <v>0</v>
      </c>
      <c r="L26" s="30" t="n">
        <v>95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77</v>
      </c>
      <c r="P26" s="31" t="n">
        <v>66.44</v>
      </c>
      <c r="Q26" s="31" t="n">
        <v>2176.75</v>
      </c>
      <c r="R26" s="30" t="inlineStr">
        <is>
          <t>Near 52W High Breakout</t>
        </is>
      </c>
      <c r="S26" s="30" t="inlineStr">
        <is>
          <t>Nifty Energy</t>
        </is>
      </c>
      <c r="T26" s="31" t="n">
        <v>9.720000000000001</v>
      </c>
      <c r="U26" s="31" t="n">
        <v>98.68000000000001</v>
      </c>
      <c r="V26" s="31" t="n">
        <v>81.09</v>
      </c>
      <c r="W26" s="31" t="n">
        <v>37.66</v>
      </c>
      <c r="X26" s="30" t="inlineStr">
        <is>
          <t>Cyclical in an Upturn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25</t>
        </is>
      </c>
      <c r="CG26" s="30">
        <f>IF(CF26&gt;20,10,IF(CF26&gt;=10,5,2))</f>
        <v/>
      </c>
    </row>
    <row r="27">
      <c r="A27" s="30">
        <f>IF(B27=0,"",RANK(B27,$B$2:$B$91,0))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CENTENKA</t>
        </is>
      </c>
      <c r="D27" s="30" t="inlineStr">
        <is>
          <t>Century Enka Ltd</t>
        </is>
      </c>
      <c r="E27" s="30" t="inlineStr">
        <is>
          <t>textiles</t>
        </is>
      </c>
      <c r="F27" s="30" t="inlineStr">
        <is>
          <t>Textiles - Manmade Fibre - PFY/PSF</t>
        </is>
      </c>
      <c r="G27" s="30" t="inlineStr">
        <is>
          <t>smallcap</t>
        </is>
      </c>
      <c r="H27" s="31" t="n">
        <v>1328.08</v>
      </c>
      <c r="I27" s="31" t="n">
        <v>607.8</v>
      </c>
      <c r="J27" s="31" t="n">
        <v>-0.84</v>
      </c>
      <c r="K27" s="31" t="n">
        <v>0</v>
      </c>
      <c r="L27" s="30" t="n">
        <v>58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70.55</v>
      </c>
      <c r="P27" s="31" t="n">
        <v>60.76</v>
      </c>
      <c r="Q27" s="31" t="n">
        <v>463.78</v>
      </c>
      <c r="R27" s="30" t="inlineStr">
        <is>
          <t>Near 52W High Breakout</t>
        </is>
      </c>
      <c r="S27" s="30" t="inlineStr">
        <is>
          <t>Nifty 50</t>
        </is>
      </c>
      <c r="T27" s="31" t="n">
        <v>1.09</v>
      </c>
      <c r="U27" s="31" t="n">
        <v>22.42</v>
      </c>
      <c r="V27" s="31" t="n">
        <v>21.11</v>
      </c>
      <c r="W27" s="31" t="n">
        <v>12.78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Above 2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24</t>
        </is>
      </c>
      <c r="CG27" s="30">
        <f>IF(CF27&gt;20,10,IF(CF27&gt;=10,5,2))</f>
        <v/>
      </c>
    </row>
    <row r="28">
      <c r="A28" s="30">
        <f>IF(B28=0,"",RANK(B28,$B$2:$B$91,0))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3" t="inlineStr">
        <is>
          <t>GRWRHITECH</t>
        </is>
      </c>
      <c r="D28" s="33" t="inlineStr">
        <is>
          <t>Garware Hi Tech Films Ltd</t>
        </is>
      </c>
      <c r="E28" s="30" t="inlineStr">
        <is>
          <t>industrials</t>
        </is>
      </c>
      <c r="F28" s="30" t="inlineStr">
        <is>
          <t>Packaging - Films</t>
        </is>
      </c>
      <c r="G28" s="30" t="inlineStr">
        <is>
          <t>midcap</t>
        </is>
      </c>
      <c r="H28" s="31" t="n">
        <v>16959.65</v>
      </c>
      <c r="I28" s="31" t="n">
        <v>7300</v>
      </c>
      <c r="J28" s="31" t="n">
        <v>-1.48</v>
      </c>
      <c r="K28" s="31" t="n">
        <v>0</v>
      </c>
      <c r="L28" s="30" t="n">
        <v>92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82.20999999999999</v>
      </c>
      <c r="P28" s="31" t="n">
        <v>59.37</v>
      </c>
      <c r="Q28" s="31" t="n">
        <v>6176.81</v>
      </c>
      <c r="R28" s="30" t="inlineStr">
        <is>
          <t>Near 52W High Breakout</t>
        </is>
      </c>
      <c r="S28" s="30" t="inlineStr">
        <is>
          <t>Nifty 50</t>
        </is>
      </c>
      <c r="T28" s="31" t="n">
        <v>1.09</v>
      </c>
      <c r="U28" s="31" t="n">
        <v>149.4</v>
      </c>
      <c r="V28" s="31" t="n">
        <v>146.72</v>
      </c>
      <c r="W28" s="31" t="n">
        <v>30.99</v>
      </c>
      <c r="X28" s="30" t="inlineStr">
        <is>
          <t>Cyclical in an Upturn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Between 50% to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22</t>
        </is>
      </c>
      <c r="CG28" s="30">
        <f>IF(CF28&gt;20,10,IF(CF28&gt;=10,5,2))</f>
        <v/>
      </c>
    </row>
    <row r="29">
      <c r="A29" s="30">
        <f>IF(B29=0,"",RANK(B29,$B$2:$B$91,0))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3" t="inlineStr">
        <is>
          <t>KDDL</t>
        </is>
      </c>
      <c r="D29" s="33" t="inlineStr">
        <is>
          <t>KDDL Ltd</t>
        </is>
      </c>
      <c r="E29" s="30" t="inlineStr">
        <is>
          <t>consumer discretionary</t>
        </is>
      </c>
      <c r="F29" s="30" t="inlineStr">
        <is>
          <t>Watches</t>
        </is>
      </c>
      <c r="G29" s="30" t="inlineStr">
        <is>
          <t>smallcap</t>
        </is>
      </c>
      <c r="H29" s="31" t="n">
        <v>4521.22</v>
      </c>
      <c r="I29" s="31" t="n">
        <v>3676</v>
      </c>
      <c r="J29" s="31" t="n">
        <v>-0.77</v>
      </c>
      <c r="K29" s="31" t="n">
        <v>0</v>
      </c>
      <c r="L29" s="30" t="n">
        <v>76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74.69</v>
      </c>
      <c r="P29" s="31" t="n">
        <v>36.34</v>
      </c>
      <c r="Q29" s="31" t="n">
        <v>2780.12</v>
      </c>
      <c r="R29" s="30" t="inlineStr">
        <is>
          <t>Volume Spike &amp; Near 52W High Breakout</t>
        </is>
      </c>
      <c r="S29" s="30" t="inlineStr">
        <is>
          <t>Nifty 50</t>
        </is>
      </c>
      <c r="T29" s="31" t="n">
        <v>1.09</v>
      </c>
      <c r="U29" s="31" t="n">
        <v>42.99</v>
      </c>
      <c r="V29" s="31" t="n">
        <v>41.45</v>
      </c>
      <c r="W29" s="31" t="n">
        <v>19.25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19</t>
        </is>
      </c>
      <c r="CG29" s="30">
        <f>IF(CF29&gt;20,10,IF(CF29&gt;=10,5,2))</f>
        <v/>
      </c>
    </row>
    <row r="30">
      <c r="A30" s="30">
        <f>IF(B30=0,"",RANK(B30,$B$2:$B$91,0))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HAPPYFORGE</t>
        </is>
      </c>
      <c r="D30" s="30" t="inlineStr">
        <is>
          <t>Happy Forgings Ltd</t>
        </is>
      </c>
      <c r="E30" s="30" t="inlineStr">
        <is>
          <t>industrials</t>
        </is>
      </c>
      <c r="F30" s="30" t="inlineStr">
        <is>
          <t>Castings, Forgings &amp; Fastners</t>
        </is>
      </c>
      <c r="G30" s="30" t="inlineStr">
        <is>
          <t>midcap</t>
        </is>
      </c>
      <c r="H30" s="31" t="n">
        <v>17629.95</v>
      </c>
      <c r="I30" s="31" t="n">
        <v>1868</v>
      </c>
      <c r="J30" s="31" t="n">
        <v>2.81</v>
      </c>
      <c r="K30" s="31" t="n">
        <v>0</v>
      </c>
      <c r="L30" s="30" t="n">
        <v>84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81.5</v>
      </c>
      <c r="P30" s="31" t="n">
        <v>50.62</v>
      </c>
      <c r="Q30" s="31" t="n">
        <v>1519.45</v>
      </c>
      <c r="R30" s="30" t="inlineStr">
        <is>
          <t>Volume Spike &amp; Near 52W High Breakout</t>
        </is>
      </c>
      <c r="S30" s="30" t="inlineStr">
        <is>
          <t>Nifty Infra</t>
        </is>
      </c>
      <c r="T30" s="31" t="n">
        <v>4.3</v>
      </c>
      <c r="U30" s="31" t="n">
        <v>94.98</v>
      </c>
      <c r="V30" s="31" t="n">
        <v>86.95</v>
      </c>
      <c r="W30" s="31" t="n">
        <v>23.82</v>
      </c>
      <c r="X30" s="30" t="inlineStr">
        <is>
          <t>Cyclical in an Upturn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18</t>
        </is>
      </c>
      <c r="CG30" s="30">
        <f>IF(CF30&gt;20,10,IF(CF30&gt;=10,5,2))</f>
        <v/>
      </c>
    </row>
    <row r="31">
      <c r="A31" s="30">
        <f>IF(B31=0,"",RANK(B31,$B$2:$B$91,0))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3" t="inlineStr">
        <is>
          <t>SHILPAMED</t>
        </is>
      </c>
      <c r="D31" s="33" t="inlineStr">
        <is>
          <t>Shilpa Medicare Ltd</t>
        </is>
      </c>
      <c r="E31" s="30" t="inlineStr">
        <is>
          <t>healthcare</t>
        </is>
      </c>
      <c r="F31" s="30" t="inlineStr">
        <is>
          <t>Pharma - API &amp; CRAMS</t>
        </is>
      </c>
      <c r="G31" s="30" t="inlineStr">
        <is>
          <t>midcap</t>
        </is>
      </c>
      <c r="H31" s="31" t="n">
        <v>14427.09</v>
      </c>
      <c r="I31" s="31" t="n">
        <v>737.65</v>
      </c>
      <c r="J31" s="31" t="n">
        <v>2.2</v>
      </c>
      <c r="K31" s="31" t="n">
        <v>0</v>
      </c>
      <c r="L31" s="30" t="n">
        <v>92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86.42</v>
      </c>
      <c r="P31" s="31" t="n">
        <v>70.91</v>
      </c>
      <c r="Q31" s="31" t="n">
        <v>590.78</v>
      </c>
      <c r="R31" s="30" t="inlineStr">
        <is>
          <t>Volume Spike &amp; Near 52W High Breakout</t>
        </is>
      </c>
      <c r="S31" s="30" t="inlineStr">
        <is>
          <t>Nifty Pharma</t>
        </is>
      </c>
      <c r="T31" s="31" t="n">
        <v>24.42</v>
      </c>
      <c r="U31" s="31" t="n">
        <v>80.25</v>
      </c>
      <c r="V31" s="31" t="n">
        <v>44.88</v>
      </c>
      <c r="W31" s="31" t="n">
        <v>31.1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Annuity, Lower One Time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26</t>
        </is>
      </c>
      <c r="CG31" s="30">
        <f>IF(CF31&gt;20,10,IF(CF31&gt;=10,5,2))</f>
        <v/>
      </c>
    </row>
    <row r="32">
      <c r="A32" s="30">
        <f>IF(B32=0,"",RANK(B32,$B$2:$B$91,0))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3" t="inlineStr">
        <is>
          <t>JOJO</t>
        </is>
      </c>
      <c r="D32" s="33" t="inlineStr">
        <is>
          <t>JOJO Ltd</t>
        </is>
      </c>
      <c r="E32" s="30" t="inlineStr">
        <is>
          <t>Communication Services</t>
        </is>
      </c>
      <c r="F32" s="30" t="inlineStr">
        <is>
          <t>Pharma - Others</t>
        </is>
      </c>
      <c r="G32" s="30" t="inlineStr">
        <is>
          <t>smallcap</t>
        </is>
      </c>
      <c r="H32" s="31" t="n">
        <v>1078.38</v>
      </c>
      <c r="I32" s="31" t="n">
        <v>312.75</v>
      </c>
      <c r="J32" s="31" t="n">
        <v>3.68</v>
      </c>
      <c r="K32" s="31" t="n">
        <v>0</v>
      </c>
      <c r="L32" s="30" t="n">
        <v>75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68.78</v>
      </c>
      <c r="P32" s="31" t="n">
        <v>24.9</v>
      </c>
      <c r="Q32" s="31" t="n">
        <v>185.33</v>
      </c>
      <c r="R32" s="30" t="inlineStr">
        <is>
          <t>Volume Spike &amp; Near 52W High Breakout</t>
        </is>
      </c>
      <c r="S32" s="30" t="inlineStr">
        <is>
          <t>Nifty 50</t>
        </is>
      </c>
      <c r="T32" s="31" t="n">
        <v>1.09</v>
      </c>
      <c r="U32" s="31" t="n">
        <v>91.83</v>
      </c>
      <c r="V32" s="31" t="n">
        <v>89.77</v>
      </c>
      <c r="W32" s="31" t="n">
        <v>18.88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26</t>
        </is>
      </c>
      <c r="CG32" s="30">
        <f>IF(CF32&gt;20,10,IF(CF32&gt;=10,5,2))</f>
        <v/>
      </c>
    </row>
    <row r="33">
      <c r="A33" s="30">
        <f>IF(B33=0,"",RANK(B33,$B$2:$B$91,0))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GHCLTEXTIL</t>
        </is>
      </c>
      <c r="D33" s="30" t="inlineStr">
        <is>
          <t>GHCL Textiles Ltd</t>
        </is>
      </c>
      <c r="E33" s="30" t="inlineStr">
        <is>
          <t>textiles</t>
        </is>
      </c>
      <c r="F33" s="30" t="inlineStr">
        <is>
          <t>Textiles - General</t>
        </is>
      </c>
      <c r="G33" s="30" t="inlineStr">
        <is>
          <t>smallcap</t>
        </is>
      </c>
      <c r="H33" s="31" t="n">
        <v>1150.47</v>
      </c>
      <c r="I33" s="31" t="n">
        <v>120.36</v>
      </c>
      <c r="J33" s="31" t="n">
        <v>4.7</v>
      </c>
      <c r="K33" s="31" t="n">
        <v>0</v>
      </c>
      <c r="L33" s="30" t="n">
        <v>67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72.26000000000001</v>
      </c>
      <c r="P33" s="31" t="n">
        <v>30.32</v>
      </c>
      <c r="Q33" s="31" t="n">
        <v>91.89</v>
      </c>
      <c r="R33" s="30" t="inlineStr">
        <is>
          <t>Near 52W High Breakout</t>
        </is>
      </c>
      <c r="S33" s="30" t="inlineStr">
        <is>
          <t>Nifty 50</t>
        </is>
      </c>
      <c r="T33" s="31" t="n">
        <v>1.09</v>
      </c>
      <c r="U33" s="31" t="n">
        <v>50.26</v>
      </c>
      <c r="V33" s="31" t="n">
        <v>48.65</v>
      </c>
      <c r="W33" s="31" t="n">
        <v>15.38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24</t>
        </is>
      </c>
      <c r="CG33" s="30">
        <f>IF(CF33&gt;20,10,IF(CF33&gt;=10,5,2))</f>
        <v/>
      </c>
    </row>
    <row r="34">
      <c r="A34" s="30">
        <f>IF(B34=0,"",RANK(B34,$B$2:$B$91,0))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MPSLTD</t>
        </is>
      </c>
      <c r="D34" s="30" t="inlineStr">
        <is>
          <t>MPS Ltd</t>
        </is>
      </c>
      <c r="E34" s="30" t="inlineStr">
        <is>
          <t>i.t</t>
        </is>
      </c>
      <c r="F34" s="30" t="inlineStr">
        <is>
          <t>E-Commerce - Platform - Utility</t>
        </is>
      </c>
      <c r="G34" s="30" t="inlineStr">
        <is>
          <t>smallcap</t>
        </is>
      </c>
      <c r="H34" s="31" t="n">
        <v>4736.43</v>
      </c>
      <c r="I34" s="31" t="n">
        <v>2768.9</v>
      </c>
      <c r="J34" s="31" t="n">
        <v>-3.65</v>
      </c>
      <c r="K34" s="31" t="n">
        <v>0</v>
      </c>
      <c r="L34" s="30" t="n">
        <v>81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75.09</v>
      </c>
      <c r="P34" s="31" t="n">
        <v>30.66</v>
      </c>
      <c r="Q34" s="31" t="n">
        <v>2172.62</v>
      </c>
      <c r="R34" s="30" t="inlineStr">
        <is>
          <t>Near 52W High Breakout</t>
        </is>
      </c>
      <c r="S34" s="30" t="inlineStr">
        <is>
          <t>Nifty IT</t>
        </is>
      </c>
      <c r="T34" s="31" t="n">
        <v>-9.289999999999999</v>
      </c>
      <c r="U34" s="31" t="n">
        <v>25.44</v>
      </c>
      <c r="V34" s="31" t="n">
        <v>38.29</v>
      </c>
      <c r="W34" s="31" t="n">
        <v>21.1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Oligopoly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24</t>
        </is>
      </c>
      <c r="CG34" s="30">
        <f>IF(CF34&gt;20,10,IF(CF34&gt;=10,5,2))</f>
        <v/>
      </c>
    </row>
    <row r="35">
      <c r="A35" s="30">
        <f>IF(B35=0,"",RANK(B35,$B$2:$B$91,0))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3" t="inlineStr">
        <is>
          <t>RATEGAIN</t>
        </is>
      </c>
      <c r="D35" s="33" t="inlineStr">
        <is>
          <t>Rategain Travel Technologies Ltd</t>
        </is>
      </c>
      <c r="E35" s="30" t="inlineStr">
        <is>
          <t>i.t</t>
        </is>
      </c>
      <c r="F35" s="30" t="inlineStr">
        <is>
          <t>IT Product Companies</t>
        </is>
      </c>
      <c r="G35" s="30" t="inlineStr">
        <is>
          <t>midcap</t>
        </is>
      </c>
      <c r="H35" s="31" t="n">
        <v>11226.74</v>
      </c>
      <c r="I35" s="31" t="n">
        <v>947.7</v>
      </c>
      <c r="J35" s="31" t="n">
        <v>-3.14</v>
      </c>
      <c r="K35" s="31" t="n">
        <v>0</v>
      </c>
      <c r="L35" s="30" t="n">
        <v>90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75.09</v>
      </c>
      <c r="P35" s="31" t="n">
        <v>41.38</v>
      </c>
      <c r="Q35" s="31" t="n">
        <v>770.8099999999999</v>
      </c>
      <c r="R35" s="30" t="inlineStr">
        <is>
          <t>Near 52W High Breakout</t>
        </is>
      </c>
      <c r="S35" s="30" t="inlineStr">
        <is>
          <t>Nifty IT</t>
        </is>
      </c>
      <c r="T35" s="31" t="n">
        <v>-9.289999999999999</v>
      </c>
      <c r="U35" s="31" t="n">
        <v>108.23</v>
      </c>
      <c r="V35" s="31" t="n">
        <v>129.55</v>
      </c>
      <c r="W35" s="31" t="n">
        <v>29.68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Between 50% to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24</t>
        </is>
      </c>
      <c r="CG35" s="30">
        <f>IF(CF35&gt;20,10,IF(CF35&gt;=10,5,2))</f>
        <v/>
      </c>
    </row>
    <row r="36">
      <c r="A36" s="30">
        <f>IF(B36=0,"",RANK(B36,$B$2:$B$91,0))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THELEELA</t>
        </is>
      </c>
      <c r="D36" s="30" t="inlineStr">
        <is>
          <t>Leela Palaces Hotels &amp; Resorts Ltd</t>
        </is>
      </c>
      <c r="E36" s="30" t="inlineStr">
        <is>
          <t>services</t>
        </is>
      </c>
      <c r="F36" s="30" t="inlineStr">
        <is>
          <t>Hotels</t>
        </is>
      </c>
      <c r="G36" s="30" t="inlineStr">
        <is>
          <t>midcap</t>
        </is>
      </c>
      <c r="H36" s="31" t="n">
        <v>17098.64</v>
      </c>
      <c r="I36" s="31" t="n">
        <v>512</v>
      </c>
      <c r="J36" s="31" t="n">
        <v>1.94</v>
      </c>
      <c r="K36" s="31" t="n">
        <v>0</v>
      </c>
      <c r="L36" s="30" t="n">
        <v>38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64.51000000000001</v>
      </c>
      <c r="P36" s="31" t="n">
        <v>23.48</v>
      </c>
      <c r="Q36" s="31" t="n">
        <v>415.77</v>
      </c>
      <c r="R36" s="30" t="inlineStr">
        <is>
          <t>Volume Spike &amp; Near 52W High Breakout</t>
        </is>
      </c>
      <c r="S36" s="30" t="inlineStr">
        <is>
          <t>Nifty 50</t>
        </is>
      </c>
      <c r="T36" s="31" t="n">
        <v>1.09</v>
      </c>
      <c r="U36" s="31" t="n">
        <v>18</v>
      </c>
      <c r="V36" s="31" t="n">
        <v>16.73</v>
      </c>
      <c r="W36" s="31" t="n">
        <v>7.93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22</t>
        </is>
      </c>
      <c r="CG36" s="30">
        <f>IF(CF36&gt;20,10,IF(CF36&gt;=10,5,2))</f>
        <v/>
      </c>
    </row>
    <row r="37">
      <c r="A37" s="30">
        <f>IF(B37=0,"",RANK(B37,$B$2:$B$91,0))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3" t="inlineStr">
        <is>
          <t>FIEMIND</t>
        </is>
      </c>
      <c r="D37" s="33" t="inlineStr">
        <is>
          <t>Fiem Industries Ltd</t>
        </is>
      </c>
      <c r="E37" s="30" t="inlineStr">
        <is>
          <t>auto</t>
        </is>
      </c>
      <c r="F37" s="30" t="inlineStr">
        <is>
          <t>Auto Ancillaries - 2&amp;3 Wheelers</t>
        </is>
      </c>
      <c r="G37" s="30" t="inlineStr">
        <is>
          <t>midcap</t>
        </is>
      </c>
      <c r="H37" s="31" t="n">
        <v>6523.33</v>
      </c>
      <c r="I37" s="31" t="n">
        <v>2478.5</v>
      </c>
      <c r="J37" s="31" t="n">
        <v>-0.78</v>
      </c>
      <c r="K37" s="31" t="n">
        <v>0</v>
      </c>
      <c r="L37" s="30" t="n">
        <v>39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68.88</v>
      </c>
      <c r="P37" s="31" t="n">
        <v>25.07</v>
      </c>
      <c r="Q37" s="31" t="n">
        <v>2045.21</v>
      </c>
      <c r="R37" s="30" t="inlineStr">
        <is>
          <t>Volume Spike &amp; Near 52W High Breakout</t>
        </is>
      </c>
      <c r="S37" s="30" t="inlineStr">
        <is>
          <t>Nifty Auto</t>
        </is>
      </c>
      <c r="T37" s="31" t="n">
        <v>22.44</v>
      </c>
      <c r="U37" s="31" t="n">
        <v>27.22</v>
      </c>
      <c r="V37" s="31" t="n">
        <v>3.91</v>
      </c>
      <c r="W37" s="31" t="n">
        <v>8.34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Less than 50%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21</t>
        </is>
      </c>
      <c r="CG37" s="30">
        <f>IF(CF37&gt;20,10,IF(CF37&gt;=10,5,2))</f>
        <v/>
      </c>
    </row>
    <row r="38">
      <c r="A38" s="30">
        <f>IF(B38=0,"",RANK(B38,$B$2:$B$91,0))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3" t="inlineStr">
        <is>
          <t>AETHER</t>
        </is>
      </c>
      <c r="D38" s="33" t="inlineStr">
        <is>
          <t>Aether Industries Ltd</t>
        </is>
      </c>
      <c r="E38" s="30" t="inlineStr">
        <is>
          <t>chemicals</t>
        </is>
      </c>
      <c r="F38" s="30" t="inlineStr">
        <is>
          <t>Speciality Chemicals</t>
        </is>
      </c>
      <c r="G38" s="30" t="inlineStr">
        <is>
          <t>largecap</t>
        </is>
      </c>
      <c r="H38" s="31" t="n">
        <v>21194.27</v>
      </c>
      <c r="I38" s="31" t="n">
        <v>1597</v>
      </c>
      <c r="J38" s="31" t="n">
        <v>0.48</v>
      </c>
      <c r="K38" s="31" t="n">
        <v>0</v>
      </c>
      <c r="L38" s="30" t="n">
        <v>85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75.05</v>
      </c>
      <c r="P38" s="31" t="n">
        <v>45.72</v>
      </c>
      <c r="Q38" s="31" t="n">
        <v>1274.07</v>
      </c>
      <c r="R38" s="30" t="inlineStr">
        <is>
          <t>Near 52W High Breakout</t>
        </is>
      </c>
      <c r="S38" s="30" t="inlineStr">
        <is>
          <t>Nifty 50</t>
        </is>
      </c>
      <c r="T38" s="31" t="n">
        <v>1.09</v>
      </c>
      <c r="U38" s="31" t="n">
        <v>117.33</v>
      </c>
      <c r="V38" s="31" t="n">
        <v>114.99</v>
      </c>
      <c r="W38" s="31" t="n">
        <v>24.12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20</t>
        </is>
      </c>
      <c r="CG38" s="30">
        <f>IF(CF38&gt;20,10,IF(CF38&gt;=10,5,2))</f>
        <v/>
      </c>
    </row>
    <row r="39">
      <c r="A39" s="30">
        <f>IF(B39=0,"",RANK(B39,$B$2:$B$91,0))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3" t="inlineStr">
        <is>
          <t>UFBL</t>
        </is>
      </c>
      <c r="D39" s="33" t="inlineStr">
        <is>
          <t>United Foodbrands Ltd</t>
        </is>
      </c>
      <c r="E39" s="30" t="inlineStr">
        <is>
          <t>consumer discretionary</t>
        </is>
      </c>
      <c r="F39" s="30" t="inlineStr">
        <is>
          <t>Quick Service Restaurant - QSR</t>
        </is>
      </c>
      <c r="G39" s="30" t="inlineStr">
        <is>
          <t>smallcap</t>
        </is>
      </c>
      <c r="H39" s="31" t="n">
        <v>3170.1</v>
      </c>
      <c r="I39" s="31" t="n">
        <v>810.4</v>
      </c>
      <c r="J39" s="31" t="n">
        <v>4.99</v>
      </c>
      <c r="K39" s="31" t="n">
        <v>0</v>
      </c>
      <c r="L39" s="30" t="n">
        <v>98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79.92</v>
      </c>
      <c r="P39" s="31" t="n">
        <v>55.97</v>
      </c>
      <c r="Q39" s="31" t="n">
        <v>606.83</v>
      </c>
      <c r="R39" s="30" t="inlineStr">
        <is>
          <t>Near 52W High Breakout</t>
        </is>
      </c>
      <c r="S39" s="30" t="inlineStr">
        <is>
          <t>Nifty 50</t>
        </is>
      </c>
      <c r="T39" s="31" t="n">
        <v>1.09</v>
      </c>
      <c r="U39" s="31" t="n">
        <v>220</v>
      </c>
      <c r="V39" s="31" t="n">
        <v>216.56</v>
      </c>
      <c r="W39" s="31" t="n">
        <v>56.01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Between 1.5 to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More than 1.2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20</t>
        </is>
      </c>
      <c r="CG39" s="30">
        <f>IF(CF39&gt;20,10,IF(CF39&gt;=10,5,2))</f>
        <v/>
      </c>
    </row>
    <row r="40">
      <c r="A40" s="30">
        <f>IF(B40=0,"",RANK(B40,$B$2:$B$91,0))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LAURUSLABS</t>
        </is>
      </c>
      <c r="D40" s="30" t="inlineStr">
        <is>
          <t>Laurus Labs Ltd</t>
        </is>
      </c>
      <c r="E40" s="30" t="inlineStr">
        <is>
          <t>healthcare</t>
        </is>
      </c>
      <c r="F40" s="30" t="inlineStr">
        <is>
          <t>Pharma - API &amp; CRAMS</t>
        </is>
      </c>
      <c r="G40" s="30" t="inlineStr">
        <is>
          <t>largecap</t>
        </is>
      </c>
      <c r="H40" s="31" t="n">
        <v>98877.14</v>
      </c>
      <c r="I40" s="31" t="n">
        <v>1830</v>
      </c>
      <c r="J40" s="31" t="n">
        <v>-0.27</v>
      </c>
      <c r="K40" s="31" t="n">
        <v>0</v>
      </c>
      <c r="L40" s="30" t="n">
        <v>89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86.15000000000001</v>
      </c>
      <c r="P40" s="31" t="n">
        <v>62.24</v>
      </c>
      <c r="Q40" s="31" t="n">
        <v>1573.18</v>
      </c>
      <c r="R40" s="30" t="inlineStr">
        <is>
          <t>Near 52W High Breakout</t>
        </is>
      </c>
      <c r="S40" s="30" t="inlineStr">
        <is>
          <t>Nifty Pharma</t>
        </is>
      </c>
      <c r="T40" s="31" t="n">
        <v>24.42</v>
      </c>
      <c r="U40" s="31" t="n">
        <v>123.74</v>
      </c>
      <c r="V40" s="31" t="n">
        <v>79.83</v>
      </c>
      <c r="W40" s="31" t="n">
        <v>28.92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22</t>
        </is>
      </c>
      <c r="CG40" s="30">
        <f>IF(CF40&gt;20,10,IF(CF40&gt;=10,5,2))</f>
        <v/>
      </c>
    </row>
    <row r="41">
      <c r="A41" s="30">
        <f>IF(B41=0,"",RANK(B41,$B$2:$B$91,0))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SOTL</t>
        </is>
      </c>
      <c r="D41" s="30" t="inlineStr">
        <is>
          <t>Savita Oil Technologies Ltd</t>
        </is>
      </c>
      <c r="E41" s="30" t="inlineStr">
        <is>
          <t>energy</t>
        </is>
      </c>
      <c r="F41" s="30" t="inlineStr">
        <is>
          <t>Petrochem - Others</t>
        </is>
      </c>
      <c r="G41" s="30" t="inlineStr">
        <is>
          <t>midcap</t>
        </is>
      </c>
      <c r="H41" s="31" t="n">
        <v>5423.13</v>
      </c>
      <c r="I41" s="31" t="n">
        <v>791</v>
      </c>
      <c r="J41" s="31" t="n">
        <v>16.49</v>
      </c>
      <c r="K41" s="31" t="n">
        <v>0</v>
      </c>
      <c r="L41" s="30" t="n">
        <v>96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73.09999999999999</v>
      </c>
      <c r="P41" s="31" t="n">
        <v>47.96</v>
      </c>
      <c r="Q41" s="31" t="n">
        <v>563.16</v>
      </c>
      <c r="R41" s="30" t="inlineStr">
        <is>
          <t>Volume Spike &amp; Near 52W High Breakout</t>
        </is>
      </c>
      <c r="S41" s="30" t="inlineStr">
        <is>
          <t>Nifty Energy</t>
        </is>
      </c>
      <c r="T41" s="31" t="n">
        <v>9.720000000000001</v>
      </c>
      <c r="U41" s="31" t="n">
        <v>93.73999999999999</v>
      </c>
      <c r="V41" s="31" t="n">
        <v>76.58</v>
      </c>
      <c r="W41" s="31" t="n">
        <v>43.25</v>
      </c>
      <c r="X41" s="30" t="inlineStr">
        <is>
          <t>Cyclical in an Upturn</t>
        </is>
      </c>
      <c r="Y41" s="30">
        <f>IF(X41="Growing Industry",10,IF(X41="Cyclical in an Upturn",5,0))</f>
        <v/>
      </c>
      <c r="Z41" s="30" t="inlineStr">
        <is>
          <t>Oligopoly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Cyclical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Volatile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31</t>
        </is>
      </c>
      <c r="CG41" s="30">
        <f>IF(CF41&gt;20,10,IF(CF41&gt;=10,5,2))</f>
        <v/>
      </c>
    </row>
    <row r="42">
      <c r="A42" s="30">
        <f>IF(B42=0,"",RANK(B42,$B$2:$B$91,0))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CRAFTSMAN</t>
        </is>
      </c>
      <c r="D42" s="30" t="inlineStr">
        <is>
          <t>Craftsman Automation Ltd</t>
        </is>
      </c>
      <c r="E42" s="30" t="inlineStr">
        <is>
          <t>auto</t>
        </is>
      </c>
      <c r="F42" s="30" t="inlineStr">
        <is>
          <t>Auto &amp; Auto Ancl - CV</t>
        </is>
      </c>
      <c r="G42" s="30" t="inlineStr">
        <is>
          <t>largecap</t>
        </is>
      </c>
      <c r="H42" s="31" t="n">
        <v>27462.15</v>
      </c>
      <c r="I42" s="31" t="n">
        <v>10500</v>
      </c>
      <c r="J42" s="31" t="n">
        <v>0.88</v>
      </c>
      <c r="K42" s="31" t="n">
        <v>0</v>
      </c>
      <c r="L42" s="30" t="n">
        <v>77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71.14</v>
      </c>
      <c r="P42" s="31" t="n">
        <v>61.46</v>
      </c>
      <c r="Q42" s="31" t="n">
        <v>8581.58</v>
      </c>
      <c r="R42" s="30" t="inlineStr">
        <is>
          <t>Near 52W High Breakout</t>
        </is>
      </c>
      <c r="S42" s="30" t="inlineStr">
        <is>
          <t>Nifty Auto</t>
        </is>
      </c>
      <c r="T42" s="31" t="n">
        <v>22.44</v>
      </c>
      <c r="U42" s="31" t="n">
        <v>68.25</v>
      </c>
      <c r="V42" s="31" t="n">
        <v>37.42</v>
      </c>
      <c r="W42" s="31" t="n">
        <v>19.69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Between 0.7 to 1.2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24</t>
        </is>
      </c>
      <c r="CG42" s="30">
        <f>IF(CF42&gt;20,10,IF(CF42&gt;=10,5,2))</f>
        <v/>
      </c>
    </row>
    <row r="43">
      <c r="A43" s="30">
        <f>IF(B43=0,"",RANK(B43,$B$2:$B$91,0))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RAIN</t>
        </is>
      </c>
      <c r="D43" s="30" t="inlineStr">
        <is>
          <t>Rain Industries Ltd</t>
        </is>
      </c>
      <c r="E43" s="30" t="inlineStr">
        <is>
          <t>miscellaneous</t>
        </is>
      </c>
      <c r="F43" s="30" t="inlineStr">
        <is>
          <t>Cement</t>
        </is>
      </c>
      <c r="G43" s="30" t="inlineStr">
        <is>
          <t>midcap</t>
        </is>
      </c>
      <c r="H43" s="31" t="n">
        <v>8092.48</v>
      </c>
      <c r="I43" s="31" t="n">
        <v>240.6</v>
      </c>
      <c r="J43" s="31" t="n">
        <v>-0.86</v>
      </c>
      <c r="K43" s="31" t="n">
        <v>0</v>
      </c>
      <c r="L43" s="30" t="n">
        <v>86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77.98999999999999</v>
      </c>
      <c r="P43" s="31" t="n">
        <v>47.93</v>
      </c>
      <c r="Q43" s="31" t="n">
        <v>188.12</v>
      </c>
      <c r="R43" s="30" t="inlineStr">
        <is>
          <t>Near 52W High Breakout</t>
        </is>
      </c>
      <c r="S43" s="30" t="inlineStr">
        <is>
          <t>Nifty 50</t>
        </is>
      </c>
      <c r="T43" s="31" t="n">
        <v>1.09</v>
      </c>
      <c r="U43" s="31" t="n">
        <v>51.53</v>
      </c>
      <c r="V43" s="31" t="n">
        <v>49.9</v>
      </c>
      <c r="W43" s="31" t="n">
        <v>26.01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More than 1.2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19</t>
        </is>
      </c>
      <c r="CG43" s="30">
        <f>IF(CF43&gt;20,10,IF(CF43&gt;=10,5,2))</f>
        <v/>
      </c>
    </row>
    <row r="44">
      <c r="A44" s="30">
        <f>IF(B44=0,"",RANK(B44,$B$2:$B$91,0))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KERNEX</t>
        </is>
      </c>
      <c r="D44" s="30" t="inlineStr">
        <is>
          <t>Kernex Microsystems (India) Ltd</t>
        </is>
      </c>
      <c r="E44" s="30" t="inlineStr">
        <is>
          <t>consumer discretionary</t>
        </is>
      </c>
      <c r="F44" s="30" t="inlineStr">
        <is>
          <t>Railways - Kavach/Springs</t>
        </is>
      </c>
      <c r="G44" s="30" t="inlineStr">
        <is>
          <t>smallcap</t>
        </is>
      </c>
      <c r="H44" s="31" t="n">
        <v>4120.25</v>
      </c>
      <c r="I44" s="31" t="n">
        <v>2452</v>
      </c>
      <c r="J44" s="31" t="n">
        <v>-3.81</v>
      </c>
      <c r="K44" s="31" t="n">
        <v>0</v>
      </c>
      <c r="L44" s="30" t="n">
        <v>93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73.90000000000001</v>
      </c>
      <c r="P44" s="31" t="n">
        <v>60.44</v>
      </c>
      <c r="Q44" s="31" t="n">
        <v>1871.64</v>
      </c>
      <c r="R44" s="30" t="inlineStr">
        <is>
          <t>Near 52W High Breakout</t>
        </is>
      </c>
      <c r="S44" s="30" t="inlineStr">
        <is>
          <t>Nifty 50</t>
        </is>
      </c>
      <c r="T44" s="31" t="n">
        <v>1.09</v>
      </c>
      <c r="U44" s="31" t="n">
        <v>135.09</v>
      </c>
      <c r="V44" s="31" t="n">
        <v>132.56</v>
      </c>
      <c r="W44" s="31" t="n">
        <v>33.21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Negative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19</t>
        </is>
      </c>
      <c r="CG44" s="30">
        <f>IF(CF44&gt;20,10,IF(CF44&gt;=10,5,2))</f>
        <v/>
      </c>
    </row>
    <row r="45">
      <c r="A45" s="30">
        <f>IF(B45=0,"",RANK(B45,$B$2:$B$91,0))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DIVISLAB</t>
        </is>
      </c>
      <c r="D45" s="30" t="inlineStr">
        <is>
          <t>Divis Laboratories Ltd</t>
        </is>
      </c>
      <c r="E45" s="30" t="inlineStr">
        <is>
          <t>healthcare</t>
        </is>
      </c>
      <c r="F45" s="30" t="inlineStr">
        <is>
          <t>Pharma - API &amp; CRAMS</t>
        </is>
      </c>
      <c r="G45" s="30" t="inlineStr">
        <is>
          <t>largecap</t>
        </is>
      </c>
      <c r="H45" s="31" t="n">
        <v>221639.72</v>
      </c>
      <c r="I45" s="31" t="n">
        <v>8349</v>
      </c>
      <c r="J45" s="31" t="n">
        <v>-0.46</v>
      </c>
      <c r="K45" s="31" t="n">
        <v>0</v>
      </c>
      <c r="L45" s="30" t="n">
        <v>59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82.98999999999999</v>
      </c>
      <c r="P45" s="31" t="n">
        <v>28.21</v>
      </c>
      <c r="Q45" s="31" t="n">
        <v>7292.05</v>
      </c>
      <c r="R45" s="30" t="inlineStr">
        <is>
          <t>Near 52W High Breakout</t>
        </is>
      </c>
      <c r="S45" s="30" t="inlineStr">
        <is>
          <t>Nifty Pharma</t>
        </is>
      </c>
      <c r="T45" s="31" t="n">
        <v>24.42</v>
      </c>
      <c r="U45" s="31" t="n">
        <v>42.56</v>
      </c>
      <c r="V45" s="31" t="n">
        <v>14.58</v>
      </c>
      <c r="W45" s="31" t="n">
        <v>13.15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Annuity, Lower One Time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19</t>
        </is>
      </c>
      <c r="CG45" s="30">
        <f>IF(CF45&gt;20,10,IF(CF45&gt;=10,5,2))</f>
        <v/>
      </c>
    </row>
    <row r="46">
      <c r="A46" s="30">
        <f>IF(B46=0,"",RANK(B46,$B$2:$B$91,0))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YASHO</t>
        </is>
      </c>
      <c r="D46" s="30" t="inlineStr">
        <is>
          <t>Yasho Industries Ltd</t>
        </is>
      </c>
      <c r="E46" s="30" t="inlineStr">
        <is>
          <t>chemicals</t>
        </is>
      </c>
      <c r="F46" s="30" t="inlineStr">
        <is>
          <t>Speciality Chemicals</t>
        </is>
      </c>
      <c r="G46" s="30" t="inlineStr">
        <is>
          <t>midcap</t>
        </is>
      </c>
      <c r="H46" s="31" t="n">
        <v>5003.69</v>
      </c>
      <c r="I46" s="31" t="n">
        <v>4150</v>
      </c>
      <c r="J46" s="31" t="n">
        <v>-0.18</v>
      </c>
      <c r="K46" s="31" t="n">
        <v>0</v>
      </c>
      <c r="L46" s="30" t="n">
        <v>98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91.70999999999999</v>
      </c>
      <c r="P46" s="31" t="n">
        <v>60.14</v>
      </c>
      <c r="Q46" s="31" t="n">
        <v>3188.3</v>
      </c>
      <c r="R46" s="30" t="inlineStr">
        <is>
          <t>Volume Spike &amp; Near 52W High Breakout</t>
        </is>
      </c>
      <c r="S46" s="30" t="inlineStr">
        <is>
          <t>Nifty 50</t>
        </is>
      </c>
      <c r="T46" s="31" t="n">
        <v>1.09</v>
      </c>
      <c r="U46" s="31" t="n">
        <v>138.11</v>
      </c>
      <c r="V46" s="31" t="n">
        <v>135.55</v>
      </c>
      <c r="W46" s="31" t="n">
        <v>66.09999999999999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More than 1.2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25</t>
        </is>
      </c>
      <c r="CG46" s="30">
        <f>IF(CF46&gt;20,10,IF(CF46&gt;=10,5,2))</f>
        <v/>
      </c>
    </row>
    <row r="47">
      <c r="A47" s="30">
        <f>IF(B47=0,"",RANK(B47,$B$2:$B$91,0))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CHENNPETRO</t>
        </is>
      </c>
      <c r="D47" s="30" t="inlineStr">
        <is>
          <t>Chennai Petroleum Corporation Ltd</t>
        </is>
      </c>
      <c r="E47" s="30" t="inlineStr">
        <is>
          <t>energy</t>
        </is>
      </c>
      <c r="F47" s="30" t="inlineStr">
        <is>
          <t>Refineries</t>
        </is>
      </c>
      <c r="G47" s="30" t="inlineStr">
        <is>
          <t>midcap</t>
        </is>
      </c>
      <c r="H47" s="31" t="n">
        <v>19249.78</v>
      </c>
      <c r="I47" s="31" t="n">
        <v>1292.7</v>
      </c>
      <c r="J47" s="31" t="n">
        <v>-0.86</v>
      </c>
      <c r="K47" s="31" t="n">
        <v>0</v>
      </c>
      <c r="L47" s="30" t="n">
        <v>75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68.48</v>
      </c>
      <c r="P47" s="31" t="n">
        <v>48.5</v>
      </c>
      <c r="Q47" s="31" t="n">
        <v>959.96</v>
      </c>
      <c r="R47" s="30" t="inlineStr">
        <is>
          <t>Near 52W High Breakout</t>
        </is>
      </c>
      <c r="S47" s="30" t="inlineStr">
        <is>
          <t>Nifty Energy</t>
        </is>
      </c>
      <c r="T47" s="31" t="n">
        <v>9.720000000000001</v>
      </c>
      <c r="U47" s="31" t="n">
        <v>90.90000000000001</v>
      </c>
      <c r="V47" s="31" t="n">
        <v>74</v>
      </c>
      <c r="W47" s="31" t="n">
        <v>19.18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Oligopoly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Cyclical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Volatile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24</t>
        </is>
      </c>
      <c r="CG47" s="30">
        <f>IF(CF47&gt;20,10,IF(CF47&gt;=10,5,2))</f>
        <v/>
      </c>
    </row>
    <row r="48">
      <c r="A48" s="30">
        <f>IF(B48=0,"",RANK(B48,$B$2:$B$91,0))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KRISHANA</t>
        </is>
      </c>
      <c r="D48" s="30" t="inlineStr">
        <is>
          <t>Krishana Phoschem Ltd</t>
        </is>
      </c>
      <c r="E48" s="30" t="inlineStr">
        <is>
          <t>chemicals</t>
        </is>
      </c>
      <c r="F48" s="30" t="inlineStr">
        <is>
          <t>Fertilisers</t>
        </is>
      </c>
      <c r="G48" s="30" t="inlineStr">
        <is>
          <t>midcap</t>
        </is>
      </c>
      <c r="H48" s="31" t="n">
        <v>5545.94</v>
      </c>
      <c r="I48" s="31" t="n">
        <v>179.4</v>
      </c>
      <c r="J48" s="31" t="n">
        <v>0.37</v>
      </c>
      <c r="K48" s="31" t="n">
        <v>0</v>
      </c>
      <c r="L48" s="30" t="n">
        <v>75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76.88</v>
      </c>
      <c r="P48" s="31" t="n">
        <v>45.36</v>
      </c>
      <c r="Q48" s="31" t="n">
        <v>139.55</v>
      </c>
      <c r="R48" s="30" t="inlineStr">
        <is>
          <t>Near 52W High Breakout</t>
        </is>
      </c>
      <c r="S48" s="30" t="inlineStr">
        <is>
          <t>Nifty 50</t>
        </is>
      </c>
      <c r="T48" s="31" t="n">
        <v>1.09</v>
      </c>
      <c r="U48" s="31" t="n">
        <v>74.48999999999999</v>
      </c>
      <c r="V48" s="31" t="n">
        <v>72.61</v>
      </c>
      <c r="W48" s="31" t="n">
        <v>18.75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More than 1.2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22</t>
        </is>
      </c>
      <c r="CG48" s="30">
        <f>IF(CF48&gt;20,10,IF(CF48&gt;=10,5,2))</f>
        <v/>
      </c>
    </row>
    <row r="49">
      <c r="A49" s="30">
        <f>IF(B49=0,"",RANK(B49,$B$2:$B$91,0))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IRISDOREME</t>
        </is>
      </c>
      <c r="D49" s="30" t="inlineStr">
        <is>
          <t>Iris Clothings Ltd</t>
        </is>
      </c>
      <c r="E49" s="30" t="inlineStr">
        <is>
          <t>consumer discretionary</t>
        </is>
      </c>
      <c r="F49" s="30" t="inlineStr">
        <is>
          <t>Textiles - Readymade Apparel</t>
        </is>
      </c>
      <c r="G49" s="30" t="inlineStr">
        <is>
          <t>smallcap</t>
        </is>
      </c>
      <c r="H49" s="31" t="n">
        <v>1025.89</v>
      </c>
      <c r="I49" s="31" t="n">
        <v>53.9</v>
      </c>
      <c r="J49" s="31" t="n">
        <v>0.79</v>
      </c>
      <c r="K49" s="31" t="n">
        <v>0</v>
      </c>
      <c r="L49" s="30" t="n">
        <v>79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82.13</v>
      </c>
      <c r="P49" s="31" t="n">
        <v>35.67</v>
      </c>
      <c r="Q49" s="31" t="n">
        <v>40.93</v>
      </c>
      <c r="R49" s="30" t="inlineStr">
        <is>
          <t>Near 52W High Breakout</t>
        </is>
      </c>
      <c r="S49" s="30" t="inlineStr">
        <is>
          <t>Nifty 50</t>
        </is>
      </c>
      <c r="T49" s="31" t="n">
        <v>1.09</v>
      </c>
      <c r="U49" s="31" t="n">
        <v>63.95</v>
      </c>
      <c r="V49" s="31" t="n">
        <v>62.18</v>
      </c>
      <c r="W49" s="31" t="n">
        <v>20.54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22</t>
        </is>
      </c>
      <c r="CG49" s="30">
        <f>IF(CF49&gt;20,10,IF(CF49&gt;=10,5,2))</f>
        <v/>
      </c>
    </row>
    <row r="50">
      <c r="A50" s="30">
        <f>IF(B50=0,"",RANK(B50,$B$2:$B$91,0))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2" t="inlineStr">
        <is>
          <t>DPABHUSHAN</t>
        </is>
      </c>
      <c r="D50" s="32" t="inlineStr">
        <is>
          <t>DP Abhushan Ltd</t>
        </is>
      </c>
      <c r="E50" s="30" t="inlineStr">
        <is>
          <t>consumer discretionary</t>
        </is>
      </c>
      <c r="F50" s="30" t="inlineStr">
        <is>
          <t>Diamond, Gems &amp; Jewellery</t>
        </is>
      </c>
      <c r="G50" s="30" t="inlineStr">
        <is>
          <t>smallcap</t>
        </is>
      </c>
      <c r="H50" s="31" t="n">
        <v>3344.29</v>
      </c>
      <c r="I50" s="31" t="n">
        <v>1465</v>
      </c>
      <c r="J50" s="31" t="n">
        <v>-2.02</v>
      </c>
      <c r="K50" s="31" t="n">
        <v>0</v>
      </c>
      <c r="L50" s="30" t="n">
        <v>29</v>
      </c>
      <c r="M50" s="30" t="inlineStr">
        <is>
          <t>Underperforming</t>
        </is>
      </c>
      <c r="N50" s="31">
        <f>IF(M50="Underperforming",-5,IF(L50&gt;=95,15,IF(L50&gt;=90,10,IF(L50&gt;=80,5,0))))</f>
        <v/>
      </c>
      <c r="O50" s="31" t="n">
        <v>67.34</v>
      </c>
      <c r="P50" s="31" t="n">
        <v>31.65</v>
      </c>
      <c r="Q50" s="31" t="n">
        <v>1059.62</v>
      </c>
      <c r="R50" s="30" t="inlineStr">
        <is>
          <t>Earnings / Momentum Support</t>
        </is>
      </c>
      <c r="S50" s="30" t="inlineStr">
        <is>
          <t>Nifty 50</t>
        </is>
      </c>
      <c r="T50" s="31" t="n">
        <v>1.09</v>
      </c>
      <c r="U50" s="31" t="n">
        <v>-10.16</v>
      </c>
      <c r="V50" s="31" t="n">
        <v>-11.12</v>
      </c>
      <c r="W50" s="31" t="n">
        <v>5.65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No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21</t>
        </is>
      </c>
      <c r="CG50" s="30">
        <f>IF(CF50&gt;20,10,IF(CF50&gt;=10,5,2))</f>
        <v/>
      </c>
    </row>
    <row r="51">
      <c r="A51" s="30">
        <f>IF(B51=0,"",RANK(B51,$B$2:$B$91,0))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SIGMAADV</t>
        </is>
      </c>
      <c r="D51" s="30" t="inlineStr">
        <is>
          <t>Sigma Advanced System Ltd</t>
        </is>
      </c>
      <c r="E51" s="30" t="inlineStr">
        <is>
          <t>aerospace &amp; defence</t>
        </is>
      </c>
      <c r="F51" s="30" t="inlineStr">
        <is>
          <t>Aerospace &amp; Defence - Equipments</t>
        </is>
      </c>
      <c r="G51" s="30" t="inlineStr">
        <is>
          <t>midcap</t>
        </is>
      </c>
      <c r="H51" s="31" t="n">
        <v>13238.05</v>
      </c>
      <c r="I51" s="31" t="n">
        <v>697</v>
      </c>
      <c r="J51" s="31" t="n">
        <v>-1.06</v>
      </c>
      <c r="K51" s="31" t="n">
        <v>0</v>
      </c>
      <c r="L51" s="30" t="n">
        <v>98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78.84999999999999</v>
      </c>
      <c r="P51" s="31" t="n">
        <v>67.31999999999999</v>
      </c>
      <c r="Q51" s="31" t="n">
        <v>532.42</v>
      </c>
      <c r="R51" s="30" t="inlineStr">
        <is>
          <t>Near 52W High Breakout</t>
        </is>
      </c>
      <c r="S51" s="30" t="inlineStr">
        <is>
          <t>Nifty 50</t>
        </is>
      </c>
      <c r="T51" s="31" t="n">
        <v>1.09</v>
      </c>
      <c r="U51" s="31" t="n">
        <v>505.37</v>
      </c>
      <c r="V51" s="31" t="n">
        <v>498.86</v>
      </c>
      <c r="W51" s="31" t="n">
        <v>76.33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Negative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Between 0.7 to 1.2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20</t>
        </is>
      </c>
      <c r="CG51" s="30">
        <f>IF(CF51&gt;20,10,IF(CF51&gt;=10,5,2))</f>
        <v/>
      </c>
    </row>
    <row r="52">
      <c r="A52" s="30">
        <f>IF(B52=0,"",RANK(B52,$B$2:$B$91,0))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3" t="inlineStr">
        <is>
          <t>IGPL</t>
        </is>
      </c>
      <c r="D52" s="33" t="inlineStr">
        <is>
          <t>I G Petrochemicals Ltd</t>
        </is>
      </c>
      <c r="E52" s="30" t="inlineStr">
        <is>
          <t>chemicals</t>
        </is>
      </c>
      <c r="F52" s="30" t="inlineStr">
        <is>
          <t>Chemicals - Organic - Maleic Anhydride</t>
        </is>
      </c>
      <c r="G52" s="30" t="inlineStr">
        <is>
          <t>smallcap</t>
        </is>
      </c>
      <c r="H52" s="31" t="n">
        <v>1554.37</v>
      </c>
      <c r="I52" s="31" t="n">
        <v>504.75</v>
      </c>
      <c r="J52" s="31" t="n">
        <v>-1.89</v>
      </c>
      <c r="K52" s="31" t="n">
        <v>0</v>
      </c>
      <c r="L52" s="30" t="n">
        <v>29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68.13</v>
      </c>
      <c r="P52" s="31" t="n">
        <v>22.23</v>
      </c>
      <c r="Q52" s="31" t="n">
        <v>400.58</v>
      </c>
      <c r="R52" s="30" t="inlineStr">
        <is>
          <t>Volume Spike &amp; Near 52W High Breakout</t>
        </is>
      </c>
      <c r="S52" s="30" t="inlineStr">
        <is>
          <t>Nifty IT</t>
        </is>
      </c>
      <c r="T52" s="31" t="n">
        <v>-9.289999999999999</v>
      </c>
      <c r="U52" s="31" t="n">
        <v>11.14</v>
      </c>
      <c r="V52" s="31" t="n">
        <v>22.52</v>
      </c>
      <c r="W52" s="31" t="n">
        <v>5.51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20</t>
        </is>
      </c>
      <c r="CG52" s="30">
        <f>IF(CF52&gt;20,10,IF(CF52&gt;=10,5,2))</f>
        <v/>
      </c>
    </row>
    <row r="53">
      <c r="A53" s="30">
        <f>IF(B53=0,"",RANK(B53,$B$2:$B$91,0))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UNIMECH</t>
        </is>
      </c>
      <c r="D53" s="30" t="inlineStr">
        <is>
          <t>Unimech Aerospace and Manufacturing Ltd</t>
        </is>
      </c>
      <c r="E53" s="30" t="inlineStr">
        <is>
          <t>aerospace &amp; defence</t>
        </is>
      </c>
      <c r="F53" s="30" t="inlineStr">
        <is>
          <t>Engineering - Heavy - General</t>
        </is>
      </c>
      <c r="G53" s="30" t="inlineStr">
        <is>
          <t>midcap</t>
        </is>
      </c>
      <c r="H53" s="31" t="n">
        <v>6795.42</v>
      </c>
      <c r="I53" s="31" t="n">
        <v>1335</v>
      </c>
      <c r="J53" s="31" t="n">
        <v>-0.72</v>
      </c>
      <c r="K53" s="31" t="n">
        <v>0</v>
      </c>
      <c r="L53" s="30" t="n">
        <v>53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67.34999999999999</v>
      </c>
      <c r="P53" s="31" t="n">
        <v>30.71</v>
      </c>
      <c r="Q53" s="31" t="n">
        <v>999.47</v>
      </c>
      <c r="R53" s="30" t="inlineStr">
        <is>
          <t>Volume Spike &amp; Near 52W High Breakout</t>
        </is>
      </c>
      <c r="S53" s="30" t="inlineStr">
        <is>
          <t>Nifty 50</t>
        </is>
      </c>
      <c r="T53" s="31" t="n">
        <v>1.09</v>
      </c>
      <c r="U53" s="31" t="n">
        <v>26.07</v>
      </c>
      <c r="V53" s="31" t="n">
        <v>24.71</v>
      </c>
      <c r="W53" s="31" t="n">
        <v>11.48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18</t>
        </is>
      </c>
      <c r="CG53" s="30">
        <f>IF(CF53&gt;20,10,IF(CF53&gt;=10,5,2))</f>
        <v/>
      </c>
    </row>
    <row r="54">
      <c r="A54" s="30">
        <f>IF(B54=0,"",RANK(B54,$B$2:$B$91,0))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3" t="inlineStr">
        <is>
          <t>MOREPENLAB</t>
        </is>
      </c>
      <c r="D54" s="33" t="inlineStr">
        <is>
          <t>Morepen Laboratories Ltd</t>
        </is>
      </c>
      <c r="E54" s="30" t="inlineStr">
        <is>
          <t>healthcare</t>
        </is>
      </c>
      <c r="F54" s="30" t="inlineStr">
        <is>
          <t>Pharma - API &amp; CRAMS</t>
        </is>
      </c>
      <c r="G54" s="30" t="inlineStr">
        <is>
          <t>smallcap</t>
        </is>
      </c>
      <c r="H54" s="31" t="n">
        <v>4358.97</v>
      </c>
      <c r="I54" s="31" t="n">
        <v>79.55</v>
      </c>
      <c r="J54" s="31" t="n">
        <v>3.38</v>
      </c>
      <c r="K54" s="31" t="n">
        <v>0</v>
      </c>
      <c r="L54" s="30" t="n">
        <v>91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77.95</v>
      </c>
      <c r="P54" s="31" t="n">
        <v>30.99</v>
      </c>
      <c r="Q54" s="31" t="n">
        <v>58.62</v>
      </c>
      <c r="R54" s="30" t="inlineStr">
        <is>
          <t>Volume Spike &amp; Near 52W High Breakout</t>
        </is>
      </c>
      <c r="S54" s="30" t="inlineStr">
        <is>
          <t>Nifty Pharma</t>
        </is>
      </c>
      <c r="T54" s="31" t="n">
        <v>24.42</v>
      </c>
      <c r="U54" s="31" t="n">
        <v>69.58</v>
      </c>
      <c r="V54" s="31" t="n">
        <v>36.3</v>
      </c>
      <c r="W54" s="31" t="n">
        <v>30.28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Annuity, Lower One Time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25</t>
        </is>
      </c>
      <c r="CG54" s="30">
        <f>IF(CF54&gt;20,10,IF(CF54&gt;=10,5,2))</f>
        <v/>
      </c>
    </row>
    <row r="55">
      <c r="A55" s="30">
        <f>IF(B55=0,"",RANK(B55,$B$2:$B$91,0))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HFCL</t>
        </is>
      </c>
      <c r="D55" s="30" t="inlineStr">
        <is>
          <t>HFCL Ltd</t>
        </is>
      </c>
      <c r="E55" s="30" t="inlineStr">
        <is>
          <t>Technology</t>
        </is>
      </c>
      <c r="F55" s="30" t="inlineStr">
        <is>
          <t>Telecom Services</t>
        </is>
      </c>
      <c r="G55" s="30" t="inlineStr">
        <is>
          <t>largecap</t>
        </is>
      </c>
      <c r="H55" s="31" t="n">
        <v>31224.29</v>
      </c>
      <c r="I55" s="31" t="n">
        <v>204</v>
      </c>
      <c r="J55" s="31" t="n">
        <v>-3.88</v>
      </c>
      <c r="K55" s="31" t="n">
        <v>0</v>
      </c>
      <c r="L55" s="30" t="n">
        <v>95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70.56999999999999</v>
      </c>
      <c r="P55" s="31" t="n">
        <v>68.13</v>
      </c>
      <c r="Q55" s="31" t="n">
        <v>157.43</v>
      </c>
      <c r="R55" s="30" t="inlineStr">
        <is>
          <t>Near 52W High Breakout</t>
        </is>
      </c>
      <c r="S55" s="30" t="inlineStr">
        <is>
          <t>Nifty 50</t>
        </is>
      </c>
      <c r="T55" s="31" t="n">
        <v>1.09</v>
      </c>
      <c r="U55" s="31" t="n">
        <v>184.62</v>
      </c>
      <c r="V55" s="31" t="n">
        <v>181.55</v>
      </c>
      <c r="W55" s="31" t="n">
        <v>38.06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Oligopoly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Annuity, Lower One Time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Negative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19</t>
        </is>
      </c>
      <c r="CG55" s="30">
        <f>IF(CF55&gt;20,10,IF(CF55&gt;=10,5,2))</f>
        <v/>
      </c>
    </row>
    <row r="56">
      <c r="A56" s="30">
        <f>IF(B56=0,"",RANK(B56,$B$2:$B$91,0))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KABRAEXTRU</t>
        </is>
      </c>
      <c r="D56" s="30" t="inlineStr">
        <is>
          <t>Kabra Extrusion Technik Ltd</t>
        </is>
      </c>
      <c r="E56" s="30" t="inlineStr">
        <is>
          <t>industrials</t>
        </is>
      </c>
      <c r="F56" s="30" t="inlineStr">
        <is>
          <t>Capital Goods - Engineering Heavy</t>
        </is>
      </c>
      <c r="G56" s="30" t="inlineStr">
        <is>
          <t>smallcap</t>
        </is>
      </c>
      <c r="H56" s="31" t="n">
        <v>1653.17</v>
      </c>
      <c r="I56" s="31" t="n">
        <v>472.7</v>
      </c>
      <c r="J56" s="31" t="n">
        <v>4.03</v>
      </c>
      <c r="K56" s="31" t="n">
        <v>0</v>
      </c>
      <c r="L56" s="30" t="n">
        <v>94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82.18000000000001</v>
      </c>
      <c r="P56" s="31" t="n">
        <v>28.99</v>
      </c>
      <c r="Q56" s="31" t="n">
        <v>353.73</v>
      </c>
      <c r="R56" s="30" t="inlineStr">
        <is>
          <t>Volume Spike &amp; Near 52W High Breakout</t>
        </is>
      </c>
      <c r="S56" s="30" t="inlineStr">
        <is>
          <t>Nifty 50</t>
        </is>
      </c>
      <c r="T56" s="31" t="n">
        <v>1.09</v>
      </c>
      <c r="U56" s="31" t="n">
        <v>85.16</v>
      </c>
      <c r="V56" s="31" t="n">
        <v>83.17</v>
      </c>
      <c r="W56" s="31" t="n">
        <v>36.99</v>
      </c>
      <c r="X56" s="30" t="inlineStr">
        <is>
          <t>Cyclical in an Upturn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23</t>
        </is>
      </c>
      <c r="CG56" s="30">
        <f>IF(CF56&gt;20,10,IF(CF56&gt;=10,5,2))</f>
        <v/>
      </c>
    </row>
    <row r="57">
      <c r="A57" s="30">
        <f>IF(B57=0,"",RANK(B57,$B$2:$B$91,0))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BLUESTONE</t>
        </is>
      </c>
      <c r="D57" s="30" t="inlineStr">
        <is>
          <t>Bluestone Jewellery &amp; Lifestyle Ltd</t>
        </is>
      </c>
      <c r="E57" s="30" t="inlineStr">
        <is>
          <t>Consumer Cyclical</t>
        </is>
      </c>
      <c r="F57" s="30" t="inlineStr">
        <is>
          <t>Diamond, Gems &amp; Jewellery</t>
        </is>
      </c>
      <c r="G57" s="30" t="inlineStr">
        <is>
          <t>midcap</t>
        </is>
      </c>
      <c r="H57" s="31" t="n">
        <v>12451.62</v>
      </c>
      <c r="I57" s="31" t="n">
        <v>817</v>
      </c>
      <c r="J57" s="31" t="n">
        <v>-4.56</v>
      </c>
      <c r="K57" s="31" t="n">
        <v>0</v>
      </c>
      <c r="L57" s="30" t="n">
        <v>87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77.77</v>
      </c>
      <c r="P57" s="31" t="n">
        <v>28.77</v>
      </c>
      <c r="Q57" s="31" t="n">
        <v>619.59</v>
      </c>
      <c r="R57" s="30" t="inlineStr">
        <is>
          <t>Volume Spike &amp; Near 52W High Breakout</t>
        </is>
      </c>
      <c r="S57" s="30" t="inlineStr">
        <is>
          <t>Nifty 50</t>
        </is>
      </c>
      <c r="T57" s="31" t="n">
        <v>-0.97</v>
      </c>
      <c r="U57" s="31" t="n">
        <v>54.85</v>
      </c>
      <c r="V57" s="31" t="n">
        <v>56.37</v>
      </c>
      <c r="W57" s="31" t="n">
        <v>26.61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B2C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Between 0.7 to 1.2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23</t>
        </is>
      </c>
      <c r="CG57" s="30">
        <f>IF(CF57&gt;20,10,IF(CF57&gt;=10,5,2))</f>
        <v/>
      </c>
    </row>
    <row r="58">
      <c r="A58" s="30">
        <f>IF(B58=0,"",RANK(B58,$B$2:$B$91,0))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GANDHAR</t>
        </is>
      </c>
      <c r="D58" s="30" t="inlineStr">
        <is>
          <t>Gandhar Oil Refinery (India) Ltd</t>
        </is>
      </c>
      <c r="E58" s="30" t="inlineStr">
        <is>
          <t>energy</t>
        </is>
      </c>
      <c r="F58" s="30" t="inlineStr">
        <is>
          <t>Refineries</t>
        </is>
      </c>
      <c r="G58" s="30" t="inlineStr">
        <is>
          <t>smallcap</t>
        </is>
      </c>
      <c r="H58" s="31" t="n">
        <v>2386.79</v>
      </c>
      <c r="I58" s="31" t="n">
        <v>243.85</v>
      </c>
      <c r="J58" s="31" t="n">
        <v>5.38</v>
      </c>
      <c r="K58" s="31" t="n">
        <v>0</v>
      </c>
      <c r="L58" s="30" t="n">
        <v>90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66.25</v>
      </c>
      <c r="P58" s="31" t="n">
        <v>58.14</v>
      </c>
      <c r="Q58" s="31" t="n">
        <v>205.56</v>
      </c>
      <c r="R58" s="30" t="inlineStr">
        <is>
          <t>Earnings / Momentum Support</t>
        </is>
      </c>
      <c r="S58" s="30" t="inlineStr">
        <is>
          <t>Nifty Energy</t>
        </is>
      </c>
      <c r="T58" s="31" t="n">
        <v>9.720000000000001</v>
      </c>
      <c r="U58" s="31" t="n">
        <v>49.28</v>
      </c>
      <c r="V58" s="31" t="n">
        <v>36.06</v>
      </c>
      <c r="W58" s="31" t="n">
        <v>29.43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Oligopoly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Cyclical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Volatile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No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19</t>
        </is>
      </c>
      <c r="CG58" s="30">
        <f>IF(CF58&gt;20,10,IF(CF58&gt;=10,5,2))</f>
        <v/>
      </c>
    </row>
    <row r="59">
      <c r="A59" s="30">
        <f>IF(B59=0,"",RANK(B59,$B$2:$B$91,0))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DIACABS</t>
        </is>
      </c>
      <c r="D59" s="30" t="inlineStr">
        <is>
          <t>Diamond Power Infrastructure Ltd</t>
        </is>
      </c>
      <c r="E59" s="30" t="inlineStr">
        <is>
          <t>industrials</t>
        </is>
      </c>
      <c r="F59" s="30" t="inlineStr">
        <is>
          <t>Cables - Power</t>
        </is>
      </c>
      <c r="G59" s="30" t="inlineStr">
        <is>
          <t>largecap</t>
        </is>
      </c>
      <c r="H59" s="31" t="n">
        <v>20860.72</v>
      </c>
      <c r="I59" s="31" t="n">
        <v>348.8</v>
      </c>
      <c r="J59" s="31" t="n">
        <v>5</v>
      </c>
      <c r="K59" s="31" t="n">
        <v>0</v>
      </c>
      <c r="L59" s="30" t="n">
        <v>97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87.73</v>
      </c>
      <c r="P59" s="31" t="n">
        <v>60.06</v>
      </c>
      <c r="Q59" s="31" t="n">
        <v>268.69</v>
      </c>
      <c r="R59" s="30" t="inlineStr">
        <is>
          <t>Near 52W High Breakout</t>
        </is>
      </c>
      <c r="S59" s="30" t="inlineStr">
        <is>
          <t>Nifty Energy</t>
        </is>
      </c>
      <c r="T59" s="31" t="n">
        <v>9.720000000000001</v>
      </c>
      <c r="U59" s="31" t="n">
        <v>114.16</v>
      </c>
      <c r="V59" s="31" t="n">
        <v>95.19</v>
      </c>
      <c r="W59" s="31" t="n">
        <v>47.3</v>
      </c>
      <c r="X59" s="30" t="inlineStr">
        <is>
          <t>Cyclical in an Upturn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Negative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19</t>
        </is>
      </c>
      <c r="CG59" s="30">
        <f>IF(CF59&gt;20,10,IF(CF59&gt;=10,5,2))</f>
        <v/>
      </c>
    </row>
    <row r="60">
      <c r="A60" s="30">
        <f>IF(B60=0,"",RANK(B60,$B$2:$B$91,0))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3" t="inlineStr">
        <is>
          <t>AVALON</t>
        </is>
      </c>
      <c r="D60" s="33" t="inlineStr">
        <is>
          <t>Avalon Technologies Ltd</t>
        </is>
      </c>
      <c r="E60" s="30" t="inlineStr">
        <is>
          <t>Technology</t>
        </is>
      </c>
      <c r="F60" s="30" t="inlineStr">
        <is>
          <t>Consumer Electronics - EMS</t>
        </is>
      </c>
      <c r="G60" s="30" t="inlineStr">
        <is>
          <t>midcap</t>
        </is>
      </c>
      <c r="H60" s="31" t="n">
        <v>11892.49</v>
      </c>
      <c r="I60" s="31" t="n">
        <v>1780</v>
      </c>
      <c r="J60" s="31" t="n">
        <v>-2.37</v>
      </c>
      <c r="K60" s="31" t="n">
        <v>0</v>
      </c>
      <c r="L60" s="30" t="n">
        <v>80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74.34999999999999</v>
      </c>
      <c r="P60" s="31" t="n">
        <v>57.87</v>
      </c>
      <c r="Q60" s="31" t="n">
        <v>1348.38</v>
      </c>
      <c r="R60" s="30" t="inlineStr">
        <is>
          <t>Near 52W High Breakout</t>
        </is>
      </c>
      <c r="S60" s="30" t="inlineStr">
        <is>
          <t>Nifty 50</t>
        </is>
      </c>
      <c r="T60" s="31" t="n">
        <v>1.09</v>
      </c>
      <c r="U60" s="31" t="n">
        <v>96.95999999999999</v>
      </c>
      <c r="V60" s="31" t="n">
        <v>94.84</v>
      </c>
      <c r="W60" s="31" t="n">
        <v>20.85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Negative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23</t>
        </is>
      </c>
      <c r="CG60" s="30">
        <f>IF(CF60&gt;20,10,IF(CF60&gt;=10,5,2))</f>
        <v/>
      </c>
    </row>
    <row r="61">
      <c r="A61" s="30">
        <f>IF(B61=0,"",RANK(B61,$B$2:$B$91,0))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COFORGE</t>
        </is>
      </c>
      <c r="D61" s="30" t="inlineStr">
        <is>
          <t>Coforge Ltd</t>
        </is>
      </c>
      <c r="E61" s="30" t="inlineStr">
        <is>
          <t>i.t</t>
        </is>
      </c>
      <c r="F61" s="30" t="inlineStr">
        <is>
          <t>IT - Software</t>
        </is>
      </c>
      <c r="G61" s="30" t="inlineStr">
        <is>
          <t>largecap</t>
        </is>
      </c>
      <c r="H61" s="31" t="n">
        <v>78520.94</v>
      </c>
      <c r="I61" s="31" t="n">
        <v>1772.8</v>
      </c>
      <c r="J61" s="31" t="n">
        <v>-0.24</v>
      </c>
      <c r="K61" s="31" t="n">
        <v>0</v>
      </c>
      <c r="L61" s="30" t="n">
        <v>43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61.78</v>
      </c>
      <c r="P61" s="31" t="n">
        <v>10.91</v>
      </c>
      <c r="Q61" s="31" t="n">
        <v>1353.47</v>
      </c>
      <c r="R61" s="30" t="inlineStr">
        <is>
          <t>Earnings / Momentum Support</t>
        </is>
      </c>
      <c r="S61" s="30" t="inlineStr">
        <is>
          <t>Nifty IT</t>
        </is>
      </c>
      <c r="T61" s="31" t="n">
        <v>-9.289999999999999</v>
      </c>
      <c r="U61" s="31" t="n">
        <v>11.28</v>
      </c>
      <c r="V61" s="31" t="n">
        <v>22.68</v>
      </c>
      <c r="W61" s="31" t="n">
        <v>9.24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No</t>
        </is>
      </c>
      <c r="AQ61" s="30">
        <f>IF(AP61="Yes",10,0)</f>
        <v/>
      </c>
      <c r="AR61" s="30" t="inlineStr">
        <is>
          <t>Higher Annuity, Lower One Time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0 to 20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20</t>
        </is>
      </c>
      <c r="CG61" s="30">
        <f>IF(CF61&gt;20,10,IF(CF61&gt;=10,5,2))</f>
        <v/>
      </c>
    </row>
    <row r="62">
      <c r="A62" s="30">
        <f>IF(B62=0,"",RANK(B62,$B$2:$B$91,0))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MAHLIFE</t>
        </is>
      </c>
      <c r="D62" s="30" t="inlineStr">
        <is>
          <t>Mahindra Lifespace Developers Ltd</t>
        </is>
      </c>
      <c r="E62" s="30" t="inlineStr">
        <is>
          <t>realty</t>
        </is>
      </c>
      <c r="F62" s="30" t="inlineStr">
        <is>
          <t>Construction &amp; Contracting</t>
        </is>
      </c>
      <c r="G62" s="30" t="inlineStr">
        <is>
          <t>midcap</t>
        </is>
      </c>
      <c r="H62" s="31" t="n">
        <v>8214.889999999999</v>
      </c>
      <c r="I62" s="31" t="n">
        <v>385</v>
      </c>
      <c r="J62" s="31" t="n">
        <v>0.5600000000000001</v>
      </c>
      <c r="K62" s="31" t="n">
        <v>0</v>
      </c>
      <c r="L62" s="30" t="n">
        <v>29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58.9</v>
      </c>
      <c r="P62" s="31" t="n">
        <v>14</v>
      </c>
      <c r="Q62" s="31" t="n">
        <v>319.94</v>
      </c>
      <c r="R62" s="30" t="inlineStr">
        <is>
          <t>Earnings / Momentum Support</t>
        </is>
      </c>
      <c r="S62" s="30" t="inlineStr">
        <is>
          <t>Nifty Realty</t>
        </is>
      </c>
      <c r="T62" s="31" t="n">
        <v>-6.42</v>
      </c>
      <c r="U62" s="31" t="n">
        <v>4.35</v>
      </c>
      <c r="V62" s="31" t="n">
        <v>11.5</v>
      </c>
      <c r="W62" s="31" t="n">
        <v>5.73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No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0 to 20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23</t>
        </is>
      </c>
      <c r="CG62" s="30">
        <f>IF(CF62&gt;20,10,IF(CF62&gt;=10,5,2))</f>
        <v/>
      </c>
    </row>
    <row r="63">
      <c r="A63" s="30">
        <f>IF(B63=0,"",RANK(B63,$B$2:$B$91,0))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PAYTM</t>
        </is>
      </c>
      <c r="D63" s="30" t="inlineStr">
        <is>
          <t>One 97 Communications Ltd</t>
        </is>
      </c>
      <c r="E63" s="30" t="inlineStr">
        <is>
          <t>i.t</t>
        </is>
      </c>
      <c r="F63" s="30" t="inlineStr">
        <is>
          <t>E-Commerce - Platform - Utility</t>
        </is>
      </c>
      <c r="G63" s="30" t="inlineStr">
        <is>
          <t>largecap</t>
        </is>
      </c>
      <c r="H63" s="31" t="n">
        <v>92451.39</v>
      </c>
      <c r="I63" s="31" t="n">
        <v>1442</v>
      </c>
      <c r="J63" s="31" t="n">
        <v>0.91</v>
      </c>
      <c r="K63" s="31" t="n">
        <v>0</v>
      </c>
      <c r="L63" s="30" t="n">
        <v>54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67.58</v>
      </c>
      <c r="P63" s="31" t="n">
        <v>16.2</v>
      </c>
      <c r="Q63" s="31" t="n">
        <v>1146.76</v>
      </c>
      <c r="R63" s="30" t="inlineStr">
        <is>
          <t>Near 52W High Breakout</t>
        </is>
      </c>
      <c r="S63" s="30" t="inlineStr">
        <is>
          <t>Nifty IT</t>
        </is>
      </c>
      <c r="T63" s="31" t="n">
        <v>-9.289999999999999</v>
      </c>
      <c r="U63" s="31" t="n">
        <v>36.15</v>
      </c>
      <c r="V63" s="31" t="n">
        <v>50.1</v>
      </c>
      <c r="W63" s="31" t="n">
        <v>11.72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Oligopoly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0 to 20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Between 1.5 to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21</t>
        </is>
      </c>
      <c r="CG63" s="30">
        <f>IF(CF63&gt;20,10,IF(CF63&gt;=10,5,2))</f>
        <v/>
      </c>
    </row>
    <row r="64">
      <c r="A64" s="30">
        <f>IF(B64=0,"",RANK(B64,$B$2:$B$91,0))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LODHA</t>
        </is>
      </c>
      <c r="D64" s="30" t="inlineStr">
        <is>
          <t>Lodha Developers Ltd</t>
        </is>
      </c>
      <c r="E64" s="30" t="inlineStr">
        <is>
          <t>realty</t>
        </is>
      </c>
      <c r="F64" s="30" t="inlineStr">
        <is>
          <t>Realty - National</t>
        </is>
      </c>
      <c r="G64" s="30" t="inlineStr">
        <is>
          <t>largecap</t>
        </is>
      </c>
      <c r="H64" s="31" t="n">
        <v>121294.28</v>
      </c>
      <c r="I64" s="31" t="n">
        <v>1214</v>
      </c>
      <c r="J64" s="31" t="n">
        <v>-2.88</v>
      </c>
      <c r="K64" s="31" t="n">
        <v>0</v>
      </c>
      <c r="L64" s="30" t="n">
        <v>49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63.05</v>
      </c>
      <c r="P64" s="31" t="n">
        <v>18.12</v>
      </c>
      <c r="Q64" s="31" t="n">
        <v>967.09</v>
      </c>
      <c r="R64" s="30" t="inlineStr">
        <is>
          <t>Near 52W High Breakout</t>
        </is>
      </c>
      <c r="S64" s="30" t="inlineStr">
        <is>
          <t>Nifty Realty</t>
        </is>
      </c>
      <c r="T64" s="31" t="n">
        <v>-6.42</v>
      </c>
      <c r="U64" s="31" t="n">
        <v>-4</v>
      </c>
      <c r="V64" s="31" t="n">
        <v>2.58</v>
      </c>
      <c r="W64" s="31" t="n">
        <v>10.67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0 to 20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19</t>
        </is>
      </c>
      <c r="CG64" s="30">
        <f>IF(CF64&gt;20,10,IF(CF64&gt;=10,5,2))</f>
        <v/>
      </c>
    </row>
    <row r="65">
      <c r="A65" s="30">
        <f>IF(B65=0,"",RANK(B65,$B$2:$B$91,0))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SKYGOLD</t>
        </is>
      </c>
      <c r="D65" s="30" t="inlineStr">
        <is>
          <t>Sky Gold &amp; Diamonds Ltd</t>
        </is>
      </c>
      <c r="E65" s="30" t="inlineStr">
        <is>
          <t>consumer discretionary</t>
        </is>
      </c>
      <c r="F65" s="30" t="inlineStr">
        <is>
          <t>Diamond, Gems &amp; Jewellery</t>
        </is>
      </c>
      <c r="G65" s="30" t="inlineStr">
        <is>
          <t>midcap</t>
        </is>
      </c>
      <c r="H65" s="31" t="n">
        <v>10706.43</v>
      </c>
      <c r="I65" s="31" t="n">
        <v>691.3</v>
      </c>
      <c r="J65" s="31" t="n">
        <v>1.87</v>
      </c>
      <c r="K65" s="31" t="n">
        <v>0</v>
      </c>
      <c r="L65" s="30" t="n">
        <v>88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75.41</v>
      </c>
      <c r="P65" s="31" t="n">
        <v>59.64</v>
      </c>
      <c r="Q65" s="31" t="n">
        <v>515.48</v>
      </c>
      <c r="R65" s="30" t="inlineStr">
        <is>
          <t>Near 52W High Breakout</t>
        </is>
      </c>
      <c r="S65" s="30" t="inlineStr">
        <is>
          <t>Nifty 50</t>
        </is>
      </c>
      <c r="T65" s="31" t="n">
        <v>1.09</v>
      </c>
      <c r="U65" s="31" t="n">
        <v>148.1</v>
      </c>
      <c r="V65" s="31" t="n">
        <v>145.43</v>
      </c>
      <c r="W65" s="31" t="n">
        <v>28.08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Negative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Between 0.7 to 1.2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26</t>
        </is>
      </c>
      <c r="CG65" s="30">
        <f>IF(CF65&gt;20,10,IF(CF65&gt;=10,5,2))</f>
        <v/>
      </c>
    </row>
    <row r="66">
      <c r="A66" s="30">
        <f>IF(B66=0,"",RANK(B66,$B$2:$B$91,0))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ASKAUTOLTD</t>
        </is>
      </c>
      <c r="D66" s="30" t="inlineStr">
        <is>
          <t>ASK Automotive Ltd</t>
        </is>
      </c>
      <c r="E66" s="30" t="inlineStr">
        <is>
          <t>auto</t>
        </is>
      </c>
      <c r="F66" s="30" t="inlineStr">
        <is>
          <t>Auto Ancillaries - 2 Wheelers</t>
        </is>
      </c>
      <c r="G66" s="30" t="inlineStr">
        <is>
          <t>midcap</t>
        </is>
      </c>
      <c r="H66" s="31" t="n">
        <v>13316.98</v>
      </c>
      <c r="I66" s="31" t="n">
        <v>675.5</v>
      </c>
      <c r="J66" s="31" t="n">
        <v>5.95</v>
      </c>
      <c r="K66" s="31" t="n">
        <v>0</v>
      </c>
      <c r="L66" s="30" t="n">
        <v>78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81.87</v>
      </c>
      <c r="P66" s="31" t="n">
        <v>15.61</v>
      </c>
      <c r="Q66" s="31" t="n">
        <v>546.4299999999999</v>
      </c>
      <c r="R66" s="30" t="inlineStr">
        <is>
          <t>Volume Spike &amp; Near 52W High Breakout</t>
        </is>
      </c>
      <c r="S66" s="30" t="inlineStr">
        <is>
          <t>Nifty Auto</t>
        </is>
      </c>
      <c r="T66" s="31" t="n">
        <v>22.44</v>
      </c>
      <c r="U66" s="31" t="n">
        <v>32.69</v>
      </c>
      <c r="V66" s="31" t="n">
        <v>8.369999999999999</v>
      </c>
      <c r="W66" s="31" t="n">
        <v>19.76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0 to 20</t>
        </is>
      </c>
      <c r="AY66" s="30">
        <f>IF(AX66="Above 40",20,IF(AX66="20 to 40",10,IF(AX66="0 to 20",-5,0)))</f>
        <v/>
      </c>
      <c r="AZ66" s="30" t="inlineStr">
        <is>
          <t>Above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Between 1.5 to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24</t>
        </is>
      </c>
      <c r="CG66" s="30">
        <f>IF(CF66&gt;20,10,IF(CF66&gt;=10,5,2))</f>
        <v/>
      </c>
    </row>
    <row r="67">
      <c r="A67" s="30">
        <f>IF(B67=0,"",RANK(B67,$B$2:$B$91,0))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ROSSTECH</t>
        </is>
      </c>
      <c r="D67" s="30" t="inlineStr">
        <is>
          <t>Rossell Techsys Ltd</t>
        </is>
      </c>
      <c r="E67" s="30" t="inlineStr">
        <is>
          <t>aerospace &amp; defence</t>
        </is>
      </c>
      <c r="F67" s="30" t="inlineStr">
        <is>
          <t>Aerospace &amp; Defence - Equipments</t>
        </is>
      </c>
      <c r="G67" s="30" t="inlineStr">
        <is>
          <t>smallcap</t>
        </is>
      </c>
      <c r="H67" s="31" t="n">
        <v>4137.19</v>
      </c>
      <c r="I67" s="31" t="n">
        <v>1097.5</v>
      </c>
      <c r="J67" s="31" t="n">
        <v>3.09</v>
      </c>
      <c r="K67" s="31" t="n">
        <v>0</v>
      </c>
      <c r="L67" s="30" t="n">
        <v>71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63.22</v>
      </c>
      <c r="P67" s="31" t="n">
        <v>30.73</v>
      </c>
      <c r="Q67" s="31" t="n">
        <v>750.34</v>
      </c>
      <c r="R67" s="30" t="inlineStr">
        <is>
          <t>Volume Spike &amp; Near 52W High Breakout</t>
        </is>
      </c>
      <c r="S67" s="30" t="inlineStr">
        <is>
          <t>Nifty 50</t>
        </is>
      </c>
      <c r="T67" s="31" t="n">
        <v>1.09</v>
      </c>
      <c r="U67" s="31" t="n">
        <v>80.7</v>
      </c>
      <c r="V67" s="31" t="n">
        <v>78.76000000000001</v>
      </c>
      <c r="W67" s="31" t="n">
        <v>16.9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More than 1.2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22</t>
        </is>
      </c>
      <c r="CG67" s="30">
        <f>IF(CF67&gt;20,10,IF(CF67&gt;=10,5,2))</f>
        <v/>
      </c>
    </row>
    <row r="68">
      <c r="A68" s="30">
        <f>IF(B68=0,"",RANK(B68,$B$2:$B$91,0))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PNGJL</t>
        </is>
      </c>
      <c r="D68" s="30" t="inlineStr">
        <is>
          <t>P N Gadgil Jewellers Ltd</t>
        </is>
      </c>
      <c r="E68" s="30" t="inlineStr">
        <is>
          <t>Consumer Cyclical</t>
        </is>
      </c>
      <c r="F68" s="30" t="inlineStr">
        <is>
          <t>Diamond, Gems &amp; Jewellery</t>
        </is>
      </c>
      <c r="G68" s="30" t="inlineStr">
        <is>
          <t>midcap</t>
        </is>
      </c>
      <c r="H68" s="31" t="n">
        <v>9273.76</v>
      </c>
      <c r="I68" s="31" t="n">
        <v>630</v>
      </c>
      <c r="J68" s="31" t="n">
        <v>-4.36</v>
      </c>
      <c r="K68" s="31" t="n">
        <v>0</v>
      </c>
      <c r="L68" s="30" t="n">
        <v>11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54.37</v>
      </c>
      <c r="P68" s="31" t="n">
        <v>12.5</v>
      </c>
      <c r="Q68" s="31" t="n">
        <v>572.3200000000001</v>
      </c>
      <c r="R68" s="30" t="inlineStr">
        <is>
          <t>Earnings / Momentum Support</t>
        </is>
      </c>
      <c r="S68" s="30" t="inlineStr">
        <is>
          <t>Nifty 50</t>
        </is>
      </c>
      <c r="T68" s="31" t="n">
        <v>1.09</v>
      </c>
      <c r="U68" s="31" t="n">
        <v>13.66</v>
      </c>
      <c r="V68" s="31" t="n">
        <v>12.43</v>
      </c>
      <c r="W68" s="31" t="n">
        <v>1.49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B2C</t>
        </is>
      </c>
      <c r="AO68" s="30">
        <f>IF(AN68="B2C",10,IF(AN68="B2B",5,0))</f>
        <v/>
      </c>
      <c r="AP68" s="30" t="inlineStr">
        <is>
          <t>No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0 to 20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Between 0.7 to 1.2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21</t>
        </is>
      </c>
      <c r="CG68" s="30">
        <f>IF(CF68&gt;20,10,IF(CF68&gt;=10,5,2))</f>
        <v/>
      </c>
    </row>
    <row r="69">
      <c r="A69" s="30">
        <f>IF(B69=0,"",RANK(B69,$B$2:$B$91,0))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ETHOSLTD</t>
        </is>
      </c>
      <c r="D69" s="30" t="inlineStr">
        <is>
          <t>Ethos Ltd</t>
        </is>
      </c>
      <c r="E69" s="30" t="inlineStr">
        <is>
          <t>consumer discretionary</t>
        </is>
      </c>
      <c r="F69" s="30" t="inlineStr">
        <is>
          <t>Watches</t>
        </is>
      </c>
      <c r="G69" s="30" t="inlineStr">
        <is>
          <t>midcap</t>
        </is>
      </c>
      <c r="H69" s="31" t="n">
        <v>7518.64</v>
      </c>
      <c r="I69" s="31" t="n">
        <v>2809.9</v>
      </c>
      <c r="J69" s="31" t="n">
        <v>-0.86</v>
      </c>
      <c r="K69" s="31" t="n">
        <v>0</v>
      </c>
      <c r="L69" s="30" t="n">
        <v>27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63.42</v>
      </c>
      <c r="P69" s="31" t="n">
        <v>12.11</v>
      </c>
      <c r="Q69" s="31" t="n">
        <v>2188.25</v>
      </c>
      <c r="R69" s="30" t="inlineStr">
        <is>
          <t>Volume Spike / Accumulation</t>
        </is>
      </c>
      <c r="S69" s="30" t="inlineStr">
        <is>
          <t>Nifty 50</t>
        </is>
      </c>
      <c r="T69" s="31" t="n">
        <v>1.09</v>
      </c>
      <c r="U69" s="31" t="n">
        <v>4.4</v>
      </c>
      <c r="V69" s="31" t="n">
        <v>3.28</v>
      </c>
      <c r="W69" s="31" t="n">
        <v>5.13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0 to 20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21</t>
        </is>
      </c>
      <c r="CG69" s="30">
        <f>IF(CF69&gt;20,10,IF(CF69&gt;=10,5,2))</f>
        <v/>
      </c>
    </row>
    <row r="70">
      <c r="A70" s="30">
        <f>IF(B70=0,"",RANK(B70,$B$2:$B$91,0))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ANTELOPUS</t>
        </is>
      </c>
      <c r="D70" s="30" t="inlineStr">
        <is>
          <t>Antelopus Selan Energy Ltd</t>
        </is>
      </c>
      <c r="E70" s="30" t="inlineStr">
        <is>
          <t>energy</t>
        </is>
      </c>
      <c r="F70" s="30" t="inlineStr">
        <is>
          <t>Oil Drilling &amp; Exploration</t>
        </is>
      </c>
      <c r="G70" s="30" t="inlineStr">
        <is>
          <t>smallcap</t>
        </is>
      </c>
      <c r="H70" s="31" t="n">
        <v>3030.64</v>
      </c>
      <c r="I70" s="31" t="n">
        <v>861.9</v>
      </c>
      <c r="J70" s="31" t="n">
        <v>-1.34</v>
      </c>
      <c r="K70" s="31" t="n">
        <v>0</v>
      </c>
      <c r="L70" s="30" t="n">
        <v>70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61.19</v>
      </c>
      <c r="P70" s="31" t="n">
        <v>50.15</v>
      </c>
      <c r="Q70" s="31" t="n">
        <v>621.4299999999999</v>
      </c>
      <c r="R70" s="30" t="inlineStr">
        <is>
          <t>Near 52W High Breakout</t>
        </is>
      </c>
      <c r="S70" s="30" t="inlineStr">
        <is>
          <t>Nifty Energy</t>
        </is>
      </c>
      <c r="T70" s="31" t="n">
        <v>9.720000000000001</v>
      </c>
      <c r="U70" s="31" t="n">
        <v>38.48</v>
      </c>
      <c r="V70" s="31" t="n">
        <v>26.22</v>
      </c>
      <c r="W70" s="31" t="n">
        <v>16.41</v>
      </c>
      <c r="X70" s="30" t="inlineStr">
        <is>
          <t>Cyclical in an Upturn</t>
        </is>
      </c>
      <c r="Y70" s="30">
        <f>IF(X70="Growing Industry",10,IF(X70="Cyclical in an Upturn",5,0))</f>
        <v/>
      </c>
      <c r="Z70" s="30" t="inlineStr">
        <is>
          <t>Oligopoly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Cyclical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Volatile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21</t>
        </is>
      </c>
      <c r="CG70" s="30">
        <f>IF(CF70&gt;20,10,IF(CF70&gt;=10,5,2))</f>
        <v/>
      </c>
    </row>
    <row r="71">
      <c r="A71" s="30">
        <f>IF(B71=0,"",RANK(B71,$B$2:$B$91,0))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3" t="inlineStr">
        <is>
          <t>UEL</t>
        </is>
      </c>
      <c r="D71" s="33" t="inlineStr">
        <is>
          <t>Ujaas Energy Ltd</t>
        </is>
      </c>
      <c r="E71" s="30" t="inlineStr">
        <is>
          <t>power &amp; utilities</t>
        </is>
      </c>
      <c r="F71" s="30" t="inlineStr">
        <is>
          <t>Capital Goods - Transformers</t>
        </is>
      </c>
      <c r="G71" s="30" t="inlineStr">
        <is>
          <t>smallcap</t>
        </is>
      </c>
      <c r="H71" s="31" t="n">
        <v>3275.18</v>
      </c>
      <c r="I71" s="31" t="n">
        <v>245.52</v>
      </c>
      <c r="J71" s="31" t="n">
        <v>10</v>
      </c>
      <c r="K71" s="31" t="n">
        <v>0</v>
      </c>
      <c r="L71" s="30" t="n">
        <v>89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76.52</v>
      </c>
      <c r="P71" s="31" t="n">
        <v>13.05</v>
      </c>
      <c r="Q71" s="31" t="n">
        <v>175.88</v>
      </c>
      <c r="R71" s="30" t="inlineStr">
        <is>
          <t>Volume Spike &amp; Near 52W High Breakout</t>
        </is>
      </c>
      <c r="S71" s="30" t="inlineStr">
        <is>
          <t>Nifty IT</t>
        </is>
      </c>
      <c r="T71" s="31" t="n">
        <v>-9.289999999999999</v>
      </c>
      <c r="U71" s="31" t="n">
        <v>100.89</v>
      </c>
      <c r="V71" s="31" t="n">
        <v>121.46</v>
      </c>
      <c r="W71" s="31" t="n">
        <v>28.96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0 to 20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21</t>
        </is>
      </c>
      <c r="CG71" s="30">
        <f>IF(CF71&gt;20,10,IF(CF71&gt;=10,5,2))</f>
        <v/>
      </c>
    </row>
    <row r="72">
      <c r="A72" s="30">
        <f>IF(B72=0,"",RANK(B72,$B$2:$B$91,0))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3" t="inlineStr">
        <is>
          <t>RBA</t>
        </is>
      </c>
      <c r="D72" s="33" t="inlineStr">
        <is>
          <t>Restaurant Brands Asia Ltd</t>
        </is>
      </c>
      <c r="E72" s="30" t="inlineStr">
        <is>
          <t>consumer discretionary</t>
        </is>
      </c>
      <c r="F72" s="30" t="inlineStr">
        <is>
          <t>Quick Service Restaurant - QSR</t>
        </is>
      </c>
      <c r="G72" s="30" t="inlineStr">
        <is>
          <t>midcap</t>
        </is>
      </c>
      <c r="H72" s="31" t="n">
        <v>6475.93</v>
      </c>
      <c r="I72" s="31" t="n">
        <v>90.98999999999999</v>
      </c>
      <c r="J72" s="31" t="n">
        <v>3.7</v>
      </c>
      <c r="K72" s="31" t="n">
        <v>0</v>
      </c>
      <c r="L72" s="30" t="n">
        <v>48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71.34</v>
      </c>
      <c r="P72" s="31" t="n">
        <v>24.81</v>
      </c>
      <c r="Q72" s="31" t="n">
        <v>72.76000000000001</v>
      </c>
      <c r="R72" s="30" t="inlineStr">
        <is>
          <t>Volume Spike &amp; Near 52W High Breakout</t>
        </is>
      </c>
      <c r="S72" s="30" t="inlineStr">
        <is>
          <t>Nifty 50</t>
        </is>
      </c>
      <c r="T72" s="31" t="n">
        <v>1.09</v>
      </c>
      <c r="U72" s="31" t="n">
        <v>13.83</v>
      </c>
      <c r="V72" s="31" t="n">
        <v>12.61</v>
      </c>
      <c r="W72" s="31" t="n">
        <v>10.58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More than 1.2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20</t>
        </is>
      </c>
      <c r="CG72" s="30">
        <f>IF(CF72&gt;20,10,IF(CF72&gt;=10,5,2))</f>
        <v/>
      </c>
    </row>
    <row r="73">
      <c r="A73" s="30">
        <f>IF(B73=0,"",RANK(B73,$B$2:$B$91,0))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INDNIPPON</t>
        </is>
      </c>
      <c r="D73" s="30" t="inlineStr">
        <is>
          <t>India Nippon Electricals Ltd</t>
        </is>
      </c>
      <c r="E73" s="30" t="inlineStr">
        <is>
          <t>auto</t>
        </is>
      </c>
      <c r="F73" s="30" t="inlineStr">
        <is>
          <t>Auto Ancillaries - Engine Parts</t>
        </is>
      </c>
      <c r="G73" s="30" t="inlineStr">
        <is>
          <t>smallcap</t>
        </is>
      </c>
      <c r="H73" s="31" t="n">
        <v>2658.02</v>
      </c>
      <c r="I73" s="31" t="n">
        <v>1175</v>
      </c>
      <c r="J73" s="31" t="n">
        <v>3.38</v>
      </c>
      <c r="K73" s="31" t="n">
        <v>0</v>
      </c>
      <c r="L73" s="30" t="n">
        <v>82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70.65000000000001</v>
      </c>
      <c r="P73" s="31" t="n">
        <v>38.03</v>
      </c>
      <c r="Q73" s="31" t="n">
        <v>964.58</v>
      </c>
      <c r="R73" s="30" t="inlineStr">
        <is>
          <t>Near 52W High Breakout</t>
        </is>
      </c>
      <c r="S73" s="30" t="inlineStr">
        <is>
          <t>Nifty Auto</t>
        </is>
      </c>
      <c r="T73" s="31" t="n">
        <v>22.44</v>
      </c>
      <c r="U73" s="31" t="n">
        <v>52.31</v>
      </c>
      <c r="V73" s="31" t="n">
        <v>24.4</v>
      </c>
      <c r="W73" s="31" t="n">
        <v>21.81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Negative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Less than 50%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19</t>
        </is>
      </c>
      <c r="CG73" s="30">
        <f>IF(CF73&gt;20,10,IF(CF73&gt;=10,5,2))</f>
        <v/>
      </c>
    </row>
    <row r="74">
      <c r="A74" s="30">
        <f>IF(B74=0,"",RANK(B74,$B$2:$B$91,0))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SENORES</t>
        </is>
      </c>
      <c r="D74" s="30" t="inlineStr">
        <is>
          <t>Senores Pharmaceuticals Ltd</t>
        </is>
      </c>
      <c r="E74" s="30" t="inlineStr">
        <is>
          <t>Healthcare</t>
        </is>
      </c>
      <c r="F74" s="30" t="inlineStr">
        <is>
          <t>Pharma - API</t>
        </is>
      </c>
      <c r="G74" s="30" t="inlineStr">
        <is>
          <t>midcap</t>
        </is>
      </c>
      <c r="H74" s="31" t="n">
        <v>6111.31</v>
      </c>
      <c r="I74" s="31" t="n">
        <v>1327</v>
      </c>
      <c r="J74" s="31" t="n">
        <v>0.28</v>
      </c>
      <c r="K74" s="31" t="n">
        <v>0</v>
      </c>
      <c r="L74" s="30" t="n">
        <v>84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67.18000000000001</v>
      </c>
      <c r="P74" s="31" t="n">
        <v>61.87</v>
      </c>
      <c r="Q74" s="31" t="n">
        <v>1085.85</v>
      </c>
      <c r="R74" s="30" t="inlineStr">
        <is>
          <t>Earnings / Momentum Support</t>
        </is>
      </c>
      <c r="S74" s="30" t="inlineStr">
        <is>
          <t>Nifty Pharma</t>
        </is>
      </c>
      <c r="T74" s="31" t="n">
        <v>24.42</v>
      </c>
      <c r="U74" s="31" t="n">
        <v>104.78</v>
      </c>
      <c r="V74" s="31" t="n">
        <v>64.59</v>
      </c>
      <c r="W74" s="31" t="n">
        <v>24.03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Yes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Annuity, Lower One Time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Negative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19</t>
        </is>
      </c>
      <c r="CG74" s="30">
        <f>IF(CF74&gt;20,10,IF(CF74&gt;=10,5,2))</f>
        <v/>
      </c>
    </row>
    <row r="75">
      <c r="A75" s="30">
        <f>IF(B75=0,"",RANK(B75,$B$2:$B$91,0))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3" t="inlineStr">
        <is>
          <t>NAVINFLUOR</t>
        </is>
      </c>
      <c r="D75" s="33" t="inlineStr">
        <is>
          <t>Navin Fluorine International Ltd</t>
        </is>
      </c>
      <c r="E75" s="30" t="inlineStr">
        <is>
          <t>chemicals</t>
        </is>
      </c>
      <c r="F75" s="30" t="inlineStr">
        <is>
          <t>Chemicals - Flourine</t>
        </is>
      </c>
      <c r="G75" s="30" t="inlineStr">
        <is>
          <t>largecap</t>
        </is>
      </c>
      <c r="H75" s="31" t="n">
        <v>44221.08</v>
      </c>
      <c r="I75" s="31" t="n">
        <v>8619</v>
      </c>
      <c r="J75" s="31" t="n">
        <v>13.27</v>
      </c>
      <c r="K75" s="31" t="n">
        <v>0</v>
      </c>
      <c r="L75" s="30" t="n">
        <v>69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75.73</v>
      </c>
      <c r="P75" s="31" t="n">
        <v>53.81</v>
      </c>
      <c r="Q75" s="31" t="n">
        <v>6994.13</v>
      </c>
      <c r="R75" s="30" t="inlineStr">
        <is>
          <t>Volume Spike &amp; Near 52W High Breakout</t>
        </is>
      </c>
      <c r="S75" s="30" t="inlineStr">
        <is>
          <t>Nifty 50</t>
        </is>
      </c>
      <c r="T75" s="31" t="n">
        <v>1.09</v>
      </c>
      <c r="U75" s="31" t="n">
        <v>75.76000000000001</v>
      </c>
      <c r="V75" s="31" t="n">
        <v>73.87</v>
      </c>
      <c r="W75" s="31" t="n">
        <v>16.28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Oligopoly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Shallow Cyclical (2 to 3 Years Growth)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3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Between 50% to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25</t>
        </is>
      </c>
      <c r="CG75" s="30">
        <f>IF(CF75&gt;20,10,IF(CF75&gt;=10,5,2))</f>
        <v/>
      </c>
    </row>
    <row r="76">
      <c r="A76" s="30">
        <f>IF(B76=0,"",RANK(B76,$B$2:$B$91,0))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DEEPINDS</t>
        </is>
      </c>
      <c r="D76" s="30" t="inlineStr">
        <is>
          <t>Deep Industries Ltd</t>
        </is>
      </c>
      <c r="E76" s="30" t="inlineStr">
        <is>
          <t>energy</t>
        </is>
      </c>
      <c r="F76" s="30" t="inlineStr">
        <is>
          <t>Oil Drilling &amp; Exploration</t>
        </is>
      </c>
      <c r="G76" s="30" t="inlineStr">
        <is>
          <t>smallcap</t>
        </is>
      </c>
      <c r="H76" s="31" t="n">
        <v>3980.8</v>
      </c>
      <c r="I76" s="31" t="n">
        <v>622</v>
      </c>
      <c r="J76" s="31" t="n">
        <v>-3.36</v>
      </c>
      <c r="K76" s="31" t="n">
        <v>0</v>
      </c>
      <c r="L76" s="30" t="n">
        <v>64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72.2</v>
      </c>
      <c r="P76" s="31" t="n">
        <v>16.02</v>
      </c>
      <c r="Q76" s="31" t="n">
        <v>472.12</v>
      </c>
      <c r="R76" s="30" t="inlineStr">
        <is>
          <t>Volume Spike &amp; Near 52W High Breakout</t>
        </is>
      </c>
      <c r="S76" s="30" t="inlineStr">
        <is>
          <t>Nifty Energy</t>
        </is>
      </c>
      <c r="T76" s="31" t="n">
        <v>9.720000000000001</v>
      </c>
      <c r="U76" s="31" t="n">
        <v>39.02</v>
      </c>
      <c r="V76" s="31" t="n">
        <v>26.71</v>
      </c>
      <c r="W76" s="31" t="n">
        <v>14.75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Oligopoly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Yes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Cyclical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Volatile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0 to 20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23</t>
        </is>
      </c>
      <c r="CG76" s="30">
        <f>IF(CF76&gt;20,10,IF(CF76&gt;=10,5,2))</f>
        <v/>
      </c>
    </row>
    <row r="77">
      <c r="A77" s="30">
        <f>IF(B77=0,"",RANK(B77,$B$2:$B$91,0))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KALYANKJIL</t>
        </is>
      </c>
      <c r="D77" s="30" t="inlineStr">
        <is>
          <t>Kalyan Jewellers India Ltd</t>
        </is>
      </c>
      <c r="E77" s="30" t="inlineStr">
        <is>
          <t>consumer discretionary</t>
        </is>
      </c>
      <c r="F77" s="30" t="inlineStr">
        <is>
          <t>Diamond, Gems &amp; Jewellery</t>
        </is>
      </c>
      <c r="G77" s="30" t="inlineStr">
        <is>
          <t>largecap</t>
        </is>
      </c>
      <c r="H77" s="31" t="n">
        <v>61758.51</v>
      </c>
      <c r="I77" s="31" t="n">
        <v>598</v>
      </c>
      <c r="J77" s="31" t="n">
        <v>5</v>
      </c>
      <c r="K77" s="31" t="n">
        <v>0</v>
      </c>
      <c r="L77" s="30" t="n">
        <v>48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65.61</v>
      </c>
      <c r="P77" s="31" t="n">
        <v>29.53</v>
      </c>
      <c r="Q77" s="31" t="n">
        <v>462.5</v>
      </c>
      <c r="R77" s="30" t="inlineStr">
        <is>
          <t>Earnings / Momentum Support</t>
        </is>
      </c>
      <c r="S77" s="30" t="inlineStr">
        <is>
          <t>Nifty 50</t>
        </is>
      </c>
      <c r="T77" s="31" t="n">
        <v>1.09</v>
      </c>
      <c r="U77" s="31" t="n">
        <v>8.6</v>
      </c>
      <c r="V77" s="31" t="n">
        <v>7.43</v>
      </c>
      <c r="W77" s="31" t="n">
        <v>10.52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Between 50% to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Between 0.7 to 1.2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22</t>
        </is>
      </c>
      <c r="CG77" s="30">
        <f>IF(CF77&gt;20,10,IF(CF77&gt;=10,5,2))</f>
        <v/>
      </c>
    </row>
    <row r="78">
      <c r="A78" s="30">
        <f>IF(B78=0,"",RANK(B78,$B$2:$B$91,0))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3" t="inlineStr">
        <is>
          <t>RAMRAT</t>
        </is>
      </c>
      <c r="D78" s="33" t="inlineStr">
        <is>
          <t>Ram Ratna Wires Ltd</t>
        </is>
      </c>
      <c r="E78" s="30" t="inlineStr">
        <is>
          <t>metals &amp; mining</t>
        </is>
      </c>
      <c r="F78" s="30" t="inlineStr">
        <is>
          <t>Copper Wires</t>
        </is>
      </c>
      <c r="G78" s="30" t="inlineStr">
        <is>
          <t>smallcap</t>
        </is>
      </c>
      <c r="H78" s="31" t="n">
        <v>4378.07</v>
      </c>
      <c r="I78" s="31" t="n">
        <v>469</v>
      </c>
      <c r="J78" s="31" t="n">
        <v>7.36</v>
      </c>
      <c r="K78" s="31" t="n">
        <v>0</v>
      </c>
      <c r="L78" s="30" t="n">
        <v>55</v>
      </c>
      <c r="M78" s="30" t="inlineStr">
        <is>
          <t>Underperforming</t>
        </is>
      </c>
      <c r="N78" s="31">
        <f>IF(M78="Underperforming",-5,IF(L78&gt;=95,15,IF(L78&gt;=90,10,IF(L78&gt;=80,5,0))))</f>
        <v/>
      </c>
      <c r="O78" s="31" t="n">
        <v>68.31</v>
      </c>
      <c r="P78" s="31" t="n">
        <v>44.23</v>
      </c>
      <c r="Q78" s="31" t="n">
        <v>346.92</v>
      </c>
      <c r="R78" s="30" t="inlineStr">
        <is>
          <t>Volume Spike &amp; Near 52W High Breakout</t>
        </is>
      </c>
      <c r="S78" s="30" t="inlineStr">
        <is>
          <t>Nifty Metal</t>
        </is>
      </c>
      <c r="T78" s="31" t="n">
        <v>39.44</v>
      </c>
      <c r="U78" s="31" t="n">
        <v>34.21</v>
      </c>
      <c r="V78" s="31" t="n">
        <v>-3.75</v>
      </c>
      <c r="W78" s="31" t="n">
        <v>11.81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Cyclical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Volatile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Between 0.7 to 1.2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20</t>
        </is>
      </c>
      <c r="CG78" s="30">
        <f>IF(CF78&gt;20,10,IF(CF78&gt;=10,5,2))</f>
        <v/>
      </c>
    </row>
    <row r="79">
      <c r="A79" s="30">
        <f>IF(B79=0,"",RANK(B79,$B$2:$B$91,0))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3" t="inlineStr">
        <is>
          <t>SVRL</t>
        </is>
      </c>
      <c r="D79" s="33" t="inlineStr">
        <is>
          <t>Shri Venkatesh Refineries Ltd</t>
        </is>
      </c>
      <c r="E79" s="30" t="inlineStr">
        <is>
          <t>Consumer Defensive</t>
        </is>
      </c>
      <c r="F79" s="30" t="inlineStr">
        <is>
          <t>Solvent Extraction</t>
        </is>
      </c>
      <c r="G79" s="30" t="inlineStr">
        <is>
          <t>smallcap</t>
        </is>
      </c>
      <c r="H79" s="31" t="n">
        <v>1103.75</v>
      </c>
      <c r="I79" s="31" t="n">
        <v>499</v>
      </c>
      <c r="J79" s="31" t="n">
        <v>2.23</v>
      </c>
      <c r="K79" s="31" t="n">
        <v>0</v>
      </c>
      <c r="L79" s="30" t="n">
        <v>97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82.76000000000001</v>
      </c>
      <c r="P79" s="31" t="n">
        <v>24.97</v>
      </c>
      <c r="Q79" s="31" t="n">
        <v>382.46</v>
      </c>
      <c r="R79" s="30" t="inlineStr">
        <is>
          <t>Near 52W High Breakout</t>
        </is>
      </c>
      <c r="S79" s="30" t="inlineStr">
        <is>
          <t>Nifty 50</t>
        </is>
      </c>
      <c r="T79" s="31" t="n">
        <v>1.09</v>
      </c>
      <c r="U79" s="31" t="n">
        <v>108.22</v>
      </c>
      <c r="V79" s="31" t="n">
        <v>105.98</v>
      </c>
      <c r="W79" s="31" t="n">
        <v>48.42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Above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Negative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More than 1.2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19</t>
        </is>
      </c>
      <c r="CG79" s="30">
        <f>IF(CF79&gt;20,10,IF(CF79&gt;=10,5,2))</f>
        <v/>
      </c>
    </row>
    <row r="80">
      <c r="A80" s="30">
        <f>IF(B80=0,"",RANK(B80,$B$2:$B$91,0))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APCOTEXIND</t>
        </is>
      </c>
      <c r="D80" s="30" t="inlineStr">
        <is>
          <t>Apcotex Industries Ltd</t>
        </is>
      </c>
      <c r="E80" s="30" t="inlineStr">
        <is>
          <t>chemicals</t>
        </is>
      </c>
      <c r="F80" s="30" t="inlineStr">
        <is>
          <t>Rubber Processing/Rubber Products</t>
        </is>
      </c>
      <c r="G80" s="30" t="inlineStr">
        <is>
          <t>smallcap</t>
        </is>
      </c>
      <c r="H80" s="31" t="n">
        <v>3188.47</v>
      </c>
      <c r="I80" s="31" t="n">
        <v>615</v>
      </c>
      <c r="J80" s="31" t="n">
        <v>-2.3</v>
      </c>
      <c r="K80" s="31" t="n">
        <v>0</v>
      </c>
      <c r="L80" s="30" t="n">
        <v>64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74.34</v>
      </c>
      <c r="P80" s="31" t="n">
        <v>63.36</v>
      </c>
      <c r="Q80" s="31" t="n">
        <v>465.66</v>
      </c>
      <c r="R80" s="30" t="inlineStr">
        <is>
          <t>Near 52W High Breakout</t>
        </is>
      </c>
      <c r="S80" s="30" t="inlineStr">
        <is>
          <t>Nifty 50</t>
        </is>
      </c>
      <c r="T80" s="31" t="n">
        <v>1.09</v>
      </c>
      <c r="U80" s="31" t="n">
        <v>55.38</v>
      </c>
      <c r="V80" s="31" t="n">
        <v>53.71</v>
      </c>
      <c r="W80" s="31" t="n">
        <v>14.71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Oligopoly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Cyclical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Fully One Time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1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Sideways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Overhead supply in last 2 years in last 2 years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Between 50% to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22</t>
        </is>
      </c>
      <c r="CG80" s="30">
        <f>IF(CF80&gt;20,10,IF(CF80&gt;=10,5,2))</f>
        <v/>
      </c>
    </row>
    <row r="81">
      <c r="A81" s="30">
        <f>IF(B81=0,"",RANK(B81,$B$2:$B$91,0))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3" t="inlineStr">
        <is>
          <t>IMFA</t>
        </is>
      </c>
      <c r="D81" s="33" t="inlineStr">
        <is>
          <t>Indian Metals &amp; Ferro Alloys Ltd</t>
        </is>
      </c>
      <c r="E81" s="30" t="inlineStr">
        <is>
          <t>metals &amp; mining</t>
        </is>
      </c>
      <c r="F81" s="30" t="inlineStr">
        <is>
          <t>Mining/Minerals</t>
        </is>
      </c>
      <c r="G81" s="30" t="inlineStr">
        <is>
          <t>midcap</t>
        </is>
      </c>
      <c r="H81" s="31" t="n">
        <v>8130.88</v>
      </c>
      <c r="I81" s="31" t="n">
        <v>1507</v>
      </c>
      <c r="J81" s="31" t="n">
        <v>1.15</v>
      </c>
      <c r="K81" s="31" t="n">
        <v>0</v>
      </c>
      <c r="L81" s="30" t="n">
        <v>72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59.89</v>
      </c>
      <c r="P81" s="31" t="n">
        <v>15.02</v>
      </c>
      <c r="Q81" s="31" t="n">
        <v>1138</v>
      </c>
      <c r="R81" s="30" t="inlineStr">
        <is>
          <t>Volume Spike &amp; Near 52W High Breakout</t>
        </is>
      </c>
      <c r="S81" s="30" t="inlineStr">
        <is>
          <t>Nifty Metal</t>
        </is>
      </c>
      <c r="T81" s="31" t="n">
        <v>39.44</v>
      </c>
      <c r="U81" s="31" t="n">
        <v>107.8</v>
      </c>
      <c r="V81" s="31" t="n">
        <v>49.02</v>
      </c>
      <c r="W81" s="31" t="n">
        <v>17.69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Cyclical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Volatile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0 to 20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21</t>
        </is>
      </c>
      <c r="CG81" s="30">
        <f>IF(CF81&gt;20,10,IF(CF81&gt;=10,5,2))</f>
        <v/>
      </c>
    </row>
    <row r="82">
      <c r="A82" s="30">
        <f>IF(B82=0,"",RANK(B82,$B$2:$B$91,0))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RKFORGE</t>
        </is>
      </c>
      <c r="D82" s="30" t="inlineStr">
        <is>
          <t>Ramkrishna Forgings Ltd</t>
        </is>
      </c>
      <c r="E82" s="30" t="inlineStr">
        <is>
          <t>industrials</t>
        </is>
      </c>
      <c r="F82" s="30" t="inlineStr">
        <is>
          <t>Castings, Forgings &amp; Fastners</t>
        </is>
      </c>
      <c r="G82" s="30" t="inlineStr">
        <is>
          <t>midcap</t>
        </is>
      </c>
      <c r="H82" s="31" t="n">
        <v>12750.08</v>
      </c>
      <c r="I82" s="31" t="n">
        <v>699.9</v>
      </c>
      <c r="J82" s="31" t="n">
        <v>-0.93</v>
      </c>
      <c r="K82" s="31" t="n">
        <v>0</v>
      </c>
      <c r="L82" s="30" t="n">
        <v>36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70</v>
      </c>
      <c r="P82" s="31" t="n">
        <v>10.35</v>
      </c>
      <c r="Q82" s="31" t="n">
        <v>564.38</v>
      </c>
      <c r="R82" s="30" t="inlineStr">
        <is>
          <t>Near 52W High Breakout</t>
        </is>
      </c>
      <c r="S82" s="30" t="inlineStr">
        <is>
          <t>Nifty 50</t>
        </is>
      </c>
      <c r="T82" s="31" t="n">
        <v>1.09</v>
      </c>
      <c r="U82" s="31" t="n">
        <v>20.4</v>
      </c>
      <c r="V82" s="31" t="n">
        <v>19.1</v>
      </c>
      <c r="W82" s="31" t="n">
        <v>7.17</v>
      </c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0 to 20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Between 0.7 to 1.2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19</t>
        </is>
      </c>
      <c r="CG82" s="30">
        <f>IF(CF82&gt;20,10,IF(CF82&gt;=10,5,2))</f>
        <v/>
      </c>
    </row>
    <row r="83">
      <c r="A83" s="30">
        <f>IF(B83=0,"",RANK(B83,$B$2:$B$91,0))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PRICOLLTD</t>
        </is>
      </c>
      <c r="D83" s="30" t="inlineStr">
        <is>
          <t>Pricol Ltd</t>
        </is>
      </c>
      <c r="E83" s="30" t="inlineStr">
        <is>
          <t>auto</t>
        </is>
      </c>
      <c r="F83" s="30" t="inlineStr">
        <is>
          <t>Auto Ancillaries - 2 Wheelers</t>
        </is>
      </c>
      <c r="G83" s="30" t="inlineStr">
        <is>
          <t>midcap</t>
        </is>
      </c>
      <c r="H83" s="31" t="n">
        <v>9262.99</v>
      </c>
      <c r="I83" s="31" t="n">
        <v>760</v>
      </c>
      <c r="J83" s="31" t="n">
        <v>-0.87</v>
      </c>
      <c r="K83" s="31" t="n">
        <v>0</v>
      </c>
      <c r="L83" s="30" t="n">
        <v>73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72.98</v>
      </c>
      <c r="P83" s="31" t="n">
        <v>23.71</v>
      </c>
      <c r="Q83" s="31" t="n">
        <v>611.42</v>
      </c>
      <c r="R83" s="30" t="inlineStr">
        <is>
          <t>Near 52W High Breakout</t>
        </is>
      </c>
      <c r="S83" s="30" t="inlineStr">
        <is>
          <t>Nifty Auto</t>
        </is>
      </c>
      <c r="T83" s="31" t="n">
        <v>22.44</v>
      </c>
      <c r="U83" s="31" t="n">
        <v>74.38</v>
      </c>
      <c r="V83" s="31" t="n">
        <v>42.43</v>
      </c>
      <c r="W83" s="31" t="n">
        <v>17.82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Oligopoly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Shallow Cyclical (2 to 3 Years Growth)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Fully One Time</t>
        </is>
      </c>
      <c r="AS83" s="30">
        <f>IF(AR83="Fully Annuity",10,IF(AR83="Higher Annuity, Lower One Time",5,IF(AR83="Higher One Time, Lower Annuity",3,0)))</f>
        <v/>
      </c>
      <c r="AT83" s="30" t="inlineStr">
        <is>
          <t>Allocated capital in Non-core Areas</t>
        </is>
      </c>
      <c r="AU83" s="30">
        <f>IF(AT83="Good",10,0)</f>
        <v/>
      </c>
      <c r="AV83" s="30" t="inlineStr">
        <is>
          <t>Yes only for next 1 to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Between 12 to 20%</t>
        </is>
      </c>
      <c r="BO83" s="30">
        <f>IF(BN83="More than 20%",10,IF(BN83="Between 12 to 20%",5,IF(BN83="Less than 12%",0,0)))</f>
        <v/>
      </c>
      <c r="BP83" s="30" t="inlineStr">
        <is>
          <t>Yes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Between 1.5 to 2</t>
        </is>
      </c>
      <c r="BU83" s="30">
        <f>IF(BT83="Above 2",0,IF(BT83="Between 1.5 to 2",5,IF(BT83="Less than 1.5",10,0)))</f>
        <v/>
      </c>
      <c r="BV83" s="30" t="inlineStr">
        <is>
          <t>Between 50% to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26</t>
        </is>
      </c>
      <c r="CG83" s="30">
        <f>IF(CF83&gt;20,10,IF(CF83&gt;=10,5,2))</f>
        <v/>
      </c>
    </row>
    <row r="84">
      <c r="A84" s="30">
        <f>IF(B84=0,"",RANK(B84,$B$2:$B$91,0))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3" t="inlineStr">
        <is>
          <t>ELANTAS</t>
        </is>
      </c>
      <c r="D84" s="33" t="inlineStr">
        <is>
          <t>Elantas Beck India Ltd</t>
        </is>
      </c>
      <c r="E84" s="30" t="inlineStr">
        <is>
          <t>Basic Materials</t>
        </is>
      </c>
      <c r="F84" s="30" t="inlineStr">
        <is>
          <t>Chemicals - Organic</t>
        </is>
      </c>
      <c r="G84" s="30" t="inlineStr">
        <is>
          <t>midcap</t>
        </is>
      </c>
      <c r="H84" s="31" t="n">
        <v>9814.469999999999</v>
      </c>
      <c r="I84" s="31" t="n">
        <v>12380</v>
      </c>
      <c r="J84" s="31" t="n">
        <v>6.03</v>
      </c>
      <c r="K84" s="31" t="n">
        <v>0</v>
      </c>
      <c r="L84" s="30" t="n">
        <v>44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68.78</v>
      </c>
      <c r="P84" s="31" t="n">
        <v>23.47</v>
      </c>
      <c r="Q84" s="31" t="n">
        <v>9400.799999999999</v>
      </c>
      <c r="R84" s="30" t="inlineStr">
        <is>
          <t>Volume Spike &amp; Near 52W High Breakout</t>
        </is>
      </c>
      <c r="S84" s="30" t="inlineStr">
        <is>
          <t>Nifty 50</t>
        </is>
      </c>
      <c r="T84" s="31" t="n">
        <v>1.09</v>
      </c>
      <c r="U84" s="31" t="n">
        <v>20.25</v>
      </c>
      <c r="V84" s="31" t="n">
        <v>18.96</v>
      </c>
      <c r="W84" s="31" t="n">
        <v>9.44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Cyclical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Volatile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Less than 12%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22</t>
        </is>
      </c>
      <c r="CG84" s="30">
        <f>IF(CF84&gt;20,10,IF(CF84&gt;=10,5,2))</f>
        <v/>
      </c>
    </row>
    <row r="85">
      <c r="A85" s="30">
        <f>IF(B85=0,"",RANK(B85,$B$2:$B$91,0))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3" t="inlineStr">
        <is>
          <t>VMARCIND</t>
        </is>
      </c>
      <c r="D85" s="33" t="inlineStr">
        <is>
          <t>V-Marc India Ltd</t>
        </is>
      </c>
      <c r="E85" s="30" t="inlineStr">
        <is>
          <t>unknown</t>
        </is>
      </c>
      <c r="F85" s="30" t="inlineStr">
        <is>
          <t>Cables - Power</t>
        </is>
      </c>
      <c r="G85" s="30" t="inlineStr">
        <is>
          <t>smallcap</t>
        </is>
      </c>
      <c r="H85" s="31" t="n">
        <v>4820.65</v>
      </c>
      <c r="I85" s="31" t="n">
        <v>329</v>
      </c>
      <c r="J85" s="31" t="n">
        <v>10.91</v>
      </c>
      <c r="K85" s="31" t="n">
        <v>0</v>
      </c>
      <c r="L85" s="30" t="n">
        <v>1</v>
      </c>
      <c r="M85" s="30" t="inlineStr">
        <is>
          <t>Underperforming</t>
        </is>
      </c>
      <c r="N85" s="31">
        <f>IF(M85="Underperforming",-5,IF(L85&gt;=95,15,IF(L85&gt;=90,10,IF(L85&gt;=80,5,0))))</f>
        <v/>
      </c>
      <c r="O85" s="31" t="n">
        <v>35.53</v>
      </c>
      <c r="P85" s="31" t="n">
        <v>47.05</v>
      </c>
      <c r="Q85" s="31" t="n">
        <v>1101.55</v>
      </c>
      <c r="R85" s="30" t="inlineStr">
        <is>
          <t>Earnings / Momentum Support</t>
        </is>
      </c>
      <c r="S85" s="30" t="inlineStr">
        <is>
          <t>Nifty 50</t>
        </is>
      </c>
      <c r="T85" s="31" t="n">
        <v>1.09</v>
      </c>
      <c r="U85" s="31" t="n">
        <v>-31.81</v>
      </c>
      <c r="V85" s="31" t="n">
        <v>-32.55</v>
      </c>
      <c r="W85" s="31" t="n">
        <v>-6.33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Headwind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No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Below 45</t>
        </is>
      </c>
      <c r="BA85" s="30">
        <f>IF(AZ85="Between 50 to 75",10,IF(AZ85="Above 75",0,0))</f>
        <v/>
      </c>
      <c r="BB85" s="30" t="inlineStr">
        <is>
          <t>Stage 4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No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19</t>
        </is>
      </c>
      <c r="CG85" s="30">
        <f>IF(CF85&gt;20,10,IF(CF85&gt;=10,5,2))</f>
        <v/>
      </c>
    </row>
    <row r="86">
      <c r="A86" s="30">
        <f>IF(B86=0,"",RANK(B86,$B$2:$B$91,0))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2" t="inlineStr">
        <is>
          <t>SILVERTUC</t>
        </is>
      </c>
      <c r="D86" s="32" t="inlineStr">
        <is>
          <t>Silver Touch Technologies Ltd</t>
        </is>
      </c>
      <c r="E86" s="30" t="inlineStr">
        <is>
          <t>Technology</t>
        </is>
      </c>
      <c r="F86" s="30" t="inlineStr">
        <is>
          <t>IT - Software</t>
        </is>
      </c>
      <c r="G86" s="30" t="inlineStr">
        <is>
          <t>smallcap</t>
        </is>
      </c>
      <c r="H86" s="31" t="n">
        <v>2472.8</v>
      </c>
      <c r="I86" s="31" t="n">
        <v>195</v>
      </c>
      <c r="J86" s="31" t="n">
        <v>1.64</v>
      </c>
      <c r="K86" s="31" t="n">
        <v>0</v>
      </c>
      <c r="L86" s="30" t="n">
        <v>1</v>
      </c>
      <c r="M86" s="30" t="inlineStr">
        <is>
          <t>Underperforming</t>
        </is>
      </c>
      <c r="N86" s="31">
        <f>IF(M86="Underperforming",-5,IF(L86&gt;=95,15,IF(L86&gt;=90,10,IF(L86&gt;=80,5,0))))</f>
        <v/>
      </c>
      <c r="O86" s="31" t="n">
        <v>42.8</v>
      </c>
      <c r="P86" s="31" t="n">
        <v>20.15</v>
      </c>
      <c r="Q86" s="31" t="n">
        <v>107.43</v>
      </c>
      <c r="R86" s="30" t="inlineStr">
        <is>
          <t>Earnings / Momentum Support</t>
        </is>
      </c>
      <c r="S86" s="30" t="inlineStr">
        <is>
          <t>Nifty 50</t>
        </is>
      </c>
      <c r="T86" s="31" t="n">
        <v>1.09</v>
      </c>
      <c r="U86" s="31" t="n">
        <v>-73.59999999999999</v>
      </c>
      <c r="V86" s="31" t="n">
        <v>-73.88</v>
      </c>
      <c r="W86" s="31" t="n">
        <v>-2.75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No</t>
        </is>
      </c>
      <c r="AQ86" s="30">
        <f>IF(AP86="Yes",10,0)</f>
        <v/>
      </c>
      <c r="AR86" s="30" t="inlineStr">
        <is>
          <t>Higher Annuity, Lower One Time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Below 45</t>
        </is>
      </c>
      <c r="BA86" s="30">
        <f>IF(AZ86="Between 50 to 75",10,IF(AZ86="Above 75",0,0))</f>
        <v/>
      </c>
      <c r="BB86" s="30" t="inlineStr">
        <is>
          <t>Stage 4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20</t>
        </is>
      </c>
      <c r="CG86" s="30">
        <f>IF(CF86&gt;20,10,IF(CF86&gt;=10,5,2))</f>
        <v/>
      </c>
    </row>
    <row r="87">
      <c r="A87" s="30">
        <f>IF(B87=0,"",RANK(B87,$B$2:$B$91,0))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2" t="inlineStr">
        <is>
          <t>LLOYDSME</t>
        </is>
      </c>
      <c r="D87" s="32" t="inlineStr">
        <is>
          <t>Lloyds Metals &amp; Energy Ltd</t>
        </is>
      </c>
      <c r="E87" s="30" t="inlineStr">
        <is>
          <t>metals &amp; mining</t>
        </is>
      </c>
      <c r="F87" s="30" t="inlineStr">
        <is>
          <t>Mining/Minerals - Iron Ore</t>
        </is>
      </c>
      <c r="G87" s="30" t="inlineStr">
        <is>
          <t>largecap</t>
        </is>
      </c>
      <c r="H87" s="31" t="n">
        <v>115463.47</v>
      </c>
      <c r="I87" s="31" t="n">
        <v>2051.2</v>
      </c>
      <c r="J87" s="31" t="n">
        <v>-1.72</v>
      </c>
      <c r="K87" s="31" t="n">
        <v>0</v>
      </c>
      <c r="L87" s="30" t="n">
        <v>61</v>
      </c>
      <c r="M87" s="30" t="inlineStr">
        <is>
          <t>Underperforming</t>
        </is>
      </c>
      <c r="N87" s="31">
        <f>IF(M87="Underperforming",-5,IF(L87&gt;=95,15,IF(L87&gt;=90,10,IF(L87&gt;=80,5,0))))</f>
        <v/>
      </c>
      <c r="O87" s="31" t="n">
        <v>78.86</v>
      </c>
      <c r="P87" s="31" t="n">
        <v>44.9</v>
      </c>
      <c r="Q87" s="31" t="n">
        <v>1731.23</v>
      </c>
      <c r="R87" s="30" t="inlineStr">
        <is>
          <t>Near 52W High Breakout</t>
        </is>
      </c>
      <c r="S87" s="30" t="inlineStr">
        <is>
          <t>Nifty Metal</t>
        </is>
      </c>
      <c r="T87" s="31" t="n">
        <v>39.44</v>
      </c>
      <c r="U87" s="31" t="n">
        <v>37.83</v>
      </c>
      <c r="V87" s="31" t="n">
        <v>-1.16</v>
      </c>
      <c r="W87" s="31" t="n">
        <v>13.77</v>
      </c>
      <c r="X87" s="30" t="inlineStr">
        <is>
          <t>Cyclical in an Upturn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Cyclical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Volatile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Less than 50% and Borrowings are increasing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More than 1.2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20</t>
        </is>
      </c>
      <c r="CG87" s="30">
        <f>IF(CF87&gt;20,10,IF(CF87&gt;=10,5,2))</f>
        <v/>
      </c>
    </row>
    <row r="88">
      <c r="A88" s="30">
        <f>IF(B88=0,"",RANK(B88,$B$2:$B$91,0))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GAEL</t>
        </is>
      </c>
      <c r="D88" s="30" t="inlineStr">
        <is>
          <t>Gujarat Ambuja Exports Ltd</t>
        </is>
      </c>
      <c r="E88" s="30" t="inlineStr">
        <is>
          <t>fmcg</t>
        </is>
      </c>
      <c r="F88" s="30" t="inlineStr">
        <is>
          <t>Agricultural Processing - Maize</t>
        </is>
      </c>
      <c r="G88" s="30" t="inlineStr">
        <is>
          <t>midcap</t>
        </is>
      </c>
      <c r="H88" s="31" t="n">
        <v>8114.8</v>
      </c>
      <c r="I88" s="31" t="n">
        <v>176.92</v>
      </c>
      <c r="J88" s="31" t="n">
        <v>1.2</v>
      </c>
      <c r="K88" s="31" t="n">
        <v>0</v>
      </c>
      <c r="L88" s="30" t="n">
        <v>66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66.28</v>
      </c>
      <c r="P88" s="31" t="n">
        <v>37.78</v>
      </c>
      <c r="Q88" s="31" t="n">
        <v>141.78</v>
      </c>
      <c r="R88" s="30" t="inlineStr">
        <is>
          <t>Volume Spike &amp; Near 52W High Breakout</t>
        </is>
      </c>
      <c r="S88" s="30" t="inlineStr">
        <is>
          <t>Nifty FMCG</t>
        </is>
      </c>
      <c r="T88" s="31" t="n">
        <v>-9.75</v>
      </c>
      <c r="U88" s="31" t="n">
        <v>69.28</v>
      </c>
      <c r="V88" s="31" t="n">
        <v>87.56</v>
      </c>
      <c r="W88" s="31" t="n">
        <v>15.22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Oligopoly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Shallow Cyclical (2 to 3 Years Growth)</t>
        </is>
      </c>
      <c r="AG88" s="30">
        <f>IF(AF88="Structural (10 Years Consistency)",10,IF(AF88="Shallow Cyclical (2 to 3 years growth)",5,0))</f>
        <v/>
      </c>
      <c r="AH88" s="30" t="inlineStr">
        <is>
          <t>Yes due to Product Mix change or Operating Leverage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Volatile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Allocated capital in Non-core Areas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3</t>
        </is>
      </c>
      <c r="BC88" s="30">
        <f>IF(BB88="Stage 2",20,IF(BB88="Stage 1",0,IF(BB88="Stage 3",5,IF(BB88="Stage 4",-5,0))))</f>
        <v/>
      </c>
      <c r="BD88" s="30" t="inlineStr">
        <is>
          <t>Negative Trend</t>
        </is>
      </c>
      <c r="BE88" s="30">
        <f>IF(BD88="Positive Trend",20,IF(BD88="Negative Trend",-10,0))</f>
        <v/>
      </c>
      <c r="BF88" s="30" t="inlineStr">
        <is>
          <t>Sideways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Overhead supply in last 2 years in last 2 years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More than 15%</t>
        </is>
      </c>
      <c r="CC88" s="30">
        <f>IF(CB88="More than 15%",-10,IF(CB88="Less than 15%",10,0))</f>
        <v/>
      </c>
      <c r="CD88" s="30" t="inlineStr">
        <is>
          <t>Yes Upto 10%</t>
        </is>
      </c>
      <c r="CE88" s="30">
        <f>IF(CD88="Yes, more than 10%",-10,IF(CD88="No",10,0))</f>
        <v/>
      </c>
      <c r="CF88" s="30" t="inlineStr">
        <is>
          <t>28</t>
        </is>
      </c>
      <c r="CG88" s="30">
        <f>IF(CF88&gt;20,10,IF(CF88&gt;=10,5,2))</f>
        <v/>
      </c>
    </row>
    <row r="89">
      <c r="A89" s="30">
        <f>IF(B89=0,"",RANK(B89,$B$2:$B$91,0))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0" t="inlineStr">
        <is>
          <t>MACPOWER</t>
        </is>
      </c>
      <c r="D89" s="30" t="inlineStr">
        <is>
          <t>Macpower CNC Machines Ltd</t>
        </is>
      </c>
      <c r="E89" s="30" t="inlineStr">
        <is>
          <t>industrials</t>
        </is>
      </c>
      <c r="F89" s="30" t="inlineStr">
        <is>
          <t>CNC - Machines</t>
        </is>
      </c>
      <c r="G89" s="30" t="inlineStr">
        <is>
          <t>smallcap</t>
        </is>
      </c>
      <c r="H89" s="31" t="n">
        <v>1598.56</v>
      </c>
      <c r="I89" s="31" t="n">
        <v>1597.9</v>
      </c>
      <c r="J89" s="31" t="n">
        <v>4.1</v>
      </c>
      <c r="K89" s="31" t="n">
        <v>0</v>
      </c>
      <c r="L89" s="30" t="inlineStr"/>
      <c r="M89" s="30" t="inlineStr"/>
      <c r="N89" s="31">
        <f>IF(M89="Underperforming",-5,IF(L89&gt;=95,15,IF(L89&gt;=90,10,IF(L89&gt;=80,5,0))))</f>
        <v/>
      </c>
      <c r="O89" s="31" t="inlineStr"/>
      <c r="P89" s="31" t="inlineStr"/>
      <c r="Q89" s="31" t="inlineStr"/>
      <c r="R89" s="30" t="inlineStr"/>
      <c r="S89" s="30" t="inlineStr"/>
      <c r="T89" s="31" t="inlineStr"/>
      <c r="U89" s="31" t="inlineStr"/>
      <c r="V89" s="31" t="inlineStr"/>
      <c r="W89" s="31" t="inlineStr"/>
      <c r="X89" s="30" t="n"/>
      <c r="Y89" s="30">
        <f>IF(X89="Growing Industry",10,IF(X89="Cyclical in an Upturn",5,0))</f>
        <v/>
      </c>
      <c r="Z89" s="30" t="n"/>
      <c r="AA89" s="30">
        <f>IF(Z89="Monopoly",10,IF(Z89="Oligopoly",5,IF(Z89="Duopoly that cooperate",10,IF(Z89="Duopoly that compete",5,IF(Z89="Too many players with High ROCE",5,0)))))</f>
        <v/>
      </c>
      <c r="AB89" s="30" t="n"/>
      <c r="AC89" s="30">
        <f>IF(AB89="No",5,0)</f>
        <v/>
      </c>
      <c r="AD89" s="30" t="n"/>
      <c r="AE89" s="30">
        <f>IF(AD89="Tailwind",10,0)</f>
        <v/>
      </c>
      <c r="AF89" s="30" t="n"/>
      <c r="AG89" s="30">
        <f>IF(AF89="Structural (10 Years Consistency)",10,IF(AF89="Shallow Cyclical (2 to 3 years growth)",5,0))</f>
        <v/>
      </c>
      <c r="AH89" s="30" t="n"/>
      <c r="AI89" s="30">
        <f>IF(AH89="Yes due to Product Mix change or Operating Leverage",10,IF(AH89="Yes, these are peak margins",-5,IF(AH89="No",5,0)))</f>
        <v/>
      </c>
      <c r="AJ89" s="30" t="n"/>
      <c r="AK89" s="30">
        <f>IF(AJ89="Stable",10,0)</f>
        <v/>
      </c>
      <c r="AL89" s="30" t="n"/>
      <c r="AM89" s="30">
        <f>IF(AL89="Yes",10,0)</f>
        <v/>
      </c>
      <c r="AN89" s="30" t="n"/>
      <c r="AO89" s="30">
        <f>IF(AN89="B2C",10,IF(AN89="B2B",5,0))</f>
        <v/>
      </c>
      <c r="AP89" s="30" t="n"/>
      <c r="AQ89" s="30">
        <f>IF(AP89="Yes",10,0)</f>
        <v/>
      </c>
      <c r="AR89" s="30" t="n"/>
      <c r="AS89" s="30">
        <f>IF(AR89="Fully Annuity",10,IF(AR89="Higher Annuity, Lower One Time",5,IF(AR89="Higher One Time, Lower Annuity",3,0)))</f>
        <v/>
      </c>
      <c r="AT89" s="30" t="n"/>
      <c r="AU89" s="30">
        <f>IF(AT89="Good",10,0)</f>
        <v/>
      </c>
      <c r="AV89" s="30" t="n"/>
      <c r="AW89" s="30">
        <f>IF(AV89="Yes for more than 2 years",10,IF(AV89="Yes only for next 1 to 2 years",5,0))</f>
        <v/>
      </c>
      <c r="AX89" s="30" t="n"/>
      <c r="AY89" s="30">
        <f>IF(AX89="Above 40",20,IF(AX89="20 to 40",10,IF(AX89="0 to 20",-5,0)))</f>
        <v/>
      </c>
      <c r="AZ89" s="30" t="n"/>
      <c r="BA89" s="30">
        <f>IF(AZ89="Between 50 to 75",10,IF(AZ89="Above 75",0,0))</f>
        <v/>
      </c>
      <c r="BB89" s="30" t="n"/>
      <c r="BC89" s="30">
        <f>IF(BB89="Stage 2",20,IF(BB89="Stage 1",0,IF(BB89="Stage 3",5,IF(BB89="Stage 4",-5,0))))</f>
        <v/>
      </c>
      <c r="BD89" s="30" t="n"/>
      <c r="BE89" s="30">
        <f>IF(BD89="Positive Trend",20,IF(BD89="Negative Trend",-10,0))</f>
        <v/>
      </c>
      <c r="BF89" s="30" t="n"/>
      <c r="BG89" s="30">
        <f>IF(BF89="Uptrend",10,IF(BF89="Sideways",5,0))</f>
        <v/>
      </c>
      <c r="BH89" s="30" t="n"/>
      <c r="BI89" s="30">
        <f>IF(BH89="Uptrend",10,IF(BH89="Sideways",5,0))</f>
        <v/>
      </c>
      <c r="BJ89" s="30" t="n"/>
      <c r="BK89" s="30">
        <f>IF(BJ89="Overhead supply in last 2 years in last 2 years",-5,IF(BJ89="Close to 52 week high or retracement",5,IF(BJ89="Blue sky scenario",10,IF(BJ89="Long term Downtrend",-10,0))))</f>
        <v/>
      </c>
      <c r="BL89" s="30" t="n"/>
      <c r="BM89" s="30">
        <f>IF(BL89="Yes",10,0)</f>
        <v/>
      </c>
      <c r="BN89" s="30" t="n"/>
      <c r="BO89" s="30">
        <f>IF(BN89="More than 20%",10,IF(BN89="Between 12 to 20%",5,IF(BN89="Less than 12%",0,0)))</f>
        <v/>
      </c>
      <c r="BP89" s="30" t="n"/>
      <c r="BQ89" s="30">
        <f>IF(BP89="No",10,0)</f>
        <v/>
      </c>
      <c r="BR89" s="30" t="n"/>
      <c r="BS89" s="30">
        <f>IF(BR89="NO",5,0)</f>
        <v/>
      </c>
      <c r="BT89" s="30" t="n"/>
      <c r="BU89" s="30">
        <f>IF(BT89="Above 2",0,IF(BT89="Between 1.5 to 2",5,IF(BT89="Less than 1.5",10,0)))</f>
        <v/>
      </c>
      <c r="BV89" s="30" t="n"/>
      <c r="BW89" s="30">
        <f>IF(BV89="Above 70%",10,IF(BV89="Between 50% to 70%",5,IF(BV89="Less than 50%",0,IF(BV89="Negative",-10,IF(BV89="Less than 50% and Borrowings are increasing",-5,0)))))</f>
        <v/>
      </c>
      <c r="BX89" s="30" t="n"/>
      <c r="BY89" s="30">
        <f>IF(BX89="More than 1.2",-10,IF(BX89="Between 0.7 to 1.2",0,IF(BX89="Less than 0.7",10,0)))</f>
        <v/>
      </c>
      <c r="BZ89" s="30" t="n"/>
      <c r="CA89" s="30">
        <f>IF(BZ89="Yes",-10,0)</f>
        <v/>
      </c>
      <c r="CB89" s="30" t="n"/>
      <c r="CC89" s="30">
        <f>IF(CB89="More than 15%",-10,IF(CB89="Less than 15%",10,0))</f>
        <v/>
      </c>
      <c r="CD89" s="30" t="n"/>
      <c r="CE89" s="30">
        <f>IF(CD89="Yes, more than 10%",-10,IF(CD89="No",10,0))</f>
        <v/>
      </c>
      <c r="CF89" s="30" t="n"/>
      <c r="CG89" s="30">
        <f>IF(CF89&gt;20,10,IF(CF89&gt;=10,5,2))</f>
        <v/>
      </c>
    </row>
    <row r="90">
      <c r="A90" s="30">
        <f>IF(B90=0,"",RANK(B90,$B$2:$B$91,0))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0" t="inlineStr">
        <is>
          <t>MONOLITH</t>
        </is>
      </c>
      <c r="D90" s="30" t="inlineStr">
        <is>
          <t>Monolithisch India Ltd</t>
        </is>
      </c>
      <c r="E90" s="30" t="inlineStr">
        <is>
          <t>unknown</t>
        </is>
      </c>
      <c r="F90" s="30" t="inlineStr">
        <is>
          <t>Refractories</t>
        </is>
      </c>
      <c r="G90" s="30" t="inlineStr">
        <is>
          <t>smallcap</t>
        </is>
      </c>
      <c r="H90" s="31" t="n">
        <v>1999.71</v>
      </c>
      <c r="I90" s="31" t="n">
        <v>920</v>
      </c>
      <c r="J90" s="31" t="n">
        <v>2.43</v>
      </c>
      <c r="K90" s="31" t="n">
        <v>0</v>
      </c>
      <c r="L90" s="30" t="inlineStr"/>
      <c r="M90" s="30" t="inlineStr"/>
      <c r="N90" s="31">
        <f>IF(M90="Underperforming",-5,IF(L90&gt;=95,15,IF(L90&gt;=90,10,IF(L90&gt;=80,5,0))))</f>
        <v/>
      </c>
      <c r="O90" s="31" t="inlineStr"/>
      <c r="P90" s="31" t="inlineStr"/>
      <c r="Q90" s="31" t="inlineStr"/>
      <c r="R90" s="30" t="inlineStr"/>
      <c r="S90" s="30" t="inlineStr"/>
      <c r="T90" s="31" t="inlineStr"/>
      <c r="U90" s="31" t="inlineStr"/>
      <c r="V90" s="31" t="inlineStr"/>
      <c r="W90" s="31" t="inlineStr"/>
      <c r="X90" s="30" t="n"/>
      <c r="Y90" s="30">
        <f>IF(X90="Growing Industry",10,IF(X90="Cyclical in an Upturn",5,0))</f>
        <v/>
      </c>
      <c r="Z90" s="30" t="n"/>
      <c r="AA90" s="30">
        <f>IF(Z90="Monopoly",10,IF(Z90="Oligopoly",5,IF(Z90="Duopoly that cooperate",10,IF(Z90="Duopoly that compete",5,IF(Z90="Too many players with High ROCE",5,0)))))</f>
        <v/>
      </c>
      <c r="AB90" s="30" t="n"/>
      <c r="AC90" s="30">
        <f>IF(AB90="No",5,0)</f>
        <v/>
      </c>
      <c r="AD90" s="30" t="n"/>
      <c r="AE90" s="30">
        <f>IF(AD90="Tailwind",10,0)</f>
        <v/>
      </c>
      <c r="AF90" s="30" t="n"/>
      <c r="AG90" s="30">
        <f>IF(AF90="Structural (10 Years Consistency)",10,IF(AF90="Shallow Cyclical (2 to 3 years growth)",5,0))</f>
        <v/>
      </c>
      <c r="AH90" s="30" t="n"/>
      <c r="AI90" s="30">
        <f>IF(AH90="Yes due to Product Mix change or Operating Leverage",10,IF(AH90="Yes, these are peak margins",-5,IF(AH90="No",5,0)))</f>
        <v/>
      </c>
      <c r="AJ90" s="30" t="n"/>
      <c r="AK90" s="30">
        <f>IF(AJ90="Stable",10,0)</f>
        <v/>
      </c>
      <c r="AL90" s="30" t="n"/>
      <c r="AM90" s="30">
        <f>IF(AL90="Yes",10,0)</f>
        <v/>
      </c>
      <c r="AN90" s="30" t="n"/>
      <c r="AO90" s="30">
        <f>IF(AN90="B2C",10,IF(AN90="B2B",5,0))</f>
        <v/>
      </c>
      <c r="AP90" s="30" t="n"/>
      <c r="AQ90" s="30">
        <f>IF(AP90="Yes",10,0)</f>
        <v/>
      </c>
      <c r="AR90" s="30" t="n"/>
      <c r="AS90" s="30">
        <f>IF(AR90="Fully Annuity",10,IF(AR90="Higher Annuity, Lower One Time",5,IF(AR90="Higher One Time, Lower Annuity",3,0)))</f>
        <v/>
      </c>
      <c r="AT90" s="30" t="n"/>
      <c r="AU90" s="30">
        <f>IF(AT90="Good",10,0)</f>
        <v/>
      </c>
      <c r="AV90" s="30" t="n"/>
      <c r="AW90" s="30">
        <f>IF(AV90="Yes for more than 2 years",10,IF(AV90="Yes only for next 1 to 2 years",5,0))</f>
        <v/>
      </c>
      <c r="AX90" s="30" t="n"/>
      <c r="AY90" s="30">
        <f>IF(AX90="Above 40",20,IF(AX90="20 to 40",10,IF(AX90="0 to 20",-5,0)))</f>
        <v/>
      </c>
      <c r="AZ90" s="30" t="n"/>
      <c r="BA90" s="30">
        <f>IF(AZ90="Between 50 to 75",10,IF(AZ90="Above 75",0,0))</f>
        <v/>
      </c>
      <c r="BB90" s="30" t="n"/>
      <c r="BC90" s="30">
        <f>IF(BB90="Stage 2",20,IF(BB90="Stage 1",0,IF(BB90="Stage 3",5,IF(BB90="Stage 4",-5,0))))</f>
        <v/>
      </c>
      <c r="BD90" s="30" t="n"/>
      <c r="BE90" s="30">
        <f>IF(BD90="Positive Trend",20,IF(BD90="Negative Trend",-10,0))</f>
        <v/>
      </c>
      <c r="BF90" s="30" t="n"/>
      <c r="BG90" s="30">
        <f>IF(BF90="Uptrend",10,IF(BF90="Sideways",5,0))</f>
        <v/>
      </c>
      <c r="BH90" s="30" t="n"/>
      <c r="BI90" s="30">
        <f>IF(BH90="Uptrend",10,IF(BH90="Sideways",5,0))</f>
        <v/>
      </c>
      <c r="BJ90" s="30" t="n"/>
      <c r="BK90" s="30">
        <f>IF(BJ90="Overhead supply in last 2 years in last 2 years",-5,IF(BJ90="Close to 52 week high or retracement",5,IF(BJ90="Blue sky scenario",10,IF(BJ90="Long term Downtrend",-10,0))))</f>
        <v/>
      </c>
      <c r="BL90" s="30" t="n"/>
      <c r="BM90" s="30">
        <f>IF(BL90="Yes",10,0)</f>
        <v/>
      </c>
      <c r="BN90" s="30" t="n"/>
      <c r="BO90" s="30">
        <f>IF(BN90="More than 20%",10,IF(BN90="Between 12 to 20%",5,IF(BN90="Less than 12%",0,0)))</f>
        <v/>
      </c>
      <c r="BP90" s="30" t="n"/>
      <c r="BQ90" s="30">
        <f>IF(BP90="No",10,0)</f>
        <v/>
      </c>
      <c r="BR90" s="30" t="n"/>
      <c r="BS90" s="30">
        <f>IF(BR90="NO",5,0)</f>
        <v/>
      </c>
      <c r="BT90" s="30" t="n"/>
      <c r="BU90" s="30">
        <f>IF(BT90="Above 2",0,IF(BT90="Between 1.5 to 2",5,IF(BT90="Less than 1.5",10,0)))</f>
        <v/>
      </c>
      <c r="BV90" s="30" t="n"/>
      <c r="BW90" s="30">
        <f>IF(BV90="Above 70%",10,IF(BV90="Between 50% to 70%",5,IF(BV90="Less than 50%",0,IF(BV90="Negative",-10,IF(BV90="Less than 50% and Borrowings are increasing",-5,0)))))</f>
        <v/>
      </c>
      <c r="BX90" s="30" t="n"/>
      <c r="BY90" s="30">
        <f>IF(BX90="More than 1.2",-10,IF(BX90="Between 0.7 to 1.2",0,IF(BX90="Less than 0.7",10,0)))</f>
        <v/>
      </c>
      <c r="BZ90" s="30" t="n"/>
      <c r="CA90" s="30">
        <f>IF(BZ90="Yes",-10,0)</f>
        <v/>
      </c>
      <c r="CB90" s="30" t="n"/>
      <c r="CC90" s="30">
        <f>IF(CB90="More than 15%",-10,IF(CB90="Less than 15%",10,0))</f>
        <v/>
      </c>
      <c r="CD90" s="30" t="n"/>
      <c r="CE90" s="30">
        <f>IF(CD90="Yes, more than 10%",-10,IF(CD90="No",10,0))</f>
        <v/>
      </c>
      <c r="CF90" s="30" t="n"/>
      <c r="CG90" s="30">
        <f>IF(CF90&gt;20,10,IF(CF90&gt;=10,5,2))</f>
        <v/>
      </c>
    </row>
    <row r="91">
      <c r="A91" s="30">
        <f>IF(B91=0,"",RANK(B91,$B$2:$B$91,0))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0" t="inlineStr">
        <is>
          <t>SHADOWFAX</t>
        </is>
      </c>
      <c r="D91" s="30" t="inlineStr">
        <is>
          <t>Shadowfax Technologies Ltd</t>
        </is>
      </c>
      <c r="E91" s="30" t="inlineStr">
        <is>
          <t>unknown</t>
        </is>
      </c>
      <c r="F91" s="30" t="inlineStr">
        <is>
          <t>Logistics</t>
        </is>
      </c>
      <c r="G91" s="30" t="inlineStr">
        <is>
          <t>midcap</t>
        </is>
      </c>
      <c r="H91" s="31" t="n">
        <v>14056.45</v>
      </c>
      <c r="I91" s="31" t="n">
        <v>240.15</v>
      </c>
      <c r="J91" s="31" t="n">
        <v>-1.38</v>
      </c>
      <c r="K91" s="31" t="n">
        <v>0</v>
      </c>
      <c r="L91" s="30" t="inlineStr"/>
      <c r="M91" s="30" t="inlineStr"/>
      <c r="N91" s="31">
        <f>IF(M91="Underperforming",-5,IF(L91&gt;=95,15,IF(L91&gt;=90,10,IF(L91&gt;=80,5,0))))</f>
        <v/>
      </c>
      <c r="O91" s="31" t="inlineStr"/>
      <c r="P91" s="31" t="inlineStr"/>
      <c r="Q91" s="31" t="inlineStr"/>
      <c r="R91" s="30" t="inlineStr"/>
      <c r="S91" s="30" t="inlineStr"/>
      <c r="T91" s="31" t="inlineStr"/>
      <c r="U91" s="31" t="inlineStr"/>
      <c r="V91" s="31" t="inlineStr"/>
      <c r="W91" s="31" t="inlineStr"/>
      <c r="X91" s="30" t="n"/>
      <c r="Y91" s="30">
        <f>IF(X91="Growing Industry",10,IF(X91="Cyclical in an Upturn",5,0))</f>
        <v/>
      </c>
      <c r="Z91" s="30" t="n"/>
      <c r="AA91" s="30">
        <f>IF(Z91="Monopoly",10,IF(Z91="Oligopoly",5,IF(Z91="Duopoly that cooperate",10,IF(Z91="Duopoly that compete",5,IF(Z91="Too many players with High ROCE",5,0)))))</f>
        <v/>
      </c>
      <c r="AB91" s="30" t="n"/>
      <c r="AC91" s="30">
        <f>IF(AB91="No",5,0)</f>
        <v/>
      </c>
      <c r="AD91" s="30" t="n"/>
      <c r="AE91" s="30">
        <f>IF(AD91="Tailwind",10,0)</f>
        <v/>
      </c>
      <c r="AF91" s="30" t="n"/>
      <c r="AG91" s="30">
        <f>IF(AF91="Structural (10 Years Consistency)",10,IF(AF91="Shallow Cyclical (2 to 3 years growth)",5,0))</f>
        <v/>
      </c>
      <c r="AH91" s="30" t="n"/>
      <c r="AI91" s="30">
        <f>IF(AH91="Yes due to Product Mix change or Operating Leverage",10,IF(AH91="Yes, these are peak margins",-5,IF(AH91="No",5,0)))</f>
        <v/>
      </c>
      <c r="AJ91" s="30" t="n"/>
      <c r="AK91" s="30">
        <f>IF(AJ91="Stable",10,0)</f>
        <v/>
      </c>
      <c r="AL91" s="30" t="n"/>
      <c r="AM91" s="30">
        <f>IF(AL91="Yes",10,0)</f>
        <v/>
      </c>
      <c r="AN91" s="30" t="n"/>
      <c r="AO91" s="30">
        <f>IF(AN91="B2C",10,IF(AN91="B2B",5,0))</f>
        <v/>
      </c>
      <c r="AP91" s="30" t="n"/>
      <c r="AQ91" s="30">
        <f>IF(AP91="Yes",10,0)</f>
        <v/>
      </c>
      <c r="AR91" s="30" t="n"/>
      <c r="AS91" s="30">
        <f>IF(AR91="Fully Annuity",10,IF(AR91="Higher Annuity, Lower One Time",5,IF(AR91="Higher One Time, Lower Annuity",3,0)))</f>
        <v/>
      </c>
      <c r="AT91" s="30" t="n"/>
      <c r="AU91" s="30">
        <f>IF(AT91="Good",10,0)</f>
        <v/>
      </c>
      <c r="AV91" s="30" t="n"/>
      <c r="AW91" s="30">
        <f>IF(AV91="Yes for more than 2 years",10,IF(AV91="Yes only for next 1 to 2 years",5,0))</f>
        <v/>
      </c>
      <c r="AX91" s="30" t="n"/>
      <c r="AY91" s="30">
        <f>IF(AX91="Above 40",20,IF(AX91="20 to 40",10,IF(AX91="0 to 20",-5,0)))</f>
        <v/>
      </c>
      <c r="AZ91" s="30" t="n"/>
      <c r="BA91" s="30">
        <f>IF(AZ91="Between 50 to 75",10,IF(AZ91="Above 75",0,0))</f>
        <v/>
      </c>
      <c r="BB91" s="30" t="n"/>
      <c r="BC91" s="30">
        <f>IF(BB91="Stage 2",20,IF(BB91="Stage 1",0,IF(BB91="Stage 3",5,IF(BB91="Stage 4",-5,0))))</f>
        <v/>
      </c>
      <c r="BD91" s="30" t="n"/>
      <c r="BE91" s="30">
        <f>IF(BD91="Positive Trend",20,IF(BD91="Negative Trend",-10,0))</f>
        <v/>
      </c>
      <c r="BF91" s="30" t="n"/>
      <c r="BG91" s="30">
        <f>IF(BF91="Uptrend",10,IF(BF91="Sideways",5,0))</f>
        <v/>
      </c>
      <c r="BH91" s="30" t="n"/>
      <c r="BI91" s="30">
        <f>IF(BH91="Uptrend",10,IF(BH91="Sideways",5,0))</f>
        <v/>
      </c>
      <c r="BJ91" s="30" t="n"/>
      <c r="BK91" s="30">
        <f>IF(BJ91="Overhead supply in last 2 years in last 2 years",-5,IF(BJ91="Close to 52 week high or retracement",5,IF(BJ91="Blue sky scenario",10,IF(BJ91="Long term Downtrend",-10,0))))</f>
        <v/>
      </c>
      <c r="BL91" s="30" t="n"/>
      <c r="BM91" s="30">
        <f>IF(BL91="Yes",10,0)</f>
        <v/>
      </c>
      <c r="BN91" s="30" t="n"/>
      <c r="BO91" s="30">
        <f>IF(BN91="More than 20%",10,IF(BN91="Between 12 to 20%",5,IF(BN91="Less than 12%",0,0)))</f>
        <v/>
      </c>
      <c r="BP91" s="30" t="n"/>
      <c r="BQ91" s="30">
        <f>IF(BP91="No",10,0)</f>
        <v/>
      </c>
      <c r="BR91" s="30" t="n"/>
      <c r="BS91" s="30">
        <f>IF(BR91="NO",5,0)</f>
        <v/>
      </c>
      <c r="BT91" s="30" t="n"/>
      <c r="BU91" s="30">
        <f>IF(BT91="Above 2",0,IF(BT91="Between 1.5 to 2",5,IF(BT91="Less than 1.5",10,0)))</f>
        <v/>
      </c>
      <c r="BV91" s="30" t="n"/>
      <c r="BW91" s="30">
        <f>IF(BV91="Above 70%",10,IF(BV91="Between 50% to 70%",5,IF(BV91="Less than 50%",0,IF(BV91="Negative",-10,IF(BV91="Less than 50% and Borrowings are increasing",-5,0)))))</f>
        <v/>
      </c>
      <c r="BX91" s="30" t="n"/>
      <c r="BY91" s="30">
        <f>IF(BX91="More than 1.2",-10,IF(BX91="Between 0.7 to 1.2",0,IF(BX91="Less than 0.7",10,0)))</f>
        <v/>
      </c>
      <c r="BZ91" s="30" t="n"/>
      <c r="CA91" s="30">
        <f>IF(BZ91="Yes",-10,0)</f>
        <v/>
      </c>
      <c r="CB91" s="30" t="n"/>
      <c r="CC91" s="30">
        <f>IF(CB91="More than 15%",-10,IF(CB91="Less than 15%",10,0))</f>
        <v/>
      </c>
      <c r="CD91" s="30" t="n"/>
      <c r="CE91" s="30">
        <f>IF(CD91="Yes, more than 10%",-10,IF(CD91="No",10,0))</f>
        <v/>
      </c>
      <c r="CF91" s="30" t="n"/>
      <c r="CG91" s="30">
        <f>IF(CF91&gt;20,10,IF(CF91&gt;=10,5,2))</f>
        <v/>
      </c>
    </row>
    <row r="95">
      <c r="A95" s="24" t="inlineStr">
        <is>
          <t>❌ REMOVED SCAN MATCH STOCKS (THIS WEEK)</t>
        </is>
      </c>
    </row>
    <row r="96">
      <c r="A96" s="34" t="inlineStr">
        <is>
          <t>Symbol</t>
        </is>
      </c>
      <c r="B96" s="34" t="inlineStr">
        <is>
          <t>Company Name</t>
        </is>
      </c>
      <c r="C96" s="34" t="inlineStr">
        <is>
          <t>Sector</t>
        </is>
      </c>
      <c r="D96" s="34" t="inlineStr">
        <is>
          <t>Date of Removal</t>
        </is>
      </c>
    </row>
    <row r="97">
      <c r="A97" s="35" t="inlineStr">
        <is>
          <t>ACE</t>
        </is>
      </c>
      <c r="B97" s="36" t="inlineStr">
        <is>
          <t>Action Construction Equipment Limited</t>
        </is>
      </c>
      <c r="C97" s="36" t="inlineStr">
        <is>
          <t>Industrials</t>
        </is>
      </c>
      <c r="D97" s="37" t="inlineStr">
        <is>
          <t>2026-08-06</t>
        </is>
      </c>
    </row>
    <row r="98">
      <c r="A98" s="35" t="inlineStr">
        <is>
          <t>ACMESOLAR</t>
        </is>
      </c>
      <c r="B98" s="36" t="inlineStr">
        <is>
          <t>ACMESOLAR</t>
        </is>
      </c>
      <c r="C98" s="36" t="inlineStr">
        <is>
          <t>unknown</t>
        </is>
      </c>
      <c r="D98" s="37" t="inlineStr">
        <is>
          <t>2026-08-06</t>
        </is>
      </c>
    </row>
    <row r="99">
      <c r="A99" s="35" t="inlineStr">
        <is>
          <t>ACUTAAS</t>
        </is>
      </c>
      <c r="B99" s="36" t="inlineStr">
        <is>
          <t>ACUTAAS</t>
        </is>
      </c>
      <c r="C99" s="36" t="inlineStr">
        <is>
          <t>unknown</t>
        </is>
      </c>
      <c r="D99" s="37" t="inlineStr">
        <is>
          <t>2026-08-05</t>
        </is>
      </c>
    </row>
    <row r="100">
      <c r="A100" s="35" t="inlineStr">
        <is>
          <t>ADOR</t>
        </is>
      </c>
      <c r="B100" s="36" t="inlineStr">
        <is>
          <t>Ador Welding Limited</t>
        </is>
      </c>
      <c r="C100" s="36" t="inlineStr">
        <is>
          <t>Industrials</t>
        </is>
      </c>
      <c r="D100" s="37" t="inlineStr">
        <is>
          <t>2026-08-05</t>
        </is>
      </c>
    </row>
    <row r="101">
      <c r="A101" s="35" t="inlineStr">
        <is>
          <t>ARTEMISMED</t>
        </is>
      </c>
      <c r="B101" s="36" t="inlineStr">
        <is>
          <t>Artemis Medicare Services Limited</t>
        </is>
      </c>
      <c r="C101" s="36" t="inlineStr"/>
      <c r="D101" s="37" t="inlineStr">
        <is>
          <t>2026-08-06</t>
        </is>
      </c>
    </row>
    <row r="102">
      <c r="A102" s="35" t="inlineStr">
        <is>
          <t>BHAGYANGR</t>
        </is>
      </c>
      <c r="B102" s="36" t="inlineStr">
        <is>
          <t>BHAGYANGR</t>
        </is>
      </c>
      <c r="C102" s="36" t="inlineStr">
        <is>
          <t>unknown</t>
        </is>
      </c>
      <c r="D102" s="37" t="inlineStr">
        <is>
          <t>2026-08-04</t>
        </is>
      </c>
    </row>
    <row r="103">
      <c r="A103" s="35" t="inlineStr">
        <is>
          <t>BLSE</t>
        </is>
      </c>
      <c r="B103" s="36" t="inlineStr">
        <is>
          <t>BLSE</t>
        </is>
      </c>
      <c r="C103" s="36" t="inlineStr">
        <is>
          <t>Industrials</t>
        </is>
      </c>
      <c r="D103" s="37" t="inlineStr">
        <is>
          <t>2026-08-06</t>
        </is>
      </c>
    </row>
    <row r="104">
      <c r="A104" s="35" t="inlineStr">
        <is>
          <t>CREDITACC</t>
        </is>
      </c>
      <c r="B104" s="36" t="inlineStr">
        <is>
          <t>CREDITACC</t>
        </is>
      </c>
      <c r="C104" s="36" t="inlineStr">
        <is>
          <t>unknown</t>
        </is>
      </c>
      <c r="D104" s="37" t="inlineStr">
        <is>
          <t>2026-08-05</t>
        </is>
      </c>
    </row>
    <row r="105">
      <c r="A105" s="35" t="inlineStr">
        <is>
          <t>CYIENTDLM</t>
        </is>
      </c>
      <c r="B105" s="36" t="inlineStr">
        <is>
          <t>Cyient DLM Limited</t>
        </is>
      </c>
      <c r="C105" s="36" t="inlineStr">
        <is>
          <t>Industrials</t>
        </is>
      </c>
      <c r="D105" s="37" t="inlineStr">
        <is>
          <t>2026-08-04</t>
        </is>
      </c>
    </row>
    <row r="106">
      <c r="A106" s="35" t="inlineStr">
        <is>
          <t>DALMIASUG</t>
        </is>
      </c>
      <c r="B106" s="36" t="inlineStr">
        <is>
          <t>Dalmia Bharat Sugar and Industries Limited</t>
        </is>
      </c>
      <c r="C106" s="36" t="inlineStr">
        <is>
          <t>unknown</t>
        </is>
      </c>
      <c r="D106" s="37" t="inlineStr">
        <is>
          <t>2026-08-05</t>
        </is>
      </c>
    </row>
    <row r="107">
      <c r="A107" s="35" t="inlineStr">
        <is>
          <t>FAIRCHEMOR</t>
        </is>
      </c>
      <c r="B107" s="36" t="inlineStr">
        <is>
          <t>Fairchem Organics Limited</t>
        </is>
      </c>
      <c r="C107" s="36" t="inlineStr">
        <is>
          <t>Basic Materials</t>
        </is>
      </c>
      <c r="D107" s="37" t="inlineStr">
        <is>
          <t>2026-08-05</t>
        </is>
      </c>
    </row>
    <row r="108">
      <c r="A108" s="35" t="inlineStr">
        <is>
          <t>FSL</t>
        </is>
      </c>
      <c r="B108" s="36" t="inlineStr">
        <is>
          <t>Firstsource Solutions Limited</t>
        </is>
      </c>
      <c r="C108" s="36" t="inlineStr">
        <is>
          <t>Technology</t>
        </is>
      </c>
      <c r="D108" s="37" t="inlineStr">
        <is>
          <t>2026-08-04</t>
        </is>
      </c>
    </row>
    <row r="109">
      <c r="A109" s="35" t="inlineStr">
        <is>
          <t>HEG</t>
        </is>
      </c>
      <c r="B109" s="36" t="inlineStr">
        <is>
          <t>HEG Limited</t>
        </is>
      </c>
      <c r="C109" s="36" t="inlineStr">
        <is>
          <t>Industrials</t>
        </is>
      </c>
      <c r="D109" s="37" t="inlineStr">
        <is>
          <t>2026-08-05</t>
        </is>
      </c>
    </row>
    <row r="110">
      <c r="A110" s="35" t="inlineStr">
        <is>
          <t>LALPATHLAB</t>
        </is>
      </c>
      <c r="B110" s="36" t="inlineStr">
        <is>
          <t>Dr. Lal PathLabs Limited</t>
        </is>
      </c>
      <c r="C110" s="36" t="inlineStr">
        <is>
          <t>Healthcare</t>
        </is>
      </c>
      <c r="D110" s="37" t="inlineStr">
        <is>
          <t>2026-08-04</t>
        </is>
      </c>
    </row>
    <row r="111">
      <c r="A111" s="35" t="inlineStr">
        <is>
          <t>LLOYDSENT</t>
        </is>
      </c>
      <c r="B111" s="36" t="inlineStr">
        <is>
          <t>LLOYDSENT</t>
        </is>
      </c>
      <c r="C111" s="36" t="inlineStr">
        <is>
          <t>unknown</t>
        </is>
      </c>
      <c r="D111" s="37" t="inlineStr">
        <is>
          <t>2026-08-04</t>
        </is>
      </c>
    </row>
    <row r="112">
      <c r="A112" s="35" t="inlineStr">
        <is>
          <t>LOTUSDEV</t>
        </is>
      </c>
      <c r="B112" s="36" t="inlineStr">
        <is>
          <t>LOTUSDEV</t>
        </is>
      </c>
      <c r="C112" s="36" t="inlineStr">
        <is>
          <t>unknown</t>
        </is>
      </c>
      <c r="D112" s="37" t="inlineStr">
        <is>
          <t>2026-08-05</t>
        </is>
      </c>
    </row>
    <row r="113">
      <c r="A113" s="35" t="inlineStr">
        <is>
          <t>NYKAA</t>
        </is>
      </c>
      <c r="B113" s="36" t="inlineStr">
        <is>
          <t>FSN E-Commerce Ventures Limited</t>
        </is>
      </c>
      <c r="C113" s="36" t="inlineStr">
        <is>
          <t>Consumer Cyclical</t>
        </is>
      </c>
      <c r="D113" s="37" t="inlineStr">
        <is>
          <t>2026-08-06</t>
        </is>
      </c>
    </row>
    <row r="114">
      <c r="A114" s="35" t="inlineStr">
        <is>
          <t>QUESS</t>
        </is>
      </c>
      <c r="B114" s="36" t="inlineStr">
        <is>
          <t>Quess Corp Limited</t>
        </is>
      </c>
      <c r="C114" s="36" t="inlineStr">
        <is>
          <t>Industrials</t>
        </is>
      </c>
      <c r="D114" s="37" t="inlineStr">
        <is>
          <t>2026-08-05</t>
        </is>
      </c>
    </row>
    <row r="115">
      <c r="A115" s="35" t="inlineStr">
        <is>
          <t>RAJRATAN</t>
        </is>
      </c>
      <c r="B115" s="36" t="inlineStr">
        <is>
          <t>Rajratan Global Wire Limited</t>
        </is>
      </c>
      <c r="C115" s="36" t="inlineStr">
        <is>
          <t>Basic Materials</t>
        </is>
      </c>
      <c r="D115" s="37" t="inlineStr">
        <is>
          <t>2026-08-06</t>
        </is>
      </c>
    </row>
    <row r="116">
      <c r="A116" s="35" t="inlineStr">
        <is>
          <t>RATNAVEER</t>
        </is>
      </c>
      <c r="B116" s="36" t="inlineStr">
        <is>
          <t>Ratnaveer Precision Engineering Limited</t>
        </is>
      </c>
      <c r="C116" s="36" t="inlineStr">
        <is>
          <t>Basic Materials</t>
        </is>
      </c>
      <c r="D116" s="37" t="inlineStr">
        <is>
          <t>2026-08-04</t>
        </is>
      </c>
    </row>
    <row r="117">
      <c r="A117" s="35" t="inlineStr">
        <is>
          <t>SAPL</t>
        </is>
      </c>
      <c r="B117" s="36" t="inlineStr">
        <is>
          <t>SAPL</t>
        </is>
      </c>
      <c r="C117" s="36" t="inlineStr">
        <is>
          <t>unknown</t>
        </is>
      </c>
      <c r="D117" s="37" t="inlineStr">
        <is>
          <t>2026-08-05</t>
        </is>
      </c>
    </row>
    <row r="118">
      <c r="A118" s="35" t="inlineStr">
        <is>
          <t>SAREGAMA</t>
        </is>
      </c>
      <c r="B118" s="36" t="inlineStr">
        <is>
          <t>Saregama India Limited</t>
        </is>
      </c>
      <c r="C118" s="36" t="inlineStr">
        <is>
          <t>Communication Services</t>
        </is>
      </c>
      <c r="D118" s="37" t="inlineStr">
        <is>
          <t>2026-08-05</t>
        </is>
      </c>
    </row>
    <row r="119">
      <c r="A119" s="35" t="inlineStr">
        <is>
          <t>SMLMAH</t>
        </is>
      </c>
      <c r="B119" s="36" t="inlineStr">
        <is>
          <t>SMLMAH</t>
        </is>
      </c>
      <c r="C119" s="36" t="inlineStr">
        <is>
          <t>Consumer Cyclical</t>
        </is>
      </c>
      <c r="D119" s="37" t="inlineStr">
        <is>
          <t>2026-08-06</t>
        </is>
      </c>
    </row>
    <row r="120">
      <c r="A120" s="35" t="inlineStr">
        <is>
          <t>SONACOMS</t>
        </is>
      </c>
      <c r="B120" s="36" t="inlineStr">
        <is>
          <t>Sona BLW Precision Forgings Limited</t>
        </is>
      </c>
      <c r="C120" s="36" t="inlineStr">
        <is>
          <t>Consumer Cyclical</t>
        </is>
      </c>
      <c r="D120" s="37" t="inlineStr">
        <is>
          <t>2026-08-06</t>
        </is>
      </c>
    </row>
    <row r="121">
      <c r="A121" s="35" t="inlineStr">
        <is>
          <t>SPECTRUM</t>
        </is>
      </c>
      <c r="B121" s="36" t="inlineStr">
        <is>
          <t>SPECTRUM</t>
        </is>
      </c>
      <c r="C121" s="36" t="inlineStr">
        <is>
          <t>Industrials</t>
        </is>
      </c>
      <c r="D121" s="37" t="inlineStr">
        <is>
          <t>2026-08-06</t>
        </is>
      </c>
    </row>
    <row r="122">
      <c r="A122" s="35" t="inlineStr">
        <is>
          <t>SSWL</t>
        </is>
      </c>
      <c r="B122" s="36" t="inlineStr">
        <is>
          <t>Steel Strips Wheels Limited</t>
        </is>
      </c>
      <c r="C122" s="36" t="inlineStr">
        <is>
          <t>Consumer Cyclical</t>
        </is>
      </c>
      <c r="D122" s="37" t="inlineStr">
        <is>
          <t>2026-08-05</t>
        </is>
      </c>
    </row>
    <row r="123">
      <c r="A123" s="35" t="inlineStr">
        <is>
          <t>STLTECH</t>
        </is>
      </c>
      <c r="B123" s="36" t="inlineStr">
        <is>
          <t>Sterlite Technologies Limited</t>
        </is>
      </c>
      <c r="C123" s="36" t="inlineStr">
        <is>
          <t>Technology</t>
        </is>
      </c>
      <c r="D123" s="37" t="inlineStr">
        <is>
          <t>2026-08-06</t>
        </is>
      </c>
    </row>
    <row r="124">
      <c r="A124" s="35" t="inlineStr">
        <is>
          <t>SYRMA</t>
        </is>
      </c>
      <c r="B124" s="36" t="inlineStr">
        <is>
          <t>Syrma SGS Technology Limited</t>
        </is>
      </c>
      <c r="C124" s="36" t="inlineStr">
        <is>
          <t>Technology</t>
        </is>
      </c>
      <c r="D124" s="37" t="inlineStr">
        <is>
          <t>2026-08-06</t>
        </is>
      </c>
    </row>
    <row r="125">
      <c r="A125" s="35" t="inlineStr">
        <is>
          <t>TATVA</t>
        </is>
      </c>
      <c r="B125" s="36" t="inlineStr">
        <is>
          <t>Tatva Chintan Pharma Chem Limited</t>
        </is>
      </c>
      <c r="C125" s="36" t="inlineStr">
        <is>
          <t>Basic Materials</t>
        </is>
      </c>
      <c r="D125" s="37" t="inlineStr">
        <is>
          <t>2026-08-05</t>
        </is>
      </c>
    </row>
    <row r="126">
      <c r="A126" s="35" t="inlineStr">
        <is>
          <t>TBZ</t>
        </is>
      </c>
      <c r="B126" s="36" t="inlineStr">
        <is>
          <t>Tribhovandas Bhimji Zaveri Limited</t>
        </is>
      </c>
      <c r="C126" s="36" t="inlineStr">
        <is>
          <t>Consumer Cyclical</t>
        </is>
      </c>
      <c r="D126" s="37" t="inlineStr">
        <is>
          <t>2026-08-06</t>
        </is>
      </c>
    </row>
    <row r="127">
      <c r="A127" s="35" t="inlineStr">
        <is>
          <t>TIMEX</t>
        </is>
      </c>
      <c r="B127" s="36" t="inlineStr">
        <is>
          <t>TIMEX</t>
        </is>
      </c>
      <c r="C127" s="36" t="inlineStr">
        <is>
          <t>unknown</t>
        </is>
      </c>
      <c r="D127" s="37" t="inlineStr">
        <is>
          <t>2026-08-04</t>
        </is>
      </c>
    </row>
    <row r="128">
      <c r="A128" s="35" t="inlineStr">
        <is>
          <t>TVSHLTD</t>
        </is>
      </c>
      <c r="B128" s="36" t="inlineStr">
        <is>
          <t>TVS Holdings Limited</t>
        </is>
      </c>
      <c r="C128" s="36" t="inlineStr">
        <is>
          <t>Consumer Cyclical</t>
        </is>
      </c>
      <c r="D128" s="37" t="inlineStr">
        <is>
          <t>2026-08-05</t>
        </is>
      </c>
    </row>
    <row r="129">
      <c r="A129" s="35" t="inlineStr">
        <is>
          <t>TVSMOTOR</t>
        </is>
      </c>
      <c r="B129" s="36" t="inlineStr">
        <is>
          <t>TVS Motor Company Limited</t>
        </is>
      </c>
      <c r="C129" s="36" t="inlineStr">
        <is>
          <t>Consumer Cyclical</t>
        </is>
      </c>
      <c r="D129" s="37" t="inlineStr">
        <is>
          <t>2026-08-06</t>
        </is>
      </c>
    </row>
  </sheetData>
  <autoFilter ref="A1:CG91"/>
  <conditionalFormatting sqref="B2:B9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1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1">
    <cfRule type="cellIs" priority="37" operator="equal" dxfId="3" stopIfTrue="1">
      <formula>"Underperforming"</formula>
    </cfRule>
  </conditionalFormatting>
  <conditionalFormatting sqref="N2:N91">
    <cfRule type="cellIs" priority="38" operator="equal" dxfId="3" stopIfTrue="1">
      <formula>-5</formula>
    </cfRule>
  </conditionalFormatting>
  <conditionalFormatting sqref="Q2:Q91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1" showDropDown="0" showInputMessage="0" showErrorMessage="0" allowBlank="1" type="list">
      <formula1>"Growing Industry,Stagnant Industry,Cyclical in an Upturn"</formula1>
    </dataValidation>
    <dataValidation sqref="Z2:Z9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1" showDropDown="0" showInputMessage="0" showErrorMessage="0" allowBlank="1" type="list">
      <formula1>"Yes,No"</formula1>
    </dataValidation>
    <dataValidation sqref="AD2:AD91" showDropDown="0" showInputMessage="0" showErrorMessage="0" allowBlank="1" type="list">
      <formula1>"Tailwind,Headwind"</formula1>
    </dataValidation>
    <dataValidation sqref="AF2:AF91" showDropDown="0" showInputMessage="0" showErrorMessage="0" allowBlank="1" type="list">
      <formula1>"Structural (10 Years Consistency),Shallow Cyclical (2 to 3 Years Growth),Cyclical"</formula1>
    </dataValidation>
    <dataValidation sqref="AH2:AH91" showDropDown="0" showInputMessage="0" showErrorMessage="0" allowBlank="1" type="list">
      <formula1>"Yes due to Product Mix change or Operating Leverage,Yes, these are peak margins,No"</formula1>
    </dataValidation>
    <dataValidation sqref="AJ2:AJ91" showDropDown="0" showInputMessage="0" showErrorMessage="0" allowBlank="1" type="list">
      <formula1>"Stable,Volatile"</formula1>
    </dataValidation>
    <dataValidation sqref="AL2:AL91" showDropDown="0" showInputMessage="0" showErrorMessage="0" allowBlank="1" type="list">
      <formula1>"Yes,No"</formula1>
    </dataValidation>
    <dataValidation sqref="AN2:AN91" showDropDown="0" showInputMessage="0" showErrorMessage="0" allowBlank="1" type="list">
      <formula1>"B2C,B2B,B2G"</formula1>
    </dataValidation>
    <dataValidation sqref="AP2:AP91" showDropDown="0" showInputMessage="0" showErrorMessage="0" allowBlank="1" type="list">
      <formula1>"Yes,No"</formula1>
    </dataValidation>
    <dataValidation sqref="AR2:AR91" showDropDown="0" showInputMessage="0" showErrorMessage="0" allowBlank="1" type="list">
      <formula1>"Fully Annuity,Higher Annuity, Lower One time,Higher One Time, Lower Annuity,Fully One Time"</formula1>
    </dataValidation>
    <dataValidation sqref="AT2:AT91" showDropDown="0" showInputMessage="0" showErrorMessage="0" allowBlank="1" type="list">
      <formula1>"Good,Allocated capital in Non-core Areas"</formula1>
    </dataValidation>
    <dataValidation sqref="AV2:AV91" showDropDown="0" showInputMessage="0" showErrorMessage="0" allowBlank="1" type="list">
      <formula1>"Yes for more than 2 years,Yes only for next 1 to 2 years,No"</formula1>
    </dataValidation>
    <dataValidation sqref="AX2:AX91" showDropDown="0" showInputMessage="0" showErrorMessage="0" allowBlank="1" type="list">
      <formula1>"Above 40,20 to 40,0 to 20"</formula1>
    </dataValidation>
    <dataValidation sqref="AZ2:AZ91" showDropDown="0" showInputMessage="0" showErrorMessage="0" allowBlank="1" type="list">
      <formula1>"Between 50 to 75,Above 75,Below 45"</formula1>
    </dataValidation>
    <dataValidation sqref="BB2:BB91" showDropDown="0" showInputMessage="0" showErrorMessage="0" allowBlank="1" type="list">
      <formula1>"Stage 1,Stage 2,Stage 3,Stage 4"</formula1>
    </dataValidation>
    <dataValidation sqref="BD2:BD91" showDropDown="0" showInputMessage="0" showErrorMessage="0" allowBlank="1" type="list">
      <formula1>"Positive Trend,Negative Trend"</formula1>
    </dataValidation>
    <dataValidation sqref="BF2:BF91" showDropDown="0" showInputMessage="0" showErrorMessage="0" allowBlank="1" type="list">
      <formula1>"Uptrend,Sideways,Downtrend"</formula1>
    </dataValidation>
    <dataValidation sqref="BH2:BH91" showDropDown="0" showInputMessage="0" showErrorMessage="0" allowBlank="1" type="list">
      <formula1>"Uptrend,Sideways,Downtrend"</formula1>
    </dataValidation>
    <dataValidation sqref="BJ2:BJ9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1" showDropDown="0" showInputMessage="0" showErrorMessage="0" allowBlank="1" type="list">
      <formula1>"Yes,No"</formula1>
    </dataValidation>
    <dataValidation sqref="BN2:BN91" showDropDown="0" showInputMessage="0" showErrorMessage="0" allowBlank="1" type="list">
      <formula1>"More than 20%,Between 12 to 20%,Less than 12%"</formula1>
    </dataValidation>
    <dataValidation sqref="BP2:BP91" showDropDown="0" showInputMessage="0" showErrorMessage="0" allowBlank="1" type="list">
      <formula1>"Yes,No"</formula1>
    </dataValidation>
    <dataValidation sqref="BR2:BR91" showDropDown="0" showInputMessage="0" showErrorMessage="0" allowBlank="1" type="list">
      <formula1>"Yes,No"</formula1>
    </dataValidation>
    <dataValidation sqref="BT2:BT91" showDropDown="0" showInputMessage="0" showErrorMessage="0" allowBlank="1" type="list">
      <formula1>"Above 2,Between 1.5 to 2,Less than 1.5"</formula1>
    </dataValidation>
    <dataValidation sqref="BV2:BV91" showDropDown="0" showInputMessage="0" showErrorMessage="0" allowBlank="1" type="list">
      <formula1>"Above 70%,Between 50% to 70%,Less than 50%,Less than 50% and Borrowings are increasing,Negative"</formula1>
    </dataValidation>
    <dataValidation sqref="BX2:BX91" showDropDown="0" showInputMessage="0" showErrorMessage="0" allowBlank="1" type="list">
      <formula1>"More than 1.2,Between 0.7 to 1.2,Less than 0.7"</formula1>
    </dataValidation>
    <dataValidation sqref="BZ2:BZ91" showDropDown="0" showInputMessage="0" showErrorMessage="0" allowBlank="1" type="list">
      <formula1>"Yes,No"</formula1>
    </dataValidation>
    <dataValidation sqref="CB2:CB91" showDropDown="0" showInputMessage="0" showErrorMessage="0" allowBlank="1" type="list">
      <formula1>"More than 15%,Less than 15%"</formula1>
    </dataValidation>
    <dataValidation sqref="CD2:CD9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IF(B2=0,"",RANK(B2,$B$2:$B$11,0))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UJJIVANSFB</t>
        </is>
      </c>
      <c r="D2" s="30" t="inlineStr">
        <is>
          <t>Ujjivan Small Finance Bank Ltd</t>
        </is>
      </c>
      <c r="E2" s="30" t="inlineStr">
        <is>
          <t>bank</t>
        </is>
      </c>
      <c r="F2" s="30" t="inlineStr">
        <is>
          <t>Banks - Small Finance</t>
        </is>
      </c>
      <c r="G2" s="30" t="inlineStr">
        <is>
          <t>midcap</t>
        </is>
      </c>
      <c r="H2" s="31" t="n">
        <v>14009.97</v>
      </c>
      <c r="I2" s="31" t="n">
        <v>72</v>
      </c>
      <c r="J2" s="31" t="n">
        <v>3.46</v>
      </c>
      <c r="K2" s="31" t="n">
        <v>0</v>
      </c>
      <c r="L2" s="30" t="n">
        <v>61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69.26000000000001</v>
      </c>
      <c r="P2" s="31" t="n">
        <v>34.47</v>
      </c>
      <c r="Q2" s="31" t="n">
        <v>56.74</v>
      </c>
      <c r="R2" s="30" t="inlineStr">
        <is>
          <t>Near 52W High Breakout</t>
        </is>
      </c>
      <c r="S2" s="30" t="inlineStr">
        <is>
          <t>Nifty Bank</t>
        </is>
      </c>
      <c r="T2" s="31" t="n">
        <v>5.31</v>
      </c>
      <c r="U2" s="31" t="n">
        <v>62.93</v>
      </c>
      <c r="V2" s="31" t="n">
        <v>54.71</v>
      </c>
      <c r="W2" s="31" t="n">
        <v>13.67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24</t>
        </is>
      </c>
      <c r="CC2" s="30">
        <f>IF(CB2&gt;20,10,IF(CB2&gt;=10,5,2))</f>
        <v/>
      </c>
    </row>
    <row r="3">
      <c r="A3" s="30">
        <f>IF(B3=0,"",RANK(B3,$B$2:$B$11,0))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SGFIN</t>
        </is>
      </c>
      <c r="D3" s="30" t="inlineStr">
        <is>
          <t>SG Finserve Ltd</t>
        </is>
      </c>
      <c r="E3" s="30" t="inlineStr">
        <is>
          <t>Financial Services</t>
        </is>
      </c>
      <c r="F3" s="30" t="inlineStr">
        <is>
          <t>Finance &amp; Investments - MSME Lending</t>
        </is>
      </c>
      <c r="G3" s="30" t="inlineStr">
        <is>
          <t>smallcap</t>
        </is>
      </c>
      <c r="H3" s="31" t="n">
        <v>4691.72</v>
      </c>
      <c r="I3" s="31" t="n">
        <v>712</v>
      </c>
      <c r="J3" s="31" t="n">
        <v>2.43</v>
      </c>
      <c r="K3" s="31" t="n">
        <v>0</v>
      </c>
      <c r="L3" s="30" t="n">
        <v>74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69.64</v>
      </c>
      <c r="P3" s="31" t="n">
        <v>58.03</v>
      </c>
      <c r="Q3" s="31" t="n">
        <v>531.75</v>
      </c>
      <c r="R3" s="30" t="inlineStr">
        <is>
          <t>Near 52W High Breakout</t>
        </is>
      </c>
      <c r="S3" s="30" t="inlineStr">
        <is>
          <t>Nifty Bank</t>
        </is>
      </c>
      <c r="T3" s="31" t="n">
        <v>5.31</v>
      </c>
      <c r="U3" s="31" t="n">
        <v>80.83</v>
      </c>
      <c r="V3" s="31" t="n">
        <v>71.70999999999999</v>
      </c>
      <c r="W3" s="31" t="n">
        <v>18.47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between 2.5x to 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21</t>
        </is>
      </c>
      <c r="CC3" s="30">
        <f>IF(CB3&gt;20,10,IF(CB3&gt;=10,5,2))</f>
        <v/>
      </c>
    </row>
    <row r="4">
      <c r="A4" s="30">
        <f>IF(B4=0,"",RANK(B4,$B$2:$B$11,0))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TFCILTD</t>
        </is>
      </c>
      <c r="D4" s="30" t="inlineStr">
        <is>
          <t>Tourism Finance Corporation of India Ltd</t>
        </is>
      </c>
      <c r="E4" s="30" t="inlineStr">
        <is>
          <t>financials</t>
        </is>
      </c>
      <c r="F4" s="30" t="inlineStr">
        <is>
          <t>Finance - PSU Lending</t>
        </is>
      </c>
      <c r="G4" s="30" t="inlineStr">
        <is>
          <t>midcap</t>
        </is>
      </c>
      <c r="H4" s="31" t="n">
        <v>5138.12</v>
      </c>
      <c r="I4" s="31" t="n">
        <v>110.98</v>
      </c>
      <c r="J4" s="31" t="n">
        <v>0.19</v>
      </c>
      <c r="K4" s="31" t="n">
        <v>0</v>
      </c>
      <c r="L4" s="30" t="n">
        <v>81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77.37</v>
      </c>
      <c r="P4" s="31" t="n">
        <v>48.44</v>
      </c>
      <c r="Q4" s="31" t="n">
        <v>86.18000000000001</v>
      </c>
      <c r="R4" s="30" t="inlineStr">
        <is>
          <t>Near 52W High Breakout</t>
        </is>
      </c>
      <c r="S4" s="30" t="inlineStr">
        <is>
          <t>Nifty Bank</t>
        </is>
      </c>
      <c r="T4" s="31" t="n">
        <v>5.31</v>
      </c>
      <c r="U4" s="31" t="n">
        <v>95.78</v>
      </c>
      <c r="V4" s="31" t="n">
        <v>85.91</v>
      </c>
      <c r="W4" s="31" t="n">
        <v>21.59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Above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25</t>
        </is>
      </c>
      <c r="CC4" s="30">
        <f>IF(CB4&gt;20,10,IF(CB4&gt;=10,5,2))</f>
        <v/>
      </c>
    </row>
    <row r="5">
      <c r="A5" s="30">
        <f>IF(B5=0,"",RANK(B5,$B$2:$B$11,0))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ESAFSFB</t>
        </is>
      </c>
      <c r="D5" s="30" t="inlineStr">
        <is>
          <t>ESAF Small Finance Bank Ltd</t>
        </is>
      </c>
      <c r="E5" s="30" t="inlineStr">
        <is>
          <t>bank</t>
        </is>
      </c>
      <c r="F5" s="30" t="inlineStr">
        <is>
          <t>Banks - Small Finance</t>
        </is>
      </c>
      <c r="G5" s="30" t="inlineStr">
        <is>
          <t>smallcap</t>
        </is>
      </c>
      <c r="H5" s="31" t="n">
        <v>2198.24</v>
      </c>
      <c r="I5" s="31" t="n">
        <v>42.6</v>
      </c>
      <c r="J5" s="31" t="n">
        <v>2.11</v>
      </c>
      <c r="K5" s="31" t="n">
        <v>0</v>
      </c>
      <c r="L5" s="30" t="n">
        <v>73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74.19</v>
      </c>
      <c r="P5" s="31" t="n">
        <v>30.23</v>
      </c>
      <c r="Q5" s="31" t="n">
        <v>32.57</v>
      </c>
      <c r="R5" s="30" t="inlineStr">
        <is>
          <t>Near 52W High Breakout</t>
        </is>
      </c>
      <c r="S5" s="30" t="inlineStr">
        <is>
          <t>Nifty Bank</t>
        </is>
      </c>
      <c r="T5" s="31" t="n">
        <v>5.31</v>
      </c>
      <c r="U5" s="31" t="n">
        <v>41.57</v>
      </c>
      <c r="V5" s="31" t="n">
        <v>34.44</v>
      </c>
      <c r="W5" s="31" t="n">
        <v>17.85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24</t>
        </is>
      </c>
      <c r="CC5" s="30">
        <f>IF(CB5&gt;20,10,IF(CB5&gt;=10,5,2))</f>
        <v/>
      </c>
    </row>
    <row r="6">
      <c r="A6" s="30">
        <f>IF(B6=0,"",RANK(B6,$B$2:$B$11,0))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MONARCH</t>
        </is>
      </c>
      <c r="D6" s="30" t="inlineStr">
        <is>
          <t>Monarch Networth Capital Ltd</t>
        </is>
      </c>
      <c r="E6" s="30" t="inlineStr">
        <is>
          <t>financials</t>
        </is>
      </c>
      <c r="F6" s="30" t="inlineStr">
        <is>
          <t>Finance - Capital Markets - Brokers</t>
        </is>
      </c>
      <c r="G6" s="30" t="inlineStr">
        <is>
          <t>smallcap</t>
        </is>
      </c>
      <c r="H6" s="31" t="n">
        <v>3071.61</v>
      </c>
      <c r="I6" s="31" t="n">
        <v>387.3</v>
      </c>
      <c r="J6" s="31" t="n">
        <v>-0.83</v>
      </c>
      <c r="K6" s="31" t="n">
        <v>0</v>
      </c>
      <c r="L6" s="30" t="n">
        <v>41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71.83</v>
      </c>
      <c r="P6" s="31" t="n">
        <v>29.34</v>
      </c>
      <c r="Q6" s="31" t="n">
        <v>314.97</v>
      </c>
      <c r="R6" s="30" t="inlineStr">
        <is>
          <t>Near 52W High Breakout</t>
        </is>
      </c>
      <c r="S6" s="30" t="inlineStr">
        <is>
          <t>Nifty Bank</t>
        </is>
      </c>
      <c r="T6" s="31" t="n">
        <v>5.31</v>
      </c>
      <c r="U6" s="31" t="n">
        <v>16.2</v>
      </c>
      <c r="V6" s="31" t="n">
        <v>10.34</v>
      </c>
      <c r="W6" s="31" t="n">
        <v>8.710000000000001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between 2.5x to 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21</t>
        </is>
      </c>
      <c r="CC6" s="30">
        <f>IF(CB6&gt;20,10,IF(CB6&gt;=10,5,2))</f>
        <v/>
      </c>
    </row>
    <row r="7">
      <c r="A7" s="30">
        <f>IF(B7=0,"",RANK(B7,$B$2:$B$11,0))</f>
        <v/>
      </c>
      <c r="B7" s="31">
        <f>SUM(N7,Y7,AA7,AC7,AE7,AG7,AI7,AK7,AM7,AO7,AQ7,AS7,AU7,AW7,AY7,BA7,BC7,BE7,BG7,BI7,BK7,BM7,BO7,BQ7,BS7,BU7,BW7,BY7,CA7,CC7)</f>
        <v/>
      </c>
      <c r="C7" s="33" t="inlineStr">
        <is>
          <t>TMB</t>
        </is>
      </c>
      <c r="D7" s="33" t="inlineStr">
        <is>
          <t>Tamilnad Mercantile Bank Ltd</t>
        </is>
      </c>
      <c r="E7" s="30" t="inlineStr">
        <is>
          <t>bank</t>
        </is>
      </c>
      <c r="F7" s="30" t="inlineStr">
        <is>
          <t>Banks - Private</t>
        </is>
      </c>
      <c r="G7" s="30" t="inlineStr">
        <is>
          <t>midcap</t>
        </is>
      </c>
      <c r="H7" s="31" t="n">
        <v>13839.92</v>
      </c>
      <c r="I7" s="31" t="n">
        <v>874</v>
      </c>
      <c r="J7" s="31" t="n">
        <v>2.26</v>
      </c>
      <c r="K7" s="31" t="n">
        <v>0</v>
      </c>
      <c r="L7" s="30" t="n">
        <v>78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72.59999999999999</v>
      </c>
      <c r="P7" s="31" t="n">
        <v>37.59</v>
      </c>
      <c r="Q7" s="31" t="n">
        <v>696.61</v>
      </c>
      <c r="R7" s="30" t="inlineStr">
        <is>
          <t>Near 52W High Breakout</t>
        </is>
      </c>
      <c r="S7" s="30" t="inlineStr">
        <is>
          <t>Nifty Bank</t>
        </is>
      </c>
      <c r="T7" s="31" t="n">
        <v>5.31</v>
      </c>
      <c r="U7" s="31" t="n">
        <v>104.44</v>
      </c>
      <c r="V7" s="31" t="n">
        <v>94.13</v>
      </c>
      <c r="W7" s="31" t="n">
        <v>19.74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less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20</t>
        </is>
      </c>
      <c r="CC7" s="30">
        <f>IF(CB7&gt;20,10,IF(CB7&gt;=10,5,2))</f>
        <v/>
      </c>
    </row>
    <row r="8">
      <c r="A8" s="30">
        <f>IF(B8=0,"",RANK(B8,$B$2:$B$11,0))</f>
        <v/>
      </c>
      <c r="B8" s="31">
        <f>SUM(N8,Y8,AA8,AC8,AE8,AG8,AI8,AK8,AM8,AO8,AQ8,AS8,AU8,AW8,AY8,BA8,BC8,BE8,BG8,BI8,BK8,BM8,BO8,BQ8,BS8,BU8,BW8,BY8,CA8,CC8)</f>
        <v/>
      </c>
      <c r="C8" s="30" t="inlineStr">
        <is>
          <t>OFSS</t>
        </is>
      </c>
      <c r="D8" s="30" t="inlineStr">
        <is>
          <t>Oracle Financial Services Software Ltd</t>
        </is>
      </c>
      <c r="E8" s="30" t="inlineStr">
        <is>
          <t>i.t</t>
        </is>
      </c>
      <c r="F8" s="30" t="inlineStr">
        <is>
          <t>IT Product Companies</t>
        </is>
      </c>
      <c r="G8" s="30" t="inlineStr">
        <is>
          <t>largecap</t>
        </is>
      </c>
      <c r="H8" s="31" t="n">
        <v>102183.11</v>
      </c>
      <c r="I8" s="31" t="n">
        <v>11735</v>
      </c>
      <c r="J8" s="31" t="n">
        <v>-0.2</v>
      </c>
      <c r="K8" s="31" t="n">
        <v>0</v>
      </c>
      <c r="L8" s="30" t="n">
        <v>62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68.67</v>
      </c>
      <c r="P8" s="31" t="n">
        <v>32.45</v>
      </c>
      <c r="Q8" s="31" t="n">
        <v>9279.84</v>
      </c>
      <c r="R8" s="30" t="inlineStr">
        <is>
          <t>Near 52W High Breakout</t>
        </is>
      </c>
      <c r="S8" s="30" t="inlineStr">
        <is>
          <t>Nifty IT</t>
        </is>
      </c>
      <c r="T8" s="31" t="n">
        <v>-9.289999999999999</v>
      </c>
      <c r="U8" s="31" t="n">
        <v>45.34</v>
      </c>
      <c r="V8" s="31" t="n">
        <v>60.23</v>
      </c>
      <c r="W8" s="31" t="n">
        <v>14.1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above 5x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  <c r="CB8" s="30" t="inlineStr">
        <is>
          <t>20</t>
        </is>
      </c>
      <c r="CC8" s="30">
        <f>IF(CB8&gt;20,10,IF(CB8&gt;=10,5,2))</f>
        <v/>
      </c>
    </row>
    <row r="9">
      <c r="A9" s="30">
        <f>IF(B9=0,"",RANK(B9,$B$2:$B$11,0))</f>
        <v/>
      </c>
      <c r="B9" s="31">
        <f>SUM(N9,Y9,AA9,AC9,AE9,AG9,AI9,AK9,AM9,AO9,AQ9,AS9,AU9,AW9,AY9,BA9,BC9,BE9,BG9,BI9,BK9,BM9,BO9,BQ9,BS9,BU9,BW9,BY9,CA9,CC9)</f>
        <v/>
      </c>
      <c r="C9" s="30" t="inlineStr">
        <is>
          <t>GCSL</t>
        </is>
      </c>
      <c r="D9" s="30" t="inlineStr">
        <is>
          <t>Gretex Corporate Services Ltd</t>
        </is>
      </c>
      <c r="E9" s="30" t="inlineStr">
        <is>
          <t>Financial Services</t>
        </is>
      </c>
      <c r="F9" s="30" t="inlineStr">
        <is>
          <t>Finance &amp; Investments - Others</t>
        </is>
      </c>
      <c r="G9" s="30" t="inlineStr">
        <is>
          <t>smallcap</t>
        </is>
      </c>
      <c r="H9" s="31" t="n">
        <v>1275.49</v>
      </c>
      <c r="I9" s="31" t="n">
        <v>527.95</v>
      </c>
      <c r="J9" s="31" t="n">
        <v>0.51</v>
      </c>
      <c r="K9" s="31" t="n">
        <v>0</v>
      </c>
      <c r="L9" s="30" t="n">
        <v>79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72.55</v>
      </c>
      <c r="P9" s="31" t="n">
        <v>32.12</v>
      </c>
      <c r="Q9" s="31" t="n">
        <v>414.38</v>
      </c>
      <c r="R9" s="30" t="inlineStr">
        <is>
          <t>Near 52W High Breakout</t>
        </is>
      </c>
      <c r="S9" s="30" t="inlineStr">
        <is>
          <t>Nifty Bank</t>
        </is>
      </c>
      <c r="T9" s="31" t="n">
        <v>7.04</v>
      </c>
      <c r="U9" s="31" t="n">
        <v>77.37</v>
      </c>
      <c r="V9" s="31" t="n">
        <v>65.7</v>
      </c>
      <c r="W9" s="31" t="n">
        <v>20.39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above 5x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  <c r="CB9" s="30" t="inlineStr">
        <is>
          <t>20</t>
        </is>
      </c>
      <c r="CC9" s="30">
        <f>IF(CB9&gt;20,10,IF(CB9&gt;=10,5,2))</f>
        <v/>
      </c>
    </row>
    <row r="10">
      <c r="A10" s="30">
        <f>IF(B10=0,"",RANK(B10,$B$2:$B$11,0))</f>
        <v/>
      </c>
      <c r="B10" s="31">
        <f>SUM(N10,Y10,AA10,AC10,AE10,AG10,AI10,AK10,AM10,AO10,AQ10,AS10,AU10,AW10,AY10,BA10,BC10,BE10,BG10,BI10,BK10,BM10,BO10,BQ10,BS10,BU10,BW10,BY10,CA10,CC10)</f>
        <v/>
      </c>
      <c r="C10" s="33" t="inlineStr">
        <is>
          <t>POONAWALLA</t>
        </is>
      </c>
      <c r="D10" s="33" t="inlineStr">
        <is>
          <t>Poonawalla Fincorp Ltd</t>
        </is>
      </c>
      <c r="E10" s="30" t="inlineStr">
        <is>
          <t>financials</t>
        </is>
      </c>
      <c r="F10" s="30" t="inlineStr">
        <is>
          <t>Conglomerate Backed NBFC</t>
        </is>
      </c>
      <c r="G10" s="30" t="inlineStr">
        <is>
          <t>largecap</t>
        </is>
      </c>
      <c r="H10" s="31" t="n">
        <v>43145.1</v>
      </c>
      <c r="I10" s="31" t="n">
        <v>490</v>
      </c>
      <c r="J10" s="31" t="n">
        <v>1.92</v>
      </c>
      <c r="K10" s="31" t="n">
        <v>0</v>
      </c>
      <c r="L10" s="30" t="n">
        <v>17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60.33</v>
      </c>
      <c r="P10" s="31" t="n">
        <v>14.85</v>
      </c>
      <c r="Q10" s="31" t="n">
        <v>384.25</v>
      </c>
      <c r="R10" s="30" t="inlineStr">
        <is>
          <t>Earnings / Momentum Support</t>
        </is>
      </c>
      <c r="S10" s="30" t="inlineStr">
        <is>
          <t>Nifty Bank</t>
        </is>
      </c>
      <c r="T10" s="31" t="n">
        <v>5.31</v>
      </c>
      <c r="U10" s="31" t="n">
        <v>10.98</v>
      </c>
      <c r="V10" s="31" t="n">
        <v>5.39</v>
      </c>
      <c r="W10" s="31" t="n">
        <v>3.1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No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between 2.5x to 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0 to 20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  <c r="CB10" s="30" t="inlineStr">
        <is>
          <t>19</t>
        </is>
      </c>
      <c r="CC10" s="30">
        <f>IF(CB10&gt;20,10,IF(CB10&gt;=10,5,2))</f>
        <v/>
      </c>
    </row>
    <row r="11">
      <c r="A11" s="30">
        <f>IF(B11=0,"",RANK(B11,$B$2:$B$11,0))</f>
        <v/>
      </c>
      <c r="B11" s="31">
        <f>SUM(N11,Y11,AA11,AC11,AE11,AG11,AI11,AK11,AM11,AO11,AQ11,AS11,AU11,AW11,AY11,BA11,BC11,BE11,BG11,BI11,BK11,BM11,BO11,BQ11,BS11,BU11,BW11,BY11,CA11,CC11)</f>
        <v/>
      </c>
      <c r="C11" s="33" t="inlineStr">
        <is>
          <t>CGCL</t>
        </is>
      </c>
      <c r="D11" s="33" t="inlineStr">
        <is>
          <t>Capri Global Capital Ltd</t>
        </is>
      </c>
      <c r="E11" s="30" t="inlineStr">
        <is>
          <t>financials</t>
        </is>
      </c>
      <c r="F11" s="30" t="inlineStr">
        <is>
          <t>Finance &amp; Investments - Gold Loan</t>
        </is>
      </c>
      <c r="G11" s="30" t="inlineStr">
        <is>
          <t>largecap</t>
        </is>
      </c>
      <c r="H11" s="31" t="n">
        <v>23183.1</v>
      </c>
      <c r="I11" s="31" t="n">
        <v>240.95</v>
      </c>
      <c r="J11" s="31" t="n">
        <v>1.11</v>
      </c>
      <c r="K11" s="31" t="n">
        <v>0</v>
      </c>
      <c r="L11" s="30" t="n">
        <v>49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65.51000000000001</v>
      </c>
      <c r="P11" s="31" t="n">
        <v>37.61</v>
      </c>
      <c r="Q11" s="31" t="n">
        <v>205.01</v>
      </c>
      <c r="R11" s="30" t="inlineStr">
        <is>
          <t>Earnings / Momentum Support</t>
        </is>
      </c>
      <c r="S11" s="30" t="inlineStr">
        <is>
          <t>Nifty Bank</t>
        </is>
      </c>
      <c r="T11" s="31" t="n">
        <v>5.31</v>
      </c>
      <c r="U11" s="31" t="n">
        <v>32.38</v>
      </c>
      <c r="V11" s="31" t="n">
        <v>25.71</v>
      </c>
      <c r="W11" s="31" t="n">
        <v>10.76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No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Negative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  <c r="CB11" s="30" t="inlineStr">
        <is>
          <t>19</t>
        </is>
      </c>
      <c r="CC11" s="30">
        <f>IF(CB11&gt;20,10,IF(CB11&gt;=10,5,2))</f>
        <v/>
      </c>
    </row>
    <row r="15">
      <c r="A15" s="24" t="inlineStr">
        <is>
          <t>❌ REMOVED SCAN MATCH STOCKS (THIS WEEK)</t>
        </is>
      </c>
    </row>
    <row r="16">
      <c r="A16" s="34" t="inlineStr">
        <is>
          <t>Symbol</t>
        </is>
      </c>
      <c r="B16" s="34" t="inlineStr">
        <is>
          <t>Company Name</t>
        </is>
      </c>
      <c r="C16" s="34" t="inlineStr">
        <is>
          <t>Sector</t>
        </is>
      </c>
      <c r="D16" s="34" t="inlineStr">
        <is>
          <t>Date of Removal</t>
        </is>
      </c>
    </row>
    <row r="17">
      <c r="A17" s="35" t="inlineStr">
        <is>
          <t>IIFL</t>
        </is>
      </c>
      <c r="B17" s="36" t="inlineStr">
        <is>
          <t>IIFL Finance Limited</t>
        </is>
      </c>
      <c r="C17" s="36" t="inlineStr">
        <is>
          <t>Financial Services</t>
        </is>
      </c>
      <c r="D17" s="37" t="inlineStr">
        <is>
          <t>2026-08-06</t>
        </is>
      </c>
    </row>
    <row r="18">
      <c r="A18" s="35" t="inlineStr">
        <is>
          <t>JSFB</t>
        </is>
      </c>
      <c r="B18" s="36" t="inlineStr">
        <is>
          <t>Jana Small Finance Bank Limited</t>
        </is>
      </c>
      <c r="C18" s="36" t="inlineStr">
        <is>
          <t>Financial Services</t>
        </is>
      </c>
      <c r="D18" s="37" t="inlineStr">
        <is>
          <t>2026-08-04</t>
        </is>
      </c>
    </row>
    <row r="19">
      <c r="A19" s="35" t="inlineStr">
        <is>
          <t>KARURVYSYA</t>
        </is>
      </c>
      <c r="B19" s="36" t="inlineStr">
        <is>
          <t>The Karur Vysya Bank Limited</t>
        </is>
      </c>
      <c r="C19" s="36" t="inlineStr">
        <is>
          <t>unknown</t>
        </is>
      </c>
      <c r="D19" s="37" t="inlineStr">
        <is>
          <t>2026-08-05</t>
        </is>
      </c>
    </row>
    <row r="20">
      <c r="A20" s="35" t="inlineStr">
        <is>
          <t>M&amp;MFIN</t>
        </is>
      </c>
      <c r="B20" s="36" t="inlineStr">
        <is>
          <t>Mahindra &amp; Mahindra Financial Services Limited</t>
        </is>
      </c>
      <c r="C20" s="36" t="inlineStr">
        <is>
          <t>Financial Services</t>
        </is>
      </c>
      <c r="D20" s="37" t="inlineStr">
        <is>
          <t>2026-08-05</t>
        </is>
      </c>
    </row>
    <row r="21">
      <c r="A21" s="35" t="inlineStr">
        <is>
          <t>SHRIRAMFIN</t>
        </is>
      </c>
      <c r="B21" s="36" t="inlineStr">
        <is>
          <t>Shriram Finance Limited</t>
        </is>
      </c>
      <c r="C21" s="36" t="inlineStr">
        <is>
          <t>Financial Services</t>
        </is>
      </c>
      <c r="D21" s="37" t="inlineStr">
        <is>
          <t>2026-08-06</t>
        </is>
      </c>
    </row>
  </sheetData>
  <autoFilter ref="A1:CC11"/>
  <conditionalFormatting sqref="B2:B1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1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1">
    <cfRule type="cellIs" priority="35" operator="equal" dxfId="3" stopIfTrue="1">
      <formula>"Underperforming"</formula>
    </cfRule>
  </conditionalFormatting>
  <conditionalFormatting sqref="N2:N11">
    <cfRule type="cellIs" priority="36" operator="equal" dxfId="3" stopIfTrue="1">
      <formula>-5</formula>
    </cfRule>
  </conditionalFormatting>
  <conditionalFormatting sqref="Q2:Q11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1" showDropDown="0" showInputMessage="0" showErrorMessage="0" allowBlank="1" type="list">
      <formula1>"Growing Industry,Stagnant Industry,Cyclical in an Upturn"</formula1>
    </dataValidation>
    <dataValidation sqref="Z2:Z11" showDropDown="0" showInputMessage="0" showErrorMessage="0" allowBlank="1" type="list">
      <formula1>"Fragmented with Low ROE,Fragmented with High ROE,Highly Cyclical"</formula1>
    </dataValidation>
    <dataValidation sqref="AB2:AB11" showDropDown="0" showInputMessage="0" showErrorMessage="0" allowBlank="1" type="list">
      <formula1>"Yes,No"</formula1>
    </dataValidation>
    <dataValidation sqref="AD2:AD11" showDropDown="0" showInputMessage="0" showErrorMessage="0" allowBlank="1" type="list">
      <formula1>"Tailwind,Headwind"</formula1>
    </dataValidation>
    <dataValidation sqref="AF2:AF11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1" showDropDown="0" showInputMessage="0" showErrorMessage="0" allowBlank="1" type="list">
      <formula1>"Yes,No"</formula1>
    </dataValidation>
    <dataValidation sqref="AJ2:AJ11" showDropDown="0" showInputMessage="0" showErrorMessage="0" allowBlank="1" type="list">
      <formula1>"Yes,No,Not Applicable"</formula1>
    </dataValidation>
    <dataValidation sqref="AL2:AL11" showDropDown="0" showInputMessage="0" showErrorMessage="0" allowBlank="1" type="list">
      <formula1>"Yes,No"</formula1>
    </dataValidation>
    <dataValidation sqref="AN2:AN11" showDropDown="0" showInputMessage="0" showErrorMessage="0" allowBlank="1" type="list">
      <formula1>"Yes,No"</formula1>
    </dataValidation>
    <dataValidation sqref="AP2:AP11" showDropDown="0" showInputMessage="0" showErrorMessage="0" allowBlank="1" type="list">
      <formula1>"Yes,No"</formula1>
    </dataValidation>
    <dataValidation sqref="AR2:AR11" showDropDown="0" showInputMessage="0" showErrorMessage="0" allowBlank="1" type="list">
      <formula1>"Yes,No"</formula1>
    </dataValidation>
    <dataValidation sqref="AT2:AT11" showDropDown="0" showInputMessage="0" showErrorMessage="0" allowBlank="1" type="list">
      <formula1>"No,Yes"</formula1>
    </dataValidation>
    <dataValidation sqref="AV2:AV11" showDropDown="0" showInputMessage="0" showErrorMessage="0" allowBlank="1" type="list">
      <formula1>"No,Yes"</formula1>
    </dataValidation>
    <dataValidation sqref="AX2:AX11" showDropDown="0" showInputMessage="0" showErrorMessage="0" allowBlank="1" type="list">
      <formula1>"No,Yes CEO Resignation,Yes CEO Retirement"</formula1>
    </dataValidation>
    <dataValidation sqref="AZ2:AZ11" showDropDown="0" showInputMessage="0" showErrorMessage="0" allowBlank="1" type="list">
      <formula1>"No,Yes"</formula1>
    </dataValidation>
    <dataValidation sqref="BB2:BB11" showDropDown="0" showInputMessage="0" showErrorMessage="0" allowBlank="1" type="list">
      <formula1>"No,Yes"</formula1>
    </dataValidation>
    <dataValidation sqref="BD2:BD11" showDropDown="0" showInputMessage="0" showErrorMessage="0" allowBlank="1" type="list">
      <formula1>"Yes,No"</formula1>
    </dataValidation>
    <dataValidation sqref="BF2:BF11" showDropDown="0" showInputMessage="0" showErrorMessage="0" allowBlank="1" type="list">
      <formula1>"Yes,No"</formula1>
    </dataValidation>
    <dataValidation sqref="BH2:BH11" showDropDown="0" showInputMessage="0" showErrorMessage="0" allowBlank="1" type="list">
      <formula1>"Yes,No"</formula1>
    </dataValidation>
    <dataValidation sqref="BJ2:BJ11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1" showDropDown="0" showInputMessage="0" showErrorMessage="0" allowBlank="1" type="list">
      <formula1>"Above 40,20 to 40,0 to 20"</formula1>
    </dataValidation>
    <dataValidation sqref="BN2:BN11" showDropDown="0" showInputMessage="0" showErrorMessage="0" allowBlank="1" type="list">
      <formula1>"Between 50 to 75,Above 75,Below 45"</formula1>
    </dataValidation>
    <dataValidation sqref="BP2:BP11" showDropDown="0" showInputMessage="0" showErrorMessage="0" allowBlank="1" type="list">
      <formula1>"Stage 1,Stage 2,Stage 3,Stage 4"</formula1>
    </dataValidation>
    <dataValidation sqref="BR2:BR11" showDropDown="0" showInputMessage="0" showErrorMessage="0" allowBlank="1" type="list">
      <formula1>"Positive Trend,Negative Trend"</formula1>
    </dataValidation>
    <dataValidation sqref="BT2:BT11" showDropDown="0" showInputMessage="0" showErrorMessage="0" allowBlank="1" type="list">
      <formula1>"Uptrend,Sideways,Downtrend"</formula1>
    </dataValidation>
    <dataValidation sqref="BV2:BV11" showDropDown="0" showInputMessage="0" showErrorMessage="0" allowBlank="1" type="list">
      <formula1>"Uptrend,Sideways,Downtrend"</formula1>
    </dataValidation>
    <dataValidation sqref="BX2:BX1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2026-08-06T12:25:37Z</dcterms:created>
  <dcterms:modified xmlns:dcterms="http://purl.org/dc/terms/" xmlns:xsi="http://www.w3.org/2001/XMLSchema-instance" xsi:type="dcterms:W3CDTF">2026-08-06T12:27:52Z</dcterms:modified>
</cp:coreProperties>
</file>