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Universe'!$A$1:$J$339</definedName>
    <definedName name="_xlnm._FilterDatabase" localSheetId="3" hidden="1">'Monit Non Financial'!$A$1:$CE$306</definedName>
    <definedName name="_xlnm._FilterDatabase" localSheetId="4" hidden="1">'Monit Banks NBFC'!$A$1:$CA$34</definedName>
    <definedName name="_xlnm._FilterDatabase" localSheetId="5" hidden="1">'Scanner Non Financial'!$A$1:$CJ$22</definedName>
    <definedName name="_xlnm._FilterDatabase" localSheetId="6" hidden="1">'Scanner Banks NBFC'!$A$1:$CF$2</definedName>
    <definedName name="_xlnm._FilterDatabase" localSheetId="7" hidden="1">'Scan Match Non Financial'!$A$1:$CG$96</definedName>
    <definedName name="_xlnm._FilterDatabase" localSheetId="8" hidden="1">'Scan Match Banks NBFC'!$A$1:$CC$6</definedName>
    <definedName name="_xlnm._FilterDatabase" localSheetId="9" hidden="1">'Confluence Overlap'!$A$1:$J$93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Saturday, 06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8" customWidth="1" min="4" max="4"/>
    <col width="21" customWidth="1" min="5" max="5"/>
    <col width="34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402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52</v>
      </c>
      <c r="G6" s="19" t="n">
        <v>19572.24</v>
      </c>
      <c r="H6" s="18" t="inlineStr">
        <is>
          <t>Potential Leader</t>
        </is>
      </c>
      <c r="J6" s="18" t="inlineStr">
        <is>
          <t>services</t>
        </is>
      </c>
      <c r="K6" s="16" t="n">
        <v>48</v>
      </c>
      <c r="L6" s="16" t="n">
        <v>33</v>
      </c>
      <c r="M6" s="20" t="inlineStr">
        <is>
          <t>45.5%</t>
        </is>
      </c>
    </row>
    <row r="7">
      <c r="A7" s="16" t="n">
        <v>2</v>
      </c>
      <c r="B7" s="17" t="n">
        <v>390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50</v>
      </c>
      <c r="G7" s="19" t="n">
        <v>13538.64</v>
      </c>
      <c r="H7" s="18" t="inlineStr">
        <is>
          <t>Potential Leader</t>
        </is>
      </c>
      <c r="J7" s="18" t="inlineStr">
        <is>
          <t>energy</t>
        </is>
      </c>
      <c r="K7" s="16" t="n">
        <v>49</v>
      </c>
      <c r="L7" s="16" t="n">
        <v>38</v>
      </c>
      <c r="M7" s="20" t="inlineStr">
        <is>
          <t>28.9%</t>
        </is>
      </c>
    </row>
    <row r="8">
      <c r="A8" s="16" t="n">
        <v>3</v>
      </c>
      <c r="B8" s="17" t="n">
        <v>378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48</v>
      </c>
      <c r="G8" s="19" t="n">
        <v>448562</v>
      </c>
      <c r="H8" s="18" t="inlineStr">
        <is>
          <t>Potential Leader</t>
        </is>
      </c>
      <c r="J8" s="18" t="inlineStr">
        <is>
          <t>media</t>
        </is>
      </c>
      <c r="K8" s="16" t="n">
        <v>12</v>
      </c>
      <c r="L8" s="16" t="n">
        <v>10</v>
      </c>
      <c r="M8" s="20" t="inlineStr">
        <is>
          <t>20.0%</t>
        </is>
      </c>
    </row>
    <row r="9">
      <c r="A9" s="16" t="n">
        <v>4</v>
      </c>
      <c r="B9" s="17" t="n">
        <v>378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48</v>
      </c>
      <c r="G9" s="19" t="n">
        <v>4637.26</v>
      </c>
      <c r="H9" s="18" t="inlineStr">
        <is>
          <t>Potential Leader</t>
        </is>
      </c>
      <c r="J9" s="18" t="inlineStr">
        <is>
          <t>consumer discretionary</t>
        </is>
      </c>
      <c r="K9" s="16" t="n">
        <v>117</v>
      </c>
      <c r="L9" s="16" t="n">
        <v>100</v>
      </c>
      <c r="M9" s="20" t="inlineStr">
        <is>
          <t>17.0%</t>
        </is>
      </c>
    </row>
    <row r="10">
      <c r="A10" s="16" t="n">
        <v>5</v>
      </c>
      <c r="B10" s="17" t="n">
        <v>378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48</v>
      </c>
      <c r="G10" s="19" t="n">
        <v>4648.61</v>
      </c>
      <c r="H10" s="18" t="inlineStr">
        <is>
          <t>Potential Leader</t>
        </is>
      </c>
      <c r="J10" s="18" t="inlineStr">
        <is>
          <t>fmcg</t>
        </is>
      </c>
      <c r="K10" s="16" t="n">
        <v>76</v>
      </c>
      <c r="L10" s="16" t="n">
        <v>65</v>
      </c>
      <c r="M10" s="20" t="inlineStr">
        <is>
          <t>16.9%</t>
        </is>
      </c>
    </row>
    <row r="11">
      <c r="A11" s="16" t="n">
        <v>6</v>
      </c>
      <c r="B11" s="17" t="n">
        <v>372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47</v>
      </c>
      <c r="G11" s="19" t="n">
        <v>12940.6</v>
      </c>
      <c r="H11" s="18" t="inlineStr">
        <is>
          <t>Potential Leader</t>
        </is>
      </c>
      <c r="J11" s="18" t="inlineStr">
        <is>
          <t>building materials</t>
        </is>
      </c>
      <c r="K11" s="16" t="n">
        <v>35</v>
      </c>
      <c r="L11" s="16" t="n">
        <v>31</v>
      </c>
      <c r="M11" s="20" t="inlineStr">
        <is>
          <t>12.9%</t>
        </is>
      </c>
    </row>
    <row r="12">
      <c r="A12" s="16" t="n">
        <v>7</v>
      </c>
      <c r="B12" s="17" t="n">
        <v>372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47</v>
      </c>
      <c r="G12" s="19" t="n">
        <v>3012.27</v>
      </c>
      <c r="H12" s="18" t="inlineStr">
        <is>
          <t>Potential Leader</t>
        </is>
      </c>
      <c r="J12" s="18" t="inlineStr">
        <is>
          <t>transportation</t>
        </is>
      </c>
      <c r="K12" s="16" t="n">
        <v>18</v>
      </c>
      <c r="L12" s="16" t="n">
        <v>16</v>
      </c>
      <c r="M12" s="20" t="inlineStr">
        <is>
          <t>12.5%</t>
        </is>
      </c>
    </row>
    <row r="13">
      <c r="A13" s="16" t="n">
        <v>8</v>
      </c>
      <c r="B13" s="17" t="n">
        <v>372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47</v>
      </c>
      <c r="G13" s="19" t="n">
        <v>3599.77</v>
      </c>
      <c r="H13" s="18" t="inlineStr">
        <is>
          <t>Potential Leader</t>
        </is>
      </c>
      <c r="J13" s="18" t="inlineStr">
        <is>
          <t>textiles</t>
        </is>
      </c>
      <c r="K13" s="16" t="n">
        <v>94</v>
      </c>
      <c r="L13" s="16" t="n">
        <v>85</v>
      </c>
      <c r="M13" s="20" t="inlineStr">
        <is>
          <t>10.6%</t>
        </is>
      </c>
    </row>
    <row r="14">
      <c r="A14" s="16" t="n">
        <v>9</v>
      </c>
      <c r="B14" s="17" t="n">
        <v>372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47</v>
      </c>
      <c r="G14" s="19" t="n">
        <v>36635.24</v>
      </c>
      <c r="H14" s="18" t="inlineStr">
        <is>
          <t>Potential Leader</t>
        </is>
      </c>
      <c r="J14" s="18" t="inlineStr">
        <is>
          <t>aerospace &amp; defence</t>
        </is>
      </c>
      <c r="K14" s="16" t="n">
        <v>64</v>
      </c>
      <c r="L14" s="16" t="n">
        <v>61</v>
      </c>
      <c r="M14" s="20" t="inlineStr">
        <is>
          <t>4.9%</t>
        </is>
      </c>
    </row>
    <row r="15">
      <c r="A15" s="16" t="n">
        <v>10</v>
      </c>
      <c r="B15" s="17" t="n">
        <v>366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46</v>
      </c>
      <c r="G15" s="19" t="n">
        <v>7210.78</v>
      </c>
      <c r="H15" s="18" t="inlineStr">
        <is>
          <t>Potential Leader</t>
        </is>
      </c>
      <c r="J15" s="18" t="inlineStr">
        <is>
          <t>telecom-service</t>
        </is>
      </c>
      <c r="K15" s="16" t="n">
        <v>10</v>
      </c>
      <c r="L15" s="16" t="n">
        <v>10</v>
      </c>
      <c r="M15" s="20" t="inlineStr">
        <is>
          <t>0.0%</t>
        </is>
      </c>
    </row>
    <row r="16">
      <c r="A16" s="16" t="n">
        <v>11</v>
      </c>
      <c r="B16" s="17" t="n">
        <v>366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46</v>
      </c>
      <c r="G16" s="19" t="n">
        <v>30227.61</v>
      </c>
      <c r="H16" s="18" t="inlineStr">
        <is>
          <t>Potential Leader</t>
        </is>
      </c>
      <c r="J16" s="18" t="inlineStr">
        <is>
          <t>bank</t>
        </is>
      </c>
      <c r="K16" s="16" t="n">
        <v>54</v>
      </c>
      <c r="L16" s="16" t="n">
        <v>54</v>
      </c>
      <c r="M16" s="20" t="inlineStr">
        <is>
          <t>0.0%</t>
        </is>
      </c>
    </row>
    <row r="17">
      <c r="A17" s="16" t="n">
        <v>12</v>
      </c>
      <c r="B17" s="17" t="n">
        <v>366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46</v>
      </c>
      <c r="G17" s="19" t="n">
        <v>5175.09</v>
      </c>
      <c r="H17" s="18" t="inlineStr">
        <is>
          <t>Potential Leader</t>
        </is>
      </c>
      <c r="J17" s="18" t="inlineStr">
        <is>
          <t>metals &amp; mining</t>
        </is>
      </c>
      <c r="K17" s="16" t="n">
        <v>110</v>
      </c>
      <c r="L17" s="16" t="n">
        <v>111</v>
      </c>
      <c r="M17" s="21" t="inlineStr">
        <is>
          <t>-0.9%</t>
        </is>
      </c>
    </row>
    <row r="18">
      <c r="A18" s="16" t="n">
        <v>13</v>
      </c>
      <c r="B18" s="17" t="n">
        <v>360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45</v>
      </c>
      <c r="G18" s="19" t="n">
        <v>164338.3</v>
      </c>
      <c r="H18" s="18" t="inlineStr">
        <is>
          <t>Potential Leader</t>
        </is>
      </c>
      <c r="J18" s="18" t="inlineStr">
        <is>
          <t>industrials</t>
        </is>
      </c>
      <c r="K18" s="16" t="n">
        <v>244</v>
      </c>
      <c r="L18" s="16" t="n">
        <v>258</v>
      </c>
      <c r="M18" s="21" t="inlineStr">
        <is>
          <t>-5.4%</t>
        </is>
      </c>
    </row>
    <row r="19">
      <c r="A19" s="16" t="n">
        <v>14</v>
      </c>
      <c r="B19" s="17" t="n">
        <v>354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44</v>
      </c>
      <c r="G19" s="19" t="n">
        <v>251309.67</v>
      </c>
      <c r="H19" s="18" t="inlineStr">
        <is>
          <t>Potential Leader</t>
        </is>
      </c>
      <c r="J19" s="18" t="inlineStr">
        <is>
          <t>auto</t>
        </is>
      </c>
      <c r="K19" s="16" t="n">
        <v>128</v>
      </c>
      <c r="L19" s="16" t="n">
        <v>136</v>
      </c>
      <c r="M19" s="21" t="inlineStr">
        <is>
          <t>-5.9%</t>
        </is>
      </c>
    </row>
    <row r="20">
      <c r="A20" s="16" t="n">
        <v>15</v>
      </c>
      <c r="B20" s="17" t="n">
        <v>354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44</v>
      </c>
      <c r="G20" s="19" t="n">
        <v>420288.22</v>
      </c>
      <c r="H20" s="18" t="inlineStr">
        <is>
          <t>Potential Leader</t>
        </is>
      </c>
      <c r="J20" s="18" t="inlineStr">
        <is>
          <t>chemicals</t>
        </is>
      </c>
      <c r="K20" s="16" t="n">
        <v>59</v>
      </c>
      <c r="L20" s="16" t="n">
        <v>63</v>
      </c>
      <c r="M20" s="21" t="inlineStr">
        <is>
          <t>-6.3%</t>
        </is>
      </c>
    </row>
    <row r="21">
      <c r="A21" s="16" t="n">
        <v>16</v>
      </c>
      <c r="B21" s="17" t="n">
        <v>354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44</v>
      </c>
      <c r="G21" s="19" t="n">
        <v>2800.66</v>
      </c>
      <c r="H21" s="18" t="inlineStr">
        <is>
          <t>Potential Leader</t>
        </is>
      </c>
    </row>
    <row r="22">
      <c r="A22" s="16" t="n">
        <v>17</v>
      </c>
      <c r="B22" s="17" t="n">
        <v>354</v>
      </c>
      <c r="C22" s="17" t="inlineStr">
        <is>
          <t>CRAFTSMAN</t>
        </is>
      </c>
      <c r="D22" s="18" t="inlineStr">
        <is>
          <t>Craftsman Automation Ltd</t>
        </is>
      </c>
      <c r="E22" s="18" t="inlineStr">
        <is>
          <t>auto</t>
        </is>
      </c>
      <c r="F22" s="16" t="n">
        <v>44</v>
      </c>
      <c r="G22" s="19" t="n">
        <v>21625.09</v>
      </c>
      <c r="H22" s="18" t="inlineStr">
        <is>
          <t>Potential Leader</t>
        </is>
      </c>
    </row>
    <row r="23">
      <c r="A23" s="16" t="n">
        <v>18</v>
      </c>
      <c r="B23" s="17" t="n">
        <v>354</v>
      </c>
      <c r="C23" s="17" t="inlineStr">
        <is>
          <t>HFCL</t>
        </is>
      </c>
      <c r="D23" s="18" t="inlineStr">
        <is>
          <t>HFCL Ltd</t>
        </is>
      </c>
      <c r="E23" s="18" t="inlineStr">
        <is>
          <t>telecom</t>
        </is>
      </c>
      <c r="F23" s="16" t="n">
        <v>44</v>
      </c>
      <c r="G23" s="19" t="n">
        <v>28657.47</v>
      </c>
      <c r="H23" s="18" t="inlineStr">
        <is>
          <t>Potential Leader</t>
        </is>
      </c>
    </row>
    <row r="24">
      <c r="A24" s="16" t="n">
        <v>19</v>
      </c>
      <c r="B24" s="17" t="n">
        <v>354</v>
      </c>
      <c r="C24" s="17" t="inlineStr">
        <is>
          <t>SATIN</t>
        </is>
      </c>
      <c r="D24" s="18" t="inlineStr">
        <is>
          <t>Satin Creditcare Network Limited</t>
        </is>
      </c>
      <c r="E24" s="18" t="inlineStr">
        <is>
          <t>financials</t>
        </is>
      </c>
      <c r="F24" s="16" t="n">
        <v>44</v>
      </c>
      <c r="G24" s="19" t="n">
        <v>2666.66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SHILPAMED</t>
        </is>
      </c>
      <c r="D25" s="18" t="inlineStr">
        <is>
          <t>Shilpa Medicare Limited</t>
        </is>
      </c>
      <c r="E25" s="18" t="inlineStr">
        <is>
          <t>healthcare</t>
        </is>
      </c>
      <c r="F25" s="16" t="n">
        <v>44</v>
      </c>
      <c r="G25" s="19" t="n">
        <v>10523.28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SPECTRUM</t>
        </is>
      </c>
      <c r="B30" s="18" t="inlineStr">
        <is>
          <t>Spectrum Electrical Industries Ltd</t>
        </is>
      </c>
      <c r="C30" s="18" t="inlineStr">
        <is>
          <t>industrials</t>
        </is>
      </c>
      <c r="D30" s="16" t="n">
        <v>10</v>
      </c>
      <c r="E30" s="16" t="n">
        <v>2</v>
      </c>
      <c r="F30" s="19" t="n">
        <v>2779.94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7210.78</v>
      </c>
      <c r="N30" s="16" t="n">
        <v>30</v>
      </c>
    </row>
    <row r="31">
      <c r="A31" s="17" t="inlineStr">
        <is>
          <t>DIAMONDYD</t>
        </is>
      </c>
      <c r="B31" s="18" t="inlineStr">
        <is>
          <t>Prataap Snacks Ltd</t>
        </is>
      </c>
      <c r="C31" s="18" t="inlineStr">
        <is>
          <t>fmcg</t>
        </is>
      </c>
      <c r="D31" s="16" t="n">
        <v>10</v>
      </c>
      <c r="E31" s="16" t="n">
        <v>2</v>
      </c>
      <c r="F31" s="19" t="n">
        <v>2786.91</v>
      </c>
      <c r="J31" s="17" t="inlineStr">
        <is>
          <t>OMAXAUTO</t>
        </is>
      </c>
      <c r="K31" s="18" t="inlineStr">
        <is>
          <t>auto</t>
        </is>
      </c>
      <c r="L31" s="19" t="n">
        <v>293</v>
      </c>
      <c r="M31" s="19" t="n">
        <v>502.02</v>
      </c>
      <c r="N31" s="16" t="n">
        <v>28</v>
      </c>
    </row>
    <row r="32">
      <c r="A32" s="17" t="inlineStr">
        <is>
          <t>ASAHIINDIA</t>
        </is>
      </c>
      <c r="B32" s="18" t="inlineStr">
        <is>
          <t>Asahi India Glass Limited</t>
        </is>
      </c>
      <c r="C32" s="18" t="inlineStr">
        <is>
          <t>building materials</t>
        </is>
      </c>
      <c r="D32" s="16" t="n">
        <v>10</v>
      </c>
      <c r="E32" s="16" t="n">
        <v>2</v>
      </c>
      <c r="F32" s="19" t="n">
        <v>22991.88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5401.86</v>
      </c>
      <c r="N32" s="16" t="n">
        <v>26</v>
      </c>
    </row>
    <row r="33">
      <c r="A33" s="17" t="inlineStr">
        <is>
          <t>AJAXENGG</t>
        </is>
      </c>
      <c r="B33" s="18" t="inlineStr">
        <is>
          <t>Ajax Engineering Ltd</t>
        </is>
      </c>
      <c r="C33" s="18" t="inlineStr">
        <is>
          <t>industrials</t>
        </is>
      </c>
      <c r="D33" s="16" t="n">
        <v>9</v>
      </c>
      <c r="E33" s="16" t="n">
        <v>0</v>
      </c>
      <c r="F33" s="19" t="n">
        <v>6884.43</v>
      </c>
      <c r="J33" s="17" t="inlineStr">
        <is>
          <t>CONFIPET</t>
        </is>
      </c>
      <c r="K33" s="18" t="inlineStr">
        <is>
          <t>miscellaneous</t>
        </is>
      </c>
      <c r="L33" s="19" t="n">
        <v>288</v>
      </c>
      <c r="M33" s="19" t="n">
        <v>2578.52</v>
      </c>
      <c r="N33" s="16" t="n">
        <v>28</v>
      </c>
    </row>
    <row r="34">
      <c r="A34" s="17" t="inlineStr">
        <is>
          <t>INDNIPPON</t>
        </is>
      </c>
      <c r="B34" s="18" t="inlineStr">
        <is>
          <t>India Nippon Electricals Limited</t>
        </is>
      </c>
      <c r="C34" s="18" t="inlineStr">
        <is>
          <t>auto</t>
        </is>
      </c>
      <c r="D34" s="16" t="n">
        <v>9</v>
      </c>
      <c r="E34" s="16" t="n">
        <v>0</v>
      </c>
      <c r="F34" s="19" t="n">
        <v>2049.27</v>
      </c>
      <c r="J34" s="17" t="inlineStr">
        <is>
          <t>GAYAPROJ</t>
        </is>
      </c>
      <c r="K34" s="18" t="inlineStr">
        <is>
          <t>realty</t>
        </is>
      </c>
      <c r="L34" s="19" t="n">
        <v>288</v>
      </c>
      <c r="M34" s="19" t="n">
        <v>608.1</v>
      </c>
      <c r="N34" s="16" t="n">
        <v>23</v>
      </c>
    </row>
    <row r="35">
      <c r="A35" s="17" t="inlineStr">
        <is>
          <t>TEGA</t>
        </is>
      </c>
      <c r="B35" s="18" t="inlineStr">
        <is>
          <t>Tega Industries Ltd</t>
        </is>
      </c>
      <c r="C35" s="18" t="inlineStr">
        <is>
          <t>industrials</t>
        </is>
      </c>
      <c r="D35" s="16" t="n">
        <v>9</v>
      </c>
      <c r="E35" s="16" t="n">
        <v>1</v>
      </c>
      <c r="F35" s="19" t="n">
        <v>13881.34</v>
      </c>
      <c r="J35" s="17" t="inlineStr">
        <is>
          <t>FEDFINA</t>
        </is>
      </c>
      <c r="K35" s="18" t="inlineStr">
        <is>
          <t>financials</t>
        </is>
      </c>
      <c r="L35" s="19" t="n">
        <v>285</v>
      </c>
      <c r="M35" s="19" t="n">
        <v>6009</v>
      </c>
      <c r="N35" s="16" t="n">
        <v>24</v>
      </c>
    </row>
    <row r="36">
      <c r="A36" s="17" t="inlineStr">
        <is>
          <t>BFINVEST</t>
        </is>
      </c>
      <c r="B36" s="18" t="inlineStr">
        <is>
          <t>Bf Investment Limited</t>
        </is>
      </c>
      <c r="C36" s="18" t="inlineStr">
        <is>
          <t>financials</t>
        </is>
      </c>
      <c r="D36" s="16" t="n">
        <v>9</v>
      </c>
      <c r="E36" s="16" t="n">
        <v>0</v>
      </c>
      <c r="F36" s="19" t="n">
        <v>1646.45</v>
      </c>
      <c r="J36" s="17" t="inlineStr">
        <is>
          <t>NORTHARC</t>
        </is>
      </c>
      <c r="K36" s="18" t="inlineStr">
        <is>
          <t>financials</t>
        </is>
      </c>
      <c r="L36" s="19" t="n">
        <v>285</v>
      </c>
      <c r="M36" s="19" t="n">
        <v>4796.26</v>
      </c>
      <c r="N36" s="16" t="n">
        <v>26</v>
      </c>
    </row>
    <row r="37">
      <c r="A37" s="17" t="inlineStr">
        <is>
          <t>GUFICBIO</t>
        </is>
      </c>
      <c r="B37" s="18" t="inlineStr">
        <is>
          <t>Gufic Biosciences Limited</t>
        </is>
      </c>
      <c r="C37" s="18" t="inlineStr">
        <is>
          <t>healthcare</t>
        </is>
      </c>
      <c r="D37" s="16" t="n">
        <v>9</v>
      </c>
      <c r="E37" s="16" t="n">
        <v>0</v>
      </c>
      <c r="F37" s="19" t="n">
        <v>3709.95</v>
      </c>
      <c r="J37" s="17" t="inlineStr">
        <is>
          <t>RBLBANK</t>
        </is>
      </c>
      <c r="K37" s="18" t="inlineStr">
        <is>
          <t>bank</t>
        </is>
      </c>
      <c r="L37" s="19" t="n">
        <v>285</v>
      </c>
      <c r="M37" s="19" t="n">
        <v>21717.34</v>
      </c>
      <c r="N37" s="16" t="n">
        <v>23</v>
      </c>
    </row>
    <row r="38">
      <c r="A38" s="17" t="inlineStr">
        <is>
          <t>VINCOFE</t>
        </is>
      </c>
      <c r="B38" s="18" t="inlineStr">
        <is>
          <t>Vintage Coffee &amp; Beverages Ltd</t>
        </is>
      </c>
      <c r="C38" s="18" t="inlineStr">
        <is>
          <t>consumer discretionary</t>
        </is>
      </c>
      <c r="D38" s="16" t="n">
        <v>9</v>
      </c>
      <c r="E38" s="16" t="n">
        <v>2</v>
      </c>
      <c r="F38" s="19" t="n">
        <v>2171.78</v>
      </c>
      <c r="J38" s="17" t="inlineStr">
        <is>
          <t>TMB</t>
        </is>
      </c>
      <c r="K38" s="18" t="inlineStr">
        <is>
          <t>bank</t>
        </is>
      </c>
      <c r="L38" s="19" t="n">
        <v>285</v>
      </c>
      <c r="M38" s="19" t="n">
        <v>11811.44</v>
      </c>
      <c r="N38" s="16" t="n">
        <v>13</v>
      </c>
    </row>
    <row r="39">
      <c r="A39" s="17" t="inlineStr">
        <is>
          <t>AVANTEL</t>
        </is>
      </c>
      <c r="B39" s="18" t="inlineStr">
        <is>
          <t>AVANTEL</t>
        </is>
      </c>
      <c r="C39" s="18" t="inlineStr">
        <is>
          <t>unknown</t>
        </is>
      </c>
      <c r="D39" s="16" t="n">
        <v>8</v>
      </c>
      <c r="E39" s="16" t="n">
        <v>2</v>
      </c>
      <c r="F39" s="19" t="n">
        <v>0</v>
      </c>
      <c r="J39" s="17" t="inlineStr">
        <is>
          <t>BLISSGVS</t>
        </is>
      </c>
      <c r="K39" s="18" t="inlineStr">
        <is>
          <t>healthcare</t>
        </is>
      </c>
      <c r="L39" s="19" t="n">
        <v>282</v>
      </c>
      <c r="M39" s="19" t="n">
        <v>4637.26</v>
      </c>
      <c r="N39" s="16" t="n">
        <v>30</v>
      </c>
    </row>
    <row r="40">
      <c r="A40" s="17" t="inlineStr">
        <is>
          <t>KOVAI</t>
        </is>
      </c>
      <c r="B40" s="18" t="inlineStr">
        <is>
          <t>Kovai Medical Center &amp; Hospital Ltd</t>
        </is>
      </c>
      <c r="C40" s="18" t="inlineStr">
        <is>
          <t>healthcare</t>
        </is>
      </c>
      <c r="D40" s="16" t="n">
        <v>7</v>
      </c>
      <c r="E40" s="16" t="n">
        <v>0</v>
      </c>
      <c r="F40" s="19" t="n">
        <v>5906.63</v>
      </c>
      <c r="J40" s="17" t="inlineStr">
        <is>
          <t>VENUSREM</t>
        </is>
      </c>
      <c r="K40" s="18" t="inlineStr">
        <is>
          <t>healthcare</t>
        </is>
      </c>
      <c r="L40" s="19" t="n">
        <v>282</v>
      </c>
      <c r="M40" s="19" t="n">
        <v>2183.5</v>
      </c>
      <c r="N40" s="16" t="n">
        <v>19</v>
      </c>
    </row>
    <row r="41">
      <c r="A41" s="17" t="inlineStr">
        <is>
          <t>NOVARTIND</t>
        </is>
      </c>
      <c r="B41" s="18" t="inlineStr">
        <is>
          <t>Novartis India Ltd</t>
        </is>
      </c>
      <c r="C41" s="18" t="inlineStr">
        <is>
          <t>healthcare</t>
        </is>
      </c>
      <c r="D41" s="16" t="n">
        <v>7</v>
      </c>
      <c r="E41" s="16" t="n">
        <v>0</v>
      </c>
      <c r="F41" s="19" t="n">
        <v>3434.74</v>
      </c>
      <c r="J41" s="17" t="inlineStr">
        <is>
          <t>DHANBANK</t>
        </is>
      </c>
      <c r="K41" s="18" t="inlineStr">
        <is>
          <t>Financial Services</t>
        </is>
      </c>
      <c r="L41" s="19" t="n">
        <v>282</v>
      </c>
      <c r="M41" s="19" t="n">
        <v>1297.77</v>
      </c>
      <c r="N41" s="16" t="n">
        <v>28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120.28</v>
      </c>
      <c r="D47" s="28" t="n">
        <v>263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30227.61</v>
      </c>
    </row>
    <row r="48">
      <c r="A48" s="16" t="n">
        <v>2</v>
      </c>
      <c r="B48" s="27" t="n">
        <v>99</v>
      </c>
      <c r="C48" s="28" t="n">
        <v>83.69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7680.53</v>
      </c>
    </row>
    <row r="49">
      <c r="A49" s="16" t="n">
        <v>3</v>
      </c>
      <c r="B49" s="27" t="n">
        <v>98</v>
      </c>
      <c r="C49" s="28" t="n">
        <v>67.47</v>
      </c>
      <c r="D49" s="28" t="n">
        <v>270</v>
      </c>
      <c r="E49" s="17" t="inlineStr">
        <is>
          <t>MODISONLTD</t>
        </is>
      </c>
      <c r="F49" s="18" t="inlineStr">
        <is>
          <t>Modison Ltd</t>
        </is>
      </c>
      <c r="G49" s="18" t="inlineStr">
        <is>
          <t>industrials</t>
        </is>
      </c>
      <c r="H49" s="19" t="n">
        <v>1176.96</v>
      </c>
    </row>
    <row r="50">
      <c r="A50" s="16" t="n">
        <v>4</v>
      </c>
      <c r="B50" s="27" t="n">
        <v>98</v>
      </c>
      <c r="C50" s="28" t="n">
        <v>65.43000000000001</v>
      </c>
      <c r="D50" s="28" t="n">
        <v>282</v>
      </c>
      <c r="E50" s="17" t="inlineStr">
        <is>
          <t>VENUSREM</t>
        </is>
      </c>
      <c r="F50" s="18" t="inlineStr">
        <is>
          <t>Venus Remedies Limited</t>
        </is>
      </c>
      <c r="G50" s="18" t="inlineStr">
        <is>
          <t>healthcare</t>
        </is>
      </c>
      <c r="H50" s="19" t="n">
        <v>2183.5</v>
      </c>
    </row>
    <row r="51">
      <c r="A51" s="16" t="n">
        <v>5</v>
      </c>
      <c r="B51" s="27" t="n">
        <v>98</v>
      </c>
      <c r="C51" s="28" t="n">
        <v>65.17</v>
      </c>
      <c r="D51" s="28" t="n">
        <v>285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7" t="n">
        <v>98</v>
      </c>
      <c r="C52" s="28" t="n">
        <v>64.33</v>
      </c>
      <c r="D52" s="28" t="n">
        <v>277</v>
      </c>
      <c r="E52" s="17" t="inlineStr">
        <is>
          <t>CUPID</t>
        </is>
      </c>
      <c r="F52" s="18" t="inlineStr">
        <is>
          <t>Cupid Limited</t>
        </is>
      </c>
      <c r="G52" s="18" t="inlineStr">
        <is>
          <t>fmcg</t>
        </is>
      </c>
      <c r="H52" s="19" t="n">
        <v>18435.3</v>
      </c>
    </row>
    <row r="53">
      <c r="A53" s="16" t="n">
        <v>7</v>
      </c>
      <c r="B53" s="27" t="n">
        <v>97</v>
      </c>
      <c r="C53" s="28" t="n">
        <v>62.79</v>
      </c>
      <c r="D53" s="28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28657.47</v>
      </c>
    </row>
    <row r="54">
      <c r="A54" s="16" t="n">
        <v>8</v>
      </c>
      <c r="B54" s="27" t="n">
        <v>97</v>
      </c>
      <c r="C54" s="28" t="n">
        <v>61.19</v>
      </c>
      <c r="D54" s="28" t="n">
        <v>265</v>
      </c>
      <c r="E54" s="17" t="inlineStr">
        <is>
          <t>MTARTECH</t>
        </is>
      </c>
      <c r="F54" s="18" t="inlineStr">
        <is>
          <t>MTAR Technologies Ltd</t>
        </is>
      </c>
      <c r="G54" s="18" t="inlineStr">
        <is>
          <t>aerospace &amp; defence</t>
        </is>
      </c>
      <c r="H54" s="19" t="n">
        <v>23178.89</v>
      </c>
    </row>
    <row r="55">
      <c r="A55" s="16" t="n">
        <v>9</v>
      </c>
      <c r="B55" s="27" t="n">
        <v>97</v>
      </c>
      <c r="C55" s="28" t="n">
        <v>59.28</v>
      </c>
      <c r="D55" s="28" t="n">
        <v>293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502.02</v>
      </c>
    </row>
    <row r="56">
      <c r="A56" s="16" t="n">
        <v>10</v>
      </c>
      <c r="B56" s="27" t="n">
        <v>96</v>
      </c>
      <c r="C56" s="28" t="n">
        <v>57.67</v>
      </c>
      <c r="D56" s="28" t="n">
        <v>223</v>
      </c>
      <c r="E56" s="17" t="inlineStr">
        <is>
          <t>DEEDEV</t>
        </is>
      </c>
      <c r="F56" s="18" t="inlineStr">
        <is>
          <t>DEE Development Engineers Ltd</t>
        </is>
      </c>
      <c r="G56" s="18" t="inlineStr">
        <is>
          <t>metals &amp; mining</t>
        </is>
      </c>
      <c r="H56" s="19" t="n">
        <v>4648.61</v>
      </c>
    </row>
    <row r="57">
      <c r="A57" s="16" t="n">
        <v>11</v>
      </c>
      <c r="B57" s="27" t="n">
        <v>96</v>
      </c>
      <c r="C57" s="28" t="n">
        <v>52.8</v>
      </c>
      <c r="D57" s="28" t="n">
        <v>248</v>
      </c>
      <c r="E57" s="17" t="inlineStr">
        <is>
          <t>BHAGYANGR</t>
        </is>
      </c>
      <c r="F57" s="18" t="inlineStr">
        <is>
          <t>Bhagyanagar India</t>
        </is>
      </c>
      <c r="G57" s="18" t="inlineStr">
        <is>
          <t>power &amp; utilities</t>
        </is>
      </c>
      <c r="H57" s="19" t="n">
        <v>981.13</v>
      </c>
    </row>
    <row r="58">
      <c r="A58" s="16" t="n">
        <v>12</v>
      </c>
      <c r="B58" s="27" t="n">
        <v>96</v>
      </c>
      <c r="C58" s="28" t="n">
        <v>52.64</v>
      </c>
      <c r="D58" s="28" t="n">
        <v>263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539.9</v>
      </c>
    </row>
    <row r="59">
      <c r="A59" s="16" t="n">
        <v>13</v>
      </c>
      <c r="B59" s="27" t="n">
        <v>96</v>
      </c>
      <c r="C59" s="28" t="n">
        <v>52.08</v>
      </c>
      <c r="D59" s="28" t="n">
        <v>288</v>
      </c>
      <c r="E59" s="17" t="inlineStr">
        <is>
          <t>CONFIPET</t>
        </is>
      </c>
      <c r="F59" s="18" t="inlineStr">
        <is>
          <t>Confidence Petroleum India Ltd</t>
        </is>
      </c>
      <c r="G59" s="18" t="inlineStr">
        <is>
          <t>miscellaneous</t>
        </is>
      </c>
      <c r="H59" s="19" t="n">
        <v>2578.52</v>
      </c>
    </row>
    <row r="60">
      <c r="A60" s="16" t="n">
        <v>14</v>
      </c>
      <c r="B60" s="27" t="n">
        <v>95</v>
      </c>
      <c r="C60" s="28" t="n">
        <v>51.9</v>
      </c>
      <c r="D60" s="28" t="n">
        <v>282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4637.26</v>
      </c>
    </row>
    <row r="61">
      <c r="A61" s="16" t="n">
        <v>15</v>
      </c>
      <c r="B61" s="27" t="n">
        <v>95</v>
      </c>
      <c r="C61" s="28" t="n">
        <v>51.77</v>
      </c>
      <c r="D61" s="28" t="n">
        <v>290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5401.86</v>
      </c>
    </row>
    <row r="62">
      <c r="A62" s="16" t="n">
        <v>16</v>
      </c>
      <c r="B62" s="27" t="n">
        <v>95</v>
      </c>
      <c r="C62" s="28" t="n">
        <v>50.6</v>
      </c>
      <c r="D62" s="28" t="n">
        <v>272</v>
      </c>
      <c r="E62" s="17" t="inlineStr">
        <is>
          <t>GVPIL</t>
        </is>
      </c>
      <c r="F62" s="18" t="inlineStr">
        <is>
          <t>GE Power India Ltd</t>
        </is>
      </c>
      <c r="G62" s="18" t="inlineStr">
        <is>
          <t>realty</t>
        </is>
      </c>
      <c r="H62" s="19" t="n">
        <v>5943.58</v>
      </c>
    </row>
    <row r="63">
      <c r="A63" s="16" t="n">
        <v>17</v>
      </c>
      <c r="B63" s="27" t="n">
        <v>95</v>
      </c>
      <c r="C63" s="28" t="n">
        <v>48.15</v>
      </c>
      <c r="D63" s="28" t="n">
        <v>270</v>
      </c>
      <c r="E63" s="17" t="inlineStr">
        <is>
          <t>NINSYS</t>
        </is>
      </c>
      <c r="F63" s="18" t="inlineStr">
        <is>
          <t>NINtec Systems Ltd</t>
        </is>
      </c>
      <c r="G63" s="18" t="inlineStr">
        <is>
          <t>i.t</t>
        </is>
      </c>
      <c r="H63" s="19" t="n">
        <v>1345.18</v>
      </c>
    </row>
    <row r="64">
      <c r="A64" s="16" t="n">
        <v>18</v>
      </c>
      <c r="B64" s="29" t="n">
        <v>94</v>
      </c>
      <c r="C64" s="28" t="n">
        <v>45.05</v>
      </c>
      <c r="D64" s="28" t="n">
        <v>255</v>
      </c>
      <c r="E64" s="17" t="inlineStr">
        <is>
          <t>NITTAGELA</t>
        </is>
      </c>
      <c r="F64" s="18" t="inlineStr">
        <is>
          <t>Nitta Gelatin India Limited</t>
        </is>
      </c>
      <c r="G64" s="18" t="inlineStr">
        <is>
          <t>Basic Materials</t>
        </is>
      </c>
      <c r="H64" s="19" t="n">
        <v>1582.95</v>
      </c>
    </row>
    <row r="65">
      <c r="A65" s="16" t="n">
        <v>19</v>
      </c>
      <c r="B65" s="29" t="n">
        <v>94</v>
      </c>
      <c r="C65" s="28" t="n">
        <v>42.89</v>
      </c>
      <c r="D65" s="28" t="n">
        <v>230</v>
      </c>
      <c r="E65" s="17" t="inlineStr">
        <is>
          <t>AEROFLEX</t>
        </is>
      </c>
      <c r="F65" s="18" t="inlineStr">
        <is>
          <t>Aeroflex Industries Ltd</t>
        </is>
      </c>
      <c r="G65" s="18" t="inlineStr">
        <is>
          <t>metals &amp; mining</t>
        </is>
      </c>
      <c r="H65" s="19" t="n">
        <v>5554.58</v>
      </c>
    </row>
    <row r="66">
      <c r="A66" s="16" t="n">
        <v>20</v>
      </c>
      <c r="B66" s="29" t="n">
        <v>94</v>
      </c>
      <c r="C66" s="28" t="n">
        <v>42.85</v>
      </c>
      <c r="D66" s="28" t="n">
        <v>235</v>
      </c>
      <c r="E66" s="17" t="inlineStr">
        <is>
          <t>BBOX</t>
        </is>
      </c>
      <c r="F66" s="18" t="inlineStr">
        <is>
          <t>Black Box Ltd</t>
        </is>
      </c>
      <c r="G66" s="18" t="inlineStr">
        <is>
          <t>i.t</t>
        </is>
      </c>
      <c r="H66" s="19" t="n">
        <v>19043.47</v>
      </c>
    </row>
    <row r="67">
      <c r="A67" s="16" t="n">
        <v>21</v>
      </c>
      <c r="B67" s="29" t="n">
        <v>93</v>
      </c>
      <c r="C67" s="28" t="n">
        <v>42.07</v>
      </c>
      <c r="D67" s="28" t="n">
        <v>243</v>
      </c>
      <c r="E67" s="17" t="inlineStr">
        <is>
          <t>UFBL</t>
        </is>
      </c>
      <c r="F67" s="18" t="inlineStr">
        <is>
          <t>United Foodbrands Ltd</t>
        </is>
      </c>
      <c r="G67" s="18" t="inlineStr">
        <is>
          <t>consumer discretionary</t>
        </is>
      </c>
      <c r="H67" s="19" t="n">
        <v>1977.77</v>
      </c>
    </row>
    <row r="68">
      <c r="A68" s="16" t="n">
        <v>22</v>
      </c>
      <c r="B68" s="29" t="n">
        <v>93</v>
      </c>
      <c r="C68" s="28" t="n">
        <v>41.34</v>
      </c>
      <c r="D68" s="28" t="n">
        <v>260</v>
      </c>
      <c r="E68" s="17" t="inlineStr">
        <is>
          <t>COCKERILL</t>
        </is>
      </c>
      <c r="F68" s="18" t="inlineStr">
        <is>
          <t>John Cockerill India Ltd</t>
        </is>
      </c>
      <c r="G68" s="18" t="inlineStr">
        <is>
          <t>Industrials</t>
        </is>
      </c>
      <c r="H68" s="19" t="n">
        <v>4524.32</v>
      </c>
    </row>
    <row r="69">
      <c r="A69" s="16" t="n">
        <v>23</v>
      </c>
      <c r="B69" s="29" t="n">
        <v>93</v>
      </c>
      <c r="C69" s="28" t="n">
        <v>40.67</v>
      </c>
      <c r="D69" s="28" t="n">
        <v>280</v>
      </c>
      <c r="E69" s="17" t="inlineStr">
        <is>
          <t>ATHERENERG</t>
        </is>
      </c>
      <c r="F69" s="18" t="inlineStr">
        <is>
          <t>Ather Energy Ltd</t>
        </is>
      </c>
      <c r="G69" s="18" t="inlineStr">
        <is>
          <t>auto</t>
        </is>
      </c>
      <c r="H69" s="19" t="n">
        <v>39553.1</v>
      </c>
    </row>
    <row r="70">
      <c r="A70" s="16" t="n">
        <v>24</v>
      </c>
      <c r="B70" s="29" t="n">
        <v>93</v>
      </c>
      <c r="C70" s="28" t="n">
        <v>40.27</v>
      </c>
      <c r="D70" s="28" t="n">
        <v>252</v>
      </c>
      <c r="E70" s="17" t="inlineStr">
        <is>
          <t>APOLLO</t>
        </is>
      </c>
      <c r="F70" s="18" t="inlineStr">
        <is>
          <t>Apollo Micro Systems Ltd</t>
        </is>
      </c>
      <c r="G70" s="18" t="inlineStr">
        <is>
          <t>aerospace &amp; defence</t>
        </is>
      </c>
      <c r="H70" s="19" t="n">
        <v>15054.52</v>
      </c>
    </row>
    <row r="71">
      <c r="A71" s="16" t="n">
        <v>25</v>
      </c>
      <c r="B71" s="29" t="n">
        <v>92</v>
      </c>
      <c r="C71" s="28" t="n">
        <v>40.21</v>
      </c>
      <c r="D71" s="28" t="n">
        <v>250</v>
      </c>
      <c r="E71" s="17" t="inlineStr">
        <is>
          <t>IDEAFORGE</t>
        </is>
      </c>
      <c r="F71" s="18" t="inlineStr">
        <is>
          <t>Ideaforge Technology Ltd</t>
        </is>
      </c>
      <c r="G71" s="18" t="inlineStr">
        <is>
          <t>aerospace &amp; defence</t>
        </is>
      </c>
      <c r="H71" s="19" t="n">
        <v>4089.58</v>
      </c>
    </row>
    <row r="72">
      <c r="A72" s="16" t="n">
        <v>26</v>
      </c>
      <c r="B72" s="29" t="n">
        <v>92</v>
      </c>
      <c r="C72" s="28" t="n">
        <v>37.93</v>
      </c>
      <c r="D72" s="28" t="n">
        <v>223</v>
      </c>
      <c r="E72" s="17" t="inlineStr">
        <is>
          <t>ROSSTECH</t>
        </is>
      </c>
      <c r="F72" s="18" t="inlineStr">
        <is>
          <t>Rossell Techsys Ltd</t>
        </is>
      </c>
      <c r="G72" s="18" t="inlineStr">
        <is>
          <t>aerospace &amp; defence</t>
        </is>
      </c>
      <c r="H72" s="19" t="n">
        <v>3966.42</v>
      </c>
    </row>
    <row r="73">
      <c r="A73" s="16" t="n">
        <v>27</v>
      </c>
      <c r="B73" s="29" t="n">
        <v>92</v>
      </c>
      <c r="C73" s="28" t="n">
        <v>37.04</v>
      </c>
      <c r="D73" s="28" t="n">
        <v>277</v>
      </c>
      <c r="E73" s="17" t="inlineStr">
        <is>
          <t>KPL</t>
        </is>
      </c>
      <c r="F73" s="18" t="inlineStr">
        <is>
          <t>Kwality Pharmaceuticals Limited</t>
        </is>
      </c>
      <c r="G73" s="18" t="inlineStr">
        <is>
          <t>Healthcare</t>
        </is>
      </c>
      <c r="H73" s="19" t="n">
        <v>2457.76</v>
      </c>
    </row>
    <row r="74">
      <c r="A74" s="16" t="n">
        <v>28</v>
      </c>
      <c r="B74" s="29" t="n">
        <v>91</v>
      </c>
      <c r="C74" s="28" t="n">
        <v>36.92</v>
      </c>
      <c r="D74" s="28" t="n">
        <v>260</v>
      </c>
      <c r="E74" s="17" t="inlineStr">
        <is>
          <t>MCLEODRUSS</t>
        </is>
      </c>
      <c r="F74" s="18" t="inlineStr">
        <is>
          <t>Mcleod Russel India Limited</t>
        </is>
      </c>
      <c r="G74" s="18" t="inlineStr">
        <is>
          <t>fmcg</t>
        </is>
      </c>
      <c r="H74" s="19" t="n">
        <v>740.7</v>
      </c>
    </row>
    <row r="75">
      <c r="A75" s="16" t="n">
        <v>29</v>
      </c>
      <c r="B75" s="29" t="n">
        <v>91</v>
      </c>
      <c r="C75" s="28" t="n">
        <v>36.8</v>
      </c>
      <c r="D75" s="28" t="n">
        <v>297</v>
      </c>
      <c r="E75" s="17" t="inlineStr">
        <is>
          <t>BAJAJCON</t>
        </is>
      </c>
      <c r="F75" s="18" t="inlineStr">
        <is>
          <t>Bajaj Consumer Care Ltd</t>
        </is>
      </c>
      <c r="G75" s="18" t="inlineStr">
        <is>
          <t>fmcg</t>
        </is>
      </c>
      <c r="H75" s="19" t="n">
        <v>7210.78</v>
      </c>
    </row>
    <row r="76">
      <c r="A76" s="16" t="n">
        <v>30</v>
      </c>
      <c r="B76" s="29" t="n">
        <v>91</v>
      </c>
      <c r="C76" s="28" t="n">
        <v>36.24</v>
      </c>
      <c r="D76" s="28" t="n">
        <v>253</v>
      </c>
      <c r="E76" s="17" t="inlineStr">
        <is>
          <t>UNIVCABLES</t>
        </is>
      </c>
      <c r="F76" s="18" t="inlineStr">
        <is>
          <t>Universal Cables Limited</t>
        </is>
      </c>
      <c r="G76" s="18" t="inlineStr">
        <is>
          <t>industrials</t>
        </is>
      </c>
      <c r="H76" s="19" t="n">
        <v>4258.86</v>
      </c>
    </row>
    <row r="77">
      <c r="A77" s="16" t="n">
        <v>31</v>
      </c>
      <c r="B77" s="29" t="n">
        <v>91</v>
      </c>
      <c r="C77" s="28" t="n">
        <v>36.15</v>
      </c>
      <c r="D77" s="28" t="n">
        <v>243</v>
      </c>
      <c r="E77" s="17" t="inlineStr">
        <is>
          <t>SALSTEEL</t>
        </is>
      </c>
      <c r="F77" s="18" t="inlineStr">
        <is>
          <t>SAL Steel</t>
        </is>
      </c>
      <c r="G77" s="18" t="inlineStr">
        <is>
          <t>metals &amp; mining</t>
        </is>
      </c>
      <c r="H77" s="19" t="n">
        <v>879.75</v>
      </c>
    </row>
    <row r="78">
      <c r="A78" s="16" t="n">
        <v>32</v>
      </c>
      <c r="B78" s="29" t="n">
        <v>90</v>
      </c>
      <c r="C78" s="28" t="n">
        <v>34.56</v>
      </c>
      <c r="D78" s="28" t="n">
        <v>270</v>
      </c>
      <c r="E78" s="17" t="inlineStr">
        <is>
          <t>CEMPRO</t>
        </is>
      </c>
      <c r="F78" s="18" t="inlineStr">
        <is>
          <t>Cemindia Projects Ltd</t>
        </is>
      </c>
      <c r="G78" s="18" t="inlineStr">
        <is>
          <t>realty</t>
        </is>
      </c>
      <c r="H78" s="19" t="n">
        <v>19116.52</v>
      </c>
    </row>
    <row r="79">
      <c r="A79" s="16" t="n">
        <v>33</v>
      </c>
      <c r="B79" s="29" t="n">
        <v>90</v>
      </c>
      <c r="C79" s="28" t="n">
        <v>34.55</v>
      </c>
      <c r="D79" s="28" t="n">
        <v>267</v>
      </c>
      <c r="E79" s="17" t="inlineStr">
        <is>
          <t>ACUTAAS</t>
        </is>
      </c>
      <c r="F79" s="18" t="inlineStr">
        <is>
          <t>Acutaas Chemicals Ltd</t>
        </is>
      </c>
      <c r="G79" s="18" t="inlineStr">
        <is>
          <t>healthcare</t>
        </is>
      </c>
      <c r="H79" s="19" t="n">
        <v>27249.17</v>
      </c>
    </row>
    <row r="80">
      <c r="A80" s="16" t="n">
        <v>34</v>
      </c>
      <c r="B80" s="29" t="n">
        <v>90</v>
      </c>
      <c r="C80" s="28" t="n">
        <v>33.93</v>
      </c>
      <c r="D80" s="28" t="n">
        <v>275</v>
      </c>
      <c r="E80" s="17" t="inlineStr">
        <is>
          <t>SYRMA</t>
        </is>
      </c>
      <c r="F80" s="18" t="inlineStr">
        <is>
          <t>Syrma SGS Technology Ltd</t>
        </is>
      </c>
      <c r="G80" s="18" t="inlineStr">
        <is>
          <t>consumer discretionary</t>
        </is>
      </c>
      <c r="H80" s="19" t="n">
        <v>23656.44</v>
      </c>
    </row>
    <row r="81">
      <c r="A81" s="16" t="n">
        <v>35</v>
      </c>
      <c r="B81" s="29" t="n">
        <v>90</v>
      </c>
      <c r="C81" s="28" t="n">
        <v>33.77</v>
      </c>
      <c r="D81" s="28" t="n">
        <v>288</v>
      </c>
      <c r="E81" s="17" t="inlineStr">
        <is>
          <t>GAYAPROJ</t>
        </is>
      </c>
      <c r="F81" s="18" t="inlineStr">
        <is>
          <t>Gayatri Projects Limited</t>
        </is>
      </c>
      <c r="G81" s="18" t="inlineStr">
        <is>
          <t>realty</t>
        </is>
      </c>
      <c r="H81" s="19" t="n">
        <v>608.1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PRIMO</t>
        </is>
      </c>
      <c r="B2" s="31" t="inlineStr">
        <is>
          <t>Primo Chemicals Ltd</t>
        </is>
      </c>
      <c r="C2" s="31" t="inlineStr">
        <is>
          <t>chemicals</t>
        </is>
      </c>
      <c r="D2" s="31" t="inlineStr">
        <is>
          <t>chlor alkali / soda ash</t>
        </is>
      </c>
      <c r="E2" s="31" t="inlineStr">
        <is>
          <t>smallcap</t>
        </is>
      </c>
      <c r="F2" s="31" t="n">
        <v>632.76</v>
      </c>
      <c r="G2" s="31" t="n">
        <v>26.11</v>
      </c>
      <c r="H2" s="31" t="n">
        <v>18.84</v>
      </c>
      <c r="I2" s="31" t="n">
        <v>2989541</v>
      </c>
      <c r="J2" s="31" t="inlineStr">
        <is>
          <t>506852</t>
        </is>
      </c>
    </row>
    <row r="3">
      <c r="A3" s="31" t="inlineStr">
        <is>
          <t>RAMCOSYS</t>
        </is>
      </c>
      <c r="B3" s="31" t="inlineStr">
        <is>
          <t>Ramco Systems Limited</t>
        </is>
      </c>
      <c r="C3" s="31" t="inlineStr">
        <is>
          <t>i.t</t>
        </is>
      </c>
      <c r="D3" s="31" t="inlineStr">
        <is>
          <t>computers - software - medium / small</t>
        </is>
      </c>
      <c r="E3" s="31" t="inlineStr">
        <is>
          <t>smallcap</t>
        </is>
      </c>
      <c r="F3" s="31" t="n">
        <v>2103.49</v>
      </c>
      <c r="G3" s="31" t="n">
        <v>562.25</v>
      </c>
      <c r="H3" s="31" t="n">
        <v>17.96</v>
      </c>
      <c r="I3" s="31" t="n">
        <v>10906275</v>
      </c>
      <c r="J3" s="31" t="inlineStr">
        <is>
          <t>532370</t>
        </is>
      </c>
    </row>
    <row r="4">
      <c r="A4" s="31" t="inlineStr">
        <is>
          <t>BHAGERIA</t>
        </is>
      </c>
      <c r="B4" s="31" t="inlineStr">
        <is>
          <t>Bhageria Industries Limited</t>
        </is>
      </c>
      <c r="C4" s="31" t="inlineStr">
        <is>
          <t>chemicals</t>
        </is>
      </c>
      <c r="D4" s="31" t="inlineStr">
        <is>
          <t>dyes and pigments</t>
        </is>
      </c>
      <c r="E4" s="31" t="inlineStr">
        <is>
          <t>smallcap</t>
        </is>
      </c>
      <c r="F4" s="31" t="n">
        <v>912.5599999999999</v>
      </c>
      <c r="G4" s="31" t="n">
        <v>209.09</v>
      </c>
      <c r="H4" s="31" t="n">
        <v>15.83</v>
      </c>
      <c r="I4" s="31" t="n">
        <v>2265151</v>
      </c>
      <c r="J4" s="31" t="inlineStr">
        <is>
          <t>530803</t>
        </is>
      </c>
    </row>
    <row r="5">
      <c r="A5" s="31" t="inlineStr">
        <is>
          <t>ITDC</t>
        </is>
      </c>
      <c r="B5" s="31" t="inlineStr">
        <is>
          <t>India Tourism Development Corporation Ltd</t>
        </is>
      </c>
      <c r="C5" s="31" t="inlineStr">
        <is>
          <t>services</t>
        </is>
      </c>
      <c r="D5" s="31" t="inlineStr">
        <is>
          <t>hotels</t>
        </is>
      </c>
      <c r="E5" s="31" t="inlineStr">
        <is>
          <t>midcap</t>
        </is>
      </c>
      <c r="F5" s="31" t="n">
        <v>5746.12</v>
      </c>
      <c r="G5" s="31" t="n">
        <v>669.95</v>
      </c>
      <c r="H5" s="31" t="n">
        <v>13.71</v>
      </c>
      <c r="I5" s="31" t="n">
        <v>18236659</v>
      </c>
      <c r="J5" s="31" t="inlineStr">
        <is>
          <t>532189</t>
        </is>
      </c>
    </row>
    <row r="6">
      <c r="A6" s="31" t="inlineStr">
        <is>
          <t>RSWM</t>
        </is>
      </c>
      <c r="B6" s="31" t="inlineStr">
        <is>
          <t>Rswm Limited</t>
        </is>
      </c>
      <c r="C6" s="31" t="inlineStr">
        <is>
          <t>textiles</t>
        </is>
      </c>
      <c r="D6" s="31" t="inlineStr">
        <is>
          <t>textiles - cotton/blended</t>
        </is>
      </c>
      <c r="E6" s="31" t="inlineStr">
        <is>
          <t>smallcap</t>
        </is>
      </c>
      <c r="F6" s="31" t="n">
        <v>928.37</v>
      </c>
      <c r="G6" s="31" t="n">
        <v>197.1</v>
      </c>
      <c r="H6" s="31" t="n">
        <v>11.22</v>
      </c>
      <c r="I6" s="31" t="n">
        <v>3701180</v>
      </c>
      <c r="J6" s="31" t="inlineStr">
        <is>
          <t>500350</t>
        </is>
      </c>
    </row>
    <row r="7">
      <c r="A7" s="31" t="inlineStr">
        <is>
          <t>GANESHBE</t>
        </is>
      </c>
      <c r="B7" s="31" t="inlineStr">
        <is>
          <t>Ganesh Benzoplast Ltd</t>
        </is>
      </c>
      <c r="C7" s="31" t="inlineStr">
        <is>
          <t>miscellaneous</t>
        </is>
      </c>
      <c r="D7" s="31" t="inlineStr">
        <is>
          <t>miscellaneous</t>
        </is>
      </c>
      <c r="E7" s="31" t="inlineStr">
        <is>
          <t>smallcap</t>
        </is>
      </c>
      <c r="F7" s="31" t="n">
        <v>805.92</v>
      </c>
      <c r="G7" s="31" t="n">
        <v>111.95</v>
      </c>
      <c r="H7" s="31" t="n">
        <v>10.64</v>
      </c>
      <c r="I7" s="31" t="n">
        <v>5571472</v>
      </c>
      <c r="J7" s="31" t="inlineStr">
        <is>
          <t>500153</t>
        </is>
      </c>
    </row>
    <row r="8">
      <c r="A8" s="31" t="inlineStr">
        <is>
          <t>UFBL</t>
        </is>
      </c>
      <c r="B8" s="31" t="inlineStr">
        <is>
          <t>United Foodbrands Ltd</t>
        </is>
      </c>
      <c r="C8" s="31" t="inlineStr">
        <is>
          <t>consumer discretionary</t>
        </is>
      </c>
      <c r="D8" s="31" t="inlineStr">
        <is>
          <t>hotels</t>
        </is>
      </c>
      <c r="E8" s="31" t="inlineStr">
        <is>
          <t>smallcap</t>
        </is>
      </c>
      <c r="F8" s="31" t="n">
        <v>1977.77</v>
      </c>
      <c r="G8" s="31" t="n">
        <v>506</v>
      </c>
      <c r="H8" s="31" t="n">
        <v>10</v>
      </c>
      <c r="I8" s="31" t="n">
        <v>432012</v>
      </c>
      <c r="J8" s="31" t="inlineStr">
        <is>
          <t>543283</t>
        </is>
      </c>
    </row>
    <row r="9">
      <c r="A9" s="31" t="inlineStr">
        <is>
          <t>RPEL</t>
        </is>
      </c>
      <c r="B9" s="31" t="inlineStr">
        <is>
          <t>Raghav Productivity Enhancers Ltd</t>
        </is>
      </c>
      <c r="C9" s="31" t="inlineStr">
        <is>
          <t>building materials</t>
        </is>
      </c>
      <c r="D9" s="31" t="inlineStr">
        <is>
          <t>refractories / intermediates</t>
        </is>
      </c>
      <c r="E9" s="31" t="inlineStr">
        <is>
          <t>midcap</t>
        </is>
      </c>
      <c r="F9" s="31" t="n">
        <v>5096.92</v>
      </c>
      <c r="G9" s="31" t="n">
        <v>1110.15</v>
      </c>
      <c r="H9" s="31" t="n">
        <v>9.890000000000001</v>
      </c>
      <c r="I9" s="31" t="n">
        <v>594955</v>
      </c>
      <c r="J9" s="31" t="inlineStr">
        <is>
          <t>539837</t>
        </is>
      </c>
    </row>
    <row r="10">
      <c r="A10" s="31" t="inlineStr">
        <is>
          <t>MUNJALAU</t>
        </is>
      </c>
      <c r="B10" s="31" t="inlineStr">
        <is>
          <t>Munjal Auto Industries Limited</t>
        </is>
      </c>
      <c r="C10" s="31" t="inlineStr">
        <is>
          <t>auto</t>
        </is>
      </c>
      <c r="D10" s="31" t="inlineStr">
        <is>
          <t>auto ancillaries</t>
        </is>
      </c>
      <c r="E10" s="31" t="inlineStr">
        <is>
          <t>smallcap</t>
        </is>
      </c>
      <c r="F10" s="31" t="n">
        <v>962.8</v>
      </c>
      <c r="G10" s="31" t="n">
        <v>96.28</v>
      </c>
      <c r="H10" s="31" t="n">
        <v>9.199999999999999</v>
      </c>
      <c r="I10" s="31" t="n">
        <v>2122594</v>
      </c>
      <c r="J10" s="31" t="inlineStr">
        <is>
          <t>520059</t>
        </is>
      </c>
    </row>
    <row r="11">
      <c r="A11" s="31" t="inlineStr">
        <is>
          <t>PASUPTAC</t>
        </is>
      </c>
      <c r="B11" s="31" t="inlineStr">
        <is>
          <t>Pasupati Acrylon Ltd</t>
        </is>
      </c>
      <c r="C11" s="31" t="inlineStr">
        <is>
          <t>textiles</t>
        </is>
      </c>
      <c r="D11" s="31" t="inlineStr">
        <is>
          <t>textiles - manmade</t>
        </is>
      </c>
      <c r="E11" s="31" t="inlineStr">
        <is>
          <t>smallcap</t>
        </is>
      </c>
      <c r="F11" s="31" t="n">
        <v>661.46</v>
      </c>
      <c r="G11" s="31" t="n">
        <v>74.20999999999999</v>
      </c>
      <c r="H11" s="31" t="n">
        <v>8.960000000000001</v>
      </c>
      <c r="I11" s="31" t="n">
        <v>2905211</v>
      </c>
      <c r="J11" s="31" t="inlineStr">
        <is>
          <t>500456</t>
        </is>
      </c>
    </row>
    <row r="12">
      <c r="A12" s="31" t="inlineStr">
        <is>
          <t>PARAS</t>
        </is>
      </c>
      <c r="B12" s="31" t="inlineStr">
        <is>
          <t>Paras Defence and Space Technologies Ltd</t>
        </is>
      </c>
      <c r="C12" s="31" t="inlineStr">
        <is>
          <t>aerospace &amp; defence</t>
        </is>
      </c>
      <c r="D12" s="31" t="inlineStr">
        <is>
          <t>engineering</t>
        </is>
      </c>
      <c r="E12" s="31" t="inlineStr">
        <is>
          <t>midcap</t>
        </is>
      </c>
      <c r="F12" s="31" t="n">
        <v>7737.59</v>
      </c>
      <c r="G12" s="31" t="n">
        <v>960.15</v>
      </c>
      <c r="H12" s="31" t="n">
        <v>7.42</v>
      </c>
      <c r="I12" s="31" t="n">
        <v>14940270</v>
      </c>
      <c r="J12" s="31" t="inlineStr">
        <is>
          <t>543367</t>
        </is>
      </c>
    </row>
    <row r="13">
      <c r="A13" s="31" t="inlineStr">
        <is>
          <t>ADANIGREEN</t>
        </is>
      </c>
      <c r="B13" s="31" t="inlineStr">
        <is>
          <t>Adani Green Energy Ltd</t>
        </is>
      </c>
      <c r="C13" s="31" t="inlineStr">
        <is>
          <t>power &amp; utilities</t>
        </is>
      </c>
      <c r="D13" s="31" t="inlineStr">
        <is>
          <t>power generation and supply</t>
        </is>
      </c>
      <c r="E13" s="31" t="inlineStr">
        <is>
          <t>largecap</t>
        </is>
      </c>
      <c r="F13" s="31" t="n">
        <v>251309.67</v>
      </c>
      <c r="G13" s="31" t="n">
        <v>1525.7</v>
      </c>
      <c r="H13" s="31" t="n">
        <v>7.19</v>
      </c>
      <c r="I13" s="31" t="n">
        <v>10448500</v>
      </c>
      <c r="J13" s="31" t="inlineStr">
        <is>
          <t>541450</t>
        </is>
      </c>
    </row>
    <row r="14">
      <c r="A14" s="31" t="inlineStr">
        <is>
          <t>PRIMESECU</t>
        </is>
      </c>
      <c r="B14" s="31" t="inlineStr">
        <is>
          <t>Prime Securities Limited</t>
        </is>
      </c>
      <c r="C14" s="31" t="inlineStr">
        <is>
          <t>financials</t>
        </is>
      </c>
      <c r="D14" s="31" t="inlineStr">
        <is>
          <t>finance &amp; investments</t>
        </is>
      </c>
      <c r="E14" s="31" t="inlineStr">
        <is>
          <t>smallcap</t>
        </is>
      </c>
      <c r="F14" s="31" t="n">
        <v>1020.06</v>
      </c>
      <c r="G14" s="31" t="n">
        <v>300.9</v>
      </c>
      <c r="H14" s="31" t="n">
        <v>6.87</v>
      </c>
      <c r="I14" s="31" t="n">
        <v>205529</v>
      </c>
      <c r="J14" s="31" t="inlineStr">
        <is>
          <t>500337</t>
        </is>
      </c>
    </row>
    <row r="15">
      <c r="A15" s="31" t="inlineStr">
        <is>
          <t>HSCL</t>
        </is>
      </c>
      <c r="B15" s="31" t="inlineStr">
        <is>
          <t>Himadri Speciality Chemical Limited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largecap</t>
        </is>
      </c>
      <c r="F15" s="31" t="n">
        <v>34563.62</v>
      </c>
      <c r="G15" s="31" t="n">
        <v>685.05</v>
      </c>
      <c r="H15" s="31" t="n">
        <v>6.71</v>
      </c>
      <c r="I15" s="31" t="n">
        <v>24445679</v>
      </c>
      <c r="J15" s="31" t="inlineStr">
        <is>
          <t>500184</t>
        </is>
      </c>
    </row>
    <row r="16">
      <c r="A16" s="31" t="inlineStr">
        <is>
          <t>SPECTRUM</t>
        </is>
      </c>
      <c r="B16" s="31" t="inlineStr">
        <is>
          <t>Spectrum Electrical Industries Ltd</t>
        </is>
      </c>
      <c r="C16" s="31" t="inlineStr">
        <is>
          <t>industrials</t>
        </is>
      </c>
      <c r="D16" s="31" t="inlineStr">
        <is>
          <t>electric equipment</t>
        </is>
      </c>
      <c r="E16" s="31" t="inlineStr">
        <is>
          <t>smallcap</t>
        </is>
      </c>
      <c r="F16" s="31" t="n">
        <v>2779.94</v>
      </c>
      <c r="G16" s="31" t="n">
        <v>1769.1</v>
      </c>
      <c r="H16" s="31" t="n">
        <v>6.27</v>
      </c>
      <c r="I16" s="31" t="n">
        <v>86017</v>
      </c>
      <c r="J16" s="31" t="inlineStr">
        <is>
          <t>535112</t>
        </is>
      </c>
    </row>
    <row r="17">
      <c r="A17" s="31" t="inlineStr">
        <is>
          <t>NGLFINE</t>
        </is>
      </c>
      <c r="B17" s="31" t="inlineStr">
        <is>
          <t>NGL Fine Chem Ltd</t>
        </is>
      </c>
      <c r="C17" s="31" t="inlineStr">
        <is>
          <t>healthcare</t>
        </is>
      </c>
      <c r="D17" s="31" t="inlineStr">
        <is>
          <t>pharmaceuticals - indian - bulk drugs</t>
        </is>
      </c>
      <c r="E17" s="31" t="inlineStr">
        <is>
          <t>smallcap</t>
        </is>
      </c>
      <c r="F17" s="31" t="n">
        <v>1694.38</v>
      </c>
      <c r="G17" s="31" t="n">
        <v>2742.6</v>
      </c>
      <c r="H17" s="31" t="n">
        <v>6.23</v>
      </c>
      <c r="I17" s="31" t="n">
        <v>40222</v>
      </c>
      <c r="J17" s="31" t="inlineStr">
        <is>
          <t>524774</t>
        </is>
      </c>
    </row>
    <row r="18">
      <c r="A18" s="31" t="inlineStr">
        <is>
          <t>GREENPLY</t>
        </is>
      </c>
      <c r="B18" s="31" t="inlineStr">
        <is>
          <t>Greenply Industries Limited</t>
        </is>
      </c>
      <c r="C18" s="31" t="inlineStr">
        <is>
          <t>building materials</t>
        </is>
      </c>
      <c r="D18" s="31" t="inlineStr">
        <is>
          <t>miscellaneous</t>
        </is>
      </c>
      <c r="E18" s="31" t="inlineStr">
        <is>
          <t>smallcap</t>
        </is>
      </c>
      <c r="F18" s="31" t="n">
        <v>3644.52</v>
      </c>
      <c r="G18" s="31" t="n">
        <v>291.79</v>
      </c>
      <c r="H18" s="31" t="n">
        <v>5.91</v>
      </c>
      <c r="I18" s="31" t="n">
        <v>1161053</v>
      </c>
      <c r="J18" s="31" t="inlineStr">
        <is>
          <t>526797</t>
        </is>
      </c>
    </row>
    <row r="19">
      <c r="A19" s="31" t="inlineStr">
        <is>
          <t>TVSSCS</t>
        </is>
      </c>
      <c r="B19" s="31" t="inlineStr">
        <is>
          <t>TVS Supply Chain Solutions Ltd</t>
        </is>
      </c>
      <c r="C19" s="31" t="inlineStr">
        <is>
          <t>transportation</t>
        </is>
      </c>
      <c r="D19" s="31" t="inlineStr">
        <is>
          <t>miscellaneous</t>
        </is>
      </c>
      <c r="E19" s="31" t="inlineStr">
        <is>
          <t>midcap</t>
        </is>
      </c>
      <c r="F19" s="31" t="n">
        <v>5720.78</v>
      </c>
      <c r="G19" s="31" t="n">
        <v>129.67</v>
      </c>
      <c r="H19" s="31" t="n">
        <v>5.72</v>
      </c>
      <c r="I19" s="31" t="n">
        <v>3370879</v>
      </c>
      <c r="J19" s="31" t="inlineStr">
        <is>
          <t>543965</t>
        </is>
      </c>
    </row>
    <row r="20">
      <c r="A20" s="31" t="inlineStr">
        <is>
          <t>DIACABS</t>
        </is>
      </c>
      <c r="B20" s="31" t="inlineStr">
        <is>
          <t>Diamond Power Infrastructure Ltd</t>
        </is>
      </c>
      <c r="C20" s="31" t="inlineStr">
        <is>
          <t>industrials</t>
        </is>
      </c>
      <c r="D20" s="31" t="inlineStr">
        <is>
          <t>cables - power</t>
        </is>
      </c>
      <c r="E20" s="31" t="inlineStr">
        <is>
          <t>midcap</t>
        </is>
      </c>
      <c r="F20" s="31" t="n">
        <v>10729.13</v>
      </c>
      <c r="G20" s="31" t="n">
        <v>203.6</v>
      </c>
      <c r="H20" s="31" t="n">
        <v>5.66</v>
      </c>
      <c r="I20" s="31" t="n">
        <v>10037123</v>
      </c>
      <c r="J20" s="31" t="inlineStr">
        <is>
          <t>522163</t>
        </is>
      </c>
    </row>
    <row r="21">
      <c r="A21" s="31" t="inlineStr">
        <is>
          <t>VADILALIND</t>
        </is>
      </c>
      <c r="B21" s="31" t="inlineStr">
        <is>
          <t>Vadilal Industries Limited</t>
        </is>
      </c>
      <c r="C21" s="31" t="inlineStr">
        <is>
          <t>fmcg</t>
        </is>
      </c>
      <c r="D21" s="31" t="inlineStr">
        <is>
          <t>food - processing - indian</t>
        </is>
      </c>
      <c r="E21" s="31" t="inlineStr">
        <is>
          <t>smallcap</t>
        </is>
      </c>
      <c r="F21" s="31" t="n">
        <v>4155.07</v>
      </c>
      <c r="G21" s="31" t="n">
        <v>5780.7</v>
      </c>
      <c r="H21" s="31" t="n">
        <v>5.24</v>
      </c>
      <c r="I21" s="31" t="n">
        <v>121955</v>
      </c>
      <c r="J21" s="31" t="inlineStr">
        <is>
          <t>519156</t>
        </is>
      </c>
    </row>
    <row r="22">
      <c r="A22" s="31" t="inlineStr">
        <is>
          <t>SVLL</t>
        </is>
      </c>
      <c r="B22" s="31" t="inlineStr">
        <is>
          <t>Shree Vasu Logistics Ltd</t>
        </is>
      </c>
      <c r="C22" s="31" t="inlineStr">
        <is>
          <t>transportation</t>
        </is>
      </c>
      <c r="D22" s="31" t="inlineStr">
        <is>
          <t>miscellaneous</t>
        </is>
      </c>
      <c r="E22" s="31" t="inlineStr">
        <is>
          <t>smallcap</t>
        </is>
      </c>
      <c r="F22" s="31" t="n">
        <v>859.61</v>
      </c>
      <c r="G22" s="31" t="n">
        <v>747.9</v>
      </c>
      <c r="H22" s="31" t="n">
        <v>5.2</v>
      </c>
      <c r="I22" s="31" t="n">
        <v>2832</v>
      </c>
      <c r="J22" s="31" t="inlineStr">
        <is>
          <t>535084</t>
        </is>
      </c>
    </row>
    <row r="23">
      <c r="A23" s="31" t="inlineStr">
        <is>
          <t>ACUTAAS</t>
        </is>
      </c>
      <c r="B23" s="31" t="inlineStr">
        <is>
          <t>Acutaas Chemicals Ltd</t>
        </is>
      </c>
      <c r="C23" s="31" t="inlineStr">
        <is>
          <t>healthcare</t>
        </is>
      </c>
      <c r="D23" s="31" t="inlineStr">
        <is>
          <t>pharmaceuticals - indian - bulk drugs</t>
        </is>
      </c>
      <c r="E23" s="31" t="inlineStr">
        <is>
          <t>largecap</t>
        </is>
      </c>
      <c r="F23" s="31" t="n">
        <v>27249.17</v>
      </c>
      <c r="G23" s="31" t="n">
        <v>3328.3</v>
      </c>
      <c r="H23" s="31" t="n">
        <v>5.17</v>
      </c>
      <c r="I23" s="31" t="n">
        <v>1067585</v>
      </c>
      <c r="J23" s="31" t="inlineStr">
        <is>
          <t>543349</t>
        </is>
      </c>
    </row>
    <row r="24">
      <c r="A24" s="31" t="inlineStr">
        <is>
          <t>DEEDEV</t>
        </is>
      </c>
      <c r="B24" s="31" t="inlineStr">
        <is>
          <t>DEE Development Engineers Ltd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smallcap</t>
        </is>
      </c>
      <c r="F24" s="31" t="n">
        <v>4648.61</v>
      </c>
      <c r="G24" s="31" t="n">
        <v>671.15</v>
      </c>
      <c r="H24" s="31" t="n">
        <v>5</v>
      </c>
      <c r="I24" s="31" t="n">
        <v>185836</v>
      </c>
      <c r="J24" s="31" t="n"/>
    </row>
    <row r="25">
      <c r="A25" s="31" t="inlineStr">
        <is>
          <t>IDEAFORGE</t>
        </is>
      </c>
      <c r="B25" s="31" t="inlineStr">
        <is>
          <t>Ideaforge Technology Ltd</t>
        </is>
      </c>
      <c r="C25" s="31" t="inlineStr">
        <is>
          <t>aerospace &amp; defence</t>
        </is>
      </c>
      <c r="D25" s="31" t="inlineStr">
        <is>
          <t>engineering</t>
        </is>
      </c>
      <c r="E25" s="31" t="inlineStr">
        <is>
          <t>smallcap</t>
        </is>
      </c>
      <c r="F25" s="31" t="n">
        <v>4089.58</v>
      </c>
      <c r="G25" s="31" t="n">
        <v>945</v>
      </c>
      <c r="H25" s="31" t="n">
        <v>5</v>
      </c>
      <c r="I25" s="31" t="n">
        <v>221612</v>
      </c>
      <c r="J25" s="31" t="inlineStr">
        <is>
          <t>543932</t>
        </is>
      </c>
    </row>
    <row r="26">
      <c r="A26" s="31" t="inlineStr">
        <is>
          <t>MODISONLTD</t>
        </is>
      </c>
      <c r="B26" s="31" t="inlineStr">
        <is>
          <t>Modison Ltd</t>
        </is>
      </c>
      <c r="C26" s="31" t="inlineStr">
        <is>
          <t>industrials</t>
        </is>
      </c>
      <c r="D26" s="31" t="inlineStr">
        <is>
          <t>electric equipment</t>
        </is>
      </c>
      <c r="E26" s="31" t="inlineStr">
        <is>
          <t>smallcap</t>
        </is>
      </c>
      <c r="F26" s="31" t="n">
        <v>1176.96</v>
      </c>
      <c r="G26" s="31" t="n">
        <v>362.7</v>
      </c>
      <c r="H26" s="31" t="n">
        <v>4.99</v>
      </c>
      <c r="I26" s="31" t="n">
        <v>224859</v>
      </c>
      <c r="J26" s="31" t="inlineStr">
        <is>
          <t>506261</t>
        </is>
      </c>
    </row>
    <row r="27">
      <c r="A27" s="31" t="inlineStr">
        <is>
          <t>VENUSREM</t>
        </is>
      </c>
      <c r="B27" s="31" t="inlineStr">
        <is>
          <t>Venus Remedies Limited</t>
        </is>
      </c>
      <c r="C27" s="31" t="inlineStr">
        <is>
          <t>healthcare</t>
        </is>
      </c>
      <c r="D27" s="31" t="inlineStr">
        <is>
          <t>pharmaceuticals - indian - formulations</t>
        </is>
      </c>
      <c r="E27" s="31" t="inlineStr">
        <is>
          <t>smallcap</t>
        </is>
      </c>
      <c r="F27" s="31" t="n">
        <v>2183.5</v>
      </c>
      <c r="G27" s="31" t="n">
        <v>1633.5</v>
      </c>
      <c r="H27" s="31" t="n">
        <v>4.99</v>
      </c>
      <c r="I27" s="31" t="n">
        <v>177144</v>
      </c>
      <c r="J27" s="31" t="inlineStr">
        <is>
          <t>526953</t>
        </is>
      </c>
    </row>
    <row r="28">
      <c r="A28" s="31" t="inlineStr">
        <is>
          <t>CENTENKA</t>
        </is>
      </c>
      <c r="B28" s="31" t="inlineStr">
        <is>
          <t>Century Enka Limited</t>
        </is>
      </c>
      <c r="C28" s="31" t="inlineStr">
        <is>
          <t>textiles</t>
        </is>
      </c>
      <c r="D28" s="31" t="inlineStr">
        <is>
          <t>textiles - manmade</t>
        </is>
      </c>
      <c r="E28" s="31" t="inlineStr">
        <is>
          <t>smallcap</t>
        </is>
      </c>
      <c r="F28" s="31" t="n">
        <v>1133.83</v>
      </c>
      <c r="G28" s="31" t="n">
        <v>518.9</v>
      </c>
      <c r="H28" s="31" t="n">
        <v>4.9</v>
      </c>
      <c r="I28" s="31" t="n">
        <v>131157</v>
      </c>
      <c r="J28" s="31" t="inlineStr">
        <is>
          <t>500280</t>
        </is>
      </c>
    </row>
    <row r="29">
      <c r="A29" s="31" t="inlineStr">
        <is>
          <t>INOXINDIA</t>
        </is>
      </c>
      <c r="B29" s="31" t="inlineStr">
        <is>
          <t>Inox India Ltd</t>
        </is>
      </c>
      <c r="C29" s="31" t="inlineStr">
        <is>
          <t>industrials</t>
        </is>
      </c>
      <c r="D29" s="31" t="inlineStr">
        <is>
          <t>packaging</t>
        </is>
      </c>
      <c r="E29" s="31" t="inlineStr">
        <is>
          <t>midcap</t>
        </is>
      </c>
      <c r="F29" s="31" t="n">
        <v>14329.74</v>
      </c>
      <c r="G29" s="31" t="n">
        <v>1578.8</v>
      </c>
      <c r="H29" s="31" t="n">
        <v>4.9</v>
      </c>
      <c r="I29" s="31" t="n">
        <v>454358</v>
      </c>
      <c r="J29" s="31" t="inlineStr">
        <is>
          <t>544046</t>
        </is>
      </c>
    </row>
    <row r="30">
      <c r="A30" s="31" t="inlineStr">
        <is>
          <t>HMVL</t>
        </is>
      </c>
      <c r="B30" s="31" t="inlineStr">
        <is>
          <t>Hindustan Media Ventures Limited</t>
        </is>
      </c>
      <c r="C30" s="31" t="inlineStr">
        <is>
          <t>media</t>
        </is>
      </c>
      <c r="D30" s="31" t="inlineStr">
        <is>
          <t>entertainment / electronic media software</t>
        </is>
      </c>
      <c r="E30" s="31" t="inlineStr">
        <is>
          <t>smallcap</t>
        </is>
      </c>
      <c r="F30" s="31" t="n">
        <v>594.01</v>
      </c>
      <c r="G30" s="31" t="n">
        <v>80.63</v>
      </c>
      <c r="H30" s="31" t="n">
        <v>4.8</v>
      </c>
      <c r="I30" s="31" t="n">
        <v>87093</v>
      </c>
      <c r="J30" s="31" t="inlineStr">
        <is>
          <t>533217</t>
        </is>
      </c>
    </row>
    <row r="31">
      <c r="A31" s="31" t="inlineStr">
        <is>
          <t>ATHERENERG</t>
        </is>
      </c>
      <c r="B31" s="31" t="inlineStr">
        <is>
          <t>Ather Energy Ltd</t>
        </is>
      </c>
      <c r="C31" s="31" t="inlineStr">
        <is>
          <t>auto</t>
        </is>
      </c>
      <c r="D31" s="31" t="inlineStr">
        <is>
          <t>automobiles - scooters and 3 - wheelers</t>
        </is>
      </c>
      <c r="E31" s="31" t="inlineStr">
        <is>
          <t>largecap</t>
        </is>
      </c>
      <c r="F31" s="31" t="n">
        <v>39553.1</v>
      </c>
      <c r="G31" s="31" t="n">
        <v>1033.6</v>
      </c>
      <c r="H31" s="31" t="n">
        <v>4.6</v>
      </c>
      <c r="I31" s="31" t="n">
        <v>4325836</v>
      </c>
      <c r="J31" s="31" t="inlineStr">
        <is>
          <t>544397</t>
        </is>
      </c>
    </row>
    <row r="32">
      <c r="A32" s="31" t="inlineStr">
        <is>
          <t>PAISALO</t>
        </is>
      </c>
      <c r="B32" s="31" t="inlineStr">
        <is>
          <t>Paisalo Digital Ltd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midcap</t>
        </is>
      </c>
      <c r="F32" s="31" t="n">
        <v>5263.4</v>
      </c>
      <c r="G32" s="31" t="n">
        <v>57.87</v>
      </c>
      <c r="H32" s="31" t="n">
        <v>4.52</v>
      </c>
      <c r="I32" s="31" t="n">
        <v>17932750</v>
      </c>
      <c r="J32" s="31" t="inlineStr">
        <is>
          <t>532900</t>
        </is>
      </c>
    </row>
    <row r="33">
      <c r="A33" s="31" t="inlineStr">
        <is>
          <t>GUFICBIO</t>
        </is>
      </c>
      <c r="B33" s="31" t="inlineStr">
        <is>
          <t>Gufic Biosciences Limited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smallcap</t>
        </is>
      </c>
      <c r="F33" s="31" t="n">
        <v>3709.95</v>
      </c>
      <c r="G33" s="31" t="n">
        <v>369.95</v>
      </c>
      <c r="H33" s="31" t="n">
        <v>4.4</v>
      </c>
      <c r="I33" s="31" t="n">
        <v>243828</v>
      </c>
      <c r="J33" s="31" t="inlineStr">
        <is>
          <t>509079</t>
        </is>
      </c>
    </row>
    <row r="34">
      <c r="A34" s="31" t="inlineStr">
        <is>
          <t>HINDOILEXP</t>
        </is>
      </c>
      <c r="B34" s="31" t="inlineStr">
        <is>
          <t>Hindustan Oil Exploration Company Limited</t>
        </is>
      </c>
      <c r="C34" s="31" t="inlineStr">
        <is>
          <t>energy</t>
        </is>
      </c>
      <c r="D34" s="31" t="inlineStr">
        <is>
          <t>oil drilling / allied services</t>
        </is>
      </c>
      <c r="E34" s="31" t="inlineStr">
        <is>
          <t>smallcap</t>
        </is>
      </c>
      <c r="F34" s="31" t="n">
        <v>2309.76</v>
      </c>
      <c r="G34" s="31" t="n">
        <v>174.66</v>
      </c>
      <c r="H34" s="31" t="n">
        <v>4.31</v>
      </c>
      <c r="I34" s="31" t="n">
        <v>1131670</v>
      </c>
      <c r="J34" s="31" t="inlineStr">
        <is>
          <t>500186</t>
        </is>
      </c>
    </row>
    <row r="35">
      <c r="A35" s="31" t="inlineStr">
        <is>
          <t>RICOAUTO</t>
        </is>
      </c>
      <c r="B35" s="31" t="inlineStr">
        <is>
          <t>Rico Auto Industries Limited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smallcap</t>
        </is>
      </c>
      <c r="F35" s="31" t="n">
        <v>1851.38</v>
      </c>
      <c r="G35" s="31" t="n">
        <v>136.85</v>
      </c>
      <c r="H35" s="31" t="n">
        <v>4.17</v>
      </c>
      <c r="I35" s="31" t="n">
        <v>20107949</v>
      </c>
      <c r="J35" s="31" t="inlineStr">
        <is>
          <t>520008</t>
        </is>
      </c>
    </row>
    <row r="36">
      <c r="A36" s="31" t="inlineStr">
        <is>
          <t>ADANIENSOL</t>
        </is>
      </c>
      <c r="B36" s="31" t="inlineStr">
        <is>
          <t>Adani Energy Solutions Ltd</t>
        </is>
      </c>
      <c r="C36" s="31" t="inlineStr">
        <is>
          <t>power &amp; utilities</t>
        </is>
      </c>
      <c r="D36" s="31" t="inlineStr">
        <is>
          <t>power generation and supply</t>
        </is>
      </c>
      <c r="E36" s="31" t="inlineStr">
        <is>
          <t>largecap</t>
        </is>
      </c>
      <c r="F36" s="31" t="n">
        <v>189682.53</v>
      </c>
      <c r="G36" s="31" t="n">
        <v>1579</v>
      </c>
      <c r="H36" s="31" t="n">
        <v>3.88</v>
      </c>
      <c r="I36" s="31" t="n">
        <v>5528998</v>
      </c>
      <c r="J36" s="31" t="inlineStr">
        <is>
          <t>539254</t>
        </is>
      </c>
    </row>
    <row r="37">
      <c r="A37" s="31" t="inlineStr">
        <is>
          <t>PANACEABIO</t>
        </is>
      </c>
      <c r="B37" s="31" t="inlineStr">
        <is>
          <t>Panacea Biotec Limited</t>
        </is>
      </c>
      <c r="C37" s="31" t="inlineStr">
        <is>
          <t>healthcare</t>
        </is>
      </c>
      <c r="D37" s="31" t="inlineStr">
        <is>
          <t>pharmaceuticals - indian - bulk drugs &amp; formln</t>
        </is>
      </c>
      <c r="E37" s="31" t="inlineStr">
        <is>
          <t>smallcap</t>
        </is>
      </c>
      <c r="F37" s="31" t="n">
        <v>3308.77</v>
      </c>
      <c r="G37" s="31" t="n">
        <v>540.2</v>
      </c>
      <c r="H37" s="31" t="n">
        <v>3.82</v>
      </c>
      <c r="I37" s="31" t="n">
        <v>8876574</v>
      </c>
      <c r="J37" s="31" t="inlineStr">
        <is>
          <t>531349</t>
        </is>
      </c>
    </row>
    <row r="38">
      <c r="A38" s="31" t="inlineStr">
        <is>
          <t>NRBBEARING</t>
        </is>
      </c>
      <c r="B38" s="31" t="inlineStr">
        <is>
          <t>Nrb Bearing Limited</t>
        </is>
      </c>
      <c r="C38" s="31" t="inlineStr">
        <is>
          <t>industrials</t>
        </is>
      </c>
      <c r="D38" s="31" t="inlineStr">
        <is>
          <t>bearings</t>
        </is>
      </c>
      <c r="E38" s="31" t="inlineStr">
        <is>
          <t>smallcap</t>
        </is>
      </c>
      <c r="F38" s="31" t="n">
        <v>3737.82</v>
      </c>
      <c r="G38" s="31" t="n">
        <v>385.65</v>
      </c>
      <c r="H38" s="31" t="n">
        <v>3.78</v>
      </c>
      <c r="I38" s="31" t="n">
        <v>792877</v>
      </c>
      <c r="J38" s="31" t="inlineStr">
        <is>
          <t>530367</t>
        </is>
      </c>
    </row>
    <row r="39">
      <c r="A39" s="31" t="inlineStr">
        <is>
          <t>ASIANENE</t>
        </is>
      </c>
      <c r="B39" s="31" t="inlineStr">
        <is>
          <t>Asian Energy Services Ltd</t>
        </is>
      </c>
      <c r="C39" s="31" t="inlineStr">
        <is>
          <t>energy</t>
        </is>
      </c>
      <c r="D39" s="31" t="inlineStr">
        <is>
          <t>oil drilling / allied services</t>
        </is>
      </c>
      <c r="E39" s="31" t="inlineStr">
        <is>
          <t>smallcap</t>
        </is>
      </c>
      <c r="F39" s="31" t="n">
        <v>1857.43</v>
      </c>
      <c r="G39" s="31" t="n">
        <v>382.1</v>
      </c>
      <c r="H39" s="31" t="n">
        <v>3.49</v>
      </c>
      <c r="I39" s="31" t="n">
        <v>579691</v>
      </c>
      <c r="J39" s="31" t="inlineStr">
        <is>
          <t>530355</t>
        </is>
      </c>
    </row>
    <row r="40">
      <c r="A40" s="31" t="inlineStr">
        <is>
          <t>SILVERTUC</t>
        </is>
      </c>
      <c r="B40" s="31" t="inlineStr">
        <is>
          <t>Silver Touch Technologies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smallcap</t>
        </is>
      </c>
      <c r="F40" s="31" t="n">
        <v>2267.74</v>
      </c>
      <c r="G40" s="31" t="n">
        <v>178.83</v>
      </c>
      <c r="H40" s="31" t="n">
        <v>3.32</v>
      </c>
      <c r="I40" s="31" t="n">
        <v>697573</v>
      </c>
      <c r="J40" s="31" t="inlineStr">
        <is>
          <t>535031</t>
        </is>
      </c>
    </row>
    <row r="41">
      <c r="A41" s="31" t="inlineStr">
        <is>
          <t>SFL</t>
        </is>
      </c>
      <c r="B41" s="31" t="inlineStr">
        <is>
          <t>Sheela Foam Limited</t>
        </is>
      </c>
      <c r="C41" s="31" t="inlineStr">
        <is>
          <t>consumer discretionary</t>
        </is>
      </c>
      <c r="D41" s="31" t="inlineStr">
        <is>
          <t>miscellaneous</t>
        </is>
      </c>
      <c r="E41" s="31" t="inlineStr">
        <is>
          <t>midcap</t>
        </is>
      </c>
      <c r="F41" s="31" t="n">
        <v>6987.39</v>
      </c>
      <c r="G41" s="31" t="n">
        <v>642.75</v>
      </c>
      <c r="H41" s="31" t="n">
        <v>3.15</v>
      </c>
      <c r="I41" s="31" t="n">
        <v>500842</v>
      </c>
      <c r="J41" s="31" t="inlineStr">
        <is>
          <t>540203</t>
        </is>
      </c>
    </row>
    <row r="42">
      <c r="A42" s="31" t="inlineStr">
        <is>
          <t>KIMS</t>
        </is>
      </c>
      <c r="B42" s="31" t="inlineStr">
        <is>
          <t>Krishna Institute of Medical Sciences Ltd</t>
        </is>
      </c>
      <c r="C42" s="31" t="inlineStr">
        <is>
          <t>healthcare</t>
        </is>
      </c>
      <c r="D42" s="31" t="inlineStr">
        <is>
          <t>healthcare</t>
        </is>
      </c>
      <c r="E42" s="31" t="inlineStr">
        <is>
          <t>largecap</t>
        </is>
      </c>
      <c r="F42" s="31" t="n">
        <v>31568.96</v>
      </c>
      <c r="G42" s="31" t="n">
        <v>788.95</v>
      </c>
      <c r="H42" s="31" t="n">
        <v>3.14</v>
      </c>
      <c r="I42" s="31" t="n">
        <v>2175866</v>
      </c>
      <c r="J42" s="31" t="inlineStr">
        <is>
          <t>543307</t>
        </is>
      </c>
    </row>
    <row r="43">
      <c r="A43" s="31" t="inlineStr">
        <is>
          <t>ACMESOLAR</t>
        </is>
      </c>
      <c r="B43" s="31" t="inlineStr">
        <is>
          <t>ACME Solar Holdings Ltd</t>
        </is>
      </c>
      <c r="C43" s="31" t="inlineStr">
        <is>
          <t>realty</t>
        </is>
      </c>
      <c r="D43" s="31" t="inlineStr">
        <is>
          <t>engineering - turnkey services</t>
        </is>
      </c>
      <c r="E43" s="31" t="inlineStr">
        <is>
          <t>largecap</t>
        </is>
      </c>
      <c r="F43" s="31" t="n">
        <v>21611.98</v>
      </c>
      <c r="G43" s="31" t="n">
        <v>356.65</v>
      </c>
      <c r="H43" s="31" t="n">
        <v>3.12</v>
      </c>
      <c r="I43" s="31" t="n">
        <v>6661042</v>
      </c>
      <c r="J43" s="31" t="inlineStr">
        <is>
          <t>544283</t>
        </is>
      </c>
    </row>
    <row r="44">
      <c r="A44" s="31" t="inlineStr">
        <is>
          <t>TATATECH</t>
        </is>
      </c>
      <c r="B44" s="31" t="inlineStr">
        <is>
          <t>Tata Technologies Ltd</t>
        </is>
      </c>
      <c r="C44" s="31" t="inlineStr">
        <is>
          <t>i.t</t>
        </is>
      </c>
      <c r="D44" s="31" t="inlineStr">
        <is>
          <t>computers - software - medium / small</t>
        </is>
      </c>
      <c r="E44" s="31" t="inlineStr">
        <is>
          <t>largecap</t>
        </is>
      </c>
      <c r="F44" s="31" t="n">
        <v>31309.13</v>
      </c>
      <c r="G44" s="31" t="n">
        <v>771.2</v>
      </c>
      <c r="H44" s="31" t="n">
        <v>3.05</v>
      </c>
      <c r="I44" s="31" t="n">
        <v>3001493</v>
      </c>
      <c r="J44" s="31" t="inlineStr">
        <is>
          <t>544028</t>
        </is>
      </c>
    </row>
    <row r="45">
      <c r="A45" s="31" t="inlineStr">
        <is>
          <t>ASTRAMICRO</t>
        </is>
      </c>
      <c r="B45" s="31" t="inlineStr">
        <is>
          <t>Astra Microwave Products Limited</t>
        </is>
      </c>
      <c r="C45" s="31" t="inlineStr">
        <is>
          <t>aerospace &amp; defence</t>
        </is>
      </c>
      <c r="D45" s="31" t="inlineStr">
        <is>
          <t>telecommunications - equipment</t>
        </is>
      </c>
      <c r="E45" s="31" t="inlineStr">
        <is>
          <t>midcap</t>
        </is>
      </c>
      <c r="F45" s="31" t="n">
        <v>13477.44</v>
      </c>
      <c r="G45" s="31" t="n">
        <v>1419.5</v>
      </c>
      <c r="H45" s="31" t="n">
        <v>3.03</v>
      </c>
      <c r="I45" s="31" t="n">
        <v>2195447</v>
      </c>
      <c r="J45" s="31" t="inlineStr">
        <is>
          <t>532493</t>
        </is>
      </c>
    </row>
    <row r="46">
      <c r="A46" s="31" t="inlineStr">
        <is>
          <t>CUPID</t>
        </is>
      </c>
      <c r="B46" s="31" t="inlineStr">
        <is>
          <t>Cupid Limited</t>
        </is>
      </c>
      <c r="C46" s="31" t="inlineStr">
        <is>
          <t>fmcg</t>
        </is>
      </c>
      <c r="D46" s="31" t="inlineStr">
        <is>
          <t>personal care - indian</t>
        </is>
      </c>
      <c r="E46" s="31" t="inlineStr">
        <is>
          <t>midcap</t>
        </is>
      </c>
      <c r="F46" s="31" t="n">
        <v>18435.3</v>
      </c>
      <c r="G46" s="31" t="n">
        <v>137.1</v>
      </c>
      <c r="H46" s="31" t="n">
        <v>3.01</v>
      </c>
      <c r="I46" s="31" t="n">
        <v>15150953</v>
      </c>
      <c r="J46" s="31" t="inlineStr">
        <is>
          <t>530843</t>
        </is>
      </c>
    </row>
    <row r="47">
      <c r="A47" s="31" t="inlineStr">
        <is>
          <t>FORTIS</t>
        </is>
      </c>
      <c r="B47" s="31" t="inlineStr">
        <is>
          <t>Fortis Healthcare Limited</t>
        </is>
      </c>
      <c r="C47" s="31" t="inlineStr">
        <is>
          <t>healthcare</t>
        </is>
      </c>
      <c r="D47" s="31" t="inlineStr">
        <is>
          <t>healthcare</t>
        </is>
      </c>
      <c r="E47" s="31" t="inlineStr">
        <is>
          <t>largecap</t>
        </is>
      </c>
      <c r="F47" s="31" t="n">
        <v>73129.02</v>
      </c>
      <c r="G47" s="31" t="n">
        <v>968.65</v>
      </c>
      <c r="H47" s="31" t="n">
        <v>2.98</v>
      </c>
      <c r="I47" s="31" t="n">
        <v>1545060</v>
      </c>
      <c r="J47" s="31" t="inlineStr">
        <is>
          <t>532843</t>
        </is>
      </c>
    </row>
    <row r="48">
      <c r="A48" s="31" t="inlineStr">
        <is>
          <t>HARSHA</t>
        </is>
      </c>
      <c r="B48" s="31" t="inlineStr">
        <is>
          <t>Harsha Engineers International Ltd</t>
        </is>
      </c>
      <c r="C48" s="31" t="inlineStr">
        <is>
          <t>industrials</t>
        </is>
      </c>
      <c r="D48" s="31" t="inlineStr">
        <is>
          <t>engineering</t>
        </is>
      </c>
      <c r="E48" s="31" t="inlineStr">
        <is>
          <t>smallcap</t>
        </is>
      </c>
      <c r="F48" s="31" t="n">
        <v>3685.92</v>
      </c>
      <c r="G48" s="31" t="n">
        <v>404.85</v>
      </c>
      <c r="H48" s="31" t="n">
        <v>2.85</v>
      </c>
      <c r="I48" s="31" t="n">
        <v>510135</v>
      </c>
      <c r="J48" s="31" t="inlineStr">
        <is>
          <t>543600</t>
        </is>
      </c>
    </row>
    <row r="49">
      <c r="A49" s="31" t="inlineStr">
        <is>
          <t>NOVARTIND</t>
        </is>
      </c>
      <c r="B49" s="31" t="inlineStr">
        <is>
          <t>Novartis India Ltd</t>
        </is>
      </c>
      <c r="C49" s="31" t="inlineStr">
        <is>
          <t>healthcare</t>
        </is>
      </c>
      <c r="D49" s="31" t="inlineStr">
        <is>
          <t>pharmaceuticals - multinational</t>
        </is>
      </c>
      <c r="E49" s="31" t="inlineStr">
        <is>
          <t>smallcap</t>
        </is>
      </c>
      <c r="F49" s="31" t="n">
        <v>3434.74</v>
      </c>
      <c r="G49" s="31" t="n">
        <v>1391.1</v>
      </c>
      <c r="H49" s="31" t="n">
        <v>2.82</v>
      </c>
      <c r="I49" s="31" t="n">
        <v>23113</v>
      </c>
      <c r="J49" s="31" t="inlineStr">
        <is>
          <t>500672</t>
        </is>
      </c>
    </row>
    <row r="50">
      <c r="A50" s="31" t="inlineStr">
        <is>
          <t>TIPSMUSIC</t>
        </is>
      </c>
      <c r="B50" s="31" t="inlineStr">
        <is>
          <t>Tips Music Ltd</t>
        </is>
      </c>
      <c r="C50" s="31" t="inlineStr">
        <is>
          <t>media</t>
        </is>
      </c>
      <c r="D50" s="31" t="inlineStr">
        <is>
          <t>entertainment / electronic media software</t>
        </is>
      </c>
      <c r="E50" s="31" t="inlineStr">
        <is>
          <t>midcap</t>
        </is>
      </c>
      <c r="F50" s="31" t="n">
        <v>8832.52</v>
      </c>
      <c r="G50" s="31" t="n">
        <v>690.95</v>
      </c>
      <c r="H50" s="31" t="n">
        <v>2.8</v>
      </c>
      <c r="I50" s="31" t="n">
        <v>1683476</v>
      </c>
      <c r="J50" s="31" t="inlineStr">
        <is>
          <t>532375</t>
        </is>
      </c>
    </row>
    <row r="51">
      <c r="A51" s="31" t="inlineStr">
        <is>
          <t>SANSTAR</t>
        </is>
      </c>
      <c r="B51" s="31" t="inlineStr">
        <is>
          <t>Sanstar Ltd</t>
        </is>
      </c>
      <c r="C51" s="31" t="inlineStr">
        <is>
          <t>fmcg</t>
        </is>
      </c>
      <c r="D51" s="31" t="inlineStr">
        <is>
          <t>miscellaneous</t>
        </is>
      </c>
      <c r="E51" s="31" t="inlineStr">
        <is>
          <t>smallcap</t>
        </is>
      </c>
      <c r="F51" s="31" t="n">
        <v>2149.75</v>
      </c>
      <c r="G51" s="31" t="n">
        <v>117.96</v>
      </c>
      <c r="H51" s="31" t="n">
        <v>2.79</v>
      </c>
      <c r="I51" s="31" t="n">
        <v>1062832</v>
      </c>
      <c r="J51" s="31" t="inlineStr">
        <is>
          <t>544217</t>
        </is>
      </c>
    </row>
    <row r="52">
      <c r="A52" s="31" t="inlineStr">
        <is>
          <t>SKMEGGPROD</t>
        </is>
      </c>
      <c r="B52" s="31" t="inlineStr">
        <is>
          <t>Skm Egg Products Export (india) Limited</t>
        </is>
      </c>
      <c r="C52" s="31" t="inlineStr">
        <is>
          <t>fmcg</t>
        </is>
      </c>
      <c r="D52" s="31" t="inlineStr">
        <is>
          <t>food - processing - indian</t>
        </is>
      </c>
      <c r="E52" s="31" t="inlineStr">
        <is>
          <t>smallcap</t>
        </is>
      </c>
      <c r="F52" s="31" t="n">
        <v>1294.59</v>
      </c>
      <c r="G52" s="31" t="n">
        <v>245.84</v>
      </c>
      <c r="H52" s="31" t="n">
        <v>2.73</v>
      </c>
      <c r="I52" s="31" t="n">
        <v>1042696</v>
      </c>
      <c r="J52" s="31" t="inlineStr">
        <is>
          <t>532143</t>
        </is>
      </c>
    </row>
    <row r="53">
      <c r="A53" s="31" t="inlineStr">
        <is>
          <t>KOPRAN</t>
        </is>
      </c>
      <c r="B53" s="31" t="inlineStr">
        <is>
          <t>Kopran Limited</t>
        </is>
      </c>
      <c r="C53" s="31" t="inlineStr">
        <is>
          <t>healthcare</t>
        </is>
      </c>
      <c r="D53" s="31" t="inlineStr">
        <is>
          <t>pharmaceuticals - indian - bulk drugs &amp; formln</t>
        </is>
      </c>
      <c r="E53" s="31" t="inlineStr">
        <is>
          <t>smallcap</t>
        </is>
      </c>
      <c r="F53" s="31" t="n">
        <v>912.98</v>
      </c>
      <c r="G53" s="31" t="n">
        <v>189.08</v>
      </c>
      <c r="H53" s="31" t="n">
        <v>2.72</v>
      </c>
      <c r="I53" s="31" t="n">
        <v>174976</v>
      </c>
      <c r="J53" s="31" t="inlineStr">
        <is>
          <t>524280</t>
        </is>
      </c>
    </row>
    <row r="54">
      <c r="A54" s="31" t="inlineStr">
        <is>
          <t>AVL</t>
        </is>
      </c>
      <c r="B54" s="31" t="inlineStr">
        <is>
          <t>Aditya Vision Ltd</t>
        </is>
      </c>
      <c r="C54" s="31" t="inlineStr">
        <is>
          <t>consumer discretionary</t>
        </is>
      </c>
      <c r="D54" s="31" t="inlineStr">
        <is>
          <t>trading</t>
        </is>
      </c>
      <c r="E54" s="31" t="inlineStr">
        <is>
          <t>midcap</t>
        </is>
      </c>
      <c r="F54" s="31" t="n">
        <v>7118.09</v>
      </c>
      <c r="G54" s="31" t="n">
        <v>551.2</v>
      </c>
      <c r="H54" s="31" t="n">
        <v>2.69</v>
      </c>
      <c r="I54" s="31" t="n">
        <v>196519</v>
      </c>
      <c r="J54" s="31" t="inlineStr">
        <is>
          <t>540205</t>
        </is>
      </c>
    </row>
    <row r="55">
      <c r="A55" s="31" t="inlineStr">
        <is>
          <t>WABAG</t>
        </is>
      </c>
      <c r="B55" s="31" t="inlineStr">
        <is>
          <t>Va Tech Wabag Limited</t>
        </is>
      </c>
      <c r="C55" s="31" t="inlineStr">
        <is>
          <t>realty</t>
        </is>
      </c>
      <c r="D55" s="31" t="inlineStr">
        <is>
          <t>engineering - turnkey services</t>
        </is>
      </c>
      <c r="E55" s="31" t="inlineStr">
        <is>
          <t>midcap</t>
        </is>
      </c>
      <c r="F55" s="31" t="n">
        <v>9972.030000000001</v>
      </c>
      <c r="G55" s="31" t="n">
        <v>1600.4</v>
      </c>
      <c r="H55" s="31" t="n">
        <v>2.55</v>
      </c>
      <c r="I55" s="31" t="n">
        <v>438879</v>
      </c>
      <c r="J55" s="31" t="inlineStr">
        <is>
          <t>533269</t>
        </is>
      </c>
    </row>
    <row r="56">
      <c r="A56" s="31" t="inlineStr">
        <is>
          <t>GEOJITFSL</t>
        </is>
      </c>
      <c r="B56" s="31" t="inlineStr">
        <is>
          <t>Geojit Financial Services Ltd</t>
        </is>
      </c>
      <c r="C56" s="31" t="inlineStr">
        <is>
          <t>financials</t>
        </is>
      </c>
      <c r="D56" s="31" t="inlineStr">
        <is>
          <t>finance &amp; investments</t>
        </is>
      </c>
      <c r="E56" s="31" t="inlineStr">
        <is>
          <t>smallcap</t>
        </is>
      </c>
      <c r="F56" s="31" t="n">
        <v>2144.22</v>
      </c>
      <c r="G56" s="31" t="n">
        <v>76.81999999999999</v>
      </c>
      <c r="H56" s="31" t="n">
        <v>2.54</v>
      </c>
      <c r="I56" s="31" t="n">
        <v>850052</v>
      </c>
      <c r="J56" s="31" t="inlineStr">
        <is>
          <t>532285</t>
        </is>
      </c>
    </row>
    <row r="57">
      <c r="A57" s="31" t="inlineStr">
        <is>
          <t>ADANIENT</t>
        </is>
      </c>
      <c r="B57" s="31" t="inlineStr">
        <is>
          <t>Adani Enterprises Limited</t>
        </is>
      </c>
      <c r="C57" s="31" t="inlineStr">
        <is>
          <t>services</t>
        </is>
      </c>
      <c r="D57" s="31" t="inlineStr">
        <is>
          <t>trading</t>
        </is>
      </c>
      <c r="E57" s="31" t="inlineStr">
        <is>
          <t>largecap</t>
        </is>
      </c>
      <c r="F57" s="31" t="n">
        <v>394035.45</v>
      </c>
      <c r="G57" s="31" t="n">
        <v>3048.2</v>
      </c>
      <c r="H57" s="31" t="n">
        <v>2.54</v>
      </c>
      <c r="I57" s="31" t="n">
        <v>5617327</v>
      </c>
      <c r="J57" s="31" t="inlineStr">
        <is>
          <t>512599</t>
        </is>
      </c>
    </row>
    <row r="58">
      <c r="A58" s="31" t="inlineStr">
        <is>
          <t>GHCLTEXTIL</t>
        </is>
      </c>
      <c r="B58" s="31" t="inlineStr">
        <is>
          <t>GHCL Textiles Ltd</t>
        </is>
      </c>
      <c r="C58" s="31" t="inlineStr">
        <is>
          <t>textiles</t>
        </is>
      </c>
      <c r="D58" s="31" t="inlineStr">
        <is>
          <t>textiles - spinning - synthetic / blended</t>
        </is>
      </c>
      <c r="E58" s="31" t="inlineStr">
        <is>
          <t>smallcap</t>
        </is>
      </c>
      <c r="F58" s="31" t="n">
        <v>944.1</v>
      </c>
      <c r="G58" s="31" t="n">
        <v>98.77</v>
      </c>
      <c r="H58" s="31" t="n">
        <v>2.46</v>
      </c>
      <c r="I58" s="31" t="n">
        <v>707347</v>
      </c>
      <c r="J58" s="31" t="inlineStr">
        <is>
          <t>543918</t>
        </is>
      </c>
    </row>
    <row r="59">
      <c r="A59" s="31" t="inlineStr">
        <is>
          <t>VIYASH</t>
        </is>
      </c>
      <c r="B59" s="31" t="inlineStr">
        <is>
          <t>Viyash Scientific Ltd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midcap</t>
        </is>
      </c>
      <c r="F59" s="31" t="n">
        <v>11150.62</v>
      </c>
      <c r="G59" s="31" t="n">
        <v>255.25</v>
      </c>
      <c r="H59" s="31" t="n">
        <v>2.45</v>
      </c>
      <c r="I59" s="31" t="n">
        <v>2949212</v>
      </c>
      <c r="J59" s="31" t="inlineStr">
        <is>
          <t>512529</t>
        </is>
      </c>
    </row>
    <row r="60">
      <c r="A60" s="31" t="inlineStr">
        <is>
          <t>ATGL</t>
        </is>
      </c>
      <c r="B60" s="31" t="inlineStr">
        <is>
          <t>Adani Total Gas Ltd</t>
        </is>
      </c>
      <c r="C60" s="31" t="inlineStr">
        <is>
          <t>energy</t>
        </is>
      </c>
      <c r="D60" s="31" t="inlineStr">
        <is>
          <t>miscellaneous</t>
        </is>
      </c>
      <c r="E60" s="31" t="inlineStr">
        <is>
          <t>largecap</t>
        </is>
      </c>
      <c r="F60" s="31" t="n">
        <v>83833.02</v>
      </c>
      <c r="G60" s="31" t="n">
        <v>762.25</v>
      </c>
      <c r="H60" s="31" t="n">
        <v>2.45</v>
      </c>
      <c r="I60" s="31" t="n">
        <v>10074052</v>
      </c>
      <c r="J60" s="31" t="inlineStr">
        <is>
          <t>542066</t>
        </is>
      </c>
    </row>
    <row r="61">
      <c r="A61" s="31" t="inlineStr">
        <is>
          <t>INDOBORAX</t>
        </is>
      </c>
      <c r="B61" s="31" t="inlineStr">
        <is>
          <t>Indo Borax &amp; Chemicals Ltd</t>
        </is>
      </c>
      <c r="C61" s="31" t="inlineStr">
        <is>
          <t>chemicals</t>
        </is>
      </c>
      <c r="D61" s="31" t="inlineStr">
        <is>
          <t>chemicals</t>
        </is>
      </c>
      <c r="E61" s="31" t="inlineStr">
        <is>
          <t>smallcap</t>
        </is>
      </c>
      <c r="F61" s="31" t="n">
        <v>1178.99</v>
      </c>
      <c r="G61" s="31" t="n">
        <v>367.4</v>
      </c>
      <c r="H61" s="31" t="n">
        <v>2.43</v>
      </c>
      <c r="I61" s="31" t="n">
        <v>113924</v>
      </c>
      <c r="J61" s="31" t="inlineStr">
        <is>
          <t>524342</t>
        </is>
      </c>
    </row>
    <row r="62">
      <c r="A62" s="31" t="inlineStr">
        <is>
          <t>GLAND</t>
        </is>
      </c>
      <c r="B62" s="31" t="inlineStr">
        <is>
          <t>Gland Pharma Ltd</t>
        </is>
      </c>
      <c r="C62" s="31" t="inlineStr">
        <is>
          <t>healthcare</t>
        </is>
      </c>
      <c r="D62" s="31" t="inlineStr">
        <is>
          <t>pharmaceuticals - indian - formulations</t>
        </is>
      </c>
      <c r="E62" s="31" t="inlineStr">
        <is>
          <t>largecap</t>
        </is>
      </c>
      <c r="F62" s="31" t="n">
        <v>37449.13</v>
      </c>
      <c r="G62" s="31" t="n">
        <v>2273</v>
      </c>
      <c r="H62" s="31" t="n">
        <v>2.41</v>
      </c>
      <c r="I62" s="31" t="n">
        <v>494431</v>
      </c>
      <c r="J62" s="31" t="inlineStr">
        <is>
          <t>543245</t>
        </is>
      </c>
    </row>
    <row r="63">
      <c r="A63" s="31" t="inlineStr">
        <is>
          <t>SAILIFE</t>
        </is>
      </c>
      <c r="B63" s="31" t="inlineStr">
        <is>
          <t>Sai Life Sciences Ltd</t>
        </is>
      </c>
      <c r="C63" s="31" t="inlineStr">
        <is>
          <t>healthcare</t>
        </is>
      </c>
      <c r="D63" s="31" t="inlineStr">
        <is>
          <t>pharmaceuticals - indian - bulk drugs &amp; formln</t>
        </is>
      </c>
      <c r="E63" s="31" t="inlineStr">
        <is>
          <t>largecap</t>
        </is>
      </c>
      <c r="F63" s="31" t="n">
        <v>25125.49</v>
      </c>
      <c r="G63" s="31" t="n">
        <v>1186.4</v>
      </c>
      <c r="H63" s="31" t="n">
        <v>2.34</v>
      </c>
      <c r="I63" s="31" t="n">
        <v>749906</v>
      </c>
      <c r="J63" s="31" t="inlineStr">
        <is>
          <t>544306</t>
        </is>
      </c>
    </row>
    <row r="64">
      <c r="A64" s="31" t="inlineStr">
        <is>
          <t>YESBANK</t>
        </is>
      </c>
      <c r="B64" s="31" t="inlineStr">
        <is>
          <t>Yes Bank Limited</t>
        </is>
      </c>
      <c r="C64" s="31" t="inlineStr">
        <is>
          <t>bank</t>
        </is>
      </c>
      <c r="D64" s="31" t="inlineStr">
        <is>
          <t>banks - private sector</t>
        </is>
      </c>
      <c r="E64" s="31" t="inlineStr">
        <is>
          <t>largecap</t>
        </is>
      </c>
      <c r="F64" s="31" t="n">
        <v>73111.77</v>
      </c>
      <c r="G64" s="31" t="n">
        <v>23.3</v>
      </c>
      <c r="H64" s="31" t="n">
        <v>2.33</v>
      </c>
      <c r="I64" s="31" t="n">
        <v>148106091</v>
      </c>
      <c r="J64" s="31" t="inlineStr">
        <is>
          <t>532648</t>
        </is>
      </c>
    </row>
    <row r="65">
      <c r="A65" s="31" t="inlineStr">
        <is>
          <t>SHILPAMED</t>
        </is>
      </c>
      <c r="B65" s="31" t="inlineStr">
        <is>
          <t>Shilpa Medicare Limited</t>
        </is>
      </c>
      <c r="C65" s="31" t="inlineStr">
        <is>
          <t>healthcare</t>
        </is>
      </c>
      <c r="D65" s="31" t="inlineStr">
        <is>
          <t>pharmaceuticals - indian - formulations</t>
        </is>
      </c>
      <c r="E65" s="31" t="inlineStr">
        <is>
          <t>midcap</t>
        </is>
      </c>
      <c r="F65" s="31" t="n">
        <v>10523.28</v>
      </c>
      <c r="G65" s="31" t="n">
        <v>538.05</v>
      </c>
      <c r="H65" s="31" t="n">
        <v>2.33</v>
      </c>
      <c r="I65" s="31" t="n">
        <v>1777281</v>
      </c>
      <c r="J65" s="31" t="inlineStr">
        <is>
          <t>530549</t>
        </is>
      </c>
    </row>
    <row r="66">
      <c r="A66" s="31" t="inlineStr">
        <is>
          <t>EQUITASBNK</t>
        </is>
      </c>
      <c r="B66" s="31" t="inlineStr">
        <is>
          <t>Equitas Small Finance Bank Ltd</t>
        </is>
      </c>
      <c r="C66" s="31" t="inlineStr">
        <is>
          <t>bank</t>
        </is>
      </c>
      <c r="D66" s="31" t="inlineStr">
        <is>
          <t>banks - private sector</t>
        </is>
      </c>
      <c r="E66" s="31" t="inlineStr">
        <is>
          <t>midcap</t>
        </is>
      </c>
      <c r="F66" s="31" t="n">
        <v>8438.01</v>
      </c>
      <c r="G66" s="31" t="n">
        <v>73.95</v>
      </c>
      <c r="H66" s="31" t="n">
        <v>2.28</v>
      </c>
      <c r="I66" s="31" t="n">
        <v>15166973</v>
      </c>
      <c r="J66" s="31" t="inlineStr">
        <is>
          <t>543243</t>
        </is>
      </c>
    </row>
    <row r="67">
      <c r="A67" s="31" t="inlineStr">
        <is>
          <t>NORTHARC</t>
        </is>
      </c>
      <c r="B67" s="31" t="inlineStr">
        <is>
          <t>Northern ARC Capital Ltd</t>
        </is>
      </c>
      <c r="C67" s="31" t="inlineStr">
        <is>
          <t>financials</t>
        </is>
      </c>
      <c r="D67" s="31" t="inlineStr">
        <is>
          <t>finance &amp; investments</t>
        </is>
      </c>
      <c r="E67" s="31" t="inlineStr">
        <is>
          <t>smallcap</t>
        </is>
      </c>
      <c r="F67" s="31" t="n">
        <v>4796.26</v>
      </c>
      <c r="G67" s="31" t="n">
        <v>296.85</v>
      </c>
      <c r="H67" s="31" t="n">
        <v>2.26</v>
      </c>
      <c r="I67" s="31" t="n">
        <v>1273858</v>
      </c>
      <c r="J67" s="31" t="n"/>
    </row>
    <row r="68">
      <c r="A68" s="31" t="inlineStr">
        <is>
          <t>NBCC</t>
        </is>
      </c>
      <c r="B68" s="31" t="inlineStr">
        <is>
          <t>Nbcc (india) Limited</t>
        </is>
      </c>
      <c r="C68" s="31" t="inlineStr">
        <is>
          <t>miscellaneous</t>
        </is>
      </c>
      <c r="D68" s="31" t="inlineStr">
        <is>
          <t>miscellaneous</t>
        </is>
      </c>
      <c r="E68" s="31" t="inlineStr">
        <is>
          <t>largecap</t>
        </is>
      </c>
      <c r="F68" s="31" t="n">
        <v>28717.2</v>
      </c>
      <c r="G68" s="31" t="n">
        <v>106.36</v>
      </c>
      <c r="H68" s="31" t="n">
        <v>2.19</v>
      </c>
      <c r="I68" s="31" t="n">
        <v>28253888</v>
      </c>
      <c r="J68" s="31" t="inlineStr">
        <is>
          <t>534309</t>
        </is>
      </c>
    </row>
    <row r="69">
      <c r="A69" s="31" t="inlineStr">
        <is>
          <t>ASTERDM</t>
        </is>
      </c>
      <c r="B69" s="31" t="inlineStr">
        <is>
          <t>Aster DM Healthcare Ltd</t>
        </is>
      </c>
      <c r="C69" s="31" t="inlineStr">
        <is>
          <t>healthcare</t>
        </is>
      </c>
      <c r="D69" s="31" t="inlineStr">
        <is>
          <t>healthcare</t>
        </is>
      </c>
      <c r="E69" s="31" t="inlineStr">
        <is>
          <t>largecap</t>
        </is>
      </c>
      <c r="F69" s="31" t="n">
        <v>39066.33</v>
      </c>
      <c r="G69" s="31" t="n">
        <v>754</v>
      </c>
      <c r="H69" s="31" t="n">
        <v>2.16</v>
      </c>
      <c r="I69" s="31" t="n">
        <v>233590</v>
      </c>
      <c r="J69" s="31" t="inlineStr">
        <is>
          <t>540975</t>
        </is>
      </c>
    </row>
    <row r="70">
      <c r="A70" s="31" t="inlineStr">
        <is>
          <t>PVP</t>
        </is>
      </c>
      <c r="B70" s="31" t="inlineStr">
        <is>
          <t>Pvp Ventures Limited</t>
        </is>
      </c>
      <c r="C70" s="31" t="inlineStr">
        <is>
          <t>realty</t>
        </is>
      </c>
      <c r="D70" s="31" t="inlineStr">
        <is>
          <t>construction</t>
        </is>
      </c>
      <c r="E70" s="31" t="inlineStr">
        <is>
          <t>smallcap</t>
        </is>
      </c>
      <c r="F70" s="31" t="n">
        <v>846.83</v>
      </c>
      <c r="G70" s="31" t="n">
        <v>32.52</v>
      </c>
      <c r="H70" s="31" t="n">
        <v>2.1</v>
      </c>
      <c r="I70" s="31" t="n">
        <v>809026</v>
      </c>
      <c r="J70" s="31" t="inlineStr">
        <is>
          <t>517556</t>
        </is>
      </c>
    </row>
    <row r="71">
      <c r="A71" s="31" t="inlineStr">
        <is>
          <t>HESTERBIO</t>
        </is>
      </c>
      <c r="B71" s="31" t="inlineStr">
        <is>
          <t>Hester Biosciences Limited</t>
        </is>
      </c>
      <c r="C71" s="31" t="inlineStr">
        <is>
          <t>healthcare</t>
        </is>
      </c>
      <c r="D71" s="31" t="inlineStr">
        <is>
          <t>pharmaceuticals - indian - formulations</t>
        </is>
      </c>
      <c r="E71" s="31" t="inlineStr">
        <is>
          <t>smallcap</t>
        </is>
      </c>
      <c r="F71" s="31" t="n">
        <v>1668.71</v>
      </c>
      <c r="G71" s="31" t="n">
        <v>1961.6</v>
      </c>
      <c r="H71" s="31" t="n">
        <v>2.04</v>
      </c>
      <c r="I71" s="31" t="n">
        <v>5164</v>
      </c>
      <c r="J71" s="31" t="inlineStr">
        <is>
          <t>524669</t>
        </is>
      </c>
    </row>
    <row r="72">
      <c r="A72" s="31" t="inlineStr">
        <is>
          <t>CANBK</t>
        </is>
      </c>
      <c r="B72" s="31" t="inlineStr">
        <is>
          <t>Canara Bank Ltd</t>
        </is>
      </c>
      <c r="C72" s="31" t="inlineStr">
        <is>
          <t>bank</t>
        </is>
      </c>
      <c r="D72" s="31" t="inlineStr">
        <is>
          <t>banks - public sector</t>
        </is>
      </c>
      <c r="E72" s="31" t="inlineStr">
        <is>
          <t>largecap</t>
        </is>
      </c>
      <c r="F72" s="31" t="n">
        <v>123188.51</v>
      </c>
      <c r="G72" s="31" t="n">
        <v>135.81</v>
      </c>
      <c r="H72" s="31" t="n">
        <v>2.02</v>
      </c>
      <c r="I72" s="31" t="n">
        <v>47139920</v>
      </c>
      <c r="J72" s="31" t="inlineStr">
        <is>
          <t>532483</t>
        </is>
      </c>
    </row>
    <row r="73">
      <c r="A73" s="31" t="inlineStr">
        <is>
          <t>TIMKEN</t>
        </is>
      </c>
      <c r="B73" s="31" t="inlineStr">
        <is>
          <t>Timken India Limited</t>
        </is>
      </c>
      <c r="C73" s="31" t="inlineStr">
        <is>
          <t>industrials</t>
        </is>
      </c>
      <c r="D73" s="31" t="inlineStr">
        <is>
          <t>bearings</t>
        </is>
      </c>
      <c r="E73" s="31" t="inlineStr">
        <is>
          <t>largecap</t>
        </is>
      </c>
      <c r="F73" s="31" t="n">
        <v>27406.7</v>
      </c>
      <c r="G73" s="31" t="n">
        <v>3643.6</v>
      </c>
      <c r="H73" s="31" t="n">
        <v>2.02</v>
      </c>
      <c r="I73" s="31" t="n">
        <v>81085</v>
      </c>
      <c r="J73" s="31" t="inlineStr">
        <is>
          <t>522113</t>
        </is>
      </c>
    </row>
    <row r="74">
      <c r="A74" s="31" t="inlineStr">
        <is>
          <t>BLSE</t>
        </is>
      </c>
      <c r="B74" s="31" t="inlineStr">
        <is>
          <t>BLS E-Services Ltd</t>
        </is>
      </c>
      <c r="C74" s="31" t="inlineStr">
        <is>
          <t>i.t</t>
        </is>
      </c>
      <c r="D74" s="31" t="inlineStr">
        <is>
          <t>computers - software - medium / small</t>
        </is>
      </c>
      <c r="E74" s="31" t="inlineStr">
        <is>
          <t>smallcap</t>
        </is>
      </c>
      <c r="F74" s="31" t="n">
        <v>2086.79</v>
      </c>
      <c r="G74" s="31" t="n">
        <v>229.68</v>
      </c>
      <c r="H74" s="31" t="n">
        <v>2</v>
      </c>
      <c r="I74" s="31" t="n">
        <v>385454</v>
      </c>
      <c r="J74" s="31" t="inlineStr">
        <is>
          <t>544107</t>
        </is>
      </c>
    </row>
    <row r="75">
      <c r="A75" s="31" t="inlineStr">
        <is>
          <t>HITECHCORP</t>
        </is>
      </c>
      <c r="B75" s="31" t="inlineStr">
        <is>
          <t>Hitech Corporation</t>
        </is>
      </c>
      <c r="C75" s="31" t="inlineStr">
        <is>
          <t>industrials</t>
        </is>
      </c>
      <c r="D75" s="31" t="inlineStr">
        <is>
          <t>packaging</t>
        </is>
      </c>
      <c r="E75" s="31" t="inlineStr">
        <is>
          <t>smallcap</t>
        </is>
      </c>
      <c r="F75" s="31" t="n">
        <v>539.9</v>
      </c>
      <c r="G75" s="31" t="n">
        <v>314.34</v>
      </c>
      <c r="H75" s="31" t="n">
        <v>1.94</v>
      </c>
      <c r="I75" s="31" t="n">
        <v>374046</v>
      </c>
      <c r="J75" s="31" t="inlineStr">
        <is>
          <t>526217</t>
        </is>
      </c>
    </row>
    <row r="76">
      <c r="A76" s="31" t="inlineStr">
        <is>
          <t>AEGISLOG</t>
        </is>
      </c>
      <c r="B76" s="31" t="inlineStr">
        <is>
          <t>Aegis Logistics Ltd</t>
        </is>
      </c>
      <c r="C76" s="31" t="inlineStr">
        <is>
          <t>services</t>
        </is>
      </c>
      <c r="D76" s="31" t="inlineStr">
        <is>
          <t>trading</t>
        </is>
      </c>
      <c r="E76" s="31" t="inlineStr">
        <is>
          <t>largecap</t>
        </is>
      </c>
      <c r="F76" s="31" t="n">
        <v>27041.04</v>
      </c>
      <c r="G76" s="31" t="n">
        <v>770.4</v>
      </c>
      <c r="H76" s="31" t="n">
        <v>1.93</v>
      </c>
      <c r="I76" s="31" t="n">
        <v>758298</v>
      </c>
      <c r="J76" s="31" t="inlineStr">
        <is>
          <t>500003</t>
        </is>
      </c>
    </row>
    <row r="77">
      <c r="A77" s="31" t="inlineStr">
        <is>
          <t>GRINDWELL</t>
        </is>
      </c>
      <c r="B77" s="31" t="inlineStr">
        <is>
          <t>Grindwell Norton Limited</t>
        </is>
      </c>
      <c r="C77" s="31" t="inlineStr">
        <is>
          <t>industrials</t>
        </is>
      </c>
      <c r="D77" s="31" t="inlineStr">
        <is>
          <t>abrasives and grinding wheels</t>
        </is>
      </c>
      <c r="E77" s="31" t="inlineStr">
        <is>
          <t>largecap</t>
        </is>
      </c>
      <c r="F77" s="31" t="n">
        <v>21681.19</v>
      </c>
      <c r="G77" s="31" t="n">
        <v>1958.2</v>
      </c>
      <c r="H77" s="31" t="n">
        <v>1.92</v>
      </c>
      <c r="I77" s="31" t="n">
        <v>76304</v>
      </c>
      <c r="J77" s="31" t="inlineStr">
        <is>
          <t>506076</t>
        </is>
      </c>
    </row>
    <row r="78">
      <c r="A78" s="31" t="inlineStr">
        <is>
          <t>ADANIPORTS</t>
        </is>
      </c>
      <c r="B78" s="31" t="inlineStr">
        <is>
          <t>Adani Ports And Special Economic Zone Limited</t>
        </is>
      </c>
      <c r="C78" s="31" t="inlineStr">
        <is>
          <t>transportation</t>
        </is>
      </c>
      <c r="D78" s="31" t="inlineStr">
        <is>
          <t>miscellaneous</t>
        </is>
      </c>
      <c r="E78" s="31" t="inlineStr">
        <is>
          <t>largecap</t>
        </is>
      </c>
      <c r="F78" s="31" t="n">
        <v>420288.22</v>
      </c>
      <c r="G78" s="31" t="n">
        <v>1824.2</v>
      </c>
      <c r="H78" s="31" t="n">
        <v>1.86</v>
      </c>
      <c r="I78" s="31" t="n">
        <v>1640762</v>
      </c>
      <c r="J78" s="31" t="inlineStr">
        <is>
          <t>532921</t>
        </is>
      </c>
    </row>
    <row r="79">
      <c r="A79" s="31" t="inlineStr">
        <is>
          <t>SENCO</t>
        </is>
      </c>
      <c r="B79" s="31" t="inlineStr">
        <is>
          <t>Senco Gold Ltd</t>
        </is>
      </c>
      <c r="C79" s="31" t="inlineStr">
        <is>
          <t>consumer discretionary</t>
        </is>
      </c>
      <c r="D79" s="31" t="inlineStr">
        <is>
          <t>diamond cutting / jewellery</t>
        </is>
      </c>
      <c r="E79" s="31" t="inlineStr">
        <is>
          <t>midcap</t>
        </is>
      </c>
      <c r="F79" s="31" t="n">
        <v>5745.52</v>
      </c>
      <c r="G79" s="31" t="n">
        <v>350.75</v>
      </c>
      <c r="H79" s="31" t="n">
        <v>1.81</v>
      </c>
      <c r="I79" s="31" t="n">
        <v>590460</v>
      </c>
      <c r="J79" s="31" t="inlineStr">
        <is>
          <t>543936</t>
        </is>
      </c>
    </row>
    <row r="80">
      <c r="A80" s="31" t="inlineStr">
        <is>
          <t>MGEL</t>
        </is>
      </c>
      <c r="B80" s="31" t="inlineStr">
        <is>
          <t>Mangalam Global Enterprise Ltd</t>
        </is>
      </c>
      <c r="C80" s="31" t="inlineStr">
        <is>
          <t>services</t>
        </is>
      </c>
      <c r="D80" s="31" t="inlineStr">
        <is>
          <t>trading</t>
        </is>
      </c>
      <c r="E80" s="31" t="inlineStr">
        <is>
          <t>smallcap</t>
        </is>
      </c>
      <c r="F80" s="31" t="n">
        <v>509.82</v>
      </c>
      <c r="G80" s="31" t="n">
        <v>15.47</v>
      </c>
      <c r="H80" s="31" t="n">
        <v>1.78</v>
      </c>
      <c r="I80" s="31" t="n">
        <v>324141</v>
      </c>
      <c r="J80" s="31" t="inlineStr">
        <is>
          <t>535349</t>
        </is>
      </c>
    </row>
    <row r="81">
      <c r="A81" s="31" t="inlineStr">
        <is>
          <t>IGIL</t>
        </is>
      </c>
      <c r="B81" s="31" t="inlineStr">
        <is>
          <t>International Gemmological Institute (India) Ltd</t>
        </is>
      </c>
      <c r="C81" s="31" t="inlineStr">
        <is>
          <t>miscellaneous</t>
        </is>
      </c>
      <c r="D81" s="31" t="inlineStr">
        <is>
          <t>miscellaneous</t>
        </is>
      </c>
      <c r="E81" s="31" t="inlineStr">
        <is>
          <t>midcap</t>
        </is>
      </c>
      <c r="F81" s="31" t="n">
        <v>15920.76</v>
      </c>
      <c r="G81" s="31" t="n">
        <v>368.4</v>
      </c>
      <c r="H81" s="31" t="n">
        <v>1.77</v>
      </c>
      <c r="I81" s="31" t="n">
        <v>835243</v>
      </c>
      <c r="J81" s="31" t="inlineStr">
        <is>
          <t>544311</t>
        </is>
      </c>
    </row>
    <row r="82">
      <c r="A82" s="31" t="inlineStr">
        <is>
          <t>SANGHVIMOV</t>
        </is>
      </c>
      <c r="B82" s="31" t="inlineStr">
        <is>
          <t>Sanghvi Movers Limited</t>
        </is>
      </c>
      <c r="C82" s="31" t="inlineStr">
        <is>
          <t>miscellaneous</t>
        </is>
      </c>
      <c r="D82" s="31" t="inlineStr">
        <is>
          <t>miscellaneous</t>
        </is>
      </c>
      <c r="E82" s="31" t="inlineStr">
        <is>
          <t>smallcap</t>
        </is>
      </c>
      <c r="F82" s="31" t="n">
        <v>3230.58</v>
      </c>
      <c r="G82" s="31" t="n">
        <v>373.15</v>
      </c>
      <c r="H82" s="31" t="n">
        <v>1.75</v>
      </c>
      <c r="I82" s="31" t="n">
        <v>292358</v>
      </c>
      <c r="J82" s="31" t="inlineStr">
        <is>
          <t>530073</t>
        </is>
      </c>
    </row>
    <row r="83">
      <c r="A83" s="31" t="inlineStr">
        <is>
          <t>IPCALAB</t>
        </is>
      </c>
      <c r="B83" s="31" t="inlineStr">
        <is>
          <t>Ipca Laboratories Limited</t>
        </is>
      </c>
      <c r="C83" s="31" t="inlineStr">
        <is>
          <t>healthcare</t>
        </is>
      </c>
      <c r="D83" s="31" t="inlineStr">
        <is>
          <t>pharmaceuticals - indian - bulk drugs &amp; formln</t>
        </is>
      </c>
      <c r="E83" s="31" t="inlineStr">
        <is>
          <t>largecap</t>
        </is>
      </c>
      <c r="F83" s="31" t="n">
        <v>41655.7</v>
      </c>
      <c r="G83" s="31" t="n">
        <v>1641.9</v>
      </c>
      <c r="H83" s="31" t="n">
        <v>1.73</v>
      </c>
      <c r="I83" s="31" t="n">
        <v>242278</v>
      </c>
      <c r="J83" s="31" t="inlineStr">
        <is>
          <t>524494</t>
        </is>
      </c>
    </row>
    <row r="84">
      <c r="A84" s="31" t="inlineStr">
        <is>
          <t>JBCHEPHARM</t>
        </is>
      </c>
      <c r="B84" s="31" t="inlineStr">
        <is>
          <t>Jb Chemicals &amp; Pharmaceuticals Limited</t>
        </is>
      </c>
      <c r="C84" s="31" t="inlineStr">
        <is>
          <t>healthcare</t>
        </is>
      </c>
      <c r="D84" s="31" t="inlineStr">
        <is>
          <t>pharmaceuticals - indian - bulk drugs &amp; formln</t>
        </is>
      </c>
      <c r="E84" s="31" t="inlineStr">
        <is>
          <t>largecap</t>
        </is>
      </c>
      <c r="F84" s="31" t="n">
        <v>34830</v>
      </c>
      <c r="G84" s="31" t="n">
        <v>2169.3</v>
      </c>
      <c r="H84" s="31" t="n">
        <v>1.67</v>
      </c>
      <c r="I84" s="31" t="n">
        <v>188786</v>
      </c>
      <c r="J84" s="31" t="inlineStr">
        <is>
          <t>506943</t>
        </is>
      </c>
    </row>
    <row r="85">
      <c r="A85" s="31" t="inlineStr">
        <is>
          <t>STEELXIND</t>
        </is>
      </c>
      <c r="B85" s="31" t="inlineStr">
        <is>
          <t>Steel Exchange India Ltd</t>
        </is>
      </c>
      <c r="C85" s="31" t="inlineStr">
        <is>
          <t>metals &amp; mining</t>
        </is>
      </c>
      <c r="D85" s="31" t="inlineStr">
        <is>
          <t>steel - medium / small</t>
        </is>
      </c>
      <c r="E85" s="31" t="inlineStr">
        <is>
          <t>smallcap</t>
        </is>
      </c>
      <c r="F85" s="31" t="n">
        <v>1573.99</v>
      </c>
      <c r="G85" s="31" t="n">
        <v>12.34</v>
      </c>
      <c r="H85" s="31" t="n">
        <v>1.65</v>
      </c>
      <c r="I85" s="31" t="n">
        <v>7044541</v>
      </c>
      <c r="J85" s="31" t="inlineStr">
        <is>
          <t>534748</t>
        </is>
      </c>
    </row>
    <row r="86">
      <c r="A86" s="31" t="inlineStr">
        <is>
          <t>LLOYDSENGG</t>
        </is>
      </c>
      <c r="B86" s="31" t="inlineStr">
        <is>
          <t>Lloyds Engineering Works Ltd</t>
        </is>
      </c>
      <c r="C86" s="31" t="inlineStr">
        <is>
          <t>industrials</t>
        </is>
      </c>
      <c r="D86" s="31" t="inlineStr">
        <is>
          <t>engineering</t>
        </is>
      </c>
      <c r="E86" s="31" t="inlineStr">
        <is>
          <t>midcap</t>
        </is>
      </c>
      <c r="F86" s="31" t="n">
        <v>10758.72</v>
      </c>
      <c r="G86" s="31" t="n">
        <v>72.69</v>
      </c>
      <c r="H86" s="31" t="n">
        <v>1.65</v>
      </c>
      <c r="I86" s="31" t="n">
        <v>10584987</v>
      </c>
      <c r="J86" s="31" t="inlineStr">
        <is>
          <t>539992</t>
        </is>
      </c>
    </row>
    <row r="87">
      <c r="A87" s="31" t="inlineStr">
        <is>
          <t>ABDL</t>
        </is>
      </c>
      <c r="B87" s="31" t="inlineStr">
        <is>
          <t>Allied Blenders &amp; Distillers Ltd</t>
        </is>
      </c>
      <c r="C87" s="31" t="inlineStr">
        <is>
          <t>fmcg</t>
        </is>
      </c>
      <c r="D87" s="31" t="inlineStr">
        <is>
          <t>breweries &amp; distilleries</t>
        </is>
      </c>
      <c r="E87" s="31" t="inlineStr">
        <is>
          <t>midcap</t>
        </is>
      </c>
      <c r="F87" s="31" t="n">
        <v>16242.77</v>
      </c>
      <c r="G87" s="31" t="n">
        <v>580.7</v>
      </c>
      <c r="H87" s="31" t="n">
        <v>1.55</v>
      </c>
      <c r="I87" s="31" t="n">
        <v>301894</v>
      </c>
      <c r="J87" s="31" t="inlineStr">
        <is>
          <t>544203</t>
        </is>
      </c>
    </row>
    <row r="88">
      <c r="A88" s="31" t="inlineStr">
        <is>
          <t>BBL</t>
        </is>
      </c>
      <c r="B88" s="31" t="inlineStr">
        <is>
          <t>Bharat Bijlee Limited</t>
        </is>
      </c>
      <c r="C88" s="31" t="inlineStr">
        <is>
          <t>industrials</t>
        </is>
      </c>
      <c r="D88" s="31" t="inlineStr">
        <is>
          <t>electric equipment</t>
        </is>
      </c>
      <c r="E88" s="31" t="inlineStr">
        <is>
          <t>smallcap</t>
        </is>
      </c>
      <c r="F88" s="31" t="n">
        <v>3211.22</v>
      </c>
      <c r="G88" s="31" t="n">
        <v>2841</v>
      </c>
      <c r="H88" s="31" t="n">
        <v>1.44</v>
      </c>
      <c r="I88" s="31" t="n">
        <v>29817</v>
      </c>
      <c r="J88" s="31" t="inlineStr">
        <is>
          <t>503960</t>
        </is>
      </c>
    </row>
    <row r="89">
      <c r="A89" s="31" t="inlineStr">
        <is>
          <t>UNIPARTS</t>
        </is>
      </c>
      <c r="B89" s="31" t="inlineStr">
        <is>
          <t>Uniparts India Ltd</t>
        </is>
      </c>
      <c r="C89" s="31" t="inlineStr">
        <is>
          <t>industrials</t>
        </is>
      </c>
      <c r="D89" s="31" t="inlineStr">
        <is>
          <t>engineering</t>
        </is>
      </c>
      <c r="E89" s="31" t="inlineStr">
        <is>
          <t>smallcap</t>
        </is>
      </c>
      <c r="F89" s="31" t="n">
        <v>2861.85</v>
      </c>
      <c r="G89" s="31" t="n">
        <v>633.95</v>
      </c>
      <c r="H89" s="31" t="n">
        <v>1.4</v>
      </c>
      <c r="I89" s="31" t="n">
        <v>200734</v>
      </c>
      <c r="J89" s="31" t="inlineStr">
        <is>
          <t>543689</t>
        </is>
      </c>
    </row>
    <row r="90">
      <c r="A90" s="31" t="inlineStr">
        <is>
          <t>FINEORG</t>
        </is>
      </c>
      <c r="B90" s="31" t="inlineStr">
        <is>
          <t>Fine Organic Industries Ltd</t>
        </is>
      </c>
      <c r="C90" s="31" t="inlineStr">
        <is>
          <t>chemicals</t>
        </is>
      </c>
      <c r="D90" s="31" t="inlineStr">
        <is>
          <t>chemicals</t>
        </is>
      </c>
      <c r="E90" s="31" t="inlineStr">
        <is>
          <t>midcap</t>
        </is>
      </c>
      <c r="F90" s="31" t="n">
        <v>14576.98</v>
      </c>
      <c r="G90" s="31" t="n">
        <v>4754.4</v>
      </c>
      <c r="H90" s="31" t="n">
        <v>1.38</v>
      </c>
      <c r="I90" s="31" t="n">
        <v>17984</v>
      </c>
      <c r="J90" s="31" t="inlineStr">
        <is>
          <t>541557</t>
        </is>
      </c>
    </row>
    <row r="91">
      <c r="A91" s="31" t="inlineStr">
        <is>
          <t>LAURUSLABS</t>
        </is>
      </c>
      <c r="B91" s="31" t="inlineStr">
        <is>
          <t>Laurus Labs Limited</t>
        </is>
      </c>
      <c r="C91" s="31" t="inlineStr">
        <is>
          <t>healthcare</t>
        </is>
      </c>
      <c r="D91" s="31" t="inlineStr">
        <is>
          <t>pharmaceuticals - indian - bulk drugs &amp; formln</t>
        </is>
      </c>
      <c r="E91" s="31" t="inlineStr">
        <is>
          <t>largecap</t>
        </is>
      </c>
      <c r="F91" s="31" t="n">
        <v>78106.45</v>
      </c>
      <c r="G91" s="31" t="n">
        <v>1446.8</v>
      </c>
      <c r="H91" s="31" t="n">
        <v>1.37</v>
      </c>
      <c r="I91" s="31" t="n">
        <v>1515580</v>
      </c>
      <c r="J91" s="31" t="inlineStr">
        <is>
          <t>540222</t>
        </is>
      </c>
    </row>
    <row r="92">
      <c r="A92" s="31" t="inlineStr">
        <is>
          <t>FEDERALBNK</t>
        </is>
      </c>
      <c r="B92" s="31" t="inlineStr">
        <is>
          <t>The Federal Bank  Limited</t>
        </is>
      </c>
      <c r="C92" s="31" t="inlineStr">
        <is>
          <t>bank</t>
        </is>
      </c>
      <c r="D92" s="31" t="inlineStr">
        <is>
          <t>banks - private sector</t>
        </is>
      </c>
      <c r="E92" s="31" t="inlineStr">
        <is>
          <t>largecap</t>
        </is>
      </c>
      <c r="F92" s="31" t="n">
        <v>74951.14999999999</v>
      </c>
      <c r="G92" s="31" t="n">
        <v>304.15</v>
      </c>
      <c r="H92" s="31" t="n">
        <v>1.35</v>
      </c>
      <c r="I92" s="31" t="n">
        <v>9322801</v>
      </c>
      <c r="J92" s="31" t="inlineStr">
        <is>
          <t>500469</t>
        </is>
      </c>
    </row>
    <row r="93">
      <c r="A93" s="31" t="inlineStr">
        <is>
          <t>DEEPINDS</t>
        </is>
      </c>
      <c r="B93" s="31" t="inlineStr">
        <is>
          <t>Deep Industries Ltd</t>
        </is>
      </c>
      <c r="C93" s="31" t="inlineStr">
        <is>
          <t>energy</t>
        </is>
      </c>
      <c r="D93" s="31" t="inlineStr">
        <is>
          <t>oil drilling / allied services</t>
        </is>
      </c>
      <c r="E93" s="31" t="inlineStr">
        <is>
          <t>smallcap</t>
        </is>
      </c>
      <c r="F93" s="31" t="n">
        <v>3406.72</v>
      </c>
      <c r="G93" s="31" t="n">
        <v>532.3</v>
      </c>
      <c r="H93" s="31" t="n">
        <v>1.34</v>
      </c>
      <c r="I93" s="31" t="n">
        <v>432988</v>
      </c>
      <c r="J93" s="31" t="inlineStr">
        <is>
          <t>543288</t>
        </is>
      </c>
    </row>
    <row r="94">
      <c r="A94" s="31" t="inlineStr">
        <is>
          <t>IIFLCAPS</t>
        </is>
      </c>
      <c r="B94" s="31" t="inlineStr">
        <is>
          <t>IIFL Capital Services Ltd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midcap</t>
        </is>
      </c>
      <c r="F94" s="31" t="n">
        <v>10674.42</v>
      </c>
      <c r="G94" s="31" t="n">
        <v>342.75</v>
      </c>
      <c r="H94" s="31" t="n">
        <v>1.3</v>
      </c>
      <c r="I94" s="31" t="n">
        <v>1117367</v>
      </c>
      <c r="J94" s="31" t="inlineStr">
        <is>
          <t>542773</t>
        </is>
      </c>
    </row>
    <row r="95">
      <c r="A95" s="31" t="inlineStr">
        <is>
          <t>RPTECH</t>
        </is>
      </c>
      <c r="B95" s="31" t="inlineStr">
        <is>
          <t>Rashi Peripherals Ltd</t>
        </is>
      </c>
      <c r="C95" s="31" t="inlineStr">
        <is>
          <t>services</t>
        </is>
      </c>
      <c r="D95" s="31" t="inlineStr">
        <is>
          <t>trading</t>
        </is>
      </c>
      <c r="E95" s="31" t="inlineStr">
        <is>
          <t>smallcap</t>
        </is>
      </c>
      <c r="F95" s="31" t="n">
        <v>3599.77</v>
      </c>
      <c r="G95" s="31" t="n">
        <v>546.25</v>
      </c>
      <c r="H95" s="31" t="n">
        <v>1.3</v>
      </c>
      <c r="I95" s="31" t="n">
        <v>119861</v>
      </c>
      <c r="J95" s="31" t="n"/>
    </row>
    <row r="96">
      <c r="A96" s="31" t="inlineStr">
        <is>
          <t>APARINDS</t>
        </is>
      </c>
      <c r="B96" s="31" t="inlineStr">
        <is>
          <t>Apar Industries Limited</t>
        </is>
      </c>
      <c r="C96" s="31" t="inlineStr">
        <is>
          <t>industrials</t>
        </is>
      </c>
      <c r="D96" s="31" t="inlineStr">
        <is>
          <t>electric equipment</t>
        </is>
      </c>
      <c r="E96" s="31" t="inlineStr">
        <is>
          <t>largecap</t>
        </is>
      </c>
      <c r="F96" s="31" t="n">
        <v>55745.59</v>
      </c>
      <c r="G96" s="31" t="n">
        <v>13878</v>
      </c>
      <c r="H96" s="31" t="n">
        <v>1.23</v>
      </c>
      <c r="I96" s="31" t="n">
        <v>100710</v>
      </c>
      <c r="J96" s="31" t="inlineStr">
        <is>
          <t>532259</t>
        </is>
      </c>
    </row>
    <row r="97">
      <c r="A97" s="31" t="inlineStr">
        <is>
          <t>NINSYS</t>
        </is>
      </c>
      <c r="B97" s="31" t="inlineStr">
        <is>
          <t>NINtec Systems Ltd</t>
        </is>
      </c>
      <c r="C97" s="31" t="inlineStr">
        <is>
          <t>i.t</t>
        </is>
      </c>
      <c r="D97" s="31" t="inlineStr">
        <is>
          <t>computers - software - medium / small</t>
        </is>
      </c>
      <c r="E97" s="31" t="inlineStr">
        <is>
          <t>smallcap</t>
        </is>
      </c>
      <c r="F97" s="31" t="n">
        <v>1345.18</v>
      </c>
      <c r="G97" s="31" t="n">
        <v>724.15</v>
      </c>
      <c r="H97" s="31" t="n">
        <v>1.2</v>
      </c>
      <c r="I97" s="31" t="n">
        <v>9657</v>
      </c>
      <c r="J97" s="31" t="inlineStr">
        <is>
          <t>539843</t>
        </is>
      </c>
    </row>
    <row r="98">
      <c r="A98" s="31" t="inlineStr">
        <is>
          <t>ASAHIINDIA</t>
        </is>
      </c>
      <c r="B98" s="31" t="inlineStr">
        <is>
          <t>Asahi India Glass Limited</t>
        </is>
      </c>
      <c r="C98" s="31" t="inlineStr">
        <is>
          <t>building materials</t>
        </is>
      </c>
      <c r="D98" s="31" t="inlineStr">
        <is>
          <t>glass &amp; glass products</t>
        </is>
      </c>
      <c r="E98" s="31" t="inlineStr">
        <is>
          <t>largecap</t>
        </is>
      </c>
      <c r="F98" s="31" t="n">
        <v>22991.88</v>
      </c>
      <c r="G98" s="31" t="n">
        <v>901.9</v>
      </c>
      <c r="H98" s="31" t="n">
        <v>1.18</v>
      </c>
      <c r="I98" s="31" t="n">
        <v>64779</v>
      </c>
      <c r="J98" s="31" t="inlineStr">
        <is>
          <t>515030</t>
        </is>
      </c>
    </row>
    <row r="99">
      <c r="A99" s="31" t="inlineStr">
        <is>
          <t>ORCHPHARMA</t>
        </is>
      </c>
      <c r="B99" s="31" t="inlineStr">
        <is>
          <t>Orchid Pharma Ltd</t>
        </is>
      </c>
      <c r="C99" s="31" t="inlineStr">
        <is>
          <t>healthcare</t>
        </is>
      </c>
      <c r="D99" s="31" t="inlineStr">
        <is>
          <t>pharmaceuticals - indian - bulk drugs &amp; formln</t>
        </is>
      </c>
      <c r="E99" s="31" t="inlineStr">
        <is>
          <t>smallcap</t>
        </is>
      </c>
      <c r="F99" s="31" t="n">
        <v>4281.96</v>
      </c>
      <c r="G99" s="31" t="n">
        <v>844.25</v>
      </c>
      <c r="H99" s="31" t="n">
        <v>1.13</v>
      </c>
      <c r="I99" s="31" t="n">
        <v>46242</v>
      </c>
      <c r="J99" s="31" t="inlineStr">
        <is>
          <t>524372</t>
        </is>
      </c>
    </row>
    <row r="100">
      <c r="A100" s="31" t="inlineStr">
        <is>
          <t>ADANIPOWER</t>
        </is>
      </c>
      <c r="B100" s="31" t="inlineStr">
        <is>
          <t>Adani Power Limited</t>
        </is>
      </c>
      <c r="C100" s="31" t="inlineStr">
        <is>
          <t>power &amp; utilities</t>
        </is>
      </c>
      <c r="D100" s="31" t="inlineStr">
        <is>
          <t>power generation and supply</t>
        </is>
      </c>
      <c r="E100" s="31" t="inlineStr">
        <is>
          <t>largecap</t>
        </is>
      </c>
      <c r="F100" s="31" t="n">
        <v>448562</v>
      </c>
      <c r="G100" s="31" t="n">
        <v>232.6</v>
      </c>
      <c r="H100" s="31" t="n">
        <v>1.12</v>
      </c>
      <c r="I100" s="31" t="n">
        <v>30846795</v>
      </c>
      <c r="J100" s="31" t="inlineStr">
        <is>
          <t>533096</t>
        </is>
      </c>
    </row>
    <row r="101">
      <c r="A101" s="31" t="inlineStr">
        <is>
          <t>ADOR</t>
        </is>
      </c>
      <c r="B101" s="31" t="inlineStr">
        <is>
          <t>Ador Welding Ltd</t>
        </is>
      </c>
      <c r="C101" s="31" t="inlineStr">
        <is>
          <t>industrials</t>
        </is>
      </c>
      <c r="D101" s="31" t="inlineStr">
        <is>
          <t>electrodes - welding equipment</t>
        </is>
      </c>
      <c r="E101" s="31" t="inlineStr">
        <is>
          <t>smallcap</t>
        </is>
      </c>
      <c r="F101" s="31" t="n">
        <v>1970.52</v>
      </c>
      <c r="G101" s="31" t="n">
        <v>1132.3</v>
      </c>
      <c r="H101" s="31" t="n">
        <v>1.11</v>
      </c>
      <c r="I101" s="31" t="n">
        <v>10906</v>
      </c>
      <c r="J101" s="31" t="inlineStr">
        <is>
          <t>517041</t>
        </is>
      </c>
    </row>
    <row r="102">
      <c r="A102" s="31" t="inlineStr">
        <is>
          <t>NEOGEN</t>
        </is>
      </c>
      <c r="B102" s="31" t="inlineStr">
        <is>
          <t>Neogen Chemicals Ltd</t>
        </is>
      </c>
      <c r="C102" s="31" t="inlineStr">
        <is>
          <t>chemicals</t>
        </is>
      </c>
      <c r="D102" s="31" t="inlineStr">
        <is>
          <t>chemicals</t>
        </is>
      </c>
      <c r="E102" s="31" t="inlineStr">
        <is>
          <t>midcap</t>
        </is>
      </c>
      <c r="F102" s="31" t="n">
        <v>5212.38</v>
      </c>
      <c r="G102" s="31" t="n">
        <v>1903.6</v>
      </c>
      <c r="H102" s="31" t="n">
        <v>1.1</v>
      </c>
      <c r="I102" s="31" t="n">
        <v>89441</v>
      </c>
      <c r="J102" s="31" t="inlineStr">
        <is>
          <t>542665</t>
        </is>
      </c>
    </row>
    <row r="103">
      <c r="A103" s="31" t="inlineStr">
        <is>
          <t>CARBORUNIV</t>
        </is>
      </c>
      <c r="B103" s="31" t="inlineStr">
        <is>
          <t>Carborundum Universal Limited</t>
        </is>
      </c>
      <c r="C103" s="31" t="inlineStr">
        <is>
          <t>industrials</t>
        </is>
      </c>
      <c r="D103" s="31" t="inlineStr">
        <is>
          <t>abrasives and grinding wheels</t>
        </is>
      </c>
      <c r="E103" s="31" t="inlineStr">
        <is>
          <t>midcap</t>
        </is>
      </c>
      <c r="F103" s="31" t="n">
        <v>19807.41</v>
      </c>
      <c r="G103" s="31" t="n">
        <v>1039.8</v>
      </c>
      <c r="H103" s="31" t="n">
        <v>1.09</v>
      </c>
      <c r="I103" s="31" t="n">
        <v>311452</v>
      </c>
      <c r="J103" s="31" t="inlineStr">
        <is>
          <t>513375</t>
        </is>
      </c>
    </row>
    <row r="104">
      <c r="A104" s="31" t="inlineStr">
        <is>
          <t>JAYBARMARU</t>
        </is>
      </c>
      <c r="B104" s="31" t="inlineStr">
        <is>
          <t>Jay Bharat Maruti Limited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smallcap</t>
        </is>
      </c>
      <c r="F104" s="31" t="n">
        <v>1385.28</v>
      </c>
      <c r="G104" s="31" t="n">
        <v>127.97</v>
      </c>
      <c r="H104" s="31" t="n">
        <v>1.08</v>
      </c>
      <c r="I104" s="31" t="n">
        <v>952101</v>
      </c>
      <c r="J104" s="31" t="inlineStr">
        <is>
          <t>520066</t>
        </is>
      </c>
    </row>
    <row r="105">
      <c r="A105" s="31" t="inlineStr">
        <is>
          <t>MANORAMA</t>
        </is>
      </c>
      <c r="B105" s="31" t="inlineStr">
        <is>
          <t>Manorama Industries Ltd</t>
        </is>
      </c>
      <c r="C105" s="31" t="inlineStr">
        <is>
          <t>fmcg</t>
        </is>
      </c>
      <c r="D105" s="31" t="inlineStr">
        <is>
          <t>food - processing - indian</t>
        </is>
      </c>
      <c r="E105" s="31" t="inlineStr">
        <is>
          <t>midcap</t>
        </is>
      </c>
      <c r="F105" s="31" t="n">
        <v>8813.58</v>
      </c>
      <c r="G105" s="31" t="n">
        <v>1476.1</v>
      </c>
      <c r="H105" s="31" t="n">
        <v>1.07</v>
      </c>
      <c r="I105" s="31" t="n">
        <v>101240</v>
      </c>
      <c r="J105" s="31" t="inlineStr">
        <is>
          <t>541974</t>
        </is>
      </c>
    </row>
    <row r="106">
      <c r="A106" s="31" t="inlineStr">
        <is>
          <t>SUPRAJIT</t>
        </is>
      </c>
      <c r="B106" s="31" t="inlineStr">
        <is>
          <t>Suprajit Engineering Limited</t>
        </is>
      </c>
      <c r="C106" s="31" t="inlineStr">
        <is>
          <t>auto</t>
        </is>
      </c>
      <c r="D106" s="31" t="inlineStr">
        <is>
          <t>auto ancillaries</t>
        </is>
      </c>
      <c r="E106" s="31" t="inlineStr">
        <is>
          <t>midcap</t>
        </is>
      </c>
      <c r="F106" s="31" t="n">
        <v>6525.92</v>
      </c>
      <c r="G106" s="31" t="n">
        <v>475.75</v>
      </c>
      <c r="H106" s="31" t="n">
        <v>1.07</v>
      </c>
      <c r="I106" s="31" t="n">
        <v>230617</v>
      </c>
      <c r="J106" s="31" t="inlineStr">
        <is>
          <t>532509</t>
        </is>
      </c>
    </row>
    <row r="107">
      <c r="A107" s="31" t="inlineStr">
        <is>
          <t>VSTIND</t>
        </is>
      </c>
      <c r="B107" s="31" t="inlineStr">
        <is>
          <t>Vst Industries Limited</t>
        </is>
      </c>
      <c r="C107" s="31" t="inlineStr">
        <is>
          <t>fmcg</t>
        </is>
      </c>
      <c r="D107" s="31" t="inlineStr">
        <is>
          <t>cigarettes</t>
        </is>
      </c>
      <c r="E107" s="31" t="inlineStr">
        <is>
          <t>smallcap</t>
        </is>
      </c>
      <c r="F107" s="31" t="n">
        <v>4383.27</v>
      </c>
      <c r="G107" s="31" t="n">
        <v>258.05</v>
      </c>
      <c r="H107" s="31" t="n">
        <v>1.04</v>
      </c>
      <c r="I107" s="31" t="n">
        <v>229053</v>
      </c>
      <c r="J107" s="31" t="inlineStr">
        <is>
          <t>509966</t>
        </is>
      </c>
    </row>
    <row r="108">
      <c r="A108" s="31" t="inlineStr">
        <is>
          <t>NH</t>
        </is>
      </c>
      <c r="B108" s="31" t="inlineStr">
        <is>
          <t>Narayana Hrudayalaya Ltd.</t>
        </is>
      </c>
      <c r="C108" s="31" t="inlineStr">
        <is>
          <t>healthcare</t>
        </is>
      </c>
      <c r="D108" s="31" t="inlineStr">
        <is>
          <t>healthcare</t>
        </is>
      </c>
      <c r="E108" s="31" t="inlineStr">
        <is>
          <t>largecap</t>
        </is>
      </c>
      <c r="F108" s="31" t="n">
        <v>40242.73</v>
      </c>
      <c r="G108" s="31" t="n">
        <v>1969.2</v>
      </c>
      <c r="H108" s="31" t="n">
        <v>1.03</v>
      </c>
      <c r="I108" s="31" t="n">
        <v>224931</v>
      </c>
      <c r="J108" s="31" t="inlineStr">
        <is>
          <t>539551</t>
        </is>
      </c>
    </row>
    <row r="109">
      <c r="A109" s="31" t="inlineStr">
        <is>
          <t>HTMEDIA</t>
        </is>
      </c>
      <c r="B109" s="31" t="inlineStr">
        <is>
          <t>Ht Media Limited</t>
        </is>
      </c>
      <c r="C109" s="31" t="inlineStr">
        <is>
          <t>media</t>
        </is>
      </c>
      <c r="D109" s="31" t="inlineStr">
        <is>
          <t>entertainment / electronic media software</t>
        </is>
      </c>
      <c r="E109" s="31" t="inlineStr">
        <is>
          <t>smallcap</t>
        </is>
      </c>
      <c r="F109" s="31" t="n">
        <v>536.77</v>
      </c>
      <c r="G109" s="31" t="n">
        <v>23.06</v>
      </c>
      <c r="H109" s="31" t="n">
        <v>1.01</v>
      </c>
      <c r="I109" s="31" t="n">
        <v>76565</v>
      </c>
      <c r="J109" s="31" t="inlineStr">
        <is>
          <t>532662</t>
        </is>
      </c>
    </row>
    <row r="110">
      <c r="A110" s="31" t="inlineStr">
        <is>
          <t>TIINDIA</t>
        </is>
      </c>
      <c r="B110" s="31" t="inlineStr">
        <is>
          <t>Tube Investments of India Ltd</t>
        </is>
      </c>
      <c r="C110" s="31" t="inlineStr">
        <is>
          <t>industrials</t>
        </is>
      </c>
      <c r="D110" s="31" t="inlineStr">
        <is>
          <t>steel - large</t>
        </is>
      </c>
      <c r="E110" s="31" t="inlineStr">
        <is>
          <t>largecap</t>
        </is>
      </c>
      <c r="F110" s="31" t="n">
        <v>60562.69</v>
      </c>
      <c r="G110" s="31" t="n">
        <v>3129</v>
      </c>
      <c r="H110" s="31" t="n">
        <v>0.99</v>
      </c>
      <c r="I110" s="31" t="n">
        <v>192369</v>
      </c>
      <c r="J110" s="31" t="inlineStr">
        <is>
          <t>540762</t>
        </is>
      </c>
    </row>
    <row r="111">
      <c r="A111" s="31" t="inlineStr">
        <is>
          <t>INDGN</t>
        </is>
      </c>
      <c r="B111" s="31" t="inlineStr">
        <is>
          <t>Indegene Ltd</t>
        </is>
      </c>
      <c r="C111" s="31" t="inlineStr">
        <is>
          <t>healthcare</t>
        </is>
      </c>
      <c r="D111" s="31" t="inlineStr">
        <is>
          <t>miscellaneous</t>
        </is>
      </c>
      <c r="E111" s="31" t="inlineStr">
        <is>
          <t>midcap</t>
        </is>
      </c>
      <c r="F111" s="31" t="n">
        <v>12568.59</v>
      </c>
      <c r="G111" s="31" t="n">
        <v>523</v>
      </c>
      <c r="H111" s="31" t="n">
        <v>0.96</v>
      </c>
      <c r="I111" s="31" t="n">
        <v>248735</v>
      </c>
      <c r="J111" s="31" t="inlineStr">
        <is>
          <t>544172</t>
        </is>
      </c>
    </row>
    <row r="112">
      <c r="A112" s="31" t="inlineStr">
        <is>
          <t>VIJAYA</t>
        </is>
      </c>
      <c r="B112" s="31" t="inlineStr">
        <is>
          <t>Vijaya Diagnostic Centre Ltd</t>
        </is>
      </c>
      <c r="C112" s="31" t="inlineStr">
        <is>
          <t>healthcare</t>
        </is>
      </c>
      <c r="D112" s="31" t="inlineStr">
        <is>
          <t>healthcare</t>
        </is>
      </c>
      <c r="E112" s="31" t="inlineStr">
        <is>
          <t>midcap</t>
        </is>
      </c>
      <c r="F112" s="31" t="n">
        <v>14121.55</v>
      </c>
      <c r="G112" s="31" t="n">
        <v>1372.4</v>
      </c>
      <c r="H112" s="31" t="n">
        <v>0.96</v>
      </c>
      <c r="I112" s="31" t="n">
        <v>546490</v>
      </c>
      <c r="J112" s="31" t="inlineStr">
        <is>
          <t>543350</t>
        </is>
      </c>
    </row>
    <row r="113">
      <c r="A113" s="31" t="inlineStr">
        <is>
          <t>POWERINDIA</t>
        </is>
      </c>
      <c r="B113" s="31" t="inlineStr">
        <is>
          <t>Hitachi Energy India Ltd</t>
        </is>
      </c>
      <c r="C113" s="31" t="inlineStr">
        <is>
          <t>industrials</t>
        </is>
      </c>
      <c r="D113" s="31" t="inlineStr">
        <is>
          <t>electric equipment</t>
        </is>
      </c>
      <c r="E113" s="31" t="inlineStr">
        <is>
          <t>largecap</t>
        </is>
      </c>
      <c r="F113" s="31" t="n">
        <v>164338.3</v>
      </c>
      <c r="G113" s="31" t="n">
        <v>36870</v>
      </c>
      <c r="H113" s="31" t="n">
        <v>0.9399999999999999</v>
      </c>
      <c r="I113" s="31" t="n">
        <v>109445</v>
      </c>
      <c r="J113" s="31" t="inlineStr">
        <is>
          <t>543187</t>
        </is>
      </c>
    </row>
    <row r="114">
      <c r="A114" s="31" t="inlineStr">
        <is>
          <t>ASIANPAINT</t>
        </is>
      </c>
      <c r="B114" s="31" t="inlineStr">
        <is>
          <t>Asian Paints Limited</t>
        </is>
      </c>
      <c r="C114" s="31" t="inlineStr">
        <is>
          <t>building materials</t>
        </is>
      </c>
      <c r="D114" s="31" t="inlineStr">
        <is>
          <t>paints / varnishes</t>
        </is>
      </c>
      <c r="E114" s="31" t="inlineStr">
        <is>
          <t>largecap</t>
        </is>
      </c>
      <c r="F114" s="31" t="n">
        <v>257707.67</v>
      </c>
      <c r="G114" s="31" t="n">
        <v>2686.7</v>
      </c>
      <c r="H114" s="31" t="n">
        <v>0.9399999999999999</v>
      </c>
      <c r="I114" s="31" t="n">
        <v>1615011</v>
      </c>
      <c r="J114" s="31" t="inlineStr">
        <is>
          <t>500820</t>
        </is>
      </c>
    </row>
    <row r="115">
      <c r="A115" s="31" t="inlineStr">
        <is>
          <t>CONFIPET</t>
        </is>
      </c>
      <c r="B115" s="31" t="inlineStr">
        <is>
          <t>Confidence Petroleum India Ltd</t>
        </is>
      </c>
      <c r="C115" s="31" t="inlineStr">
        <is>
          <t>miscellaneous</t>
        </is>
      </c>
      <c r="D115" s="31" t="inlineStr">
        <is>
          <t>miscellaneous</t>
        </is>
      </c>
      <c r="E115" s="31" t="inlineStr">
        <is>
          <t>smallcap</t>
        </is>
      </c>
      <c r="F115" s="31" t="n">
        <v>2578.52</v>
      </c>
      <c r="G115" s="31" t="n">
        <v>77.61</v>
      </c>
      <c r="H115" s="31" t="n">
        <v>0.9399999999999999</v>
      </c>
      <c r="I115" s="31" t="n">
        <v>3889694</v>
      </c>
      <c r="J115" s="31" t="inlineStr">
        <is>
          <t>526829</t>
        </is>
      </c>
    </row>
    <row r="116">
      <c r="A116" s="31" t="inlineStr">
        <is>
          <t>SOMANYCERA</t>
        </is>
      </c>
      <c r="B116" s="31" t="inlineStr">
        <is>
          <t>Somany Ceramics Limited</t>
        </is>
      </c>
      <c r="C116" s="31" t="inlineStr">
        <is>
          <t>building materials</t>
        </is>
      </c>
      <c r="D116" s="31" t="inlineStr">
        <is>
          <t>ceramics - tiles / sanitaryware</t>
        </is>
      </c>
      <c r="E116" s="31" t="inlineStr">
        <is>
          <t>smallcap</t>
        </is>
      </c>
      <c r="F116" s="31" t="n">
        <v>2101.09</v>
      </c>
      <c r="G116" s="31" t="n">
        <v>512.3</v>
      </c>
      <c r="H116" s="31" t="n">
        <v>0.9399999999999999</v>
      </c>
      <c r="I116" s="31" t="n">
        <v>48974</v>
      </c>
      <c r="J116" s="31" t="inlineStr">
        <is>
          <t>531548</t>
        </is>
      </c>
    </row>
    <row r="117">
      <c r="A117" s="31" t="inlineStr">
        <is>
          <t>RAJRATAN</t>
        </is>
      </c>
      <c r="B117" s="31" t="inlineStr">
        <is>
          <t>Rajratan Global Wire Ltd</t>
        </is>
      </c>
      <c r="C117" s="31" t="inlineStr">
        <is>
          <t>metals &amp; mining</t>
        </is>
      </c>
      <c r="D117" s="31" t="inlineStr">
        <is>
          <t>steel - medium / small</t>
        </is>
      </c>
      <c r="E117" s="31" t="inlineStr">
        <is>
          <t>smallcap</t>
        </is>
      </c>
      <c r="F117" s="31" t="n">
        <v>2194.07</v>
      </c>
      <c r="G117" s="31" t="n">
        <v>432.15</v>
      </c>
      <c r="H117" s="31" t="n">
        <v>0.93</v>
      </c>
      <c r="I117" s="31" t="n">
        <v>81406</v>
      </c>
      <c r="J117" s="31" t="inlineStr">
        <is>
          <t>517522</t>
        </is>
      </c>
    </row>
    <row r="118">
      <c r="A118" s="31" t="inlineStr">
        <is>
          <t>SASKEN</t>
        </is>
      </c>
      <c r="B118" s="31" t="inlineStr">
        <is>
          <t>Sasken Communication Technologies Limited</t>
        </is>
      </c>
      <c r="C118" s="31" t="inlineStr">
        <is>
          <t>i.t</t>
        </is>
      </c>
      <c r="D118" s="31" t="inlineStr">
        <is>
          <t>computers - software - medium / small</t>
        </is>
      </c>
      <c r="E118" s="31" t="inlineStr">
        <is>
          <t>smallcap</t>
        </is>
      </c>
      <c r="F118" s="31" t="n">
        <v>3312.47</v>
      </c>
      <c r="G118" s="31" t="n">
        <v>2181.2</v>
      </c>
      <c r="H118" s="31" t="n">
        <v>0.93</v>
      </c>
      <c r="I118" s="31" t="n">
        <v>45175</v>
      </c>
      <c r="J118" s="31" t="inlineStr">
        <is>
          <t>532663</t>
        </is>
      </c>
    </row>
    <row r="119">
      <c r="A119" s="31" t="inlineStr">
        <is>
          <t>INDSWFTLAB</t>
        </is>
      </c>
      <c r="B119" s="31" t="inlineStr">
        <is>
          <t>Ind-swift Laboratories Limited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smallcap</t>
        </is>
      </c>
      <c r="F119" s="31" t="n">
        <v>1372.02</v>
      </c>
      <c r="G119" s="31" t="n">
        <v>158</v>
      </c>
      <c r="H119" s="31" t="n">
        <v>0.84</v>
      </c>
      <c r="I119" s="31" t="n">
        <v>1275663</v>
      </c>
      <c r="J119" s="31" t="inlineStr">
        <is>
          <t>532305</t>
        </is>
      </c>
    </row>
    <row r="120">
      <c r="A120" s="31" t="inlineStr">
        <is>
          <t>SOLARINDS</t>
        </is>
      </c>
      <c r="B120" s="31" t="inlineStr">
        <is>
          <t>Solar Industries India Limited</t>
        </is>
      </c>
      <c r="C120" s="31" t="inlineStr">
        <is>
          <t>aerospace &amp; defence</t>
        </is>
      </c>
      <c r="D120" s="31" t="inlineStr">
        <is>
          <t>chemicals</t>
        </is>
      </c>
      <c r="E120" s="31" t="inlineStr">
        <is>
          <t>largecap</t>
        </is>
      </c>
      <c r="F120" s="31" t="n">
        <v>166872.71</v>
      </c>
      <c r="G120" s="31" t="n">
        <v>18441</v>
      </c>
      <c r="H120" s="31" t="n">
        <v>0.8100000000000001</v>
      </c>
      <c r="I120" s="31" t="n">
        <v>102618</v>
      </c>
      <c r="J120" s="31" t="inlineStr">
        <is>
          <t>532725</t>
        </is>
      </c>
    </row>
    <row r="121">
      <c r="A121" s="31" t="inlineStr">
        <is>
          <t>RAIN</t>
        </is>
      </c>
      <c r="B121" s="31" t="inlineStr">
        <is>
          <t>Rain Industries Limited</t>
        </is>
      </c>
      <c r="C121" s="31" t="inlineStr">
        <is>
          <t>miscellaneous</t>
        </is>
      </c>
      <c r="D121" s="31" t="inlineStr">
        <is>
          <t>miscellaneous</t>
        </is>
      </c>
      <c r="E121" s="31" t="inlineStr">
        <is>
          <t>midcap</t>
        </is>
      </c>
      <c r="F121" s="31" t="n">
        <v>6629.04</v>
      </c>
      <c r="G121" s="31" t="n">
        <v>197.09</v>
      </c>
      <c r="H121" s="31" t="n">
        <v>0.8100000000000001</v>
      </c>
      <c r="I121" s="31" t="n">
        <v>4579100</v>
      </c>
      <c r="J121" s="31" t="inlineStr">
        <is>
          <t>500339</t>
        </is>
      </c>
    </row>
    <row r="122">
      <c r="A122" s="31" t="inlineStr">
        <is>
          <t>IRISDOREME</t>
        </is>
      </c>
      <c r="B122" s="31" t="inlineStr">
        <is>
          <t>Iris Clothings Ltd</t>
        </is>
      </c>
      <c r="C122" s="31" t="inlineStr">
        <is>
          <t>consumer discretionary</t>
        </is>
      </c>
      <c r="D122" s="31" t="inlineStr">
        <is>
          <t>textiles - products</t>
        </is>
      </c>
      <c r="E122" s="31" t="inlineStr">
        <is>
          <t>smallcap</t>
        </is>
      </c>
      <c r="F122" s="31" t="n">
        <v>699.66</v>
      </c>
      <c r="G122" s="31" t="n">
        <v>36.76</v>
      </c>
      <c r="H122" s="31" t="n">
        <v>0.8</v>
      </c>
      <c r="I122" s="31" t="n">
        <v>291849</v>
      </c>
      <c r="J122" s="31" t="inlineStr">
        <is>
          <t>535123</t>
        </is>
      </c>
    </row>
    <row r="123">
      <c r="A123" s="31" t="inlineStr">
        <is>
          <t>KEI</t>
        </is>
      </c>
      <c r="B123" s="31" t="inlineStr">
        <is>
          <t>Kei Industries Limited</t>
        </is>
      </c>
      <c r="C123" s="31" t="inlineStr">
        <is>
          <t>industrials</t>
        </is>
      </c>
      <c r="D123" s="31" t="inlineStr">
        <is>
          <t>cables - power</t>
        </is>
      </c>
      <c r="E123" s="31" t="inlineStr">
        <is>
          <t>largecap</t>
        </is>
      </c>
      <c r="F123" s="31" t="n">
        <v>51007.7</v>
      </c>
      <c r="G123" s="31" t="n">
        <v>5335.5</v>
      </c>
      <c r="H123" s="31" t="n">
        <v>0.75</v>
      </c>
      <c r="I123" s="31" t="n">
        <v>203971</v>
      </c>
      <c r="J123" s="31" t="inlineStr">
        <is>
          <t>517569</t>
        </is>
      </c>
    </row>
    <row r="124">
      <c r="A124" s="31" t="inlineStr">
        <is>
          <t>AIAENG</t>
        </is>
      </c>
      <c r="B124" s="31" t="inlineStr">
        <is>
          <t>Aia Engineering Limited</t>
        </is>
      </c>
      <c r="C124" s="31" t="inlineStr">
        <is>
          <t>industrials</t>
        </is>
      </c>
      <c r="D124" s="31" t="inlineStr">
        <is>
          <t>castings &amp; forgings</t>
        </is>
      </c>
      <c r="E124" s="31" t="inlineStr">
        <is>
          <t>largecap</t>
        </is>
      </c>
      <c r="F124" s="31" t="n">
        <v>43213.86</v>
      </c>
      <c r="G124" s="31" t="n">
        <v>4630.7</v>
      </c>
      <c r="H124" s="31" t="n">
        <v>0.74</v>
      </c>
      <c r="I124" s="31" t="n">
        <v>206638</v>
      </c>
      <c r="J124" s="31" t="inlineStr">
        <is>
          <t>532683</t>
        </is>
      </c>
    </row>
    <row r="125">
      <c r="A125" s="31" t="inlineStr">
        <is>
          <t>AURUM</t>
        </is>
      </c>
      <c r="B125" s="31" t="inlineStr">
        <is>
          <t>Aurum Proptech Ltd</t>
        </is>
      </c>
      <c r="C125" s="31" t="inlineStr">
        <is>
          <t>i.t</t>
        </is>
      </c>
      <c r="D125" s="31" t="inlineStr">
        <is>
          <t>computers - software - medium / small</t>
        </is>
      </c>
      <c r="E125" s="31" t="inlineStr">
        <is>
          <t>smallcap</t>
        </is>
      </c>
      <c r="F125" s="31" t="n">
        <v>1457.13</v>
      </c>
      <c r="G125" s="31" t="n">
        <v>190.08</v>
      </c>
      <c r="H125" s="31" t="n">
        <v>0.73</v>
      </c>
      <c r="I125" s="31" t="n">
        <v>247744</v>
      </c>
      <c r="J125" s="31" t="inlineStr">
        <is>
          <t>539289</t>
        </is>
      </c>
    </row>
    <row r="126">
      <c r="A126" s="31" t="inlineStr">
        <is>
          <t>SJS</t>
        </is>
      </c>
      <c r="B126" s="31" t="inlineStr">
        <is>
          <t>S J S Enterprises Ltd</t>
        </is>
      </c>
      <c r="C126" s="31" t="inlineStr">
        <is>
          <t>auto</t>
        </is>
      </c>
      <c r="D126" s="31" t="inlineStr">
        <is>
          <t>plastics products</t>
        </is>
      </c>
      <c r="E126" s="31" t="inlineStr">
        <is>
          <t>midcap</t>
        </is>
      </c>
      <c r="F126" s="31" t="n">
        <v>6411.51</v>
      </c>
      <c r="G126" s="31" t="n">
        <v>2003.8</v>
      </c>
      <c r="H126" s="31" t="n">
        <v>0.7</v>
      </c>
      <c r="I126" s="31" t="n">
        <v>49604</v>
      </c>
      <c r="J126" s="31" t="inlineStr">
        <is>
          <t>543387</t>
        </is>
      </c>
    </row>
    <row r="127">
      <c r="A127" s="31" t="inlineStr">
        <is>
          <t>TITAN</t>
        </is>
      </c>
      <c r="B127" s="31" t="inlineStr">
        <is>
          <t>Titan Company Limited</t>
        </is>
      </c>
      <c r="C127" s="31" t="inlineStr">
        <is>
          <t>consumer discretionary</t>
        </is>
      </c>
      <c r="D127" s="31" t="inlineStr">
        <is>
          <t>diamond cutting / jewellery</t>
        </is>
      </c>
      <c r="E127" s="31" t="inlineStr">
        <is>
          <t>largecap</t>
        </is>
      </c>
      <c r="F127" s="31" t="n">
        <v>378214.66</v>
      </c>
      <c r="G127" s="31" t="n">
        <v>4260.2</v>
      </c>
      <c r="H127" s="31" t="n">
        <v>0.6899999999999999</v>
      </c>
      <c r="I127" s="31" t="n">
        <v>1390200</v>
      </c>
      <c r="J127" s="31" t="inlineStr">
        <is>
          <t>500114</t>
        </is>
      </c>
    </row>
    <row r="128">
      <c r="A128" s="31" t="inlineStr">
        <is>
          <t>SOFTTECH</t>
        </is>
      </c>
      <c r="B128" s="31" t="inlineStr">
        <is>
          <t>Softtech Engineers Ltd</t>
        </is>
      </c>
      <c r="C128" s="31" t="inlineStr">
        <is>
          <t>i.t</t>
        </is>
      </c>
      <c r="D128" s="31" t="inlineStr">
        <is>
          <t>computers - software - medium / small</t>
        </is>
      </c>
      <c r="E128" s="31" t="inlineStr">
        <is>
          <t>smallcap</t>
        </is>
      </c>
      <c r="F128" s="31" t="n">
        <v>622.9</v>
      </c>
      <c r="G128" s="31" t="n">
        <v>450</v>
      </c>
      <c r="H128" s="31" t="n">
        <v>0.6899999999999999</v>
      </c>
      <c r="I128" s="31" t="n">
        <v>2609</v>
      </c>
      <c r="J128" s="31" t="inlineStr">
        <is>
          <t>535078</t>
        </is>
      </c>
    </row>
    <row r="129">
      <c r="A129" s="31" t="inlineStr">
        <is>
          <t>MEDANTA</t>
        </is>
      </c>
      <c r="B129" s="31" t="inlineStr">
        <is>
          <t>Global Health Ltd</t>
        </is>
      </c>
      <c r="C129" s="31" t="inlineStr">
        <is>
          <t>healthcare</t>
        </is>
      </c>
      <c r="D129" s="31" t="inlineStr">
        <is>
          <t>healthcare</t>
        </is>
      </c>
      <c r="E129" s="31" t="inlineStr">
        <is>
          <t>largecap</t>
        </is>
      </c>
      <c r="F129" s="31" t="n">
        <v>33330.01</v>
      </c>
      <c r="G129" s="31" t="n">
        <v>1240</v>
      </c>
      <c r="H129" s="31" t="n">
        <v>0.67</v>
      </c>
      <c r="I129" s="31" t="n">
        <v>310258</v>
      </c>
      <c r="J129" s="31" t="inlineStr">
        <is>
          <t>543654</t>
        </is>
      </c>
    </row>
    <row r="130">
      <c r="A130" s="31" t="inlineStr">
        <is>
          <t>APOLLOHOSP</t>
        </is>
      </c>
      <c r="B130" s="31" t="inlineStr">
        <is>
          <t>Apollo Hospitals Enterprise Limited</t>
        </is>
      </c>
      <c r="C130" s="31" t="inlineStr">
        <is>
          <t>healthcare</t>
        </is>
      </c>
      <c r="D130" s="31" t="inlineStr">
        <is>
          <t>healthcare</t>
        </is>
      </c>
      <c r="E130" s="31" t="inlineStr">
        <is>
          <t>largecap</t>
        </is>
      </c>
      <c r="F130" s="31" t="n">
        <v>119405.97</v>
      </c>
      <c r="G130" s="31" t="n">
        <v>8304.5</v>
      </c>
      <c r="H130" s="31" t="n">
        <v>0.67</v>
      </c>
      <c r="I130" s="31" t="n">
        <v>187969</v>
      </c>
      <c r="J130" s="31" t="inlineStr">
        <is>
          <t>508869</t>
        </is>
      </c>
    </row>
    <row r="131">
      <c r="A131" s="31" t="inlineStr">
        <is>
          <t>SANSERA</t>
        </is>
      </c>
      <c r="B131" s="31" t="inlineStr">
        <is>
          <t>Sansera Engineering Ltd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midcap</t>
        </is>
      </c>
      <c r="F131" s="31" t="n">
        <v>18357.41</v>
      </c>
      <c r="G131" s="31" t="n">
        <v>2945.1</v>
      </c>
      <c r="H131" s="31" t="n">
        <v>0.66</v>
      </c>
      <c r="I131" s="31" t="n">
        <v>178995</v>
      </c>
      <c r="J131" s="31" t="inlineStr">
        <is>
          <t>543358</t>
        </is>
      </c>
    </row>
    <row r="132">
      <c r="A132" s="31" t="inlineStr">
        <is>
          <t>EMCURE</t>
        </is>
      </c>
      <c r="B132" s="31" t="inlineStr">
        <is>
          <t>Emcure Pharmaceuticals Ltd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largecap</t>
        </is>
      </c>
      <c r="F132" s="31" t="n">
        <v>33307.09</v>
      </c>
      <c r="G132" s="31" t="n">
        <v>1756.8</v>
      </c>
      <c r="H132" s="31" t="n">
        <v>0.66</v>
      </c>
      <c r="I132" s="31" t="n">
        <v>117449</v>
      </c>
      <c r="J132" s="31" t="inlineStr">
        <is>
          <t>544210</t>
        </is>
      </c>
    </row>
    <row r="133">
      <c r="A133" s="31" t="inlineStr">
        <is>
          <t>HEALTHX</t>
        </is>
      </c>
      <c r="B133" s="31" t="inlineStr">
        <is>
          <t>Health X Platform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smallcap</t>
        </is>
      </c>
      <c r="F133" s="31" t="n">
        <v>970.22</v>
      </c>
      <c r="G133" s="31" t="n">
        <v>305</v>
      </c>
      <c r="H133" s="31" t="n">
        <v>0.66</v>
      </c>
      <c r="I133" s="31" t="n">
        <v>5958</v>
      </c>
      <c r="J133" s="31" t="inlineStr">
        <is>
          <t>533259</t>
        </is>
      </c>
    </row>
    <row r="134">
      <c r="A134" s="31" t="inlineStr">
        <is>
          <t>CAPLIPOINT</t>
        </is>
      </c>
      <c r="B134" s="31" t="inlineStr">
        <is>
          <t>Caplin Point Laboratories Limited</t>
        </is>
      </c>
      <c r="C134" s="31" t="inlineStr">
        <is>
          <t>healthcare</t>
        </is>
      </c>
      <c r="D134" s="31" t="inlineStr">
        <is>
          <t>pharmaceuticals - indian - formulations</t>
        </is>
      </c>
      <c r="E134" s="31" t="inlineStr">
        <is>
          <t>midcap</t>
        </is>
      </c>
      <c r="F134" s="31" t="n">
        <v>15453.94</v>
      </c>
      <c r="G134" s="31" t="n">
        <v>2033.1</v>
      </c>
      <c r="H134" s="31" t="n">
        <v>0.66</v>
      </c>
      <c r="I134" s="31" t="n">
        <v>84426</v>
      </c>
      <c r="J134" s="31" t="inlineStr">
        <is>
          <t>524742</t>
        </is>
      </c>
    </row>
    <row r="135">
      <c r="A135" s="31" t="inlineStr">
        <is>
          <t>GLOBAL</t>
        </is>
      </c>
      <c r="B135" s="31" t="inlineStr">
        <is>
          <t>Global Education Ltd</t>
        </is>
      </c>
      <c r="C135" s="31" t="inlineStr">
        <is>
          <t>services</t>
        </is>
      </c>
      <c r="D135" s="31" t="inlineStr">
        <is>
          <t>miscellaneous</t>
        </is>
      </c>
      <c r="E135" s="31" t="inlineStr">
        <is>
          <t>smallcap</t>
        </is>
      </c>
      <c r="F135" s="31" t="n">
        <v>553.4</v>
      </c>
      <c r="G135" s="31" t="n">
        <v>108.72</v>
      </c>
      <c r="H135" s="31" t="n">
        <v>0.65</v>
      </c>
      <c r="I135" s="31" t="n">
        <v>98296</v>
      </c>
      <c r="J135" s="31" t="inlineStr">
        <is>
          <t>538406</t>
        </is>
      </c>
    </row>
    <row r="136">
      <c r="A136" s="31" t="inlineStr">
        <is>
          <t>SAMMAANCAP</t>
        </is>
      </c>
      <c r="B136" s="31" t="inlineStr">
        <is>
          <t>Sammaan Capital Ltd</t>
        </is>
      </c>
      <c r="C136" s="31" t="inlineStr">
        <is>
          <t>financials</t>
        </is>
      </c>
      <c r="D136" s="31" t="inlineStr">
        <is>
          <t>finance - housing</t>
        </is>
      </c>
      <c r="E136" s="31" t="inlineStr">
        <is>
          <t>largecap</t>
        </is>
      </c>
      <c r="F136" s="31" t="n">
        <v>21407.51</v>
      </c>
      <c r="G136" s="31" t="n">
        <v>184.28</v>
      </c>
      <c r="H136" s="31" t="n">
        <v>0.63</v>
      </c>
      <c r="I136" s="31" t="n">
        <v>25603657</v>
      </c>
      <c r="J136" s="31" t="inlineStr">
        <is>
          <t>535789</t>
        </is>
      </c>
    </row>
    <row r="137">
      <c r="A137" s="31" t="inlineStr">
        <is>
          <t>CARYSIL</t>
        </is>
      </c>
      <c r="B137" s="31" t="inlineStr">
        <is>
          <t>Carysil Ltd</t>
        </is>
      </c>
      <c r="C137" s="31" t="inlineStr">
        <is>
          <t>consumer discretionary</t>
        </is>
      </c>
      <c r="D137" s="31" t="inlineStr">
        <is>
          <t>domestic appliances</t>
        </is>
      </c>
      <c r="E137" s="31" t="inlineStr">
        <is>
          <t>smallcap</t>
        </is>
      </c>
      <c r="F137" s="31" t="n">
        <v>3134.38</v>
      </c>
      <c r="G137" s="31" t="n">
        <v>1102</v>
      </c>
      <c r="H137" s="31" t="n">
        <v>0.62</v>
      </c>
      <c r="I137" s="31" t="n">
        <v>82441</v>
      </c>
      <c r="J137" s="31" t="inlineStr">
        <is>
          <t>524091</t>
        </is>
      </c>
    </row>
    <row r="138">
      <c r="A138" s="31" t="inlineStr">
        <is>
          <t>HONAUT</t>
        </is>
      </c>
      <c r="B138" s="31" t="inlineStr">
        <is>
          <t>Honeywell Automation India Limited</t>
        </is>
      </c>
      <c r="C138" s="31" t="inlineStr">
        <is>
          <t>consumer discretionary</t>
        </is>
      </c>
      <c r="D138" s="31" t="inlineStr">
        <is>
          <t>electronics - components</t>
        </is>
      </c>
      <c r="E138" s="31" t="inlineStr">
        <is>
          <t>largecap</t>
        </is>
      </c>
      <c r="F138" s="31" t="n">
        <v>30680.08</v>
      </c>
      <c r="G138" s="31" t="n">
        <v>34700</v>
      </c>
      <c r="H138" s="31" t="n">
        <v>0.62</v>
      </c>
      <c r="I138" s="31" t="n">
        <v>4364</v>
      </c>
      <c r="J138" s="31" t="inlineStr">
        <is>
          <t>517174</t>
        </is>
      </c>
    </row>
    <row r="139">
      <c r="A139" s="31" t="inlineStr">
        <is>
          <t>STYLAMIND</t>
        </is>
      </c>
      <c r="B139" s="31" t="inlineStr">
        <is>
          <t>Stylam Industries Ltd</t>
        </is>
      </c>
      <c r="C139" s="31" t="inlineStr">
        <is>
          <t>building materials</t>
        </is>
      </c>
      <c r="D139" s="31" t="inlineStr">
        <is>
          <t>miscellaneous</t>
        </is>
      </c>
      <c r="E139" s="31" t="inlineStr">
        <is>
          <t>midcap</t>
        </is>
      </c>
      <c r="F139" s="31" t="n">
        <v>5175.09</v>
      </c>
      <c r="G139" s="31" t="n">
        <v>3053.5</v>
      </c>
      <c r="H139" s="31" t="n">
        <v>0.54</v>
      </c>
      <c r="I139" s="31" t="n">
        <v>19378</v>
      </c>
      <c r="J139" s="31" t="inlineStr">
        <is>
          <t>526951</t>
        </is>
      </c>
    </row>
    <row r="140">
      <c r="A140" s="31" t="inlineStr">
        <is>
          <t>UNIDT</t>
        </is>
      </c>
      <c r="B140" s="31" t="inlineStr">
        <is>
          <t>United Drilling Tools Ltd</t>
        </is>
      </c>
      <c r="C140" s="31" t="inlineStr">
        <is>
          <t>industrials</t>
        </is>
      </c>
      <c r="D140" s="31" t="inlineStr">
        <is>
          <t>engineering</t>
        </is>
      </c>
      <c r="E140" s="31" t="inlineStr">
        <is>
          <t>smallcap</t>
        </is>
      </c>
      <c r="F140" s="31" t="n">
        <v>506.58</v>
      </c>
      <c r="G140" s="31" t="n">
        <v>249.51</v>
      </c>
      <c r="H140" s="31" t="n">
        <v>0.53</v>
      </c>
      <c r="I140" s="31" t="n">
        <v>18139</v>
      </c>
      <c r="J140" s="31" t="inlineStr">
        <is>
          <t>522014</t>
        </is>
      </c>
    </row>
    <row r="141">
      <c r="A141" s="31" t="inlineStr">
        <is>
          <t>APOLLO</t>
        </is>
      </c>
      <c r="B141" s="31" t="inlineStr">
        <is>
          <t>Apollo Micro Systems Ltd</t>
        </is>
      </c>
      <c r="C141" s="31" t="inlineStr">
        <is>
          <t>aerospace &amp; defence</t>
        </is>
      </c>
      <c r="D141" s="31" t="inlineStr">
        <is>
          <t>electronics - components</t>
        </is>
      </c>
      <c r="E141" s="31" t="inlineStr">
        <is>
          <t>midcap</t>
        </is>
      </c>
      <c r="F141" s="31" t="n">
        <v>15054.52</v>
      </c>
      <c r="G141" s="31" t="n">
        <v>421.35</v>
      </c>
      <c r="H141" s="31" t="n">
        <v>0.51</v>
      </c>
      <c r="I141" s="31" t="n">
        <v>27746500</v>
      </c>
      <c r="J141" s="31" t="inlineStr">
        <is>
          <t>540879</t>
        </is>
      </c>
    </row>
    <row r="142">
      <c r="A142" s="31" t="inlineStr">
        <is>
          <t>NUVAMA</t>
        </is>
      </c>
      <c r="B142" s="31" t="inlineStr">
        <is>
          <t>Nuvama Wealth Management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largecap</t>
        </is>
      </c>
      <c r="F142" s="31" t="n">
        <v>28660.62</v>
      </c>
      <c r="G142" s="31" t="n">
        <v>1574.4</v>
      </c>
      <c r="H142" s="31" t="n">
        <v>0.5</v>
      </c>
      <c r="I142" s="31" t="n">
        <v>335047</v>
      </c>
      <c r="J142" s="31" t="inlineStr">
        <is>
          <t>543988</t>
        </is>
      </c>
    </row>
    <row r="143">
      <c r="A143" s="31" t="inlineStr">
        <is>
          <t>GRWRHITECH</t>
        </is>
      </c>
      <c r="B143" s="31" t="inlineStr">
        <is>
          <t>Garware Hi Tech Films Ltd</t>
        </is>
      </c>
      <c r="C143" s="31" t="inlineStr">
        <is>
          <t>industrials</t>
        </is>
      </c>
      <c r="D143" s="31" t="inlineStr">
        <is>
          <t>packaging</t>
        </is>
      </c>
      <c r="E143" s="31" t="inlineStr">
        <is>
          <t>midcap</t>
        </is>
      </c>
      <c r="F143" s="31" t="n">
        <v>13690.85</v>
      </c>
      <c r="G143" s="31" t="n">
        <v>5893</v>
      </c>
      <c r="H143" s="31" t="n">
        <v>0.5</v>
      </c>
      <c r="I143" s="31" t="n">
        <v>57041</v>
      </c>
      <c r="J143" s="31" t="inlineStr">
        <is>
          <t>500655</t>
        </is>
      </c>
    </row>
    <row r="144">
      <c r="A144" s="31" t="inlineStr">
        <is>
          <t>RUBYMILLS</t>
        </is>
      </c>
      <c r="B144" s="31" t="inlineStr">
        <is>
          <t>The Ruby Mills Limited</t>
        </is>
      </c>
      <c r="C144" s="31" t="inlineStr">
        <is>
          <t>textiles</t>
        </is>
      </c>
      <c r="D144" s="31" t="inlineStr">
        <is>
          <t>textiles - composite</t>
        </is>
      </c>
      <c r="E144" s="31" t="inlineStr">
        <is>
          <t>smallcap</t>
        </is>
      </c>
      <c r="F144" s="31" t="n">
        <v>1129.77</v>
      </c>
      <c r="G144" s="31" t="n">
        <v>337.85</v>
      </c>
      <c r="H144" s="31" t="n">
        <v>0.49</v>
      </c>
      <c r="I144" s="31" t="n">
        <v>127037</v>
      </c>
      <c r="J144" s="31" t="inlineStr">
        <is>
          <t>503169</t>
        </is>
      </c>
    </row>
    <row r="145">
      <c r="A145" s="31" t="inlineStr">
        <is>
          <t>DATAPATTNS</t>
        </is>
      </c>
      <c r="B145" s="31" t="inlineStr">
        <is>
          <t>Data Patterns (India) Ltd</t>
        </is>
      </c>
      <c r="C145" s="31" t="inlineStr">
        <is>
          <t>aerospace &amp; defence</t>
        </is>
      </c>
      <c r="D145" s="31" t="inlineStr">
        <is>
          <t>electronics - components</t>
        </is>
      </c>
      <c r="E145" s="31" t="inlineStr">
        <is>
          <t>largecap</t>
        </is>
      </c>
      <c r="F145" s="31" t="n">
        <v>23583.81</v>
      </c>
      <c r="G145" s="31" t="n">
        <v>4212.6</v>
      </c>
      <c r="H145" s="31" t="n">
        <v>0.48</v>
      </c>
      <c r="I145" s="31" t="n">
        <v>1177096</v>
      </c>
      <c r="J145" s="31" t="inlineStr">
        <is>
          <t>543428</t>
        </is>
      </c>
    </row>
    <row r="146">
      <c r="A146" s="31" t="inlineStr">
        <is>
          <t>GOKULAGRO</t>
        </is>
      </c>
      <c r="B146" s="31" t="inlineStr">
        <is>
          <t>Gokul Agro Resources Limited</t>
        </is>
      </c>
      <c r="C146" s="31" t="inlineStr">
        <is>
          <t>fmcg</t>
        </is>
      </c>
      <c r="D146" s="31" t="inlineStr">
        <is>
          <t>solvent extraction</t>
        </is>
      </c>
      <c r="E146" s="31" t="inlineStr">
        <is>
          <t>midcap</t>
        </is>
      </c>
      <c r="F146" s="31" t="n">
        <v>6871.09</v>
      </c>
      <c r="G146" s="31" t="n">
        <v>232.85</v>
      </c>
      <c r="H146" s="31" t="n">
        <v>0.45</v>
      </c>
      <c r="I146" s="31" t="n">
        <v>128711</v>
      </c>
      <c r="J146" s="31" t="inlineStr">
        <is>
          <t>539725</t>
        </is>
      </c>
    </row>
    <row r="147">
      <c r="A147" s="31" t="inlineStr">
        <is>
          <t>SYRMA</t>
        </is>
      </c>
      <c r="B147" s="31" t="inlineStr">
        <is>
          <t>Syrma SGS Technology Ltd</t>
        </is>
      </c>
      <c r="C147" s="31" t="inlineStr">
        <is>
          <t>consumer discretionary</t>
        </is>
      </c>
      <c r="D147" s="31" t="inlineStr">
        <is>
          <t>electronics - components</t>
        </is>
      </c>
      <c r="E147" s="31" t="inlineStr">
        <is>
          <t>largecap</t>
        </is>
      </c>
      <c r="F147" s="31" t="n">
        <v>23656.44</v>
      </c>
      <c r="G147" s="31" t="n">
        <v>1226.8</v>
      </c>
      <c r="H147" s="31" t="n">
        <v>0.43</v>
      </c>
      <c r="I147" s="31" t="n">
        <v>737121</v>
      </c>
      <c r="J147" s="31" t="inlineStr">
        <is>
          <t>543573</t>
        </is>
      </c>
    </row>
    <row r="148">
      <c r="A148" s="31" t="inlineStr">
        <is>
          <t>NAHARINDUS</t>
        </is>
      </c>
      <c r="B148" s="31" t="inlineStr">
        <is>
          <t>Nahar Industrial Enterprises Limited</t>
        </is>
      </c>
      <c r="C148" s="31" t="inlineStr">
        <is>
          <t>textiles</t>
        </is>
      </c>
      <c r="D148" s="31" t="inlineStr">
        <is>
          <t>textiles - cotton/blended</t>
        </is>
      </c>
      <c r="E148" s="31" t="inlineStr">
        <is>
          <t>smallcap</t>
        </is>
      </c>
      <c r="F148" s="31" t="n">
        <v>518.86</v>
      </c>
      <c r="G148" s="31" t="n">
        <v>120.09</v>
      </c>
      <c r="H148" s="31" t="n">
        <v>0.42</v>
      </c>
      <c r="I148" s="31" t="n">
        <v>22554</v>
      </c>
      <c r="J148" s="31" t="inlineStr">
        <is>
          <t>519136</t>
        </is>
      </c>
    </row>
    <row r="149">
      <c r="A149" s="31" t="inlineStr">
        <is>
          <t>ZYDUSLIFE</t>
        </is>
      </c>
      <c r="B149" s="31" t="inlineStr">
        <is>
          <t>Zydus Lifesciences Ltd</t>
        </is>
      </c>
      <c r="C149" s="31" t="inlineStr">
        <is>
          <t>healthcare</t>
        </is>
      </c>
      <c r="D149" s="31" t="inlineStr">
        <is>
          <t>pharmaceuticals - indian - bulk drugs &amp; formln</t>
        </is>
      </c>
      <c r="E149" s="31" t="inlineStr">
        <is>
          <t>largecap</t>
        </is>
      </c>
      <c r="F149" s="31" t="n">
        <v>109578.88</v>
      </c>
      <c r="G149" s="31" t="n">
        <v>1089</v>
      </c>
      <c r="H149" s="31" t="n">
        <v>0.41</v>
      </c>
      <c r="I149" s="31" t="n">
        <v>919205</v>
      </c>
      <c r="J149" s="31" t="inlineStr">
        <is>
          <t>532321</t>
        </is>
      </c>
    </row>
    <row r="150">
      <c r="A150" s="31" t="inlineStr">
        <is>
          <t>MSPL</t>
        </is>
      </c>
      <c r="B150" s="31" t="inlineStr">
        <is>
          <t>Msp Steel &amp; Power Limited</t>
        </is>
      </c>
      <c r="C150" s="31" t="inlineStr">
        <is>
          <t>metals &amp; mining</t>
        </is>
      </c>
      <c r="D150" s="31" t="inlineStr">
        <is>
          <t>steel - medium / small</t>
        </is>
      </c>
      <c r="E150" s="31" t="inlineStr">
        <is>
          <t>smallcap</t>
        </is>
      </c>
      <c r="F150" s="31" t="n">
        <v>2329.53</v>
      </c>
      <c r="G150" s="31" t="n">
        <v>41.1</v>
      </c>
      <c r="H150" s="31" t="n">
        <v>0.39</v>
      </c>
      <c r="I150" s="31" t="n">
        <v>4700435</v>
      </c>
      <c r="J150" s="31" t="inlineStr">
        <is>
          <t>532650</t>
        </is>
      </c>
    </row>
    <row r="151">
      <c r="A151" s="31" t="inlineStr">
        <is>
          <t>WSTCSTPAPR</t>
        </is>
      </c>
      <c r="B151" s="31" t="inlineStr">
        <is>
          <t>West Coast Paper Mills Limited</t>
        </is>
      </c>
      <c r="C151" s="31" t="inlineStr">
        <is>
          <t>building materials</t>
        </is>
      </c>
      <c r="D151" s="31" t="inlineStr">
        <is>
          <t>paper</t>
        </is>
      </c>
      <c r="E151" s="31" t="inlineStr">
        <is>
          <t>smallcap</t>
        </is>
      </c>
      <c r="F151" s="31" t="n">
        <v>3389.96</v>
      </c>
      <c r="G151" s="31" t="n">
        <v>513.25</v>
      </c>
      <c r="H151" s="31" t="n">
        <v>0.38</v>
      </c>
      <c r="I151" s="31" t="n">
        <v>120647</v>
      </c>
      <c r="J151" s="31" t="inlineStr">
        <is>
          <t>500444</t>
        </is>
      </c>
    </row>
    <row r="152">
      <c r="A152" s="31" t="inlineStr">
        <is>
          <t>NAHARSPING</t>
        </is>
      </c>
      <c r="B152" s="31" t="inlineStr">
        <is>
          <t>Nahar Spinning Mills Limited</t>
        </is>
      </c>
      <c r="C152" s="31" t="inlineStr">
        <is>
          <t>textiles</t>
        </is>
      </c>
      <c r="D152" s="31" t="inlineStr">
        <is>
          <t>textiles - cotton/blended</t>
        </is>
      </c>
      <c r="E152" s="31" t="inlineStr">
        <is>
          <t>smallcap</t>
        </is>
      </c>
      <c r="F152" s="31" t="n">
        <v>1010.01</v>
      </c>
      <c r="G152" s="31" t="n">
        <v>280.05</v>
      </c>
      <c r="H152" s="31" t="n">
        <v>0.38</v>
      </c>
      <c r="I152" s="31" t="n">
        <v>16759</v>
      </c>
      <c r="J152" s="31" t="inlineStr">
        <is>
          <t>500296</t>
        </is>
      </c>
    </row>
    <row r="153">
      <c r="A153" s="31" t="inlineStr">
        <is>
          <t>GUJTHEM</t>
        </is>
      </c>
      <c r="B153" s="31" t="inlineStr">
        <is>
          <t>Gujarat Themis Biosyn Ltd</t>
        </is>
      </c>
      <c r="C153" s="31" t="inlineStr">
        <is>
          <t>healthcare</t>
        </is>
      </c>
      <c r="D153" s="31" t="inlineStr">
        <is>
          <t>pharmaceuticals - indian - bulk drugs</t>
        </is>
      </c>
      <c r="E153" s="31" t="inlineStr">
        <is>
          <t>smallcap</t>
        </is>
      </c>
      <c r="F153" s="31" t="n">
        <v>4502.44</v>
      </c>
      <c r="G153" s="31" t="n">
        <v>413.2</v>
      </c>
      <c r="H153" s="31" t="n">
        <v>0.38</v>
      </c>
      <c r="I153" s="31" t="n">
        <v>137723</v>
      </c>
      <c r="J153" s="31" t="inlineStr">
        <is>
          <t>506879</t>
        </is>
      </c>
    </row>
    <row r="154">
      <c r="A154" s="31" t="inlineStr">
        <is>
          <t>PIDILITIND</t>
        </is>
      </c>
      <c r="B154" s="31" t="inlineStr">
        <is>
          <t>Pidilite Industries Limited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largecap</t>
        </is>
      </c>
      <c r="F154" s="31" t="n">
        <v>150283.37</v>
      </c>
      <c r="G154" s="31" t="n">
        <v>1476.6</v>
      </c>
      <c r="H154" s="31" t="n">
        <v>0.37</v>
      </c>
      <c r="I154" s="31" t="n">
        <v>489330</v>
      </c>
      <c r="J154" s="31" t="inlineStr">
        <is>
          <t>500331</t>
        </is>
      </c>
    </row>
    <row r="155">
      <c r="A155" s="31" t="inlineStr">
        <is>
          <t>DEEPAKFERT</t>
        </is>
      </c>
      <c r="B155" s="31" t="inlineStr">
        <is>
          <t>Deepak Fertilizers And Petrochemicals Corporation Limited</t>
        </is>
      </c>
      <c r="C155" s="31" t="inlineStr">
        <is>
          <t>chemicals</t>
        </is>
      </c>
      <c r="D155" s="31" t="inlineStr">
        <is>
          <t>chemicals</t>
        </is>
      </c>
      <c r="E155" s="31" t="inlineStr">
        <is>
          <t>midcap</t>
        </is>
      </c>
      <c r="F155" s="31" t="n">
        <v>17998.99</v>
      </c>
      <c r="G155" s="31" t="n">
        <v>1425.8</v>
      </c>
      <c r="H155" s="31" t="n">
        <v>0.37</v>
      </c>
      <c r="I155" s="31" t="n">
        <v>112062</v>
      </c>
      <c r="J155" s="31" t="inlineStr">
        <is>
          <t>500645</t>
        </is>
      </c>
    </row>
    <row r="156">
      <c r="A156" s="31" t="inlineStr">
        <is>
          <t>MUFIN</t>
        </is>
      </c>
      <c r="B156" s="31" t="inlineStr">
        <is>
          <t>Mufin Green Finance Ltd</t>
        </is>
      </c>
      <c r="C156" s="31" t="inlineStr">
        <is>
          <t>financials</t>
        </is>
      </c>
      <c r="D156" s="31" t="inlineStr">
        <is>
          <t>finance &amp; investments</t>
        </is>
      </c>
      <c r="E156" s="31" t="inlineStr">
        <is>
          <t>smallcap</t>
        </is>
      </c>
      <c r="F156" s="31" t="n">
        <v>2427.49</v>
      </c>
      <c r="G156" s="31" t="n">
        <v>122.5</v>
      </c>
      <c r="H156" s="31" t="n">
        <v>0.37</v>
      </c>
      <c r="I156" s="31" t="n">
        <v>1450926</v>
      </c>
      <c r="J156" s="31" t="inlineStr">
        <is>
          <t>542774</t>
        </is>
      </c>
    </row>
    <row r="157">
      <c r="A157" s="31" t="inlineStr">
        <is>
          <t>WELINV</t>
        </is>
      </c>
      <c r="B157" s="31" t="inlineStr">
        <is>
          <t>Welspun Investments And Commercials Limited</t>
        </is>
      </c>
      <c r="C157" s="31" t="inlineStr">
        <is>
          <t>financials</t>
        </is>
      </c>
      <c r="D157" s="31" t="inlineStr">
        <is>
          <t>finance &amp; investments</t>
        </is>
      </c>
      <c r="E157" s="31" t="inlineStr">
        <is>
          <t>smallcap</t>
        </is>
      </c>
      <c r="F157" s="31" t="n">
        <v>650.5</v>
      </c>
      <c r="G157" s="31" t="n">
        <v>1780</v>
      </c>
      <c r="H157" s="31" t="n">
        <v>0.35</v>
      </c>
      <c r="I157" s="31" t="n">
        <v>105</v>
      </c>
      <c r="J157" s="31" t="inlineStr">
        <is>
          <t>533252</t>
        </is>
      </c>
    </row>
    <row r="158">
      <c r="A158" s="31" t="inlineStr">
        <is>
          <t>APCOTEXIND</t>
        </is>
      </c>
      <c r="B158" s="31" t="inlineStr">
        <is>
          <t>Apcotex Industries Limited</t>
        </is>
      </c>
      <c r="C158" s="31" t="inlineStr">
        <is>
          <t>chemicals</t>
        </is>
      </c>
      <c r="D158" s="31" t="inlineStr">
        <is>
          <t>miscellaneous</t>
        </is>
      </c>
      <c r="E158" s="31" t="inlineStr">
        <is>
          <t>smallcap</t>
        </is>
      </c>
      <c r="F158" s="31" t="n">
        <v>2800.66</v>
      </c>
      <c r="G158" s="31" t="n">
        <v>540.2</v>
      </c>
      <c r="H158" s="31" t="n">
        <v>0.34</v>
      </c>
      <c r="I158" s="31" t="n">
        <v>215905</v>
      </c>
      <c r="J158" s="31" t="inlineStr">
        <is>
          <t>523694</t>
        </is>
      </c>
    </row>
    <row r="159">
      <c r="A159" s="31" t="inlineStr">
        <is>
          <t>AZAD</t>
        </is>
      </c>
      <c r="B159" s="31" t="inlineStr">
        <is>
          <t>Azad Engineering Ltd</t>
        </is>
      </c>
      <c r="C159" s="31" t="inlineStr">
        <is>
          <t>aerospace &amp; defence</t>
        </is>
      </c>
      <c r="D159" s="31" t="inlineStr">
        <is>
          <t>engineering</t>
        </is>
      </c>
      <c r="E159" s="31" t="inlineStr">
        <is>
          <t>midcap</t>
        </is>
      </c>
      <c r="F159" s="31" t="n">
        <v>14257.71</v>
      </c>
      <c r="G159" s="31" t="n">
        <v>2207.7</v>
      </c>
      <c r="H159" s="31" t="n">
        <v>0.33</v>
      </c>
      <c r="I159" s="31" t="n">
        <v>387649</v>
      </c>
      <c r="J159" s="31" t="inlineStr">
        <is>
          <t>544061</t>
        </is>
      </c>
    </row>
    <row r="160">
      <c r="A160" s="31" t="inlineStr">
        <is>
          <t>ZENTEC</t>
        </is>
      </c>
      <c r="B160" s="31" t="inlineStr">
        <is>
          <t>Zen Technologies Limited</t>
        </is>
      </c>
      <c r="C160" s="31" t="inlineStr">
        <is>
          <t>aerospace &amp; defence</t>
        </is>
      </c>
      <c r="D160" s="31" t="inlineStr">
        <is>
          <t>miscellaneous</t>
        </is>
      </c>
      <c r="E160" s="31" t="inlineStr">
        <is>
          <t>midcap</t>
        </is>
      </c>
      <c r="F160" s="31" t="n">
        <v>16390.41</v>
      </c>
      <c r="G160" s="31" t="n">
        <v>1815.3</v>
      </c>
      <c r="H160" s="31" t="n">
        <v>0.3</v>
      </c>
      <c r="I160" s="31" t="n">
        <v>1598541</v>
      </c>
      <c r="J160" s="31" t="inlineStr">
        <is>
          <t>533339</t>
        </is>
      </c>
    </row>
    <row r="161">
      <c r="A161" s="31" t="inlineStr">
        <is>
          <t>PTL</t>
        </is>
      </c>
      <c r="B161" s="31" t="inlineStr">
        <is>
          <t>Ptl Enterprises Limited</t>
        </is>
      </c>
      <c r="C161" s="31" t="inlineStr">
        <is>
          <t>miscellaneous</t>
        </is>
      </c>
      <c r="D161" s="31" t="inlineStr">
        <is>
          <t>miscellaneous</t>
        </is>
      </c>
      <c r="E161" s="31" t="inlineStr">
        <is>
          <t>smallcap</t>
        </is>
      </c>
      <c r="F161" s="31" t="n">
        <v>529.38</v>
      </c>
      <c r="G161" s="31" t="n">
        <v>39.99</v>
      </c>
      <c r="H161" s="31" t="n">
        <v>0.28</v>
      </c>
      <c r="I161" s="31" t="n">
        <v>27103</v>
      </c>
      <c r="J161" s="31" t="inlineStr">
        <is>
          <t>509220</t>
        </is>
      </c>
    </row>
    <row r="162">
      <c r="A162" s="31" t="inlineStr">
        <is>
          <t>SURYODAY</t>
        </is>
      </c>
      <c r="B162" s="31" t="inlineStr">
        <is>
          <t>Suryoday Small Finance Bank Ltd</t>
        </is>
      </c>
      <c r="C162" s="31" t="inlineStr">
        <is>
          <t>bank</t>
        </is>
      </c>
      <c r="D162" s="31" t="inlineStr">
        <is>
          <t>banks - private sector</t>
        </is>
      </c>
      <c r="E162" s="31" t="inlineStr">
        <is>
          <t>smallcap</t>
        </is>
      </c>
      <c r="F162" s="31" t="n">
        <v>1826.38</v>
      </c>
      <c r="G162" s="31" t="n">
        <v>171.83</v>
      </c>
      <c r="H162" s="31" t="n">
        <v>0.26</v>
      </c>
      <c r="I162" s="31" t="n">
        <v>265733</v>
      </c>
      <c r="J162" s="31" t="inlineStr">
        <is>
          <t>543279</t>
        </is>
      </c>
    </row>
    <row r="163">
      <c r="A163" s="31" t="inlineStr">
        <is>
          <t>PREMIERENE</t>
        </is>
      </c>
      <c r="B163" s="31" t="inlineStr">
        <is>
          <t>Premier Energies Ltd</t>
        </is>
      </c>
      <c r="C163" s="31" t="inlineStr">
        <is>
          <t>services</t>
        </is>
      </c>
      <c r="D163" s="31" t="inlineStr">
        <is>
          <t>trading</t>
        </is>
      </c>
      <c r="E163" s="31" t="inlineStr">
        <is>
          <t>largecap</t>
        </is>
      </c>
      <c r="F163" s="31" t="n">
        <v>48927.92</v>
      </c>
      <c r="G163" s="31" t="n">
        <v>1080.1</v>
      </c>
      <c r="H163" s="31" t="n">
        <v>0.21</v>
      </c>
      <c r="I163" s="31" t="n">
        <v>1147886</v>
      </c>
      <c r="J163" s="31" t="n"/>
    </row>
    <row r="164">
      <c r="A164" s="31" t="inlineStr">
        <is>
          <t>BANDHANBNK</t>
        </is>
      </c>
      <c r="B164" s="31" t="inlineStr">
        <is>
          <t>Bandhan Bank Ltd</t>
        </is>
      </c>
      <c r="C164" s="31" t="inlineStr">
        <is>
          <t>bank</t>
        </is>
      </c>
      <c r="D164" s="31" t="inlineStr">
        <is>
          <t>banks - private sector</t>
        </is>
      </c>
      <c r="E164" s="31" t="inlineStr">
        <is>
          <t>largecap</t>
        </is>
      </c>
      <c r="F164" s="31" t="n">
        <v>33165.09</v>
      </c>
      <c r="G164" s="31" t="n">
        <v>205.87</v>
      </c>
      <c r="H164" s="31" t="n">
        <v>0.21</v>
      </c>
      <c r="I164" s="31" t="n">
        <v>6152884</v>
      </c>
      <c r="J164" s="31" t="inlineStr">
        <is>
          <t>541153</t>
        </is>
      </c>
    </row>
    <row r="165">
      <c r="A165" s="31" t="inlineStr">
        <is>
          <t>CIPLA</t>
        </is>
      </c>
      <c r="B165" s="31" t="inlineStr">
        <is>
          <t>Cipla Limited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largecap</t>
        </is>
      </c>
      <c r="F165" s="31" t="n">
        <v>113194.58</v>
      </c>
      <c r="G165" s="31" t="n">
        <v>1401.3</v>
      </c>
      <c r="H165" s="31" t="n">
        <v>0.19</v>
      </c>
      <c r="I165" s="31" t="n">
        <v>1050391</v>
      </c>
      <c r="J165" s="31" t="inlineStr">
        <is>
          <t>500087</t>
        </is>
      </c>
    </row>
    <row r="166">
      <c r="A166" s="31" t="inlineStr">
        <is>
          <t>SONACOMS</t>
        </is>
      </c>
      <c r="B166" s="31" t="inlineStr">
        <is>
          <t>Sona BLW Precision Forgings Ltd</t>
        </is>
      </c>
      <c r="C166" s="31" t="inlineStr">
        <is>
          <t>auto</t>
        </is>
      </c>
      <c r="D166" s="31" t="inlineStr">
        <is>
          <t>auto ancillaries</t>
        </is>
      </c>
      <c r="E166" s="31" t="inlineStr">
        <is>
          <t>largecap</t>
        </is>
      </c>
      <c r="F166" s="31" t="n">
        <v>37453.84</v>
      </c>
      <c r="G166" s="31" t="n">
        <v>602.3</v>
      </c>
      <c r="H166" s="31" t="n">
        <v>0.19</v>
      </c>
      <c r="I166" s="31" t="n">
        <v>1525449</v>
      </c>
      <c r="J166" s="31" t="inlineStr">
        <is>
          <t>543300</t>
        </is>
      </c>
    </row>
    <row r="167">
      <c r="A167" s="31" t="inlineStr">
        <is>
          <t>PREMEXPLN</t>
        </is>
      </c>
      <c r="B167" s="31" t="inlineStr">
        <is>
          <t>Premier Explosives Limited</t>
        </is>
      </c>
      <c r="C167" s="31" t="inlineStr">
        <is>
          <t>aerospace &amp; defence</t>
        </is>
      </c>
      <c r="D167" s="31" t="inlineStr">
        <is>
          <t>chemicals</t>
        </is>
      </c>
      <c r="E167" s="31" t="inlineStr">
        <is>
          <t>smallcap</t>
        </is>
      </c>
      <c r="F167" s="31" t="n">
        <v>3686.14</v>
      </c>
      <c r="G167" s="31" t="n">
        <v>685.65</v>
      </c>
      <c r="H167" s="31" t="n">
        <v>0.18</v>
      </c>
      <c r="I167" s="31" t="n">
        <v>1518822</v>
      </c>
      <c r="J167" s="31" t="inlineStr">
        <is>
          <t>526247</t>
        </is>
      </c>
    </row>
    <row r="168">
      <c r="A168" s="31" t="inlineStr">
        <is>
          <t>KOVAI</t>
        </is>
      </c>
      <c r="B168" s="31" t="inlineStr">
        <is>
          <t>Kovai Medical Center &amp; Hospital Ltd</t>
        </is>
      </c>
      <c r="C168" s="31" t="inlineStr">
        <is>
          <t>healthcare</t>
        </is>
      </c>
      <c r="D168" s="31" t="inlineStr">
        <is>
          <t>healthcare</t>
        </is>
      </c>
      <c r="E168" s="31" t="inlineStr">
        <is>
          <t>midcap</t>
        </is>
      </c>
      <c r="F168" s="31" t="n">
        <v>5906.63</v>
      </c>
      <c r="G168" s="31" t="n">
        <v>5398</v>
      </c>
      <c r="H168" s="31" t="n">
        <v>0.17</v>
      </c>
      <c r="I168" s="31" t="n">
        <v>2202</v>
      </c>
      <c r="J168" s="31" t="inlineStr">
        <is>
          <t>523323</t>
        </is>
      </c>
    </row>
    <row r="169">
      <c r="A169" s="31" t="inlineStr">
        <is>
          <t>LLOYDSME</t>
        </is>
      </c>
      <c r="B169" s="31" t="inlineStr">
        <is>
          <t>Lloyds Metals &amp; Energy Ltd</t>
        </is>
      </c>
      <c r="C169" s="31" t="inlineStr">
        <is>
          <t>metals &amp; mining</t>
        </is>
      </c>
      <c r="D169" s="31" t="inlineStr">
        <is>
          <t>mining / minerals / metals</t>
        </is>
      </c>
      <c r="E169" s="31" t="inlineStr">
        <is>
          <t>largecap</t>
        </is>
      </c>
      <c r="F169" s="31" t="n">
        <v>100096.96</v>
      </c>
      <c r="G169" s="31" t="n">
        <v>1778.6</v>
      </c>
      <c r="H169" s="31" t="n">
        <v>0.17</v>
      </c>
      <c r="I169" s="31" t="n">
        <v>486178</v>
      </c>
      <c r="J169" s="31" t="inlineStr">
        <is>
          <t>512455</t>
        </is>
      </c>
    </row>
    <row r="170">
      <c r="A170" s="31" t="inlineStr">
        <is>
          <t>ABB</t>
        </is>
      </c>
      <c r="B170" s="31" t="inlineStr">
        <is>
          <t>Abb India Limited</t>
        </is>
      </c>
      <c r="C170" s="31" t="inlineStr">
        <is>
          <t>industrials</t>
        </is>
      </c>
      <c r="D170" s="31" t="inlineStr">
        <is>
          <t>electric equipment</t>
        </is>
      </c>
      <c r="E170" s="31" t="inlineStr">
        <is>
          <t>largecap</t>
        </is>
      </c>
      <c r="F170" s="31" t="n">
        <v>151885.33</v>
      </c>
      <c r="G170" s="31" t="n">
        <v>7167.5</v>
      </c>
      <c r="H170" s="31" t="n">
        <v>0.16</v>
      </c>
      <c r="I170" s="31" t="n">
        <v>249982</v>
      </c>
      <c r="J170" s="31" t="inlineStr">
        <is>
          <t>500002</t>
        </is>
      </c>
    </row>
    <row r="171">
      <c r="A171" s="31" t="inlineStr">
        <is>
          <t>AJAXENGG</t>
        </is>
      </c>
      <c r="B171" s="31" t="inlineStr">
        <is>
          <t>Ajax Engineering Ltd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midcap</t>
        </is>
      </c>
      <c r="F171" s="31" t="n">
        <v>6884.43</v>
      </c>
      <c r="G171" s="31" t="n">
        <v>601.75</v>
      </c>
      <c r="H171" s="31" t="n">
        <v>0.15</v>
      </c>
      <c r="I171" s="31" t="n">
        <v>41503</v>
      </c>
      <c r="J171" s="31" t="inlineStr">
        <is>
          <t>544356</t>
        </is>
      </c>
    </row>
    <row r="172">
      <c r="A172" s="31" t="inlineStr">
        <is>
          <t>PIXTRANS</t>
        </is>
      </c>
      <c r="B172" s="31" t="inlineStr">
        <is>
          <t>Pix Transmission Ltd</t>
        </is>
      </c>
      <c r="C172" s="31" t="inlineStr">
        <is>
          <t>fmcg</t>
        </is>
      </c>
      <c r="D172" s="31" t="inlineStr">
        <is>
          <t>miscellaneous</t>
        </is>
      </c>
      <c r="E172" s="31" t="inlineStr">
        <is>
          <t>smallcap</t>
        </is>
      </c>
      <c r="F172" s="31" t="n">
        <v>2192.16</v>
      </c>
      <c r="G172" s="31" t="n">
        <v>1608.9</v>
      </c>
      <c r="H172" s="31" t="n">
        <v>0.14</v>
      </c>
      <c r="I172" s="31" t="n">
        <v>28959</v>
      </c>
      <c r="J172" s="31" t="inlineStr">
        <is>
          <t>500333</t>
        </is>
      </c>
    </row>
    <row r="173">
      <c r="A173" s="31" t="inlineStr">
        <is>
          <t>RITCO</t>
        </is>
      </c>
      <c r="B173" s="31" t="inlineStr">
        <is>
          <t>Ritco Logistics Ltd</t>
        </is>
      </c>
      <c r="C173" s="31" t="inlineStr">
        <is>
          <t>transportation</t>
        </is>
      </c>
      <c r="D173" s="31" t="inlineStr">
        <is>
          <t>miscellaneous</t>
        </is>
      </c>
      <c r="E173" s="31" t="inlineStr">
        <is>
          <t>smallcap</t>
        </is>
      </c>
      <c r="F173" s="31" t="n">
        <v>742.47</v>
      </c>
      <c r="G173" s="31" t="n">
        <v>259.4</v>
      </c>
      <c r="H173" s="31" t="n">
        <v>0.14</v>
      </c>
      <c r="I173" s="31" t="n">
        <v>109176</v>
      </c>
      <c r="J173" s="31" t="inlineStr">
        <is>
          <t>542383</t>
        </is>
      </c>
    </row>
    <row r="174">
      <c r="A174" s="31" t="inlineStr">
        <is>
          <t>IDEA</t>
        </is>
      </c>
      <c r="B174" s="31" t="inlineStr">
        <is>
          <t>Vodafone Idea Ltd</t>
        </is>
      </c>
      <c r="C174" s="31" t="inlineStr">
        <is>
          <t>telecom-service</t>
        </is>
      </c>
      <c r="D174" s="31" t="inlineStr">
        <is>
          <t>telecommunications - service provider</t>
        </is>
      </c>
      <c r="E174" s="31" t="inlineStr">
        <is>
          <t>largecap</t>
        </is>
      </c>
      <c r="F174" s="31" t="n">
        <v>161972.84</v>
      </c>
      <c r="G174" s="31" t="n">
        <v>14.95</v>
      </c>
      <c r="H174" s="31" t="n">
        <v>0.13</v>
      </c>
      <c r="I174" s="31" t="n">
        <v>685576040</v>
      </c>
      <c r="J174" s="31" t="inlineStr">
        <is>
          <t>532822</t>
        </is>
      </c>
    </row>
    <row r="175">
      <c r="A175" s="31" t="inlineStr">
        <is>
          <t>CGCL</t>
        </is>
      </c>
      <c r="B175" s="31" t="inlineStr">
        <is>
          <t>Capri Global Capital Limited</t>
        </is>
      </c>
      <c r="C175" s="31" t="inlineStr">
        <is>
          <t>financials</t>
        </is>
      </c>
      <c r="D175" s="31" t="inlineStr">
        <is>
          <t>finance &amp; investments</t>
        </is>
      </c>
      <c r="E175" s="31" t="inlineStr">
        <is>
          <t>midcap</t>
        </is>
      </c>
      <c r="F175" s="31" t="n">
        <v>19509.6</v>
      </c>
      <c r="G175" s="31" t="n">
        <v>202.77</v>
      </c>
      <c r="H175" s="31" t="n">
        <v>0.12</v>
      </c>
      <c r="I175" s="31" t="n">
        <v>3384453</v>
      </c>
      <c r="J175" s="31" t="inlineStr">
        <is>
          <t>531595</t>
        </is>
      </c>
    </row>
    <row r="176">
      <c r="A176" s="31" t="inlineStr">
        <is>
          <t>WELENT</t>
        </is>
      </c>
      <c r="B176" s="31" t="inlineStr">
        <is>
          <t>Welspun Enterprises Limited</t>
        </is>
      </c>
      <c r="C176" s="31" t="inlineStr">
        <is>
          <t>realty</t>
        </is>
      </c>
      <c r="D176" s="31" t="inlineStr">
        <is>
          <t>construction</t>
        </is>
      </c>
      <c r="E176" s="31" t="inlineStr">
        <is>
          <t>midcap</t>
        </is>
      </c>
      <c r="F176" s="31" t="n">
        <v>7493.72</v>
      </c>
      <c r="G176" s="31" t="n">
        <v>541.4</v>
      </c>
      <c r="H176" s="31" t="n">
        <v>0.12</v>
      </c>
      <c r="I176" s="31" t="n">
        <v>245430</v>
      </c>
      <c r="J176" s="31" t="inlineStr">
        <is>
          <t>532553</t>
        </is>
      </c>
    </row>
    <row r="177">
      <c r="A177" s="31" t="inlineStr">
        <is>
          <t>ITI</t>
        </is>
      </c>
      <c r="B177" s="31" t="inlineStr">
        <is>
          <t>Iti Limited</t>
        </is>
      </c>
      <c r="C177" s="31" t="inlineStr">
        <is>
          <t>aerospace &amp; defence</t>
        </is>
      </c>
      <c r="D177" s="31" t="inlineStr">
        <is>
          <t>telecommunications - equipment</t>
        </is>
      </c>
      <c r="E177" s="31" t="inlineStr">
        <is>
          <t>largecap</t>
        </is>
      </c>
      <c r="F177" s="31" t="n">
        <v>29078.13</v>
      </c>
      <c r="G177" s="31" t="n">
        <v>302</v>
      </c>
      <c r="H177" s="31" t="n">
        <v>0.07000000000000001</v>
      </c>
      <c r="I177" s="31" t="n">
        <v>777791</v>
      </c>
      <c r="J177" s="31" t="inlineStr">
        <is>
          <t>523610</t>
        </is>
      </c>
    </row>
    <row r="178">
      <c r="A178" s="31" t="inlineStr">
        <is>
          <t>SPORTKING</t>
        </is>
      </c>
      <c r="B178" s="31" t="inlineStr">
        <is>
          <t>Sportking India Ltd</t>
        </is>
      </c>
      <c r="C178" s="31" t="inlineStr">
        <is>
          <t>textiles</t>
        </is>
      </c>
      <c r="D178" s="31" t="inlineStr">
        <is>
          <t>textiles - spinning - synthetic / blended</t>
        </is>
      </c>
      <c r="E178" s="31" t="inlineStr">
        <is>
          <t>smallcap</t>
        </is>
      </c>
      <c r="F178" s="31" t="n">
        <v>2292.12</v>
      </c>
      <c r="G178" s="31" t="n">
        <v>180.38</v>
      </c>
      <c r="H178" s="31" t="n">
        <v>0.06</v>
      </c>
      <c r="I178" s="31" t="n">
        <v>454052</v>
      </c>
      <c r="J178" s="31" t="inlineStr">
        <is>
          <t>539221</t>
        </is>
      </c>
    </row>
    <row r="179">
      <c r="A179" s="31" t="inlineStr">
        <is>
          <t>GMRAIRPORT</t>
        </is>
      </c>
      <c r="B179" s="31" t="inlineStr">
        <is>
          <t>GMR Airports Ltd</t>
        </is>
      </c>
      <c r="C179" s="31" t="inlineStr">
        <is>
          <t>miscellaneous</t>
        </is>
      </c>
      <c r="D179" s="31" t="inlineStr">
        <is>
          <t>miscellaneous</t>
        </is>
      </c>
      <c r="E179" s="31" t="inlineStr">
        <is>
          <t>largecap</t>
        </is>
      </c>
      <c r="F179" s="31" t="n">
        <v>107733.23</v>
      </c>
      <c r="G179" s="31" t="n">
        <v>102.03</v>
      </c>
      <c r="H179" s="31" t="n">
        <v>0.04</v>
      </c>
      <c r="I179" s="31" t="n">
        <v>21055639</v>
      </c>
      <c r="J179" s="31" t="inlineStr">
        <is>
          <t>532754</t>
        </is>
      </c>
    </row>
    <row r="180">
      <c r="A180" s="31" t="inlineStr">
        <is>
          <t>RRKABEL</t>
        </is>
      </c>
      <c r="B180" s="31" t="inlineStr">
        <is>
          <t>R R Kabel Ltd</t>
        </is>
      </c>
      <c r="C180" s="31" t="inlineStr">
        <is>
          <t>industrials</t>
        </is>
      </c>
      <c r="D180" s="31" t="inlineStr">
        <is>
          <t>cables - power</t>
        </is>
      </c>
      <c r="E180" s="31" t="inlineStr">
        <is>
          <t>largecap</t>
        </is>
      </c>
      <c r="F180" s="31" t="n">
        <v>25147.88</v>
      </c>
      <c r="G180" s="31" t="n">
        <v>2223.4</v>
      </c>
      <c r="H180" s="31" t="n">
        <v>0.02</v>
      </c>
      <c r="I180" s="31" t="n">
        <v>564015</v>
      </c>
      <c r="J180" s="31" t="inlineStr">
        <is>
          <t>543981</t>
        </is>
      </c>
    </row>
    <row r="181">
      <c r="A181" s="31" t="inlineStr">
        <is>
          <t>JINDRILL</t>
        </is>
      </c>
      <c r="B181" s="31" t="inlineStr">
        <is>
          <t>Jindal Drilling And Industries Limited</t>
        </is>
      </c>
      <c r="C181" s="31" t="inlineStr">
        <is>
          <t>energy</t>
        </is>
      </c>
      <c r="D181" s="31" t="inlineStr">
        <is>
          <t>oil drilling / allied services</t>
        </is>
      </c>
      <c r="E181" s="31" t="inlineStr">
        <is>
          <t>smallcap</t>
        </is>
      </c>
      <c r="F181" s="31" t="n">
        <v>1829.29</v>
      </c>
      <c r="G181" s="31" t="n">
        <v>631.2</v>
      </c>
      <c r="H181" s="31" t="n">
        <v>0.02</v>
      </c>
      <c r="I181" s="31" t="n">
        <v>460846</v>
      </c>
      <c r="J181" s="31" t="inlineStr">
        <is>
          <t>511034</t>
        </is>
      </c>
    </row>
    <row r="182">
      <c r="A182" s="31" t="inlineStr">
        <is>
          <t>DIAMONDYD</t>
        </is>
      </c>
      <c r="B182" s="31" t="inlineStr">
        <is>
          <t>Prataap Snacks Ltd</t>
        </is>
      </c>
      <c r="C182" s="31" t="inlineStr">
        <is>
          <t>fmcg</t>
        </is>
      </c>
      <c r="D182" s="31" t="inlineStr">
        <is>
          <t>food - processing - indian</t>
        </is>
      </c>
      <c r="E182" s="31" t="inlineStr">
        <is>
          <t>smallcap</t>
        </is>
      </c>
      <c r="F182" s="31" t="n">
        <v>2786.91</v>
      </c>
      <c r="G182" s="31" t="n">
        <v>1165.9</v>
      </c>
      <c r="H182" s="31" t="n">
        <v>0.01</v>
      </c>
      <c r="I182" s="31" t="n">
        <v>49264</v>
      </c>
      <c r="J182" s="31" t="inlineStr">
        <is>
          <t>540724</t>
        </is>
      </c>
    </row>
    <row r="183">
      <c r="A183" s="31" t="inlineStr">
        <is>
          <t>CEIGALL</t>
        </is>
      </c>
      <c r="B183" s="31" t="inlineStr">
        <is>
          <t>Ceigall India Ltd</t>
        </is>
      </c>
      <c r="C183" s="31" t="inlineStr">
        <is>
          <t>realty</t>
        </is>
      </c>
      <c r="D183" s="31" t="inlineStr">
        <is>
          <t>construction</t>
        </is>
      </c>
      <c r="E183" s="31" t="inlineStr">
        <is>
          <t>midcap</t>
        </is>
      </c>
      <c r="F183" s="31" t="n">
        <v>6245.24</v>
      </c>
      <c r="G183" s="31" t="n">
        <v>358.5</v>
      </c>
      <c r="H183" s="31" t="n">
        <v>0</v>
      </c>
      <c r="I183" s="31" t="n">
        <v>595015</v>
      </c>
      <c r="J183" s="31" t="inlineStr">
        <is>
          <t>544223</t>
        </is>
      </c>
    </row>
    <row r="184">
      <c r="A184" s="31" t="inlineStr">
        <is>
          <t>CGPOWER</t>
        </is>
      </c>
      <c r="B184" s="31" t="inlineStr">
        <is>
          <t>CG Power and Industrial Solutions Ltd</t>
        </is>
      </c>
      <c r="C184" s="31" t="inlineStr">
        <is>
          <t>industrials</t>
        </is>
      </c>
      <c r="D184" s="31" t="inlineStr">
        <is>
          <t>electric equipment</t>
        </is>
      </c>
      <c r="E184" s="31" t="inlineStr">
        <is>
          <t>largecap</t>
        </is>
      </c>
      <c r="F184" s="31" t="n">
        <v>147703.99</v>
      </c>
      <c r="G184" s="31" t="n">
        <v>937.85</v>
      </c>
      <c r="H184" s="31" t="n">
        <v>-0.01</v>
      </c>
      <c r="I184" s="31" t="n">
        <v>4645742</v>
      </c>
      <c r="J184" s="31" t="inlineStr">
        <is>
          <t>500093</t>
        </is>
      </c>
    </row>
    <row r="185">
      <c r="A185" s="31" t="inlineStr">
        <is>
          <t>PGHL</t>
        </is>
      </c>
      <c r="B185" s="31" t="inlineStr">
        <is>
          <t>Procter &amp; Gamble Health Ltd</t>
        </is>
      </c>
      <c r="C185" s="31" t="inlineStr">
        <is>
          <t>healthcare</t>
        </is>
      </c>
      <c r="D185" s="31" t="inlineStr">
        <is>
          <t>pharmaceuticals - multinational</t>
        </is>
      </c>
      <c r="E185" s="31" t="inlineStr">
        <is>
          <t>midcap</t>
        </is>
      </c>
      <c r="F185" s="31" t="n">
        <v>10291.62</v>
      </c>
      <c r="G185" s="31" t="n">
        <v>6200</v>
      </c>
      <c r="H185" s="31" t="n">
        <v>-0.02</v>
      </c>
      <c r="I185" s="31" t="n">
        <v>10201</v>
      </c>
      <c r="J185" s="31" t="inlineStr">
        <is>
          <t>500126</t>
        </is>
      </c>
    </row>
    <row r="186">
      <c r="A186" s="31" t="inlineStr">
        <is>
          <t>VTL</t>
        </is>
      </c>
      <c r="B186" s="31" t="inlineStr">
        <is>
          <t>Vardhman Textiles Limited</t>
        </is>
      </c>
      <c r="C186" s="31" t="inlineStr">
        <is>
          <t>textiles</t>
        </is>
      </c>
      <c r="D186" s="31" t="inlineStr">
        <is>
          <t>textiles - cotton/blended</t>
        </is>
      </c>
      <c r="E186" s="31" t="inlineStr">
        <is>
          <t>midcap</t>
        </is>
      </c>
      <c r="F186" s="31" t="n">
        <v>18265.25</v>
      </c>
      <c r="G186" s="31" t="n">
        <v>631.4</v>
      </c>
      <c r="H186" s="31" t="n">
        <v>-0.03</v>
      </c>
      <c r="I186" s="31" t="n">
        <v>349112</v>
      </c>
      <c r="J186" s="31" t="inlineStr">
        <is>
          <t>502986</t>
        </is>
      </c>
    </row>
    <row r="187">
      <c r="A187" s="31" t="inlineStr">
        <is>
          <t>STARHEALTH</t>
        </is>
      </c>
      <c r="B187" s="31" t="inlineStr">
        <is>
          <t>Star Health &amp; Allied Insurance Company Ltd</t>
        </is>
      </c>
      <c r="C187" s="31" t="inlineStr">
        <is>
          <t>financials</t>
        </is>
      </c>
      <c r="D187" s="31" t="inlineStr">
        <is>
          <t>finance &amp; investments</t>
        </is>
      </c>
      <c r="E187" s="31" t="inlineStr">
        <is>
          <t>largecap</t>
        </is>
      </c>
      <c r="F187" s="31" t="n">
        <v>30950.02</v>
      </c>
      <c r="G187" s="31" t="n">
        <v>526</v>
      </c>
      <c r="H187" s="31" t="n">
        <v>-0.05</v>
      </c>
      <c r="I187" s="31" t="n">
        <v>355643</v>
      </c>
      <c r="J187" s="31" t="inlineStr">
        <is>
          <t>543412</t>
        </is>
      </c>
    </row>
    <row r="188">
      <c r="A188" s="31" t="inlineStr">
        <is>
          <t>KINGFA</t>
        </is>
      </c>
      <c r="B188" s="31" t="inlineStr">
        <is>
          <t>Kingfa Science &amp; Technology (india) Limited</t>
        </is>
      </c>
      <c r="C188" s="31" t="inlineStr">
        <is>
          <t>plastic products</t>
        </is>
      </c>
      <c r="D188" s="31" t="inlineStr">
        <is>
          <t>plastics products</t>
        </is>
      </c>
      <c r="E188" s="31" t="inlineStr">
        <is>
          <t>midcap</t>
        </is>
      </c>
      <c r="F188" s="31" t="n">
        <v>7273.03</v>
      </c>
      <c r="G188" s="31" t="n">
        <v>5367</v>
      </c>
      <c r="H188" s="31" t="n">
        <v>-0.06</v>
      </c>
      <c r="I188" s="31" t="n">
        <v>3752</v>
      </c>
      <c r="J188" s="31" t="inlineStr">
        <is>
          <t>524019</t>
        </is>
      </c>
    </row>
    <row r="189">
      <c r="A189" s="31" t="inlineStr">
        <is>
          <t>CUMMINSIND</t>
        </is>
      </c>
      <c r="B189" s="31" t="inlineStr">
        <is>
          <t>Cummins India Limited</t>
        </is>
      </c>
      <c r="C189" s="31" t="inlineStr">
        <is>
          <t>industrials</t>
        </is>
      </c>
      <c r="D189" s="31" t="inlineStr">
        <is>
          <t>engines</t>
        </is>
      </c>
      <c r="E189" s="31" t="inlineStr">
        <is>
          <t>largecap</t>
        </is>
      </c>
      <c r="F189" s="31" t="n">
        <v>160332.48</v>
      </c>
      <c r="G189" s="31" t="n">
        <v>5784</v>
      </c>
      <c r="H189" s="31" t="n">
        <v>-0.06</v>
      </c>
      <c r="I189" s="31" t="n">
        <v>381090</v>
      </c>
      <c r="J189" s="31" t="inlineStr">
        <is>
          <t>500480</t>
        </is>
      </c>
    </row>
    <row r="190">
      <c r="A190" s="31" t="inlineStr">
        <is>
          <t>JNKINDIA</t>
        </is>
      </c>
      <c r="B190" s="31" t="inlineStr">
        <is>
          <t>JNK India Ltd</t>
        </is>
      </c>
      <c r="C190" s="31" t="inlineStr">
        <is>
          <t>realty</t>
        </is>
      </c>
      <c r="D190" s="31" t="inlineStr">
        <is>
          <t>engineering - turnkey services</t>
        </is>
      </c>
      <c r="E190" s="31" t="inlineStr">
        <is>
          <t>smallcap</t>
        </is>
      </c>
      <c r="F190" s="31" t="n">
        <v>2357.34</v>
      </c>
      <c r="G190" s="31" t="n">
        <v>421.3</v>
      </c>
      <c r="H190" s="31" t="n">
        <v>-0.07000000000000001</v>
      </c>
      <c r="I190" s="31" t="n">
        <v>1827501</v>
      </c>
      <c r="J190" s="31" t="inlineStr">
        <is>
          <t>544167</t>
        </is>
      </c>
    </row>
    <row r="191">
      <c r="A191" s="31" t="inlineStr">
        <is>
          <t>MONARCH</t>
        </is>
      </c>
      <c r="B191" s="31" t="inlineStr">
        <is>
          <t>Monarch Networth Capital Ltd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smallcap</t>
        </is>
      </c>
      <c r="F191" s="31" t="n">
        <v>2686.4</v>
      </c>
      <c r="G191" s="31" t="n">
        <v>338.9</v>
      </c>
      <c r="H191" s="31" t="n">
        <v>-0.07000000000000001</v>
      </c>
      <c r="I191" s="31" t="n">
        <v>73443</v>
      </c>
      <c r="J191" s="31" t="inlineStr">
        <is>
          <t>511551</t>
        </is>
      </c>
    </row>
    <row r="192">
      <c r="A192" s="31" t="inlineStr">
        <is>
          <t>KRN</t>
        </is>
      </c>
      <c r="B192" s="31" t="inlineStr">
        <is>
          <t>KRN Heat Exchanger and Refrigeration Ltd</t>
        </is>
      </c>
      <c r="C192" s="31" t="inlineStr">
        <is>
          <t>industrials</t>
        </is>
      </c>
      <c r="D192" s="31" t="inlineStr">
        <is>
          <t>engineering</t>
        </is>
      </c>
      <c r="E192" s="31" t="inlineStr">
        <is>
          <t>midcap</t>
        </is>
      </c>
      <c r="F192" s="31" t="n">
        <v>7563.22</v>
      </c>
      <c r="G192" s="31" t="n">
        <v>1216.8</v>
      </c>
      <c r="H192" s="31" t="n">
        <v>-0.07000000000000001</v>
      </c>
      <c r="I192" s="31" t="n">
        <v>264459</v>
      </c>
      <c r="J192" s="31" t="inlineStr">
        <is>
          <t>544263</t>
        </is>
      </c>
    </row>
    <row r="193">
      <c r="A193" s="31" t="inlineStr">
        <is>
          <t>SPARC</t>
        </is>
      </c>
      <c r="B193" s="31" t="inlineStr">
        <is>
          <t>Sun Pharma Advanced Research Company Limited</t>
        </is>
      </c>
      <c r="C193" s="31" t="inlineStr">
        <is>
          <t>healthcare</t>
        </is>
      </c>
      <c r="D193" s="31" t="inlineStr">
        <is>
          <t>miscellaneous</t>
        </is>
      </c>
      <c r="E193" s="31" t="inlineStr">
        <is>
          <t>midcap</t>
        </is>
      </c>
      <c r="F193" s="31" t="n">
        <v>6906.47</v>
      </c>
      <c r="G193" s="31" t="n">
        <v>212.82</v>
      </c>
      <c r="H193" s="31" t="n">
        <v>-0.07000000000000001</v>
      </c>
      <c r="I193" s="31" t="n">
        <v>3607773</v>
      </c>
      <c r="J193" s="31" t="inlineStr">
        <is>
          <t>532872</t>
        </is>
      </c>
    </row>
    <row r="194">
      <c r="A194" s="31" t="inlineStr">
        <is>
          <t>SHYAMMETL</t>
        </is>
      </c>
      <c r="B194" s="31" t="inlineStr">
        <is>
          <t>Shyam Metalics &amp; Energy Ltd</t>
        </is>
      </c>
      <c r="C194" s="31" t="inlineStr">
        <is>
          <t>metals &amp; mining</t>
        </is>
      </c>
      <c r="D194" s="31" t="inlineStr">
        <is>
          <t>steel - large</t>
        </is>
      </c>
      <c r="E194" s="31" t="inlineStr">
        <is>
          <t>largecap</t>
        </is>
      </c>
      <c r="F194" s="31" t="n">
        <v>27949.47</v>
      </c>
      <c r="G194" s="31" t="n">
        <v>1001.3</v>
      </c>
      <c r="H194" s="31" t="n">
        <v>-0.07000000000000001</v>
      </c>
      <c r="I194" s="31" t="n">
        <v>663549</v>
      </c>
      <c r="J194" s="31" t="inlineStr">
        <is>
          <t>543299</t>
        </is>
      </c>
    </row>
    <row r="195">
      <c r="A195" s="31" t="inlineStr">
        <is>
          <t>KPIL</t>
        </is>
      </c>
      <c r="B195" s="31" t="inlineStr">
        <is>
          <t>Kalpataru Projects International Ltd</t>
        </is>
      </c>
      <c r="C195" s="31" t="inlineStr">
        <is>
          <t>realty</t>
        </is>
      </c>
      <c r="D195" s="31" t="inlineStr">
        <is>
          <t>transmisson line towers / equipment</t>
        </is>
      </c>
      <c r="E195" s="31" t="inlineStr">
        <is>
          <t>largecap</t>
        </is>
      </c>
      <c r="F195" s="31" t="n">
        <v>22034.78</v>
      </c>
      <c r="G195" s="31" t="n">
        <v>1290.3</v>
      </c>
      <c r="H195" s="31" t="n">
        <v>-0.07000000000000001</v>
      </c>
      <c r="I195" s="31" t="n">
        <v>193618</v>
      </c>
      <c r="J195" s="31" t="inlineStr">
        <is>
          <t>522287</t>
        </is>
      </c>
    </row>
    <row r="196">
      <c r="A196" s="31" t="inlineStr">
        <is>
          <t>GEECEE</t>
        </is>
      </c>
      <c r="B196" s="31" t="inlineStr">
        <is>
          <t>Geecee Ventures Limited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smallcap</t>
        </is>
      </c>
      <c r="F196" s="31" t="n">
        <v>689.98</v>
      </c>
      <c r="G196" s="31" t="n">
        <v>329.95</v>
      </c>
      <c r="H196" s="31" t="n">
        <v>-0.08</v>
      </c>
      <c r="I196" s="31" t="n">
        <v>6000</v>
      </c>
      <c r="J196" s="31" t="inlineStr">
        <is>
          <t>532764</t>
        </is>
      </c>
    </row>
    <row r="197">
      <c r="A197" s="31" t="inlineStr">
        <is>
          <t>GAIL</t>
        </is>
      </c>
      <c r="B197" s="31" t="inlineStr">
        <is>
          <t>Gail (india) Limited</t>
        </is>
      </c>
      <c r="C197" s="31" t="inlineStr">
        <is>
          <t>energy</t>
        </is>
      </c>
      <c r="D197" s="31" t="inlineStr">
        <is>
          <t>miscellaneous</t>
        </is>
      </c>
      <c r="E197" s="31" t="inlineStr">
        <is>
          <t>largecap</t>
        </is>
      </c>
      <c r="F197" s="31" t="n">
        <v>110067.17</v>
      </c>
      <c r="G197" s="31" t="n">
        <v>167.4</v>
      </c>
      <c r="H197" s="31" t="n">
        <v>-0.09</v>
      </c>
      <c r="I197" s="31" t="n">
        <v>8047086</v>
      </c>
      <c r="J197" s="31" t="inlineStr">
        <is>
          <t>532155</t>
        </is>
      </c>
    </row>
    <row r="198">
      <c r="A198" s="31" t="inlineStr">
        <is>
          <t>MAYURUNIQ</t>
        </is>
      </c>
      <c r="B198" s="31" t="inlineStr">
        <is>
          <t>Mayur Uniquoters Ltd</t>
        </is>
      </c>
      <c r="C198" s="31" t="inlineStr">
        <is>
          <t>consumer discretionary</t>
        </is>
      </c>
      <c r="D198" s="31" t="inlineStr">
        <is>
          <t>leather / leather products</t>
        </is>
      </c>
      <c r="E198" s="31" t="inlineStr">
        <is>
          <t>smallcap</t>
        </is>
      </c>
      <c r="F198" s="31" t="n">
        <v>3187.9</v>
      </c>
      <c r="G198" s="31" t="n">
        <v>733.65</v>
      </c>
      <c r="H198" s="31" t="n">
        <v>-0.1</v>
      </c>
      <c r="I198" s="31" t="n">
        <v>88627</v>
      </c>
      <c r="J198" s="31" t="inlineStr">
        <is>
          <t>522249</t>
        </is>
      </c>
    </row>
    <row r="199">
      <c r="A199" s="31" t="inlineStr">
        <is>
          <t>J&amp;KBANK</t>
        </is>
      </c>
      <c r="B199" s="31" t="inlineStr">
        <is>
          <t>The Jammu &amp; Kashmir Bank Limited</t>
        </is>
      </c>
      <c r="C199" s="31" t="inlineStr">
        <is>
          <t>bank</t>
        </is>
      </c>
      <c r="D199" s="31" t="inlineStr">
        <is>
          <t>banks - private sector</t>
        </is>
      </c>
      <c r="E199" s="31" t="inlineStr">
        <is>
          <t>midcap</t>
        </is>
      </c>
      <c r="F199" s="31" t="n">
        <v>16244.64</v>
      </c>
      <c r="G199" s="31" t="n">
        <v>147.52</v>
      </c>
      <c r="H199" s="31" t="n">
        <v>-0.11</v>
      </c>
      <c r="I199" s="31" t="n">
        <v>2304188</v>
      </c>
      <c r="J199" s="31" t="inlineStr">
        <is>
          <t>532209</t>
        </is>
      </c>
    </row>
    <row r="200">
      <c r="A200" s="31" t="inlineStr">
        <is>
          <t>SHAILY</t>
        </is>
      </c>
      <c r="B200" s="31" t="inlineStr">
        <is>
          <t>Shaily Engineering Plastics Ltd</t>
        </is>
      </c>
      <c r="C200" s="31" t="inlineStr">
        <is>
          <t>plastic products</t>
        </is>
      </c>
      <c r="D200" s="31" t="inlineStr">
        <is>
          <t>plastics products</t>
        </is>
      </c>
      <c r="E200" s="31" t="inlineStr">
        <is>
          <t>midcap</t>
        </is>
      </c>
      <c r="F200" s="31" t="n">
        <v>14075.59</v>
      </c>
      <c r="G200" s="31" t="n">
        <v>3062.9</v>
      </c>
      <c r="H200" s="31" t="n">
        <v>-0.15</v>
      </c>
      <c r="I200" s="31" t="n">
        <v>227359</v>
      </c>
      <c r="J200" s="31" t="inlineStr">
        <is>
          <t>501423</t>
        </is>
      </c>
    </row>
    <row r="201">
      <c r="A201" s="31" t="inlineStr">
        <is>
          <t>SANGAMIND</t>
        </is>
      </c>
      <c r="B201" s="31" t="inlineStr">
        <is>
          <t>Sangam (india) Limited</t>
        </is>
      </c>
      <c r="C201" s="31" t="inlineStr">
        <is>
          <t>textiles</t>
        </is>
      </c>
      <c r="D201" s="31" t="inlineStr">
        <is>
          <t>textiles - spinning - synthetic / blended</t>
        </is>
      </c>
      <c r="E201" s="31" t="inlineStr">
        <is>
          <t>smallcap</t>
        </is>
      </c>
      <c r="F201" s="31" t="n">
        <v>2644.98</v>
      </c>
      <c r="G201" s="31" t="n">
        <v>526.4</v>
      </c>
      <c r="H201" s="31" t="n">
        <v>-0.18</v>
      </c>
      <c r="I201" s="31" t="n">
        <v>24596</v>
      </c>
      <c r="J201" s="31" t="inlineStr">
        <is>
          <t>514234</t>
        </is>
      </c>
    </row>
    <row r="202">
      <c r="A202" s="31" t="inlineStr">
        <is>
          <t>GRANULES</t>
        </is>
      </c>
      <c r="B202" s="31" t="inlineStr">
        <is>
          <t>Granules India Limited</t>
        </is>
      </c>
      <c r="C202" s="31" t="inlineStr">
        <is>
          <t>healthcare</t>
        </is>
      </c>
      <c r="D202" s="31" t="inlineStr">
        <is>
          <t>pharmaceuticals - indian - bulk drugs &amp; formln</t>
        </is>
      </c>
      <c r="E202" s="31" t="inlineStr">
        <is>
          <t>midcap</t>
        </is>
      </c>
      <c r="F202" s="31" t="n">
        <v>19572.24</v>
      </c>
      <c r="G202" s="31" t="n">
        <v>789.85</v>
      </c>
      <c r="H202" s="31" t="n">
        <v>-0.19</v>
      </c>
      <c r="I202" s="31" t="n">
        <v>591926</v>
      </c>
      <c r="J202" s="31" t="inlineStr">
        <is>
          <t>532482</t>
        </is>
      </c>
    </row>
    <row r="203">
      <c r="A203" s="31" t="inlineStr">
        <is>
          <t>POLYCAB</t>
        </is>
      </c>
      <c r="B203" s="31" t="inlineStr">
        <is>
          <t>Polycab India Ltd</t>
        </is>
      </c>
      <c r="C203" s="31" t="inlineStr">
        <is>
          <t>industrials</t>
        </is>
      </c>
      <c r="D203" s="31" t="inlineStr">
        <is>
          <t>cables - power</t>
        </is>
      </c>
      <c r="E203" s="31" t="inlineStr">
        <is>
          <t>largecap</t>
        </is>
      </c>
      <c r="F203" s="31" t="n">
        <v>146018.94</v>
      </c>
      <c r="G203" s="31" t="n">
        <v>9699</v>
      </c>
      <c r="H203" s="31" t="n">
        <v>-0.19</v>
      </c>
      <c r="I203" s="31" t="n">
        <v>256030</v>
      </c>
      <c r="J203" s="31" t="inlineStr">
        <is>
          <t>542652</t>
        </is>
      </c>
    </row>
    <row r="204">
      <c r="A204" s="31" t="inlineStr">
        <is>
          <t>YASHO</t>
        </is>
      </c>
      <c r="B204" s="31" t="inlineStr">
        <is>
          <t>Yasho Industries Ltd</t>
        </is>
      </c>
      <c r="C204" s="31" t="inlineStr">
        <is>
          <t>chemicals</t>
        </is>
      </c>
      <c r="D204" s="31" t="inlineStr">
        <is>
          <t>chemicals</t>
        </is>
      </c>
      <c r="E204" s="31" t="inlineStr">
        <is>
          <t>smallcap</t>
        </is>
      </c>
      <c r="F204" s="31" t="n">
        <v>2978.22</v>
      </c>
      <c r="G204" s="31" t="n">
        <v>2470.1</v>
      </c>
      <c r="H204" s="31" t="n">
        <v>-0.21</v>
      </c>
      <c r="I204" s="31" t="n">
        <v>70384</v>
      </c>
      <c r="J204" s="31" t="inlineStr">
        <is>
          <t>541167</t>
        </is>
      </c>
    </row>
    <row r="205">
      <c r="A205" s="31" t="inlineStr">
        <is>
          <t>SATIN</t>
        </is>
      </c>
      <c r="B205" s="31" t="inlineStr">
        <is>
          <t>Satin Creditcare Network Limited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smallcap</t>
        </is>
      </c>
      <c r="F205" s="31" t="n">
        <v>2666.66</v>
      </c>
      <c r="G205" s="31" t="n">
        <v>241.39</v>
      </c>
      <c r="H205" s="31" t="n">
        <v>-0.22</v>
      </c>
      <c r="I205" s="31" t="n">
        <v>706024</v>
      </c>
      <c r="J205" s="31" t="inlineStr">
        <is>
          <t>539404</t>
        </is>
      </c>
    </row>
    <row r="206">
      <c r="A206" s="31" t="inlineStr">
        <is>
          <t>HONASA</t>
        </is>
      </c>
      <c r="B206" s="31" t="inlineStr">
        <is>
          <t>Honasa Consumer Ltd</t>
        </is>
      </c>
      <c r="C206" s="31" t="inlineStr">
        <is>
          <t>services</t>
        </is>
      </c>
      <c r="D206" s="31" t="inlineStr">
        <is>
          <t>trading</t>
        </is>
      </c>
      <c r="E206" s="31" t="inlineStr">
        <is>
          <t>midcap</t>
        </is>
      </c>
      <c r="F206" s="31" t="n">
        <v>13538.64</v>
      </c>
      <c r="G206" s="31" t="n">
        <v>416.1</v>
      </c>
      <c r="H206" s="31" t="n">
        <v>-0.23</v>
      </c>
      <c r="I206" s="31" t="n">
        <v>733175</v>
      </c>
      <c r="J206" s="31" t="inlineStr">
        <is>
          <t>544014</t>
        </is>
      </c>
    </row>
    <row r="207">
      <c r="A207" s="31" t="inlineStr">
        <is>
          <t>RAINBOW</t>
        </is>
      </c>
      <c r="B207" s="31" t="inlineStr">
        <is>
          <t>Rainbow Childrens Medicare Ltd</t>
        </is>
      </c>
      <c r="C207" s="31" t="inlineStr">
        <is>
          <t>healthcare</t>
        </is>
      </c>
      <c r="D207" s="31" t="inlineStr">
        <is>
          <t>healthcare</t>
        </is>
      </c>
      <c r="E207" s="31" t="inlineStr">
        <is>
          <t>midcap</t>
        </is>
      </c>
      <c r="F207" s="31" t="n">
        <v>13642.44</v>
      </c>
      <c r="G207" s="31" t="n">
        <v>1343.3</v>
      </c>
      <c r="H207" s="31" t="n">
        <v>-0.27</v>
      </c>
      <c r="I207" s="31" t="n">
        <v>76791</v>
      </c>
      <c r="J207" s="31" t="inlineStr">
        <is>
          <t>543524</t>
        </is>
      </c>
    </row>
    <row r="208">
      <c r="A208" s="31" t="inlineStr">
        <is>
          <t>ROSSTECH</t>
        </is>
      </c>
      <c r="B208" s="31" t="inlineStr">
        <is>
          <t>Rossell Techsys Ltd</t>
        </is>
      </c>
      <c r="C208" s="31" t="inlineStr">
        <is>
          <t>aerospace &amp; defence</t>
        </is>
      </c>
      <c r="D208" s="31" t="inlineStr">
        <is>
          <t>engineering</t>
        </is>
      </c>
      <c r="E208" s="31" t="inlineStr">
        <is>
          <t>smallcap</t>
        </is>
      </c>
      <c r="F208" s="31" t="n">
        <v>3966.42</v>
      </c>
      <c r="G208" s="31" t="n">
        <v>1052.2</v>
      </c>
      <c r="H208" s="31" t="n">
        <v>-0.28</v>
      </c>
      <c r="I208" s="31" t="n">
        <v>63314</v>
      </c>
      <c r="J208" s="31" t="inlineStr">
        <is>
          <t>544294</t>
        </is>
      </c>
    </row>
    <row r="209">
      <c r="A209" s="31" t="inlineStr">
        <is>
          <t>MINDACORP</t>
        </is>
      </c>
      <c r="B209" s="31" t="inlineStr">
        <is>
          <t>Minda Corporation Limited</t>
        </is>
      </c>
      <c r="C209" s="31" t="inlineStr">
        <is>
          <t>auto</t>
        </is>
      </c>
      <c r="D209" s="31" t="inlineStr">
        <is>
          <t>auto ancillaries</t>
        </is>
      </c>
      <c r="E209" s="31" t="inlineStr">
        <is>
          <t>midcap</t>
        </is>
      </c>
      <c r="F209" s="31" t="n">
        <v>15382.37</v>
      </c>
      <c r="G209" s="31" t="n">
        <v>643.4</v>
      </c>
      <c r="H209" s="31" t="n">
        <v>-0.29</v>
      </c>
      <c r="I209" s="31" t="n">
        <v>465038</v>
      </c>
      <c r="J209" s="31" t="inlineStr">
        <is>
          <t>538962</t>
        </is>
      </c>
    </row>
    <row r="210">
      <c r="A210" s="31" t="inlineStr">
        <is>
          <t>TMB</t>
        </is>
      </c>
      <c r="B210" s="31" t="inlineStr">
        <is>
          <t>Tamilnad Mercantile Bank Ltd</t>
        </is>
      </c>
      <c r="C210" s="31" t="inlineStr">
        <is>
          <t>bank</t>
        </is>
      </c>
      <c r="D210" s="31" t="inlineStr">
        <is>
          <t>banks - private sector</t>
        </is>
      </c>
      <c r="E210" s="31" t="inlineStr">
        <is>
          <t>midcap</t>
        </is>
      </c>
      <c r="F210" s="31" t="n">
        <v>11811.44</v>
      </c>
      <c r="G210" s="31" t="n">
        <v>745.9</v>
      </c>
      <c r="H210" s="31" t="n">
        <v>-0.29</v>
      </c>
      <c r="I210" s="31" t="n">
        <v>163724</v>
      </c>
      <c r="J210" s="31" t="inlineStr">
        <is>
          <t>543596</t>
        </is>
      </c>
    </row>
    <row r="211">
      <c r="A211" s="31" t="inlineStr">
        <is>
          <t>NEULANDLAB</t>
        </is>
      </c>
      <c r="B211" s="31" t="inlineStr">
        <is>
          <t>Neuland Laboratories Limited</t>
        </is>
      </c>
      <c r="C211" s="31" t="inlineStr">
        <is>
          <t>healthcare</t>
        </is>
      </c>
      <c r="D211" s="31" t="inlineStr">
        <is>
          <t>pharmaceuticals - indian - bulk drugs</t>
        </is>
      </c>
      <c r="E211" s="31" t="inlineStr">
        <is>
          <t>largecap</t>
        </is>
      </c>
      <c r="F211" s="31" t="n">
        <v>21568.33</v>
      </c>
      <c r="G211" s="31" t="n">
        <v>16811</v>
      </c>
      <c r="H211" s="31" t="n">
        <v>-0.29</v>
      </c>
      <c r="I211" s="31" t="n">
        <v>13332</v>
      </c>
      <c r="J211" s="31" t="inlineStr">
        <is>
          <t>524558</t>
        </is>
      </c>
    </row>
    <row r="212">
      <c r="A212" s="31" t="inlineStr">
        <is>
          <t>AEROENTER</t>
        </is>
      </c>
      <c r="B212" s="31" t="inlineStr">
        <is>
          <t>Aeroflex Enterprises Ltd</t>
        </is>
      </c>
      <c r="C212" s="31" t="inlineStr">
        <is>
          <t>metals &amp; mining</t>
        </is>
      </c>
      <c r="D212" s="31" t="inlineStr">
        <is>
          <t>steel - medium / small</t>
        </is>
      </c>
      <c r="E212" s="31" t="inlineStr">
        <is>
          <t>smallcap</t>
        </is>
      </c>
      <c r="F212" s="31" t="n">
        <v>1140.24</v>
      </c>
      <c r="G212" s="31" t="n">
        <v>100.83</v>
      </c>
      <c r="H212" s="31" t="n">
        <v>-0.3</v>
      </c>
      <c r="I212" s="31" t="n">
        <v>470133</v>
      </c>
      <c r="J212" s="31" t="inlineStr">
        <is>
          <t>511076</t>
        </is>
      </c>
    </row>
    <row r="213">
      <c r="A213" s="31" t="inlineStr">
        <is>
          <t>AKUMS</t>
        </is>
      </c>
      <c r="B213" s="31" t="inlineStr">
        <is>
          <t>Akums Drugs &amp; Pharmaceuticals Ltd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midcap</t>
        </is>
      </c>
      <c r="F213" s="31" t="n">
        <v>8716.48</v>
      </c>
      <c r="G213" s="31" t="n">
        <v>553.8</v>
      </c>
      <c r="H213" s="31" t="n">
        <v>-0.31</v>
      </c>
      <c r="I213" s="31" t="n">
        <v>96120</v>
      </c>
      <c r="J213" s="31" t="inlineStr">
        <is>
          <t>544222</t>
        </is>
      </c>
    </row>
    <row r="214">
      <c r="A214" s="31" t="inlineStr">
        <is>
          <t>RADICO</t>
        </is>
      </c>
      <c r="B214" s="31" t="inlineStr">
        <is>
          <t>Radico Khaitan Limited</t>
        </is>
      </c>
      <c r="C214" s="31" t="inlineStr">
        <is>
          <t>fmcg</t>
        </is>
      </c>
      <c r="D214" s="31" t="inlineStr">
        <is>
          <t>breweries &amp; distilleries</t>
        </is>
      </c>
      <c r="E214" s="31" t="inlineStr">
        <is>
          <t>largecap</t>
        </is>
      </c>
      <c r="F214" s="31" t="n">
        <v>46739.75</v>
      </c>
      <c r="G214" s="31" t="n">
        <v>3490.7</v>
      </c>
      <c r="H214" s="31" t="n">
        <v>-0.33</v>
      </c>
      <c r="I214" s="31" t="n">
        <v>191865</v>
      </c>
      <c r="J214" s="31" t="inlineStr">
        <is>
          <t>532497</t>
        </is>
      </c>
    </row>
    <row r="215">
      <c r="A215" s="31" t="inlineStr">
        <is>
          <t>GVT&amp;D</t>
        </is>
      </c>
      <c r="B215" s="31" t="inlineStr">
        <is>
          <t>GE Vernova T&amp;D India Ltd</t>
        </is>
      </c>
      <c r="C215" s="31" t="inlineStr">
        <is>
          <t>industrials</t>
        </is>
      </c>
      <c r="D215" s="31" t="inlineStr">
        <is>
          <t>electric equipment</t>
        </is>
      </c>
      <c r="E215" s="31" t="inlineStr">
        <is>
          <t>largecap</t>
        </is>
      </c>
      <c r="F215" s="31" t="n">
        <v>129738.78</v>
      </c>
      <c r="G215" s="31" t="n">
        <v>5067</v>
      </c>
      <c r="H215" s="31" t="n">
        <v>-0.38</v>
      </c>
      <c r="I215" s="31" t="n">
        <v>888594</v>
      </c>
      <c r="J215" s="31" t="inlineStr">
        <is>
          <t>522275</t>
        </is>
      </c>
    </row>
    <row r="216">
      <c r="A216" s="31" t="inlineStr">
        <is>
          <t>ARVINDFASN</t>
        </is>
      </c>
      <c r="B216" s="31" t="inlineStr">
        <is>
          <t>Arvind Fashions Ltd</t>
        </is>
      </c>
      <c r="C216" s="31" t="inlineStr">
        <is>
          <t>consumer discretionary</t>
        </is>
      </c>
      <c r="D216" s="31" t="inlineStr">
        <is>
          <t>trading</t>
        </is>
      </c>
      <c r="E216" s="31" t="inlineStr">
        <is>
          <t>midcap</t>
        </is>
      </c>
      <c r="F216" s="31" t="n">
        <v>6272.43</v>
      </c>
      <c r="G216" s="31" t="n">
        <v>469.3</v>
      </c>
      <c r="H216" s="31" t="n">
        <v>-0.38</v>
      </c>
      <c r="I216" s="31" t="n">
        <v>131097</v>
      </c>
      <c r="J216" s="31" t="inlineStr">
        <is>
          <t>542484</t>
        </is>
      </c>
    </row>
    <row r="217">
      <c r="A217" s="31" t="inlineStr">
        <is>
          <t>CONSOFINVT</t>
        </is>
      </c>
      <c r="B217" s="31" t="inlineStr">
        <is>
          <t>Consolidated Finvest &amp; Holdings Limited</t>
        </is>
      </c>
      <c r="C217" s="31" t="inlineStr">
        <is>
          <t>financials</t>
        </is>
      </c>
      <c r="D217" s="31" t="inlineStr">
        <is>
          <t>finance &amp; investments</t>
        </is>
      </c>
      <c r="E217" s="31" t="inlineStr">
        <is>
          <t>smallcap</t>
        </is>
      </c>
      <c r="F217" s="31" t="n">
        <v>768.37</v>
      </c>
      <c r="G217" s="31" t="n">
        <v>237.69</v>
      </c>
      <c r="H217" s="31" t="n">
        <v>-0.41</v>
      </c>
      <c r="I217" s="31" t="n">
        <v>39910</v>
      </c>
      <c r="J217" s="31" t="inlineStr">
        <is>
          <t>500226</t>
        </is>
      </c>
    </row>
    <row r="218">
      <c r="A218" s="31" t="inlineStr">
        <is>
          <t>GALAPREC</t>
        </is>
      </c>
      <c r="B218" s="31" t="inlineStr">
        <is>
          <t>Gala Precision Engineering Ltd</t>
        </is>
      </c>
      <c r="C218" s="31" t="inlineStr">
        <is>
          <t>industrials</t>
        </is>
      </c>
      <c r="D218" s="31" t="inlineStr">
        <is>
          <t>fasteners</t>
        </is>
      </c>
      <c r="E218" s="31" t="inlineStr">
        <is>
          <t>smallcap</t>
        </is>
      </c>
      <c r="F218" s="31" t="n">
        <v>1160.79</v>
      </c>
      <c r="G218" s="31" t="n">
        <v>910.4</v>
      </c>
      <c r="H218" s="31" t="n">
        <v>-0.44</v>
      </c>
      <c r="I218" s="31" t="n">
        <v>15720</v>
      </c>
      <c r="J218" s="31" t="inlineStr">
        <is>
          <t>544244</t>
        </is>
      </c>
    </row>
    <row r="219">
      <c r="A219" s="31" t="inlineStr">
        <is>
          <t>SUPRIYA</t>
        </is>
      </c>
      <c r="B219" s="31" t="inlineStr">
        <is>
          <t>Supriya Lifescience Ltd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midcap</t>
        </is>
      </c>
      <c r="F219" s="31" t="n">
        <v>7629.37</v>
      </c>
      <c r="G219" s="31" t="n">
        <v>947.95</v>
      </c>
      <c r="H219" s="31" t="n">
        <v>-0.44</v>
      </c>
      <c r="I219" s="31" t="n">
        <v>606961</v>
      </c>
      <c r="J219" s="31" t="inlineStr">
        <is>
          <t>543434</t>
        </is>
      </c>
    </row>
    <row r="220">
      <c r="A220" s="31" t="inlineStr">
        <is>
          <t>TMPV</t>
        </is>
      </c>
      <c r="B220" s="31" t="inlineStr">
        <is>
          <t>Tata Motors Passenger Vehicles Ltd</t>
        </is>
      </c>
      <c r="C220" s="31" t="inlineStr">
        <is>
          <t>auto</t>
        </is>
      </c>
      <c r="D220" s="31" t="inlineStr">
        <is>
          <t>automobiles - passenger cars</t>
        </is>
      </c>
      <c r="E220" s="31" t="inlineStr">
        <is>
          <t>largecap</t>
        </is>
      </c>
      <c r="F220" s="31" t="n">
        <v>146484.98</v>
      </c>
      <c r="G220" s="31" t="n">
        <v>397.8</v>
      </c>
      <c r="H220" s="31" t="n">
        <v>-0.48</v>
      </c>
      <c r="I220" s="31" t="n">
        <v>9554051</v>
      </c>
      <c r="J220" s="31" t="inlineStr">
        <is>
          <t>500570</t>
        </is>
      </c>
    </row>
    <row r="221">
      <c r="A221" s="31" t="inlineStr">
        <is>
          <t>BBOX</t>
        </is>
      </c>
      <c r="B221" s="31" t="inlineStr">
        <is>
          <t>Black Box Ltd</t>
        </is>
      </c>
      <c r="C221" s="31" t="inlineStr">
        <is>
          <t>i.t</t>
        </is>
      </c>
      <c r="D221" s="31" t="inlineStr">
        <is>
          <t>computers - software - medium / small</t>
        </is>
      </c>
      <c r="E221" s="31" t="inlineStr">
        <is>
          <t>midcap</t>
        </is>
      </c>
      <c r="F221" s="31" t="n">
        <v>19043.47</v>
      </c>
      <c r="G221" s="31" t="n">
        <v>1072.9</v>
      </c>
      <c r="H221" s="31" t="n">
        <v>-0.49</v>
      </c>
      <c r="I221" s="31" t="n">
        <v>616162</v>
      </c>
      <c r="J221" s="31" t="inlineStr">
        <is>
          <t>500463</t>
        </is>
      </c>
    </row>
    <row r="222">
      <c r="A222" s="31" t="inlineStr">
        <is>
          <t>DLINKINDIA</t>
        </is>
      </c>
      <c r="B222" s="31" t="inlineStr">
        <is>
          <t>D-link (india) Limited</t>
        </is>
      </c>
      <c r="C222" s="31" t="inlineStr">
        <is>
          <t>services</t>
        </is>
      </c>
      <c r="D222" s="31" t="inlineStr">
        <is>
          <t>trading</t>
        </is>
      </c>
      <c r="E222" s="31" t="inlineStr">
        <is>
          <t>smallcap</t>
        </is>
      </c>
      <c r="F222" s="31" t="n">
        <v>1695.36</v>
      </c>
      <c r="G222" s="31" t="n">
        <v>477.5</v>
      </c>
      <c r="H222" s="31" t="n">
        <v>-0.51</v>
      </c>
      <c r="I222" s="31" t="n">
        <v>114871</v>
      </c>
      <c r="J222" s="31" t="inlineStr">
        <is>
          <t>533146</t>
        </is>
      </c>
    </row>
    <row r="223">
      <c r="A223" s="31" t="inlineStr">
        <is>
          <t>GRASIM</t>
        </is>
      </c>
      <c r="B223" s="31" t="inlineStr">
        <is>
          <t>Grasim Industries Limited</t>
        </is>
      </c>
      <c r="C223" s="31" t="inlineStr">
        <is>
          <t>textiles</t>
        </is>
      </c>
      <c r="D223" s="31" t="inlineStr">
        <is>
          <t>textiles - manmade</t>
        </is>
      </c>
      <c r="E223" s="31" t="inlineStr">
        <is>
          <t>largecap</t>
        </is>
      </c>
      <c r="F223" s="31" t="n">
        <v>210142.86</v>
      </c>
      <c r="G223" s="31" t="n">
        <v>3087.7</v>
      </c>
      <c r="H223" s="31" t="n">
        <v>-0.51</v>
      </c>
      <c r="I223" s="31" t="n">
        <v>697168</v>
      </c>
      <c r="J223" s="31" t="inlineStr">
        <is>
          <t>500300</t>
        </is>
      </c>
    </row>
    <row r="224">
      <c r="A224" s="31" t="inlineStr">
        <is>
          <t>MARINE</t>
        </is>
      </c>
      <c r="B224" s="31" t="inlineStr">
        <is>
          <t>Marine Electricals (India) Ltd</t>
        </is>
      </c>
      <c r="C224" s="31" t="inlineStr">
        <is>
          <t>industrials</t>
        </is>
      </c>
      <c r="D224" s="31" t="inlineStr">
        <is>
          <t>electric equipment</t>
        </is>
      </c>
      <c r="E224" s="31" t="inlineStr">
        <is>
          <t>smallcap</t>
        </is>
      </c>
      <c r="F224" s="31" t="n">
        <v>610.5</v>
      </c>
      <c r="G224" s="31" t="n">
        <v>248.85</v>
      </c>
      <c r="H224" s="31" t="n">
        <v>-0.52</v>
      </c>
      <c r="I224" s="31" t="n">
        <v>560240</v>
      </c>
      <c r="J224" s="31" t="inlineStr">
        <is>
          <t>535119</t>
        </is>
      </c>
    </row>
    <row r="225">
      <c r="A225" s="31" t="inlineStr">
        <is>
          <t>MOTHERSON</t>
        </is>
      </c>
      <c r="B225" s="31" t="inlineStr">
        <is>
          <t>Samvardhana Motherson International Ltd</t>
        </is>
      </c>
      <c r="C225" s="31" t="inlineStr">
        <is>
          <t>auto</t>
        </is>
      </c>
      <c r="D225" s="31" t="inlineStr">
        <is>
          <t>auto ancillaries</t>
        </is>
      </c>
      <c r="E225" s="31" t="inlineStr">
        <is>
          <t>largecap</t>
        </is>
      </c>
      <c r="F225" s="31" t="n">
        <v>151519.58</v>
      </c>
      <c r="G225" s="31" t="n">
        <v>143.56</v>
      </c>
      <c r="H225" s="31" t="n">
        <v>-0.52</v>
      </c>
      <c r="I225" s="31" t="n">
        <v>13743288</v>
      </c>
      <c r="J225" s="31" t="inlineStr">
        <is>
          <t>517334</t>
        </is>
      </c>
    </row>
    <row r="226">
      <c r="A226" s="31" t="inlineStr">
        <is>
          <t>SSWL</t>
        </is>
      </c>
      <c r="B226" s="31" t="inlineStr">
        <is>
          <t>Steel Strips Wheels Limited</t>
        </is>
      </c>
      <c r="C226" s="31" t="inlineStr">
        <is>
          <t>auto</t>
        </is>
      </c>
      <c r="D226" s="31" t="inlineStr">
        <is>
          <t>auto ancillaries</t>
        </is>
      </c>
      <c r="E226" s="31" t="inlineStr">
        <is>
          <t>smallcap</t>
        </is>
      </c>
      <c r="F226" s="31" t="n">
        <v>3566.27</v>
      </c>
      <c r="G226" s="31" t="n">
        <v>226.89</v>
      </c>
      <c r="H226" s="31" t="n">
        <v>-0.52</v>
      </c>
      <c r="I226" s="31" t="n">
        <v>586948</v>
      </c>
      <c r="J226" s="31" t="inlineStr">
        <is>
          <t>513262</t>
        </is>
      </c>
    </row>
    <row r="227">
      <c r="A227" s="31" t="inlineStr">
        <is>
          <t>THYROCARE</t>
        </is>
      </c>
      <c r="B227" s="31" t="inlineStr">
        <is>
          <t>Thyrocare Technologies Limited</t>
        </is>
      </c>
      <c r="C227" s="31" t="inlineStr">
        <is>
          <t>healthcare</t>
        </is>
      </c>
      <c r="D227" s="31" t="inlineStr">
        <is>
          <t>healthcare</t>
        </is>
      </c>
      <c r="E227" s="31" t="inlineStr">
        <is>
          <t>midcap</t>
        </is>
      </c>
      <c r="F227" s="31" t="n">
        <v>8244.76</v>
      </c>
      <c r="G227" s="31" t="n">
        <v>518</v>
      </c>
      <c r="H227" s="31" t="n">
        <v>-0.53</v>
      </c>
      <c r="I227" s="31" t="n">
        <v>89511</v>
      </c>
      <c r="J227" s="31" t="inlineStr">
        <is>
          <t>539871</t>
        </is>
      </c>
    </row>
    <row r="228">
      <c r="A228" s="31" t="inlineStr">
        <is>
          <t>SOUTHWEST</t>
        </is>
      </c>
      <c r="B228" s="31" t="inlineStr">
        <is>
          <t>South West Pinnacle Exploration Ltd</t>
        </is>
      </c>
      <c r="C228" s="31" t="inlineStr">
        <is>
          <t>metals &amp; mining</t>
        </is>
      </c>
      <c r="D228" s="31" t="inlineStr">
        <is>
          <t>mining / minerals / metals</t>
        </is>
      </c>
      <c r="E228" s="31" t="inlineStr">
        <is>
          <t>smallcap</t>
        </is>
      </c>
      <c r="F228" s="31" t="n">
        <v>783.78</v>
      </c>
      <c r="G228" s="31" t="n">
        <v>262.75</v>
      </c>
      <c r="H228" s="31" t="n">
        <v>-0.57</v>
      </c>
      <c r="I228" s="31" t="n">
        <v>227707</v>
      </c>
      <c r="J228" s="31" t="inlineStr">
        <is>
          <t>535049</t>
        </is>
      </c>
    </row>
    <row r="229">
      <c r="A229" s="31" t="inlineStr">
        <is>
          <t>INNOVACAP</t>
        </is>
      </c>
      <c r="B229" s="31" t="inlineStr">
        <is>
          <t>Innova Captab Ltd</t>
        </is>
      </c>
      <c r="C229" s="31" t="inlineStr">
        <is>
          <t>healthcare</t>
        </is>
      </c>
      <c r="D229" s="31" t="inlineStr">
        <is>
          <t>pharmaceuticals - indian - bulk drugs &amp; formln</t>
        </is>
      </c>
      <c r="E229" s="31" t="inlineStr">
        <is>
          <t>smallcap</t>
        </is>
      </c>
      <c r="F229" s="31" t="n">
        <v>4964.26</v>
      </c>
      <c r="G229" s="31" t="n">
        <v>867.5</v>
      </c>
      <c r="H229" s="31" t="n">
        <v>-0.58</v>
      </c>
      <c r="I229" s="31" t="n">
        <v>24354</v>
      </c>
      <c r="J229" s="31" t="inlineStr">
        <is>
          <t>544067</t>
        </is>
      </c>
    </row>
    <row r="230">
      <c r="A230" s="31" t="inlineStr">
        <is>
          <t>TVSSRICHAK</t>
        </is>
      </c>
      <c r="B230" s="31" t="inlineStr">
        <is>
          <t>Tvs Srichakra Limited</t>
        </is>
      </c>
      <c r="C230" s="31" t="inlineStr">
        <is>
          <t>auto</t>
        </is>
      </c>
      <c r="D230" s="31" t="inlineStr">
        <is>
          <t>tyres</t>
        </is>
      </c>
      <c r="E230" s="31" t="inlineStr">
        <is>
          <t>smallcap</t>
        </is>
      </c>
      <c r="F230" s="31" t="n">
        <v>3095.67</v>
      </c>
      <c r="G230" s="31" t="n">
        <v>4042.9</v>
      </c>
      <c r="H230" s="31" t="n">
        <v>-0.59</v>
      </c>
      <c r="I230" s="31" t="n">
        <v>3008</v>
      </c>
      <c r="J230" s="31" t="inlineStr">
        <is>
          <t>509243</t>
        </is>
      </c>
    </row>
    <row r="231">
      <c r="A231" s="31" t="inlineStr">
        <is>
          <t>CENTUM</t>
        </is>
      </c>
      <c r="B231" s="31" t="inlineStr">
        <is>
          <t>Centum Electronics Limited</t>
        </is>
      </c>
      <c r="C231" s="31" t="inlineStr">
        <is>
          <t>consumer discretionary</t>
        </is>
      </c>
      <c r="D231" s="31" t="inlineStr">
        <is>
          <t>electronics - components</t>
        </is>
      </c>
      <c r="E231" s="31" t="inlineStr">
        <is>
          <t>midcap</t>
        </is>
      </c>
      <c r="F231" s="31" t="n">
        <v>5100.23</v>
      </c>
      <c r="G231" s="31" t="n">
        <v>3459.9</v>
      </c>
      <c r="H231" s="31" t="n">
        <v>-0.65</v>
      </c>
      <c r="I231" s="31" t="n">
        <v>42803</v>
      </c>
      <c r="J231" s="31" t="inlineStr">
        <is>
          <t>517544</t>
        </is>
      </c>
    </row>
    <row r="232">
      <c r="A232" s="31" t="inlineStr">
        <is>
          <t>TATACOMM</t>
        </is>
      </c>
      <c r="B232" s="31" t="inlineStr">
        <is>
          <t>Tata Communications Limited</t>
        </is>
      </c>
      <c r="C232" s="31" t="inlineStr">
        <is>
          <t>telecom-service</t>
        </is>
      </c>
      <c r="D232" s="31" t="inlineStr">
        <is>
          <t>telecommunications - service provider</t>
        </is>
      </c>
      <c r="E232" s="31" t="inlineStr">
        <is>
          <t>largecap</t>
        </is>
      </c>
      <c r="F232" s="31" t="n">
        <v>56221.95</v>
      </c>
      <c r="G232" s="31" t="n">
        <v>1972.7</v>
      </c>
      <c r="H232" s="31" t="n">
        <v>-0.66</v>
      </c>
      <c r="I232" s="31" t="n">
        <v>951148</v>
      </c>
      <c r="J232" s="31" t="inlineStr">
        <is>
          <t>500483</t>
        </is>
      </c>
    </row>
    <row r="233">
      <c r="A233" s="31" t="inlineStr">
        <is>
          <t>SOTL</t>
        </is>
      </c>
      <c r="B233" s="31" t="inlineStr">
        <is>
          <t>Savita Oil Technologies Limited</t>
        </is>
      </c>
      <c r="C233" s="31" t="inlineStr">
        <is>
          <t>energy</t>
        </is>
      </c>
      <c r="D233" s="31" t="inlineStr">
        <is>
          <t>petrochemicals</t>
        </is>
      </c>
      <c r="E233" s="31" t="inlineStr">
        <is>
          <t>smallcap</t>
        </is>
      </c>
      <c r="F233" s="31" t="n">
        <v>3842.81</v>
      </c>
      <c r="G233" s="31" t="n">
        <v>560.5</v>
      </c>
      <c r="H233" s="31" t="n">
        <v>-0.67</v>
      </c>
      <c r="I233" s="31" t="n">
        <v>1747443</v>
      </c>
      <c r="J233" s="31" t="inlineStr">
        <is>
          <t>524667</t>
        </is>
      </c>
    </row>
    <row r="234">
      <c r="A234" s="31" t="inlineStr">
        <is>
          <t>RBLBANK</t>
        </is>
      </c>
      <c r="B234" s="31" t="inlineStr">
        <is>
          <t>Rbl Bank Limited</t>
        </is>
      </c>
      <c r="C234" s="31" t="inlineStr">
        <is>
          <t>bank</t>
        </is>
      </c>
      <c r="D234" s="31" t="inlineStr">
        <is>
          <t>banks - private sector</t>
        </is>
      </c>
      <c r="E234" s="31" t="inlineStr">
        <is>
          <t>largecap</t>
        </is>
      </c>
      <c r="F234" s="31" t="n">
        <v>21717.34</v>
      </c>
      <c r="G234" s="31" t="n">
        <v>351.35</v>
      </c>
      <c r="H234" s="31" t="n">
        <v>-0.68</v>
      </c>
      <c r="I234" s="31" t="n">
        <v>4035165</v>
      </c>
      <c r="J234" s="31" t="inlineStr">
        <is>
          <t>540065</t>
        </is>
      </c>
    </row>
    <row r="235">
      <c r="A235" s="31" t="inlineStr">
        <is>
          <t>GANDHAR</t>
        </is>
      </c>
      <c r="B235" s="31" t="inlineStr">
        <is>
          <t>Gandhar Oil Refinery (India) Ltd</t>
        </is>
      </c>
      <c r="C235" s="31" t="inlineStr">
        <is>
          <t>energy</t>
        </is>
      </c>
      <c r="D235" s="31" t="inlineStr">
        <is>
          <t>refineries</t>
        </is>
      </c>
      <c r="E235" s="31" t="inlineStr">
        <is>
          <t>smallcap</t>
        </is>
      </c>
      <c r="F235" s="31" t="n">
        <v>1573.22</v>
      </c>
      <c r="G235" s="31" t="n">
        <v>160.73</v>
      </c>
      <c r="H235" s="31" t="n">
        <v>-0.6899999999999999</v>
      </c>
      <c r="I235" s="31" t="n">
        <v>709636</v>
      </c>
      <c r="J235" s="31" t="inlineStr">
        <is>
          <t>544029</t>
        </is>
      </c>
    </row>
    <row r="236">
      <c r="A236" s="31" t="inlineStr">
        <is>
          <t>DIVGIITTS</t>
        </is>
      </c>
      <c r="B236" s="31" t="inlineStr">
        <is>
          <t>Divgi Torqtransfer Systems Ltd</t>
        </is>
      </c>
      <c r="C236" s="31" t="inlineStr">
        <is>
          <t>auto</t>
        </is>
      </c>
      <c r="D236" s="31" t="inlineStr">
        <is>
          <t>auto ancillaries</t>
        </is>
      </c>
      <c r="E236" s="31" t="inlineStr">
        <is>
          <t>smallcap</t>
        </is>
      </c>
      <c r="F236" s="31" t="n">
        <v>2387.61</v>
      </c>
      <c r="G236" s="31" t="n">
        <v>780.7</v>
      </c>
      <c r="H236" s="31" t="n">
        <v>-0.71</v>
      </c>
      <c r="I236" s="31" t="n">
        <v>37222</v>
      </c>
      <c r="J236" s="31" t="inlineStr">
        <is>
          <t>543812</t>
        </is>
      </c>
    </row>
    <row r="237">
      <c r="A237" s="31" t="inlineStr">
        <is>
          <t>FCL</t>
        </is>
      </c>
      <c r="B237" s="31" t="inlineStr">
        <is>
          <t>Fineotex Chemical Limited</t>
        </is>
      </c>
      <c r="C237" s="31" t="inlineStr">
        <is>
          <t>chemicals</t>
        </is>
      </c>
      <c r="D237" s="31" t="inlineStr">
        <is>
          <t>chemicals</t>
        </is>
      </c>
      <c r="E237" s="31" t="inlineStr">
        <is>
          <t>smallcap</t>
        </is>
      </c>
      <c r="F237" s="31" t="n">
        <v>4743.01</v>
      </c>
      <c r="G237" s="31" t="n">
        <v>40.73</v>
      </c>
      <c r="H237" s="31" t="n">
        <v>-0.73</v>
      </c>
      <c r="I237" s="31" t="n">
        <v>15341694</v>
      </c>
      <c r="J237" s="31" t="inlineStr">
        <is>
          <t>533333</t>
        </is>
      </c>
    </row>
    <row r="238">
      <c r="A238" s="31" t="inlineStr">
        <is>
          <t>LMW</t>
        </is>
      </c>
      <c r="B238" s="31" t="inlineStr">
        <is>
          <t>LMW Ltd</t>
        </is>
      </c>
      <c r="C238" s="31" t="inlineStr">
        <is>
          <t>industrials</t>
        </is>
      </c>
      <c r="D238" s="31" t="inlineStr">
        <is>
          <t>textile machinery</t>
        </is>
      </c>
      <c r="E238" s="31" t="inlineStr">
        <is>
          <t>midcap</t>
        </is>
      </c>
      <c r="F238" s="31" t="n">
        <v>16749.88</v>
      </c>
      <c r="G238" s="31" t="n">
        <v>15679</v>
      </c>
      <c r="H238" s="31" t="n">
        <v>-0.76</v>
      </c>
      <c r="I238" s="31" t="n">
        <v>1716</v>
      </c>
      <c r="J238" s="31" t="inlineStr">
        <is>
          <t>500252</t>
        </is>
      </c>
    </row>
    <row r="239">
      <c r="A239" s="31" t="inlineStr">
        <is>
          <t>CHENNPETRO</t>
        </is>
      </c>
      <c r="B239" s="31" t="inlineStr">
        <is>
          <t>Chennai Petroleum Corporation Limited</t>
        </is>
      </c>
      <c r="C239" s="31" t="inlineStr">
        <is>
          <t>energy</t>
        </is>
      </c>
      <c r="D239" s="31" t="inlineStr">
        <is>
          <t>refineries</t>
        </is>
      </c>
      <c r="E239" s="31" t="inlineStr">
        <is>
          <t>midcap</t>
        </is>
      </c>
      <c r="F239" s="31" t="n">
        <v>17592.39</v>
      </c>
      <c r="G239" s="31" t="n">
        <v>1181.4</v>
      </c>
      <c r="H239" s="31" t="n">
        <v>-0.77</v>
      </c>
      <c r="I239" s="31" t="n">
        <v>1196141</v>
      </c>
      <c r="J239" s="31" t="inlineStr">
        <is>
          <t>500110</t>
        </is>
      </c>
    </row>
    <row r="240">
      <c r="A240" s="31" t="inlineStr">
        <is>
          <t>PGIL</t>
        </is>
      </c>
      <c r="B240" s="31" t="inlineStr">
        <is>
          <t>Pearl Global Industries Limited</t>
        </is>
      </c>
      <c r="C240" s="31" t="inlineStr">
        <is>
          <t>consumer discretionary</t>
        </is>
      </c>
      <c r="D240" s="31" t="inlineStr">
        <is>
          <t>textiles - products</t>
        </is>
      </c>
      <c r="E240" s="31" t="inlineStr">
        <is>
          <t>midcap</t>
        </is>
      </c>
      <c r="F240" s="31" t="n">
        <v>7686.08</v>
      </c>
      <c r="G240" s="31" t="n">
        <v>1665.6</v>
      </c>
      <c r="H240" s="31" t="n">
        <v>-0.78</v>
      </c>
      <c r="I240" s="31" t="n">
        <v>20715</v>
      </c>
      <c r="J240" s="31" t="inlineStr">
        <is>
          <t>532808</t>
        </is>
      </c>
    </row>
    <row r="241">
      <c r="A241" s="31" t="inlineStr">
        <is>
          <t>WELSPUNLIV</t>
        </is>
      </c>
      <c r="B241" s="31" t="inlineStr">
        <is>
          <t>Welspun Living Ltd</t>
        </is>
      </c>
      <c r="C241" s="31" t="inlineStr">
        <is>
          <t>textiles</t>
        </is>
      </c>
      <c r="D241" s="31" t="inlineStr">
        <is>
          <t>textiles - products</t>
        </is>
      </c>
      <c r="E241" s="31" t="inlineStr">
        <is>
          <t>midcap</t>
        </is>
      </c>
      <c r="F241" s="31" t="n">
        <v>13728.35</v>
      </c>
      <c r="G241" s="31" t="n">
        <v>143.13</v>
      </c>
      <c r="H241" s="31" t="n">
        <v>-0.8</v>
      </c>
      <c r="I241" s="31" t="n">
        <v>637847</v>
      </c>
      <c r="J241" s="31" t="inlineStr">
        <is>
          <t>514162</t>
        </is>
      </c>
    </row>
    <row r="242">
      <c r="A242" s="31" t="inlineStr">
        <is>
          <t>HIRECT</t>
        </is>
      </c>
      <c r="B242" s="31" t="inlineStr">
        <is>
          <t>Hind Rectifiers Limited</t>
        </is>
      </c>
      <c r="C242" s="31" t="inlineStr">
        <is>
          <t>consumer discretionary</t>
        </is>
      </c>
      <c r="D242" s="31" t="inlineStr">
        <is>
          <t>electronics - components</t>
        </is>
      </c>
      <c r="E242" s="31" t="inlineStr">
        <is>
          <t>smallcap</t>
        </is>
      </c>
      <c r="F242" s="31" t="n">
        <v>3878.04</v>
      </c>
      <c r="G242" s="31" t="n">
        <v>1128.4</v>
      </c>
      <c r="H242" s="31" t="n">
        <v>-0.83</v>
      </c>
      <c r="I242" s="31" t="n">
        <v>137804</v>
      </c>
      <c r="J242" s="31" t="inlineStr">
        <is>
          <t>504036</t>
        </is>
      </c>
    </row>
    <row r="243">
      <c r="A243" s="31" t="inlineStr">
        <is>
          <t>VINCOFE</t>
        </is>
      </c>
      <c r="B243" s="31" t="inlineStr">
        <is>
          <t>Vintage Coffee &amp; Beverages Ltd</t>
        </is>
      </c>
      <c r="C243" s="31" t="inlineStr">
        <is>
          <t>consumer discretionary</t>
        </is>
      </c>
      <c r="D243" s="31" t="inlineStr">
        <is>
          <t>trading</t>
        </is>
      </c>
      <c r="E243" s="31" t="inlineStr">
        <is>
          <t>smallcap</t>
        </is>
      </c>
      <c r="F243" s="31" t="n">
        <v>2171.78</v>
      </c>
      <c r="G243" s="31" t="n">
        <v>149.07</v>
      </c>
      <c r="H243" s="31" t="n">
        <v>-0.84</v>
      </c>
      <c r="I243" s="31" t="n">
        <v>1110416</v>
      </c>
      <c r="J243" s="31" t="inlineStr">
        <is>
          <t>538920</t>
        </is>
      </c>
    </row>
    <row r="244">
      <c r="A244" s="31" t="inlineStr">
        <is>
          <t>PTCIL</t>
        </is>
      </c>
      <c r="B244" s="31" t="inlineStr">
        <is>
          <t>PTC Industries Ltd</t>
        </is>
      </c>
      <c r="C244" s="31" t="inlineStr">
        <is>
          <t>industrials</t>
        </is>
      </c>
      <c r="D244" s="31" t="inlineStr">
        <is>
          <t>castings &amp; forgings</t>
        </is>
      </c>
      <c r="E244" s="31" t="inlineStr">
        <is>
          <t>largecap</t>
        </is>
      </c>
      <c r="F244" s="31" t="n">
        <v>27770.7</v>
      </c>
      <c r="G244" s="31" t="n">
        <v>18523</v>
      </c>
      <c r="H244" s="31" t="n">
        <v>-0.88</v>
      </c>
      <c r="I244" s="31" t="n">
        <v>37505</v>
      </c>
      <c r="J244" s="31" t="inlineStr">
        <is>
          <t>539006</t>
        </is>
      </c>
    </row>
    <row r="245">
      <c r="A245" s="31" t="inlineStr">
        <is>
          <t>THERMAX</t>
        </is>
      </c>
      <c r="B245" s="31" t="inlineStr">
        <is>
          <t>Thermax Limited</t>
        </is>
      </c>
      <c r="C245" s="31" t="inlineStr">
        <is>
          <t>industrials</t>
        </is>
      </c>
      <c r="D245" s="31" t="inlineStr">
        <is>
          <t>electric equipment</t>
        </is>
      </c>
      <c r="E245" s="31" t="inlineStr">
        <is>
          <t>largecap</t>
        </is>
      </c>
      <c r="F245" s="31" t="n">
        <v>57577.52</v>
      </c>
      <c r="G245" s="31" t="n">
        <v>4832.1</v>
      </c>
      <c r="H245" s="31" t="n">
        <v>-0.9</v>
      </c>
      <c r="I245" s="31" t="n">
        <v>203060</v>
      </c>
      <c r="J245" s="31" t="inlineStr">
        <is>
          <t>500411</t>
        </is>
      </c>
    </row>
    <row r="246">
      <c r="A246" s="31" t="inlineStr">
        <is>
          <t>RANEHOLDIN</t>
        </is>
      </c>
      <c r="B246" s="31" t="inlineStr">
        <is>
          <t>Rane Holdings Limited</t>
        </is>
      </c>
      <c r="C246" s="31" t="inlineStr">
        <is>
          <t>financials</t>
        </is>
      </c>
      <c r="D246" s="31" t="inlineStr">
        <is>
          <t>finance &amp; investments</t>
        </is>
      </c>
      <c r="E246" s="31" t="inlineStr">
        <is>
          <t>smallcap</t>
        </is>
      </c>
      <c r="F246" s="31" t="n">
        <v>2064.86</v>
      </c>
      <c r="G246" s="31" t="n">
        <v>1446.2</v>
      </c>
      <c r="H246" s="31" t="n">
        <v>-0.9</v>
      </c>
      <c r="I246" s="31" t="n">
        <v>9054</v>
      </c>
      <c r="J246" s="31" t="inlineStr">
        <is>
          <t>505800</t>
        </is>
      </c>
    </row>
    <row r="247">
      <c r="A247" s="31" t="inlineStr">
        <is>
          <t>FEDFINA</t>
        </is>
      </c>
      <c r="B247" s="31" t="inlineStr">
        <is>
          <t>Fedbank Financial Services Ltd</t>
        </is>
      </c>
      <c r="C247" s="31" t="inlineStr">
        <is>
          <t>financials</t>
        </is>
      </c>
      <c r="D247" s="31" t="inlineStr">
        <is>
          <t>finance &amp; investments</t>
        </is>
      </c>
      <c r="E247" s="31" t="inlineStr">
        <is>
          <t>midcap</t>
        </is>
      </c>
      <c r="F247" s="31" t="n">
        <v>6009</v>
      </c>
      <c r="G247" s="31" t="n">
        <v>160.58</v>
      </c>
      <c r="H247" s="31" t="n">
        <v>-0.91</v>
      </c>
      <c r="I247" s="31" t="n">
        <v>790024</v>
      </c>
      <c r="J247" s="31" t="inlineStr">
        <is>
          <t>544027</t>
        </is>
      </c>
    </row>
    <row r="248">
      <c r="A248" s="31" t="inlineStr">
        <is>
          <t>TRITURBINE</t>
        </is>
      </c>
      <c r="B248" s="31" t="inlineStr">
        <is>
          <t>Triveni Turbine Limited</t>
        </is>
      </c>
      <c r="C248" s="31" t="inlineStr">
        <is>
          <t>industrials</t>
        </is>
      </c>
      <c r="D248" s="31" t="inlineStr">
        <is>
          <t>electric equipment</t>
        </is>
      </c>
      <c r="E248" s="31" t="inlineStr">
        <is>
          <t>largecap</t>
        </is>
      </c>
      <c r="F248" s="31" t="n">
        <v>21836.21</v>
      </c>
      <c r="G248" s="31" t="n">
        <v>686.9</v>
      </c>
      <c r="H248" s="31" t="n">
        <v>-0.9399999999999999</v>
      </c>
      <c r="I248" s="31" t="n">
        <v>664837</v>
      </c>
      <c r="J248" s="31" t="inlineStr">
        <is>
          <t>533655</t>
        </is>
      </c>
    </row>
    <row r="249">
      <c r="A249" s="31" t="inlineStr">
        <is>
          <t>OMAXAUTO</t>
        </is>
      </c>
      <c r="B249" s="31" t="inlineStr">
        <is>
          <t>Omax Autos Limited</t>
        </is>
      </c>
      <c r="C249" s="31" t="inlineStr">
        <is>
          <t>auto</t>
        </is>
      </c>
      <c r="D249" s="31" t="inlineStr">
        <is>
          <t>auto ancillaries</t>
        </is>
      </c>
      <c r="E249" s="31" t="inlineStr">
        <is>
          <t>smallcap</t>
        </is>
      </c>
      <c r="F249" s="31" t="n">
        <v>502.02</v>
      </c>
      <c r="G249" s="31" t="n">
        <v>234.72</v>
      </c>
      <c r="H249" s="31" t="n">
        <v>-0.95</v>
      </c>
      <c r="I249" s="31" t="n">
        <v>38331</v>
      </c>
      <c r="J249" s="31" t="inlineStr">
        <is>
          <t>520021</t>
        </is>
      </c>
    </row>
    <row r="250">
      <c r="A250" s="31" t="inlineStr">
        <is>
          <t>EXIDEIND</t>
        </is>
      </c>
      <c r="B250" s="31" t="inlineStr">
        <is>
          <t>Exide Industries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largecap</t>
        </is>
      </c>
      <c r="F250" s="31" t="n">
        <v>33961.75</v>
      </c>
      <c r="G250" s="31" t="n">
        <v>399.55</v>
      </c>
      <c r="H250" s="31" t="n">
        <v>-0.95</v>
      </c>
      <c r="I250" s="31" t="n">
        <v>2825564</v>
      </c>
      <c r="J250" s="31" t="inlineStr">
        <is>
          <t>500086</t>
        </is>
      </c>
    </row>
    <row r="251">
      <c r="A251" s="31" t="inlineStr">
        <is>
          <t>CYIENTDLM</t>
        </is>
      </c>
      <c r="B251" s="31" t="inlineStr">
        <is>
          <t>Cyient DLM Ltd</t>
        </is>
      </c>
      <c r="C251" s="31" t="inlineStr">
        <is>
          <t>consumer discretionary</t>
        </is>
      </c>
      <c r="D251" s="31" t="inlineStr">
        <is>
          <t>electronics - components</t>
        </is>
      </c>
      <c r="E251" s="31" t="inlineStr">
        <is>
          <t>smallcap</t>
        </is>
      </c>
      <c r="F251" s="31" t="n">
        <v>3598.38</v>
      </c>
      <c r="G251" s="31" t="n">
        <v>453.4</v>
      </c>
      <c r="H251" s="31" t="n">
        <v>-0.96</v>
      </c>
      <c r="I251" s="31" t="n">
        <v>117332</v>
      </c>
      <c r="J251" s="31" t="inlineStr">
        <is>
          <t>543933</t>
        </is>
      </c>
    </row>
    <row r="252">
      <c r="A252" s="31" t="inlineStr">
        <is>
          <t>TDPOWERSYS</t>
        </is>
      </c>
      <c r="B252" s="31" t="inlineStr">
        <is>
          <t>Td Power Systems Limited</t>
        </is>
      </c>
      <c r="C252" s="31" t="inlineStr">
        <is>
          <t>industrials</t>
        </is>
      </c>
      <c r="D252" s="31" t="inlineStr">
        <is>
          <t>electric equipment</t>
        </is>
      </c>
      <c r="E252" s="31" t="inlineStr">
        <is>
          <t>largecap</t>
        </is>
      </c>
      <c r="F252" s="31" t="n">
        <v>20507.88</v>
      </c>
      <c r="G252" s="31" t="n">
        <v>1312.8</v>
      </c>
      <c r="H252" s="31" t="n">
        <v>-0.96</v>
      </c>
      <c r="I252" s="31" t="n">
        <v>686757</v>
      </c>
      <c r="J252" s="31" t="inlineStr">
        <is>
          <t>533553</t>
        </is>
      </c>
    </row>
    <row r="253">
      <c r="A253" s="31" t="inlineStr">
        <is>
          <t>PRECOT</t>
        </is>
      </c>
      <c r="B253" s="31" t="inlineStr">
        <is>
          <t>Precot Meridian Limited</t>
        </is>
      </c>
      <c r="C253" s="31" t="inlineStr">
        <is>
          <t>textiles</t>
        </is>
      </c>
      <c r="D253" s="31" t="inlineStr">
        <is>
          <t>textiles - cotton/blended</t>
        </is>
      </c>
      <c r="E253" s="31" t="inlineStr">
        <is>
          <t>smallcap</t>
        </is>
      </c>
      <c r="F253" s="31" t="n">
        <v>909.9</v>
      </c>
      <c r="G253" s="31" t="n">
        <v>758.25</v>
      </c>
      <c r="H253" s="31" t="n">
        <v>-0.97</v>
      </c>
      <c r="I253" s="31" t="n">
        <v>3619</v>
      </c>
      <c r="J253" s="31" t="inlineStr">
        <is>
          <t>521184</t>
        </is>
      </c>
    </row>
    <row r="254">
      <c r="A254" s="31" t="inlineStr">
        <is>
          <t>FIEMIND</t>
        </is>
      </c>
      <c r="B254" s="31" t="inlineStr">
        <is>
          <t>Fiem Industries Limited</t>
        </is>
      </c>
      <c r="C254" s="31" t="inlineStr">
        <is>
          <t>auto</t>
        </is>
      </c>
      <c r="D254" s="31" t="inlineStr">
        <is>
          <t>auto ancillaries</t>
        </is>
      </c>
      <c r="E254" s="31" t="inlineStr">
        <is>
          <t>midcap</t>
        </is>
      </c>
      <c r="F254" s="31" t="n">
        <v>6083</v>
      </c>
      <c r="G254" s="31" t="n">
        <v>2311.2</v>
      </c>
      <c r="H254" s="31" t="n">
        <v>-0.97</v>
      </c>
      <c r="I254" s="31" t="n">
        <v>95607</v>
      </c>
      <c r="J254" s="31" t="inlineStr">
        <is>
          <t>532768</t>
        </is>
      </c>
    </row>
    <row r="255">
      <c r="A255" s="31" t="inlineStr">
        <is>
          <t>VBL</t>
        </is>
      </c>
      <c r="B255" s="31" t="inlineStr">
        <is>
          <t>Varun Beverages Limited</t>
        </is>
      </c>
      <c r="C255" s="31" t="inlineStr">
        <is>
          <t>fmcg</t>
        </is>
      </c>
      <c r="D255" s="31" t="inlineStr">
        <is>
          <t>food - processing - indian</t>
        </is>
      </c>
      <c r="E255" s="31" t="inlineStr">
        <is>
          <t>largecap</t>
        </is>
      </c>
      <c r="F255" s="31" t="n">
        <v>176985</v>
      </c>
      <c r="G255" s="31" t="n">
        <v>523.3</v>
      </c>
      <c r="H255" s="31" t="n">
        <v>-0.97</v>
      </c>
      <c r="I255" s="31" t="n">
        <v>3217921</v>
      </c>
      <c r="J255" s="31" t="inlineStr">
        <is>
          <t>540180</t>
        </is>
      </c>
    </row>
    <row r="256">
      <c r="A256" s="31" t="inlineStr">
        <is>
          <t>JSWENERGY</t>
        </is>
      </c>
      <c r="B256" s="31" t="inlineStr">
        <is>
          <t>Jsw Energy Limited</t>
        </is>
      </c>
      <c r="C256" s="31" t="inlineStr">
        <is>
          <t>power &amp; utilities</t>
        </is>
      </c>
      <c r="D256" s="31" t="inlineStr">
        <is>
          <t>power generation and supply</t>
        </is>
      </c>
      <c r="E256" s="31" t="inlineStr">
        <is>
          <t>largecap</t>
        </is>
      </c>
      <c r="F256" s="31" t="n">
        <v>107112.06</v>
      </c>
      <c r="G256" s="31" t="n">
        <v>584.2</v>
      </c>
      <c r="H256" s="31" t="n">
        <v>-0.99</v>
      </c>
      <c r="I256" s="31" t="n">
        <v>1509598</v>
      </c>
      <c r="J256" s="31" t="inlineStr">
        <is>
          <t>533148</t>
        </is>
      </c>
    </row>
    <row r="257">
      <c r="A257" s="31" t="inlineStr">
        <is>
          <t>WELCORP</t>
        </is>
      </c>
      <c r="B257" s="31" t="inlineStr">
        <is>
          <t>Welspun Corp Limited</t>
        </is>
      </c>
      <c r="C257" s="31" t="inlineStr">
        <is>
          <t>industrials</t>
        </is>
      </c>
      <c r="D257" s="31" t="inlineStr">
        <is>
          <t>steel - large</t>
        </is>
      </c>
      <c r="E257" s="31" t="inlineStr">
        <is>
          <t>largecap</t>
        </is>
      </c>
      <c r="F257" s="31" t="n">
        <v>36635.24</v>
      </c>
      <c r="G257" s="31" t="n">
        <v>1388.8</v>
      </c>
      <c r="H257" s="31" t="n">
        <v>-0.99</v>
      </c>
      <c r="I257" s="31" t="n">
        <v>498958</v>
      </c>
      <c r="J257" s="31" t="inlineStr">
        <is>
          <t>532144</t>
        </is>
      </c>
    </row>
    <row r="258">
      <c r="A258" s="31" t="inlineStr">
        <is>
          <t>TALBROAUTO</t>
        </is>
      </c>
      <c r="B258" s="31" t="inlineStr">
        <is>
          <t>Talbros Automotive Components Limited</t>
        </is>
      </c>
      <c r="C258" s="31" t="inlineStr">
        <is>
          <t>auto</t>
        </is>
      </c>
      <c r="D258" s="31" t="inlineStr">
        <is>
          <t>auto ancillaries</t>
        </is>
      </c>
      <c r="E258" s="31" t="inlineStr">
        <is>
          <t>smallcap</t>
        </is>
      </c>
      <c r="F258" s="31" t="n">
        <v>2165.11</v>
      </c>
      <c r="G258" s="31" t="n">
        <v>350.75</v>
      </c>
      <c r="H258" s="31" t="n">
        <v>-1</v>
      </c>
      <c r="I258" s="31" t="n">
        <v>199616</v>
      </c>
      <c r="J258" s="31" t="inlineStr">
        <is>
          <t>505160</t>
        </is>
      </c>
    </row>
    <row r="259">
      <c r="A259" s="31" t="inlineStr">
        <is>
          <t>NITINSPIN</t>
        </is>
      </c>
      <c r="B259" s="31" t="inlineStr">
        <is>
          <t>Nitin Spinners Limited</t>
        </is>
      </c>
      <c r="C259" s="31" t="inlineStr">
        <is>
          <t>textiles</t>
        </is>
      </c>
      <c r="D259" s="31" t="inlineStr">
        <is>
          <t>textiles - cotton/blended</t>
        </is>
      </c>
      <c r="E259" s="31" t="inlineStr">
        <is>
          <t>smallcap</t>
        </is>
      </c>
      <c r="F259" s="31" t="n">
        <v>3012.27</v>
      </c>
      <c r="G259" s="31" t="n">
        <v>535.8</v>
      </c>
      <c r="H259" s="31" t="n">
        <v>-1.06</v>
      </c>
      <c r="I259" s="31" t="n">
        <v>342486</v>
      </c>
      <c r="J259" s="31" t="inlineStr">
        <is>
          <t>532698</t>
        </is>
      </c>
    </row>
    <row r="260">
      <c r="A260" s="31" t="inlineStr">
        <is>
          <t>SBC</t>
        </is>
      </c>
      <c r="B260" s="31" t="inlineStr">
        <is>
          <t>SBC Exports Ltd</t>
        </is>
      </c>
      <c r="C260" s="31" t="inlineStr">
        <is>
          <t>textiles</t>
        </is>
      </c>
      <c r="D260" s="31" t="inlineStr">
        <is>
          <t>textiles - products</t>
        </is>
      </c>
      <c r="E260" s="31" t="inlineStr">
        <is>
          <t>smallcap</t>
        </is>
      </c>
      <c r="F260" s="31" t="n">
        <v>1766.66</v>
      </c>
      <c r="G260" s="31" t="n">
        <v>37.1</v>
      </c>
      <c r="H260" s="31" t="n">
        <v>-1.07</v>
      </c>
      <c r="I260" s="31" t="n">
        <v>14817177</v>
      </c>
      <c r="J260" s="31" t="inlineStr">
        <is>
          <t>542725</t>
        </is>
      </c>
    </row>
    <row r="261">
      <c r="A261" s="31" t="inlineStr">
        <is>
          <t>INDNIPPON</t>
        </is>
      </c>
      <c r="B261" s="31" t="inlineStr">
        <is>
          <t>India Nippon Electricals Limited</t>
        </is>
      </c>
      <c r="C261" s="31" t="inlineStr">
        <is>
          <t>auto</t>
        </is>
      </c>
      <c r="D261" s="31" t="inlineStr">
        <is>
          <t>auto ancillaries</t>
        </is>
      </c>
      <c r="E261" s="31" t="inlineStr">
        <is>
          <t>smallcap</t>
        </is>
      </c>
      <c r="F261" s="31" t="n">
        <v>2049.27</v>
      </c>
      <c r="G261" s="31" t="n">
        <v>905.9</v>
      </c>
      <c r="H261" s="31" t="n">
        <v>-1.1</v>
      </c>
      <c r="I261" s="31" t="n">
        <v>34230</v>
      </c>
      <c r="J261" s="31" t="inlineStr">
        <is>
          <t>532240</t>
        </is>
      </c>
    </row>
    <row r="262">
      <c r="A262" s="31" t="inlineStr">
        <is>
          <t>CRAFTSMAN</t>
        </is>
      </c>
      <c r="B262" s="31" t="inlineStr">
        <is>
          <t>Craftsman Automation Ltd</t>
        </is>
      </c>
      <c r="C262" s="31" t="inlineStr">
        <is>
          <t>auto</t>
        </is>
      </c>
      <c r="D262" s="31" t="inlineStr">
        <is>
          <t>auto ancillaries</t>
        </is>
      </c>
      <c r="E262" s="31" t="inlineStr">
        <is>
          <t>largecap</t>
        </is>
      </c>
      <c r="F262" s="31" t="n">
        <v>21625.09</v>
      </c>
      <c r="G262" s="31" t="n">
        <v>9065</v>
      </c>
      <c r="H262" s="31" t="n">
        <v>-1.19</v>
      </c>
      <c r="I262" s="31" t="n">
        <v>37933</v>
      </c>
      <c r="J262" s="31" t="inlineStr">
        <is>
          <t>543276</t>
        </is>
      </c>
    </row>
    <row r="263">
      <c r="A263" s="31" t="inlineStr">
        <is>
          <t>BAJAJCON</t>
        </is>
      </c>
      <c r="B263" s="31" t="inlineStr">
        <is>
          <t>Bajaj Consumer Care Ltd</t>
        </is>
      </c>
      <c r="C263" s="31" t="inlineStr">
        <is>
          <t>fmcg</t>
        </is>
      </c>
      <c r="D263" s="31" t="inlineStr">
        <is>
          <t>personal care - indian</t>
        </is>
      </c>
      <c r="E263" s="31" t="inlineStr">
        <is>
          <t>midcap</t>
        </is>
      </c>
      <c r="F263" s="31" t="n">
        <v>7210.78</v>
      </c>
      <c r="G263" s="31" t="n">
        <v>552.05</v>
      </c>
      <c r="H263" s="31" t="n">
        <v>-1.21</v>
      </c>
      <c r="I263" s="31" t="n">
        <v>485590</v>
      </c>
      <c r="J263" s="31" t="inlineStr">
        <is>
          <t>533229</t>
        </is>
      </c>
    </row>
    <row r="264">
      <c r="A264" s="31" t="inlineStr">
        <is>
          <t>UNIVCABLES</t>
        </is>
      </c>
      <c r="B264" s="31" t="inlineStr">
        <is>
          <t>Universal Cables Limited</t>
        </is>
      </c>
      <c r="C264" s="31" t="inlineStr">
        <is>
          <t>industrials</t>
        </is>
      </c>
      <c r="D264" s="31" t="inlineStr">
        <is>
          <t>cables - power</t>
        </is>
      </c>
      <c r="E264" s="31" t="inlineStr">
        <is>
          <t>smallcap</t>
        </is>
      </c>
      <c r="F264" s="31" t="n">
        <v>4258.86</v>
      </c>
      <c r="G264" s="31" t="n">
        <v>1227.5</v>
      </c>
      <c r="H264" s="31" t="n">
        <v>-1.22</v>
      </c>
      <c r="I264" s="31" t="n">
        <v>278223</v>
      </c>
      <c r="J264" s="31" t="inlineStr">
        <is>
          <t>504212</t>
        </is>
      </c>
    </row>
    <row r="265">
      <c r="A265" s="31" t="inlineStr">
        <is>
          <t>SANDHAR</t>
        </is>
      </c>
      <c r="B265" s="31" t="inlineStr">
        <is>
          <t>Sandhar Technologies Limited</t>
        </is>
      </c>
      <c r="C265" s="31" t="inlineStr">
        <is>
          <t>auto</t>
        </is>
      </c>
      <c r="D265" s="31" t="inlineStr">
        <is>
          <t>auto ancillaries</t>
        </is>
      </c>
      <c r="E265" s="31" t="inlineStr">
        <is>
          <t>smallcap</t>
        </is>
      </c>
      <c r="F265" s="31" t="n">
        <v>4232.01</v>
      </c>
      <c r="G265" s="31" t="n">
        <v>703.1</v>
      </c>
      <c r="H265" s="31" t="n">
        <v>-1.22</v>
      </c>
      <c r="I265" s="31" t="n">
        <v>222897</v>
      </c>
      <c r="J265" s="31" t="inlineStr">
        <is>
          <t>541163</t>
        </is>
      </c>
    </row>
    <row r="266">
      <c r="A266" s="31" t="inlineStr">
        <is>
          <t>VENUSPIPES</t>
        </is>
      </c>
      <c r="B266" s="31" t="inlineStr">
        <is>
          <t>Venus Pipes &amp; Tubes Ltd</t>
        </is>
      </c>
      <c r="C266" s="31" t="inlineStr">
        <is>
          <t>metals &amp; mining</t>
        </is>
      </c>
      <c r="D266" s="31" t="inlineStr">
        <is>
          <t>steel - medium / small</t>
        </is>
      </c>
      <c r="E266" s="31" t="inlineStr">
        <is>
          <t>smallcap</t>
        </is>
      </c>
      <c r="F266" s="31" t="n">
        <v>3001.76</v>
      </c>
      <c r="G266" s="31" t="n">
        <v>1449</v>
      </c>
      <c r="H266" s="31" t="n">
        <v>-1.28</v>
      </c>
      <c r="I266" s="31" t="n">
        <v>54780</v>
      </c>
      <c r="J266" s="31" t="inlineStr">
        <is>
          <t>543528</t>
        </is>
      </c>
    </row>
    <row r="267">
      <c r="A267" s="31" t="inlineStr">
        <is>
          <t>XPROINDIA</t>
        </is>
      </c>
      <c r="B267" s="31" t="inlineStr">
        <is>
          <t>Xpro India Limited</t>
        </is>
      </c>
      <c r="C267" s="31" t="inlineStr">
        <is>
          <t>industrials</t>
        </is>
      </c>
      <c r="D267" s="31" t="inlineStr">
        <is>
          <t>packaging</t>
        </is>
      </c>
      <c r="E267" s="31" t="inlineStr">
        <is>
          <t>smallcap</t>
        </is>
      </c>
      <c r="F267" s="31" t="n">
        <v>2747.68</v>
      </c>
      <c r="G267" s="31" t="n">
        <v>1170.7</v>
      </c>
      <c r="H267" s="31" t="n">
        <v>-1.28</v>
      </c>
      <c r="I267" s="31" t="n">
        <v>35570</v>
      </c>
      <c r="J267" s="31" t="inlineStr">
        <is>
          <t>590013</t>
        </is>
      </c>
    </row>
    <row r="268">
      <c r="A268" s="31" t="inlineStr">
        <is>
          <t>USHAMART</t>
        </is>
      </c>
      <c r="B268" s="31" t="inlineStr">
        <is>
          <t>Usha Martin Limited</t>
        </is>
      </c>
      <c r="C268" s="31" t="inlineStr">
        <is>
          <t>metals &amp; mining</t>
        </is>
      </c>
      <c r="D268" s="31" t="inlineStr">
        <is>
          <t>steel - medium / small</t>
        </is>
      </c>
      <c r="E268" s="31" t="inlineStr">
        <is>
          <t>midcap</t>
        </is>
      </c>
      <c r="F268" s="31" t="n">
        <v>15636.31</v>
      </c>
      <c r="G268" s="31" t="n">
        <v>513.1</v>
      </c>
      <c r="H268" s="31" t="n">
        <v>-1.29</v>
      </c>
      <c r="I268" s="31" t="n">
        <v>550452</v>
      </c>
      <c r="J268" s="31" t="inlineStr">
        <is>
          <t>517146</t>
        </is>
      </c>
    </row>
    <row r="269">
      <c r="A269" s="31" t="inlineStr">
        <is>
          <t>CEMPRO</t>
        </is>
      </c>
      <c r="B269" s="31" t="inlineStr">
        <is>
          <t>Cemindia Projects Ltd</t>
        </is>
      </c>
      <c r="C269" s="31" t="inlineStr">
        <is>
          <t>realty</t>
        </is>
      </c>
      <c r="D269" s="31" t="inlineStr">
        <is>
          <t>construction</t>
        </is>
      </c>
      <c r="E269" s="31" t="inlineStr">
        <is>
          <t>midcap</t>
        </is>
      </c>
      <c r="F269" s="31" t="n">
        <v>19116.52</v>
      </c>
      <c r="G269" s="31" t="n">
        <v>1112.8</v>
      </c>
      <c r="H269" s="31" t="n">
        <v>-1.29</v>
      </c>
      <c r="I269" s="31" t="n">
        <v>1192068</v>
      </c>
      <c r="J269" s="31" t="inlineStr">
        <is>
          <t>509496</t>
        </is>
      </c>
    </row>
    <row r="270">
      <c r="A270" s="31" t="inlineStr">
        <is>
          <t>RML</t>
        </is>
      </c>
      <c r="B270" s="31" t="inlineStr">
        <is>
          <t>Rane (madras) Limited</t>
        </is>
      </c>
      <c r="C270" s="31" t="inlineStr">
        <is>
          <t>auto</t>
        </is>
      </c>
      <c r="D270" s="31" t="inlineStr">
        <is>
          <t>auto ancillaries</t>
        </is>
      </c>
      <c r="E270" s="31" t="inlineStr">
        <is>
          <t>smallcap</t>
        </is>
      </c>
      <c r="F270" s="31" t="n">
        <v>2491.35</v>
      </c>
      <c r="G270" s="31" t="n">
        <v>901.45</v>
      </c>
      <c r="H270" s="31" t="n">
        <v>-1.3</v>
      </c>
      <c r="I270" s="31" t="n">
        <v>8995</v>
      </c>
      <c r="J270" s="31" t="inlineStr">
        <is>
          <t>532661</t>
        </is>
      </c>
    </row>
    <row r="271">
      <c r="A271" s="31" t="inlineStr">
        <is>
          <t>TEGA</t>
        </is>
      </c>
      <c r="B271" s="31" t="inlineStr">
        <is>
          <t>Tega Industries Ltd</t>
        </is>
      </c>
      <c r="C271" s="31" t="inlineStr">
        <is>
          <t>industrials</t>
        </is>
      </c>
      <c r="D271" s="31" t="inlineStr">
        <is>
          <t>engineering</t>
        </is>
      </c>
      <c r="E271" s="31" t="inlineStr">
        <is>
          <t>midcap</t>
        </is>
      </c>
      <c r="F271" s="31" t="n">
        <v>13881.34</v>
      </c>
      <c r="G271" s="31" t="n">
        <v>1847.7</v>
      </c>
      <c r="H271" s="31" t="n">
        <v>-1.31</v>
      </c>
      <c r="I271" s="31" t="n">
        <v>75661</v>
      </c>
      <c r="J271" s="31" t="inlineStr">
        <is>
          <t>543413</t>
        </is>
      </c>
    </row>
    <row r="272">
      <c r="A272" s="31" t="inlineStr">
        <is>
          <t>ICIL</t>
        </is>
      </c>
      <c r="B272" s="31" t="inlineStr">
        <is>
          <t>Indo Count Industries Limited</t>
        </is>
      </c>
      <c r="C272" s="31" t="inlineStr">
        <is>
          <t>textiles</t>
        </is>
      </c>
      <c r="D272" s="31" t="inlineStr">
        <is>
          <t>textiles - cotton/blended</t>
        </is>
      </c>
      <c r="E272" s="31" t="inlineStr">
        <is>
          <t>midcap</t>
        </is>
      </c>
      <c r="F272" s="31" t="n">
        <v>6508.07</v>
      </c>
      <c r="G272" s="31" t="n">
        <v>328.6</v>
      </c>
      <c r="H272" s="31" t="n">
        <v>-1.35</v>
      </c>
      <c r="I272" s="31" t="n">
        <v>298662</v>
      </c>
      <c r="J272" s="31" t="inlineStr">
        <is>
          <t>521016</t>
        </is>
      </c>
    </row>
    <row r="273">
      <c r="A273" s="31" t="inlineStr">
        <is>
          <t>SOUTHBANK</t>
        </is>
      </c>
      <c r="B273" s="31" t="inlineStr">
        <is>
          <t>The South Indian Bank Limited</t>
        </is>
      </c>
      <c r="C273" s="31" t="inlineStr">
        <is>
          <t>bank</t>
        </is>
      </c>
      <c r="D273" s="31" t="inlineStr">
        <is>
          <t>banks - private sector</t>
        </is>
      </c>
      <c r="E273" s="31" t="inlineStr">
        <is>
          <t>midcap</t>
        </is>
      </c>
      <c r="F273" s="31" t="n">
        <v>11517.3</v>
      </c>
      <c r="G273" s="31" t="n">
        <v>44</v>
      </c>
      <c r="H273" s="31" t="n">
        <v>-1.37</v>
      </c>
      <c r="I273" s="31" t="n">
        <v>15745980</v>
      </c>
      <c r="J273" s="31" t="inlineStr">
        <is>
          <t>532218</t>
        </is>
      </c>
    </row>
    <row r="274">
      <c r="A274" s="31" t="inlineStr">
        <is>
          <t>PANAMAPET</t>
        </is>
      </c>
      <c r="B274" s="31" t="inlineStr">
        <is>
          <t>Panama Petrochem Limited</t>
        </is>
      </c>
      <c r="C274" s="31" t="inlineStr">
        <is>
          <t>energy</t>
        </is>
      </c>
      <c r="D274" s="31" t="inlineStr">
        <is>
          <t>petrochemicals</t>
        </is>
      </c>
      <c r="E274" s="31" t="inlineStr">
        <is>
          <t>smallcap</t>
        </is>
      </c>
      <c r="F274" s="31" t="n">
        <v>2085.52</v>
      </c>
      <c r="G274" s="31" t="n">
        <v>344.75</v>
      </c>
      <c r="H274" s="31" t="n">
        <v>-1.39</v>
      </c>
      <c r="I274" s="31" t="n">
        <v>104404</v>
      </c>
      <c r="J274" s="31" t="inlineStr">
        <is>
          <t>524820</t>
        </is>
      </c>
    </row>
    <row r="275">
      <c r="A275" s="31" t="inlineStr">
        <is>
          <t>KDDL</t>
        </is>
      </c>
      <c r="B275" s="31" t="inlineStr">
        <is>
          <t>Kddl Limited</t>
        </is>
      </c>
      <c r="C275" s="31" t="inlineStr">
        <is>
          <t>consumer discretionary</t>
        </is>
      </c>
      <c r="D275" s="31" t="inlineStr">
        <is>
          <t>miscellaneous</t>
        </is>
      </c>
      <c r="E275" s="31" t="inlineStr">
        <is>
          <t>smallcap</t>
        </is>
      </c>
      <c r="F275" s="31" t="n">
        <v>3572.57</v>
      </c>
      <c r="G275" s="31" t="n">
        <v>2904.7</v>
      </c>
      <c r="H275" s="31" t="n">
        <v>-1.41</v>
      </c>
      <c r="I275" s="31" t="n">
        <v>29820</v>
      </c>
      <c r="J275" s="31" t="inlineStr">
        <is>
          <t>532054</t>
        </is>
      </c>
    </row>
    <row r="276">
      <c r="A276" s="31" t="inlineStr">
        <is>
          <t>NAM-INDIA</t>
        </is>
      </c>
      <c r="B276" s="31" t="inlineStr">
        <is>
          <t>Nippon Life India Asset Management Ltd</t>
        </is>
      </c>
      <c r="C276" s="31" t="inlineStr">
        <is>
          <t>financials</t>
        </is>
      </c>
      <c r="D276" s="31" t="inlineStr">
        <is>
          <t>finance &amp; investments</t>
        </is>
      </c>
      <c r="E276" s="31" t="inlineStr">
        <is>
          <t>largecap</t>
        </is>
      </c>
      <c r="F276" s="31" t="n">
        <v>71028.69</v>
      </c>
      <c r="G276" s="31" t="n">
        <v>1113.1</v>
      </c>
      <c r="H276" s="31" t="n">
        <v>-1.42</v>
      </c>
      <c r="I276" s="31" t="n">
        <v>765915</v>
      </c>
      <c r="J276" s="31" t="inlineStr">
        <is>
          <t>540767</t>
        </is>
      </c>
    </row>
    <row r="277">
      <c r="A277" s="31" t="inlineStr">
        <is>
          <t>IBULLSLTD</t>
        </is>
      </c>
      <c r="B277" s="31" t="inlineStr">
        <is>
          <t>Indiabulls Limited</t>
        </is>
      </c>
      <c r="C277" s="31" t="inlineStr">
        <is>
          <t>miscellaneous</t>
        </is>
      </c>
      <c r="D277" s="31" t="inlineStr">
        <is>
          <t>diversified - medium / small</t>
        </is>
      </c>
      <c r="E277" s="31" t="inlineStr">
        <is>
          <t>midcap</t>
        </is>
      </c>
      <c r="F277" s="31" t="n">
        <v>5401.86</v>
      </c>
      <c r="G277" s="31" t="n">
        <v>23.24</v>
      </c>
      <c r="H277" s="31" t="n">
        <v>-1.44</v>
      </c>
      <c r="I277" s="31" t="n">
        <v>5138206</v>
      </c>
      <c r="J277" s="31" t="inlineStr">
        <is>
          <t>533520</t>
        </is>
      </c>
    </row>
    <row r="278">
      <c r="A278" s="31" t="inlineStr">
        <is>
          <t>ARVIND</t>
        </is>
      </c>
      <c r="B278" s="31" t="inlineStr">
        <is>
          <t>Arvind Limited</t>
        </is>
      </c>
      <c r="C278" s="31" t="inlineStr">
        <is>
          <t>textiles</t>
        </is>
      </c>
      <c r="D278" s="31" t="inlineStr">
        <is>
          <t>textiles - cotton/blended</t>
        </is>
      </c>
      <c r="E278" s="31" t="inlineStr">
        <is>
          <t>midcap</t>
        </is>
      </c>
      <c r="F278" s="31" t="n">
        <v>12940.6</v>
      </c>
      <c r="G278" s="31" t="n">
        <v>493.7</v>
      </c>
      <c r="H278" s="31" t="n">
        <v>-1.47</v>
      </c>
      <c r="I278" s="31" t="n">
        <v>613084</v>
      </c>
      <c r="J278" s="31" t="inlineStr">
        <is>
          <t>500101</t>
        </is>
      </c>
    </row>
    <row r="279">
      <c r="A279" s="31" t="inlineStr">
        <is>
          <t>NSLNISP</t>
        </is>
      </c>
      <c r="B279" s="31" t="inlineStr">
        <is>
          <t>NMDC Steel Ltd</t>
        </is>
      </c>
      <c r="C279" s="31" t="inlineStr">
        <is>
          <t>metals &amp; mining</t>
        </is>
      </c>
      <c r="D279" s="31" t="inlineStr">
        <is>
          <t>steel - large</t>
        </is>
      </c>
      <c r="E279" s="31" t="inlineStr">
        <is>
          <t>midcap</t>
        </is>
      </c>
      <c r="F279" s="31" t="n">
        <v>14641.31</v>
      </c>
      <c r="G279" s="31" t="n">
        <v>49.96</v>
      </c>
      <c r="H279" s="31" t="n">
        <v>-1.5</v>
      </c>
      <c r="I279" s="31" t="n">
        <v>10292290</v>
      </c>
      <c r="J279" s="31" t="inlineStr">
        <is>
          <t>543768</t>
        </is>
      </c>
    </row>
    <row r="280">
      <c r="A280" s="31" t="inlineStr">
        <is>
          <t>ANGELONE</t>
        </is>
      </c>
      <c r="B280" s="31" t="inlineStr">
        <is>
          <t>Angel One Ltd</t>
        </is>
      </c>
      <c r="C280" s="31" t="inlineStr">
        <is>
          <t>financials</t>
        </is>
      </c>
      <c r="D280" s="31" t="inlineStr">
        <is>
          <t>finance &amp; investments</t>
        </is>
      </c>
      <c r="E280" s="31" t="inlineStr">
        <is>
          <t>largecap</t>
        </is>
      </c>
      <c r="F280" s="31" t="n">
        <v>30295.18</v>
      </c>
      <c r="G280" s="31" t="n">
        <v>332.6</v>
      </c>
      <c r="H280" s="31" t="n">
        <v>-1.51</v>
      </c>
      <c r="I280" s="31" t="n">
        <v>13273649</v>
      </c>
      <c r="J280" s="31" t="n"/>
    </row>
    <row r="281">
      <c r="A281" s="31" t="inlineStr">
        <is>
          <t>KPRMILL</t>
        </is>
      </c>
      <c r="B281" s="31" t="inlineStr">
        <is>
          <t>K.p.r. Mill Limited</t>
        </is>
      </c>
      <c r="C281" s="31" t="inlineStr">
        <is>
          <t>consumer discretionary</t>
        </is>
      </c>
      <c r="D281" s="31" t="inlineStr">
        <is>
          <t>textiles - products</t>
        </is>
      </c>
      <c r="E281" s="31" t="inlineStr">
        <is>
          <t>largecap</t>
        </is>
      </c>
      <c r="F281" s="31" t="n">
        <v>37139.8</v>
      </c>
      <c r="G281" s="31" t="n">
        <v>1086.55</v>
      </c>
      <c r="H281" s="31" t="n">
        <v>-1.51</v>
      </c>
      <c r="I281" s="31" t="n">
        <v>195566</v>
      </c>
      <c r="J281" s="31" t="inlineStr">
        <is>
          <t>532889</t>
        </is>
      </c>
    </row>
    <row r="282">
      <c r="A282" s="31" t="inlineStr">
        <is>
          <t>RATEGAIN</t>
        </is>
      </c>
      <c r="B282" s="31" t="inlineStr">
        <is>
          <t>Rategain Travel Technologies Ltd</t>
        </is>
      </c>
      <c r="C282" s="31" t="inlineStr">
        <is>
          <t>i.t</t>
        </is>
      </c>
      <c r="D282" s="31" t="inlineStr">
        <is>
          <t>computers - software - medium / small</t>
        </is>
      </c>
      <c r="E282" s="31" t="inlineStr">
        <is>
          <t>midcap</t>
        </is>
      </c>
      <c r="F282" s="31" t="n">
        <v>8965.209999999999</v>
      </c>
      <c r="G282" s="31" t="n">
        <v>758.7</v>
      </c>
      <c r="H282" s="31" t="n">
        <v>-1.6</v>
      </c>
      <c r="I282" s="31" t="n">
        <v>333958</v>
      </c>
      <c r="J282" s="31" t="inlineStr">
        <is>
          <t>543417</t>
        </is>
      </c>
    </row>
    <row r="283">
      <c r="A283" s="31" t="inlineStr">
        <is>
          <t>OFSS</t>
        </is>
      </c>
      <c r="B283" s="31" t="inlineStr">
        <is>
          <t>Oracle Financial Services Software Limited</t>
        </is>
      </c>
      <c r="C283" s="31" t="inlineStr">
        <is>
          <t>i.t</t>
        </is>
      </c>
      <c r="D283" s="31" t="inlineStr">
        <is>
          <t>computers - software - large</t>
        </is>
      </c>
      <c r="E283" s="31" t="inlineStr">
        <is>
          <t>largecap</t>
        </is>
      </c>
      <c r="F283" s="31" t="n">
        <v>86482.46000000001</v>
      </c>
      <c r="G283" s="31" t="n">
        <v>9936.5</v>
      </c>
      <c r="H283" s="31" t="n">
        <v>-1.6</v>
      </c>
      <c r="I283" s="31" t="n">
        <v>197221</v>
      </c>
      <c r="J283" s="31" t="inlineStr">
        <is>
          <t>532466</t>
        </is>
      </c>
    </row>
    <row r="284">
      <c r="A284" s="31" t="inlineStr">
        <is>
          <t>SIS</t>
        </is>
      </c>
      <c r="B284" s="31" t="inlineStr">
        <is>
          <t>Security &amp; Intelligence Services India</t>
        </is>
      </c>
      <c r="C284" s="31" t="inlineStr">
        <is>
          <t>miscellaneous</t>
        </is>
      </c>
      <c r="D284" s="31" t="inlineStr">
        <is>
          <t>miscellaneous</t>
        </is>
      </c>
      <c r="E284" s="31" t="inlineStr">
        <is>
          <t>midcap</t>
        </is>
      </c>
      <c r="F284" s="31" t="n">
        <v>5891.76</v>
      </c>
      <c r="G284" s="31" t="n">
        <v>417.05</v>
      </c>
      <c r="H284" s="31" t="n">
        <v>-1.64</v>
      </c>
      <c r="I284" s="31" t="n">
        <v>493627</v>
      </c>
      <c r="J284" s="31" t="inlineStr">
        <is>
          <t>540673</t>
        </is>
      </c>
    </row>
    <row r="285">
      <c r="A285" s="31" t="inlineStr">
        <is>
          <t>KIRLPNU</t>
        </is>
      </c>
      <c r="B285" s="31" t="inlineStr">
        <is>
          <t>Kirloskar Pneumatic Company Ltd</t>
        </is>
      </c>
      <c r="C285" s="31" t="inlineStr">
        <is>
          <t>industrials</t>
        </is>
      </c>
      <c r="D285" s="31" t="inlineStr">
        <is>
          <t>compressors / drilling equipment</t>
        </is>
      </c>
      <c r="E285" s="31" t="inlineStr">
        <is>
          <t>midcap</t>
        </is>
      </c>
      <c r="F285" s="31" t="n">
        <v>10203.63</v>
      </c>
      <c r="G285" s="31" t="n">
        <v>1570.8</v>
      </c>
      <c r="H285" s="31" t="n">
        <v>-1.71</v>
      </c>
      <c r="I285" s="31" t="n">
        <v>69471</v>
      </c>
      <c r="J285" s="31" t="inlineStr">
        <is>
          <t>505283</t>
        </is>
      </c>
    </row>
    <row r="286">
      <c r="A286" s="31" t="inlineStr">
        <is>
          <t>MIDHANI</t>
        </is>
      </c>
      <c r="B286" s="31" t="inlineStr">
        <is>
          <t>Mishra Dhatu Nigam Ltd</t>
        </is>
      </c>
      <c r="C286" s="31" t="inlineStr">
        <is>
          <t>aerospace &amp; defence</t>
        </is>
      </c>
      <c r="D286" s="31" t="inlineStr">
        <is>
          <t>steel - medium / small</t>
        </is>
      </c>
      <c r="E286" s="31" t="inlineStr">
        <is>
          <t>midcap</t>
        </is>
      </c>
      <c r="F286" s="31" t="n">
        <v>8159.59</v>
      </c>
      <c r="G286" s="31" t="n">
        <v>435.55</v>
      </c>
      <c r="H286" s="31" t="n">
        <v>-1.74</v>
      </c>
      <c r="I286" s="31" t="n">
        <v>1581227</v>
      </c>
      <c r="J286" s="31" t="inlineStr">
        <is>
          <t>541195</t>
        </is>
      </c>
    </row>
    <row r="287">
      <c r="A287" s="31" t="inlineStr">
        <is>
          <t>ANTELOPUS</t>
        </is>
      </c>
      <c r="B287" s="31" t="inlineStr">
        <is>
          <t>Antelopus Selan Energy Ltd</t>
        </is>
      </c>
      <c r="C287" s="31" t="inlineStr">
        <is>
          <t>energy</t>
        </is>
      </c>
      <c r="D287" s="31" t="inlineStr">
        <is>
          <t>oil drilling / allied services</t>
        </is>
      </c>
      <c r="E287" s="31" t="inlineStr">
        <is>
          <t>smallcap</t>
        </is>
      </c>
      <c r="F287" s="31" t="n">
        <v>3162.33</v>
      </c>
      <c r="G287" s="31" t="n">
        <v>899.35</v>
      </c>
      <c r="H287" s="31" t="n">
        <v>-1.75</v>
      </c>
      <c r="I287" s="31" t="n">
        <v>218479</v>
      </c>
      <c r="J287" s="31" t="inlineStr">
        <is>
          <t>530075</t>
        </is>
      </c>
    </row>
    <row r="288">
      <c r="A288" s="31" t="inlineStr">
        <is>
          <t>GAYAPROJ</t>
        </is>
      </c>
      <c r="B288" s="31" t="inlineStr">
        <is>
          <t>Gayatri Projects Limited</t>
        </is>
      </c>
      <c r="C288" s="31" t="inlineStr">
        <is>
          <t>realty</t>
        </is>
      </c>
      <c r="D288" s="31" t="inlineStr">
        <is>
          <t>construction</t>
        </is>
      </c>
      <c r="E288" s="31" t="inlineStr">
        <is>
          <t>smallcap</t>
        </is>
      </c>
      <c r="F288" s="31" t="n">
        <v>608.1</v>
      </c>
      <c r="G288" s="31" t="n">
        <v>20.53</v>
      </c>
      <c r="H288" s="31" t="n">
        <v>-1.77</v>
      </c>
      <c r="I288" s="31" t="n">
        <v>580824</v>
      </c>
      <c r="J288" s="31" t="inlineStr">
        <is>
          <t>532767</t>
        </is>
      </c>
    </row>
    <row r="289">
      <c r="A289" s="31" t="inlineStr">
        <is>
          <t>AVALON</t>
        </is>
      </c>
      <c r="B289" s="31" t="inlineStr">
        <is>
          <t>Avalon Technologies Ltd</t>
        </is>
      </c>
      <c r="C289" s="31" t="inlineStr">
        <is>
          <t>consumer discretionary</t>
        </is>
      </c>
      <c r="D289" s="31" t="inlineStr">
        <is>
          <t>electronics - components</t>
        </is>
      </c>
      <c r="E289" s="31" t="inlineStr">
        <is>
          <t>midcap</t>
        </is>
      </c>
      <c r="F289" s="31" t="n">
        <v>10735.33</v>
      </c>
      <c r="G289" s="31" t="n">
        <v>1607.9</v>
      </c>
      <c r="H289" s="31" t="n">
        <v>-1.82</v>
      </c>
      <c r="I289" s="31" t="n">
        <v>406233</v>
      </c>
      <c r="J289" s="31" t="inlineStr">
        <is>
          <t>543896</t>
        </is>
      </c>
    </row>
    <row r="290">
      <c r="A290" s="31" t="inlineStr">
        <is>
          <t>GPTHEALTH</t>
        </is>
      </c>
      <c r="B290" s="31" t="inlineStr">
        <is>
          <t>GPT Healthcare Ltd</t>
        </is>
      </c>
      <c r="C290" s="31" t="inlineStr">
        <is>
          <t>healthcare</t>
        </is>
      </c>
      <c r="D290" s="31" t="inlineStr">
        <is>
          <t>healthcare</t>
        </is>
      </c>
      <c r="E290" s="31" t="inlineStr">
        <is>
          <t>smallcap</t>
        </is>
      </c>
      <c r="F290" s="31" t="n">
        <v>1227.87</v>
      </c>
      <c r="G290" s="31" t="n">
        <v>149.64</v>
      </c>
      <c r="H290" s="31" t="n">
        <v>-1.83</v>
      </c>
      <c r="I290" s="31" t="n">
        <v>128739</v>
      </c>
      <c r="J290" s="31" t="inlineStr">
        <is>
          <t>544131</t>
        </is>
      </c>
    </row>
    <row r="291">
      <c r="A291" s="31" t="inlineStr">
        <is>
          <t>KIRLOSENG</t>
        </is>
      </c>
      <c r="B291" s="31" t="inlineStr">
        <is>
          <t>Kirloskar Oil Engines Limited</t>
        </is>
      </c>
      <c r="C291" s="31" t="inlineStr">
        <is>
          <t>industrials</t>
        </is>
      </c>
      <c r="D291" s="31" t="inlineStr">
        <is>
          <t>engines</t>
        </is>
      </c>
      <c r="E291" s="31" t="inlineStr">
        <is>
          <t>largecap</t>
        </is>
      </c>
      <c r="F291" s="31" t="n">
        <v>27811.58</v>
      </c>
      <c r="G291" s="31" t="n">
        <v>1913.3</v>
      </c>
      <c r="H291" s="31" t="n">
        <v>-1.88</v>
      </c>
      <c r="I291" s="31" t="n">
        <v>248496</v>
      </c>
      <c r="J291" s="31" t="inlineStr">
        <is>
          <t>533293</t>
        </is>
      </c>
    </row>
    <row r="292">
      <c r="A292" s="31" t="inlineStr">
        <is>
          <t>JBMA</t>
        </is>
      </c>
      <c r="B292" s="31" t="inlineStr">
        <is>
          <t>Jbm Auto Limited</t>
        </is>
      </c>
      <c r="C292" s="31" t="inlineStr">
        <is>
          <t>auto</t>
        </is>
      </c>
      <c r="D292" s="31" t="inlineStr">
        <is>
          <t>auto ancillaries</t>
        </is>
      </c>
      <c r="E292" s="31" t="inlineStr">
        <is>
          <t>midcap</t>
        </is>
      </c>
      <c r="F292" s="31" t="n">
        <v>16074.52</v>
      </c>
      <c r="G292" s="31" t="n">
        <v>679.7</v>
      </c>
      <c r="H292" s="31" t="n">
        <v>-1.89</v>
      </c>
      <c r="I292" s="31" t="n">
        <v>1113860</v>
      </c>
      <c r="J292" s="31" t="inlineStr">
        <is>
          <t>532605</t>
        </is>
      </c>
    </row>
    <row r="293">
      <c r="A293" s="31" t="inlineStr">
        <is>
          <t>ELGIEQUIP</t>
        </is>
      </c>
      <c r="B293" s="31" t="inlineStr">
        <is>
          <t>Elgi Equipments Limited</t>
        </is>
      </c>
      <c r="C293" s="31" t="inlineStr">
        <is>
          <t>industrials</t>
        </is>
      </c>
      <c r="D293" s="31" t="inlineStr">
        <is>
          <t>compressors / drilling equipment</t>
        </is>
      </c>
      <c r="E293" s="31" t="inlineStr">
        <is>
          <t>midcap</t>
        </is>
      </c>
      <c r="F293" s="31" t="n">
        <v>19340.96</v>
      </c>
      <c r="G293" s="31" t="n">
        <v>610.3</v>
      </c>
      <c r="H293" s="31" t="n">
        <v>-1.9</v>
      </c>
      <c r="I293" s="31" t="n">
        <v>378367</v>
      </c>
      <c r="J293" s="31" t="inlineStr">
        <is>
          <t>522074</t>
        </is>
      </c>
    </row>
    <row r="294">
      <c r="A294" s="31" t="inlineStr">
        <is>
          <t>NMDC</t>
        </is>
      </c>
      <c r="B294" s="31" t="inlineStr">
        <is>
          <t>Nmdc Limited</t>
        </is>
      </c>
      <c r="C294" s="31" t="inlineStr">
        <is>
          <t>metals &amp; mining</t>
        </is>
      </c>
      <c r="D294" s="31" t="inlineStr">
        <is>
          <t>mining / minerals / metals</t>
        </is>
      </c>
      <c r="E294" s="31" t="inlineStr">
        <is>
          <t>largecap</t>
        </is>
      </c>
      <c r="F294" s="31" t="n">
        <v>81675.99000000001</v>
      </c>
      <c r="G294" s="31" t="n">
        <v>92.90000000000001</v>
      </c>
      <c r="H294" s="31" t="n">
        <v>-1.9</v>
      </c>
      <c r="I294" s="31" t="n">
        <v>40684291</v>
      </c>
      <c r="J294" s="31" t="inlineStr">
        <is>
          <t>526371</t>
        </is>
      </c>
    </row>
    <row r="295">
      <c r="A295" s="31" t="inlineStr">
        <is>
          <t>COALINDIA</t>
        </is>
      </c>
      <c r="B295" s="31" t="inlineStr">
        <is>
          <t>Coal India Limited</t>
        </is>
      </c>
      <c r="C295" s="31" t="inlineStr">
        <is>
          <t>metals &amp; mining</t>
        </is>
      </c>
      <c r="D295" s="31" t="inlineStr">
        <is>
          <t>mining / minerals / metals</t>
        </is>
      </c>
      <c r="E295" s="31" t="inlineStr">
        <is>
          <t>largecap</t>
        </is>
      </c>
      <c r="F295" s="31" t="n">
        <v>291065.66</v>
      </c>
      <c r="G295" s="31" t="n">
        <v>472.3</v>
      </c>
      <c r="H295" s="31" t="n">
        <v>-1.94</v>
      </c>
      <c r="I295" s="31" t="n">
        <v>9592529</v>
      </c>
      <c r="J295" s="31" t="inlineStr">
        <is>
          <t>533278</t>
        </is>
      </c>
    </row>
    <row r="296">
      <c r="A296" s="31" t="inlineStr">
        <is>
          <t>MCLEODRUSS</t>
        </is>
      </c>
      <c r="B296" s="31" t="inlineStr">
        <is>
          <t>Mcleod Russel India Limited</t>
        </is>
      </c>
      <c r="C296" s="31" t="inlineStr">
        <is>
          <t>fmcg</t>
        </is>
      </c>
      <c r="D296" s="31" t="inlineStr">
        <is>
          <t>tea</t>
        </is>
      </c>
      <c r="E296" s="31" t="inlineStr">
        <is>
          <t>smallcap</t>
        </is>
      </c>
      <c r="F296" s="31" t="n">
        <v>740.7</v>
      </c>
      <c r="G296" s="31" t="n">
        <v>70.91</v>
      </c>
      <c r="H296" s="31" t="n">
        <v>-1.99</v>
      </c>
      <c r="I296" s="31" t="n">
        <v>496879</v>
      </c>
      <c r="J296" s="31" t="inlineStr">
        <is>
          <t>532654</t>
        </is>
      </c>
    </row>
    <row r="297">
      <c r="A297" s="31" t="inlineStr">
        <is>
          <t>SBCL</t>
        </is>
      </c>
      <c r="B297" s="31" t="inlineStr">
        <is>
          <t>Shivalik Bimetal Controls Ltd</t>
        </is>
      </c>
      <c r="C297" s="31" t="inlineStr">
        <is>
          <t>metals &amp; mining</t>
        </is>
      </c>
      <c r="D297" s="31" t="inlineStr">
        <is>
          <t>mining / minerals / metals</t>
        </is>
      </c>
      <c r="E297" s="31" t="inlineStr">
        <is>
          <t>smallcap</t>
        </is>
      </c>
      <c r="F297" s="31" t="n">
        <v>4105.45</v>
      </c>
      <c r="G297" s="31" t="n">
        <v>712.7</v>
      </c>
      <c r="H297" s="31" t="n">
        <v>-2.07</v>
      </c>
      <c r="I297" s="31" t="n">
        <v>325013</v>
      </c>
      <c r="J297" s="31" t="inlineStr">
        <is>
          <t>513097</t>
        </is>
      </c>
    </row>
    <row r="298">
      <c r="A298" s="31" t="inlineStr">
        <is>
          <t>ADFFOODS</t>
        </is>
      </c>
      <c r="B298" s="31" t="inlineStr">
        <is>
          <t>Adf Foods Limited</t>
        </is>
      </c>
      <c r="C298" s="31" t="inlineStr">
        <is>
          <t>fmcg</t>
        </is>
      </c>
      <c r="D298" s="31" t="inlineStr">
        <is>
          <t>food - processing - indian</t>
        </is>
      </c>
      <c r="E298" s="31" t="inlineStr">
        <is>
          <t>smallcap</t>
        </is>
      </c>
      <c r="F298" s="31" t="n">
        <v>3106.94</v>
      </c>
      <c r="G298" s="31" t="n">
        <v>282.8</v>
      </c>
      <c r="H298" s="31" t="n">
        <v>-2.08</v>
      </c>
      <c r="I298" s="31" t="n">
        <v>164750</v>
      </c>
      <c r="J298" s="31" t="inlineStr">
        <is>
          <t>519183</t>
        </is>
      </c>
    </row>
    <row r="299">
      <c r="A299" s="31" t="inlineStr">
        <is>
          <t>DREDGECORP</t>
        </is>
      </c>
      <c r="B299" s="31" t="inlineStr">
        <is>
          <t>Dredging Corporation Of India Limited</t>
        </is>
      </c>
      <c r="C299" s="31" t="inlineStr">
        <is>
          <t>miscellaneous</t>
        </is>
      </c>
      <c r="D299" s="31" t="inlineStr">
        <is>
          <t>miscellaneous</t>
        </is>
      </c>
      <c r="E299" s="31" t="inlineStr">
        <is>
          <t>smallcap</t>
        </is>
      </c>
      <c r="F299" s="31" t="n">
        <v>3299.24</v>
      </c>
      <c r="G299" s="31" t="n">
        <v>1178.3</v>
      </c>
      <c r="H299" s="31" t="n">
        <v>-2.1</v>
      </c>
      <c r="I299" s="31" t="n">
        <v>261288</v>
      </c>
      <c r="J299" s="31" t="inlineStr">
        <is>
          <t>523618</t>
        </is>
      </c>
    </row>
    <row r="300">
      <c r="A300" s="31" t="inlineStr">
        <is>
          <t>AMBIKCO</t>
        </is>
      </c>
      <c r="B300" s="31" t="inlineStr">
        <is>
          <t>Ambika Cotton Mills Limited</t>
        </is>
      </c>
      <c r="C300" s="31" t="inlineStr">
        <is>
          <t>textiles</t>
        </is>
      </c>
      <c r="D300" s="31" t="inlineStr">
        <is>
          <t>textiles - cotton/blended</t>
        </is>
      </c>
      <c r="E300" s="31" t="inlineStr">
        <is>
          <t>smallcap</t>
        </is>
      </c>
      <c r="F300" s="31" t="n">
        <v>935.41</v>
      </c>
      <c r="G300" s="31" t="n">
        <v>1633.9</v>
      </c>
      <c r="H300" s="31" t="n">
        <v>-2.23</v>
      </c>
      <c r="I300" s="31" t="n">
        <v>11442</v>
      </c>
      <c r="J300" s="31" t="inlineStr">
        <is>
          <t>531978</t>
        </is>
      </c>
    </row>
    <row r="301">
      <c r="A301" s="31" t="inlineStr">
        <is>
          <t>SPAL</t>
        </is>
      </c>
      <c r="B301" s="31" t="inlineStr">
        <is>
          <t>S. P. Apparels Limited</t>
        </is>
      </c>
      <c r="C301" s="31" t="inlineStr">
        <is>
          <t>textiles</t>
        </is>
      </c>
      <c r="D301" s="31" t="inlineStr">
        <is>
          <t>textiles - products</t>
        </is>
      </c>
      <c r="E301" s="31" t="inlineStr">
        <is>
          <t>smallcap</t>
        </is>
      </c>
      <c r="F301" s="31" t="n">
        <v>2041.78</v>
      </c>
      <c r="G301" s="31" t="n">
        <v>812.2</v>
      </c>
      <c r="H301" s="31" t="n">
        <v>-2.25</v>
      </c>
      <c r="I301" s="31" t="n">
        <v>18047</v>
      </c>
      <c r="J301" s="31" t="inlineStr">
        <is>
          <t>540048</t>
        </is>
      </c>
    </row>
    <row r="302">
      <c r="A302" s="31" t="inlineStr">
        <is>
          <t>GOCLCORP</t>
        </is>
      </c>
      <c r="B302" s="31" t="inlineStr">
        <is>
          <t>Gocl Corporation Limited</t>
        </is>
      </c>
      <c r="C302" s="31" t="inlineStr">
        <is>
          <t>miscellaneous</t>
        </is>
      </c>
      <c r="D302" s="31" t="inlineStr">
        <is>
          <t>diversified - medium / small</t>
        </is>
      </c>
      <c r="E302" s="31" t="inlineStr">
        <is>
          <t>smallcap</t>
        </is>
      </c>
      <c r="F302" s="31" t="n">
        <v>2036.69</v>
      </c>
      <c r="G302" s="31" t="n">
        <v>410.85</v>
      </c>
      <c r="H302" s="31" t="n">
        <v>-2.28</v>
      </c>
      <c r="I302" s="31" t="n">
        <v>89413</v>
      </c>
      <c r="J302" s="31" t="inlineStr">
        <is>
          <t>506480</t>
        </is>
      </c>
    </row>
    <row r="303">
      <c r="A303" s="31" t="inlineStr">
        <is>
          <t>ZIMLAB</t>
        </is>
      </c>
      <c r="B303" s="31" t="inlineStr">
        <is>
          <t>Zim Laboratories Ltd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smallcap</t>
        </is>
      </c>
      <c r="F303" s="31" t="n">
        <v>562.4</v>
      </c>
      <c r="G303" s="31" t="n">
        <v>105.12</v>
      </c>
      <c r="H303" s="31" t="n">
        <v>-2.31</v>
      </c>
      <c r="I303" s="31" t="n">
        <v>28513</v>
      </c>
      <c r="J303" s="31" t="inlineStr">
        <is>
          <t>541400</t>
        </is>
      </c>
    </row>
    <row r="304">
      <c r="A304" s="31" t="inlineStr">
        <is>
          <t>GOLDIAM</t>
        </is>
      </c>
      <c r="B304" s="31" t="inlineStr">
        <is>
          <t>Goldiam International Limited</t>
        </is>
      </c>
      <c r="C304" s="31" t="inlineStr">
        <is>
          <t>consumer discretionary</t>
        </is>
      </c>
      <c r="D304" s="31" t="inlineStr">
        <is>
          <t>diamond cutting / jewellery</t>
        </is>
      </c>
      <c r="E304" s="31" t="inlineStr">
        <is>
          <t>smallcap</t>
        </is>
      </c>
      <c r="F304" s="31" t="n">
        <v>4760.62</v>
      </c>
      <c r="G304" s="31" t="n">
        <v>421.6</v>
      </c>
      <c r="H304" s="31" t="n">
        <v>-2.35</v>
      </c>
      <c r="I304" s="31" t="n">
        <v>510424</v>
      </c>
      <c r="J304" s="31" t="inlineStr">
        <is>
          <t>526729</t>
        </is>
      </c>
    </row>
    <row r="305">
      <c r="A305" s="31" t="inlineStr">
        <is>
          <t>TINNARUBR</t>
        </is>
      </c>
      <c r="B305" s="31" t="inlineStr">
        <is>
          <t>Tinna Rubber &amp; Infrastructure Ltd</t>
        </is>
      </c>
      <c r="C305" s="31" t="inlineStr">
        <is>
          <t>fmcg</t>
        </is>
      </c>
      <c r="D305" s="31" t="inlineStr">
        <is>
          <t>miscellaneous</t>
        </is>
      </c>
      <c r="E305" s="31" t="inlineStr">
        <is>
          <t>smallcap</t>
        </is>
      </c>
      <c r="F305" s="31" t="n">
        <v>1566.65</v>
      </c>
      <c r="G305" s="31" t="n">
        <v>869.6</v>
      </c>
      <c r="H305" s="31" t="n">
        <v>-2.43</v>
      </c>
      <c r="I305" s="31" t="n">
        <v>98615</v>
      </c>
      <c r="J305" s="31" t="inlineStr">
        <is>
          <t>530475</t>
        </is>
      </c>
    </row>
    <row r="306">
      <c r="A306" s="31" t="inlineStr">
        <is>
          <t>BFINVEST</t>
        </is>
      </c>
      <c r="B306" s="31" t="inlineStr">
        <is>
          <t>Bf Investment Limited</t>
        </is>
      </c>
      <c r="C306" s="31" t="inlineStr">
        <is>
          <t>financials</t>
        </is>
      </c>
      <c r="D306" s="31" t="inlineStr">
        <is>
          <t>finance &amp; investments</t>
        </is>
      </c>
      <c r="E306" s="31" t="inlineStr">
        <is>
          <t>smallcap</t>
        </is>
      </c>
      <c r="F306" s="31" t="n">
        <v>1646.45</v>
      </c>
      <c r="G306" s="31" t="n">
        <v>437.1</v>
      </c>
      <c r="H306" s="31" t="n">
        <v>-2.49</v>
      </c>
      <c r="I306" s="31" t="n">
        <v>38932</v>
      </c>
      <c r="J306" s="31" t="inlineStr">
        <is>
          <t>533303</t>
        </is>
      </c>
    </row>
    <row r="307">
      <c r="A307" s="31" t="inlineStr">
        <is>
          <t>MARKSANS</t>
        </is>
      </c>
      <c r="B307" s="31" t="inlineStr">
        <is>
          <t>Marksans Pharma Limited</t>
        </is>
      </c>
      <c r="C307" s="31" t="inlineStr">
        <is>
          <t>healthcare</t>
        </is>
      </c>
      <c r="D307" s="31" t="inlineStr">
        <is>
          <t>pharmaceuticals - indian - formulations</t>
        </is>
      </c>
      <c r="E307" s="31" t="inlineStr">
        <is>
          <t>midcap</t>
        </is>
      </c>
      <c r="F307" s="31" t="n">
        <v>10567.33</v>
      </c>
      <c r="G307" s="31" t="n">
        <v>233.19</v>
      </c>
      <c r="H307" s="31" t="n">
        <v>-2.49</v>
      </c>
      <c r="I307" s="31" t="n">
        <v>1734226</v>
      </c>
      <c r="J307" s="31" t="inlineStr">
        <is>
          <t>524404</t>
        </is>
      </c>
    </row>
    <row r="308">
      <c r="A308" s="31" t="inlineStr">
        <is>
          <t>VARROC</t>
        </is>
      </c>
      <c r="B308" s="31" t="inlineStr">
        <is>
          <t>Varroc Engineering Ltd</t>
        </is>
      </c>
      <c r="C308" s="31" t="inlineStr">
        <is>
          <t>auto</t>
        </is>
      </c>
      <c r="D308" s="31" t="inlineStr">
        <is>
          <t>auto ancillaries</t>
        </is>
      </c>
      <c r="E308" s="31" t="inlineStr">
        <is>
          <t>midcap</t>
        </is>
      </c>
      <c r="F308" s="31" t="n">
        <v>8957.870000000001</v>
      </c>
      <c r="G308" s="31" t="n">
        <v>586.3</v>
      </c>
      <c r="H308" s="31" t="n">
        <v>-2.54</v>
      </c>
      <c r="I308" s="31" t="n">
        <v>176278</v>
      </c>
      <c r="J308" s="31" t="inlineStr">
        <is>
          <t>541578</t>
        </is>
      </c>
    </row>
    <row r="309">
      <c r="A309" s="31" t="inlineStr">
        <is>
          <t>GVPIL</t>
        </is>
      </c>
      <c r="B309" s="31" t="inlineStr">
        <is>
          <t>GE Power India Ltd</t>
        </is>
      </c>
      <c r="C309" s="31" t="inlineStr">
        <is>
          <t>realty</t>
        </is>
      </c>
      <c r="D309" s="31" t="inlineStr">
        <is>
          <t>engineering - turnkey services</t>
        </is>
      </c>
      <c r="E309" s="31" t="inlineStr">
        <is>
          <t>midcap</t>
        </is>
      </c>
      <c r="F309" s="31" t="n">
        <v>5943.58</v>
      </c>
      <c r="G309" s="31" t="n">
        <v>884.1</v>
      </c>
      <c r="H309" s="31" t="n">
        <v>-2.58</v>
      </c>
      <c r="I309" s="31" t="n">
        <v>583582</v>
      </c>
      <c r="J309" s="31" t="inlineStr">
        <is>
          <t>532309</t>
        </is>
      </c>
    </row>
    <row r="310">
      <c r="A310" s="31" t="inlineStr">
        <is>
          <t>WHEELS</t>
        </is>
      </c>
      <c r="B310" s="31" t="inlineStr">
        <is>
          <t>Wheels India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smallcap</t>
        </is>
      </c>
      <c r="F310" s="31" t="n">
        <v>3634.9</v>
      </c>
      <c r="G310" s="31" t="n">
        <v>1487.7</v>
      </c>
      <c r="H310" s="31" t="n">
        <v>-2.68</v>
      </c>
      <c r="I310" s="31" t="n">
        <v>180561</v>
      </c>
      <c r="J310" s="31" t="inlineStr">
        <is>
          <t>590073</t>
        </is>
      </c>
    </row>
    <row r="311">
      <c r="A311" s="31" t="inlineStr">
        <is>
          <t>BALAMINES</t>
        </is>
      </c>
      <c r="B311" s="31" t="inlineStr">
        <is>
          <t>Balaji Amines Limited</t>
        </is>
      </c>
      <c r="C311" s="31" t="inlineStr">
        <is>
          <t>chemicals</t>
        </is>
      </c>
      <c r="D311" s="31" t="inlineStr">
        <is>
          <t>chemicals</t>
        </is>
      </c>
      <c r="E311" s="31" t="inlineStr">
        <is>
          <t>midcap</t>
        </is>
      </c>
      <c r="F311" s="31" t="n">
        <v>6620.5</v>
      </c>
      <c r="G311" s="31" t="n">
        <v>2043.3</v>
      </c>
      <c r="H311" s="31" t="n">
        <v>-2.7</v>
      </c>
      <c r="I311" s="31" t="n">
        <v>528900</v>
      </c>
      <c r="J311" s="31" t="inlineStr">
        <is>
          <t>530999</t>
        </is>
      </c>
    </row>
    <row r="312">
      <c r="A312" s="31" t="inlineStr">
        <is>
          <t>PSPPROJECT</t>
        </is>
      </c>
      <c r="B312" s="31" t="inlineStr">
        <is>
          <t>PSP Projects Ltd</t>
        </is>
      </c>
      <c r="C312" s="31" t="inlineStr">
        <is>
          <t>realty</t>
        </is>
      </c>
      <c r="D312" s="31" t="inlineStr">
        <is>
          <t>construction</t>
        </is>
      </c>
      <c r="E312" s="31" t="inlineStr">
        <is>
          <t>smallcap</t>
        </is>
      </c>
      <c r="F312" s="31" t="n">
        <v>3462.51</v>
      </c>
      <c r="G312" s="31" t="n">
        <v>873.45</v>
      </c>
      <c r="H312" s="31" t="n">
        <v>-2.8</v>
      </c>
      <c r="I312" s="31" t="n">
        <v>136987</v>
      </c>
      <c r="J312" s="31" t="inlineStr">
        <is>
          <t>540544</t>
        </is>
      </c>
    </row>
    <row r="313">
      <c r="A313" s="31" t="inlineStr">
        <is>
          <t>MTARTECH</t>
        </is>
      </c>
      <c r="B313" s="31" t="inlineStr">
        <is>
          <t>MTAR Technologies Ltd</t>
        </is>
      </c>
      <c r="C313" s="31" t="inlineStr">
        <is>
          <t>aerospace &amp; defence</t>
        </is>
      </c>
      <c r="D313" s="31" t="inlineStr">
        <is>
          <t>engineering</t>
        </is>
      </c>
      <c r="E313" s="31" t="inlineStr">
        <is>
          <t>largecap</t>
        </is>
      </c>
      <c r="F313" s="31" t="n">
        <v>23178.89</v>
      </c>
      <c r="G313" s="31" t="n">
        <v>7535.5</v>
      </c>
      <c r="H313" s="31" t="n">
        <v>-2.84</v>
      </c>
      <c r="I313" s="31" t="n">
        <v>1254939</v>
      </c>
      <c r="J313" s="31" t="inlineStr">
        <is>
          <t>543270</t>
        </is>
      </c>
    </row>
    <row r="314">
      <c r="A314" s="31" t="inlineStr">
        <is>
          <t>KERNEX</t>
        </is>
      </c>
      <c r="B314" s="31" t="inlineStr">
        <is>
          <t>Kernex Microsystems (india) Limited</t>
        </is>
      </c>
      <c r="C314" s="31" t="inlineStr">
        <is>
          <t>consumer discretionary</t>
        </is>
      </c>
      <c r="D314" s="31" t="inlineStr">
        <is>
          <t>electronics - components</t>
        </is>
      </c>
      <c r="E314" s="31" t="inlineStr">
        <is>
          <t>smallcap</t>
        </is>
      </c>
      <c r="F314" s="31" t="n">
        <v>3085.09</v>
      </c>
      <c r="G314" s="31" t="n">
        <v>1836.1</v>
      </c>
      <c r="H314" s="31" t="n">
        <v>-2.86</v>
      </c>
      <c r="I314" s="31" t="n">
        <v>214449</v>
      </c>
      <c r="J314" s="31" t="inlineStr">
        <is>
          <t>532686</t>
        </is>
      </c>
    </row>
    <row r="315">
      <c r="A315" s="31" t="inlineStr">
        <is>
          <t>IFCI</t>
        </is>
      </c>
      <c r="B315" s="31" t="inlineStr">
        <is>
          <t>Ifci Limited</t>
        </is>
      </c>
      <c r="C315" s="31" t="inlineStr">
        <is>
          <t>financials</t>
        </is>
      </c>
      <c r="D315" s="31" t="inlineStr">
        <is>
          <t>finance - term-lending institutions</t>
        </is>
      </c>
      <c r="E315" s="31" t="inlineStr">
        <is>
          <t>largecap</t>
        </is>
      </c>
      <c r="F315" s="31" t="n">
        <v>21446.74</v>
      </c>
      <c r="G315" s="31" t="n">
        <v>79.59999999999999</v>
      </c>
      <c r="H315" s="31" t="n">
        <v>-2.9</v>
      </c>
      <c r="I315" s="31" t="n">
        <v>69288318</v>
      </c>
      <c r="J315" s="31" t="inlineStr">
        <is>
          <t>500106</t>
        </is>
      </c>
    </row>
    <row r="316">
      <c r="A316" s="31" t="inlineStr">
        <is>
          <t>PARACABLES</t>
        </is>
      </c>
      <c r="B316" s="31" t="inlineStr">
        <is>
          <t>Paramount Communications Limited</t>
        </is>
      </c>
      <c r="C316" s="31" t="inlineStr">
        <is>
          <t>industrials</t>
        </is>
      </c>
      <c r="D316" s="31" t="inlineStr">
        <is>
          <t>cables - power</t>
        </is>
      </c>
      <c r="E316" s="31" t="inlineStr">
        <is>
          <t>smallcap</t>
        </is>
      </c>
      <c r="F316" s="31" t="n">
        <v>2054.67</v>
      </c>
      <c r="G316" s="31" t="n">
        <v>67.31999999999999</v>
      </c>
      <c r="H316" s="31" t="n">
        <v>-2.94</v>
      </c>
      <c r="I316" s="31" t="n">
        <v>5519490</v>
      </c>
      <c r="J316" s="31" t="inlineStr">
        <is>
          <t>530555</t>
        </is>
      </c>
    </row>
    <row r="317">
      <c r="A317" s="31" t="inlineStr">
        <is>
          <t>TITAGARH</t>
        </is>
      </c>
      <c r="B317" s="31" t="inlineStr">
        <is>
          <t>Titagarh Rail Systems Ltd</t>
        </is>
      </c>
      <c r="C317" s="31" t="inlineStr">
        <is>
          <t>industrials</t>
        </is>
      </c>
      <c r="D317" s="31" t="inlineStr">
        <is>
          <t>engineering</t>
        </is>
      </c>
      <c r="E317" s="31" t="inlineStr">
        <is>
          <t>midcap</t>
        </is>
      </c>
      <c r="F317" s="31" t="n">
        <v>11284.32</v>
      </c>
      <c r="G317" s="31" t="n">
        <v>837.9</v>
      </c>
      <c r="H317" s="31" t="n">
        <v>-3.02</v>
      </c>
      <c r="I317" s="31" t="n">
        <v>698650</v>
      </c>
      <c r="J317" s="31" t="inlineStr">
        <is>
          <t>532966</t>
        </is>
      </c>
    </row>
    <row r="318">
      <c r="A318" s="31" t="inlineStr">
        <is>
          <t>THANGAMAYL</t>
        </is>
      </c>
      <c r="B318" s="31" t="inlineStr">
        <is>
          <t>Thangamayil Jewellery Limited</t>
        </is>
      </c>
      <c r="C318" s="31" t="inlineStr">
        <is>
          <t>consumer discretionary</t>
        </is>
      </c>
      <c r="D318" s="31" t="inlineStr">
        <is>
          <t>diamond cutting / jewellery</t>
        </is>
      </c>
      <c r="E318" s="31" t="inlineStr">
        <is>
          <t>midcap</t>
        </is>
      </c>
      <c r="F318" s="31" t="n">
        <v>16634.79</v>
      </c>
      <c r="G318" s="31" t="n">
        <v>5351.9</v>
      </c>
      <c r="H318" s="31" t="n">
        <v>-3.06</v>
      </c>
      <c r="I318" s="31" t="n">
        <v>461288</v>
      </c>
      <c r="J318" s="31" t="inlineStr">
        <is>
          <t>533158</t>
        </is>
      </c>
    </row>
    <row r="319">
      <c r="A319" s="31" t="inlineStr">
        <is>
          <t>MAHASTEEL</t>
        </is>
      </c>
      <c r="B319" s="31" t="inlineStr">
        <is>
          <t>Mahamaya Steel Industries Limited</t>
        </is>
      </c>
      <c r="C319" s="31" t="inlineStr">
        <is>
          <t>metals &amp; mining</t>
        </is>
      </c>
      <c r="D319" s="31" t="inlineStr">
        <is>
          <t>steel - medium / small</t>
        </is>
      </c>
      <c r="E319" s="31" t="inlineStr">
        <is>
          <t>smallcap</t>
        </is>
      </c>
      <c r="F319" s="31" t="n">
        <v>1498.74</v>
      </c>
      <c r="G319" s="31" t="n">
        <v>911.95</v>
      </c>
      <c r="H319" s="31" t="n">
        <v>-3.09</v>
      </c>
      <c r="I319" s="31" t="n">
        <v>2299</v>
      </c>
      <c r="J319" s="31" t="inlineStr">
        <is>
          <t>513554</t>
        </is>
      </c>
    </row>
    <row r="320">
      <c r="A320" s="31" t="inlineStr">
        <is>
          <t>SKIPPER</t>
        </is>
      </c>
      <c r="B320" s="31" t="inlineStr">
        <is>
          <t>Skipper Limited</t>
        </is>
      </c>
      <c r="C320" s="31" t="inlineStr">
        <is>
          <t>industrials</t>
        </is>
      </c>
      <c r="D320" s="31" t="inlineStr">
        <is>
          <t>engineering</t>
        </is>
      </c>
      <c r="E320" s="31" t="inlineStr">
        <is>
          <t>midcap</t>
        </is>
      </c>
      <c r="F320" s="31" t="n">
        <v>6284.24</v>
      </c>
      <c r="G320" s="31" t="n">
        <v>556.6</v>
      </c>
      <c r="H320" s="31" t="n">
        <v>-3.14</v>
      </c>
      <c r="I320" s="31" t="n">
        <v>1219133</v>
      </c>
      <c r="J320" s="31" t="inlineStr">
        <is>
          <t>538562</t>
        </is>
      </c>
    </row>
    <row r="321">
      <c r="A321" s="31" t="inlineStr">
        <is>
          <t>V2RETAIL</t>
        </is>
      </c>
      <c r="B321" s="31" t="inlineStr">
        <is>
          <t>V2 Retail Limited</t>
        </is>
      </c>
      <c r="C321" s="31" t="inlineStr">
        <is>
          <t>consumer discretionary</t>
        </is>
      </c>
      <c r="D321" s="31" t="inlineStr">
        <is>
          <t>textiles - products</t>
        </is>
      </c>
      <c r="E321" s="31" t="inlineStr">
        <is>
          <t>midcap</t>
        </is>
      </c>
      <c r="F321" s="31" t="n">
        <v>9042.65</v>
      </c>
      <c r="G321" s="31" t="n">
        <v>247.99</v>
      </c>
      <c r="H321" s="31" t="n">
        <v>-3.28</v>
      </c>
      <c r="I321" s="31" t="n">
        <v>1871365</v>
      </c>
      <c r="J321" s="31" t="inlineStr">
        <is>
          <t>532867</t>
        </is>
      </c>
    </row>
    <row r="322">
      <c r="A322" s="31" t="inlineStr">
        <is>
          <t>VERANDA</t>
        </is>
      </c>
      <c r="B322" s="31" t="inlineStr">
        <is>
          <t>Veranda Learning Solutions Ltd</t>
        </is>
      </c>
      <c r="C322" s="31" t="inlineStr">
        <is>
          <t>services</t>
        </is>
      </c>
      <c r="D322" s="31" t="inlineStr">
        <is>
          <t>miscellaneous</t>
        </is>
      </c>
      <c r="E322" s="31" t="inlineStr">
        <is>
          <t>smallcap</t>
        </is>
      </c>
      <c r="F322" s="31" t="n">
        <v>2209.31</v>
      </c>
      <c r="G322" s="31" t="n">
        <v>229.73</v>
      </c>
      <c r="H322" s="31" t="n">
        <v>-3.29</v>
      </c>
      <c r="I322" s="31" t="n">
        <v>242097</v>
      </c>
      <c r="J322" s="31" t="inlineStr">
        <is>
          <t>543514</t>
        </is>
      </c>
    </row>
    <row r="323">
      <c r="A323" s="31" t="inlineStr">
        <is>
          <t>IOLCP</t>
        </is>
      </c>
      <c r="B323" s="31" t="inlineStr">
        <is>
          <t>Iol Chemicals And Pharmaceuticals Limited</t>
        </is>
      </c>
      <c r="C323" s="31" t="inlineStr">
        <is>
          <t>healthcare</t>
        </is>
      </c>
      <c r="D323" s="31" t="inlineStr">
        <is>
          <t>pharmaceuticals - indian - bulk drugs &amp; formln</t>
        </is>
      </c>
      <c r="E323" s="31" t="inlineStr">
        <is>
          <t>smallcap</t>
        </is>
      </c>
      <c r="F323" s="31" t="n">
        <v>3865.17</v>
      </c>
      <c r="G323" s="31" t="n">
        <v>131.68</v>
      </c>
      <c r="H323" s="31" t="n">
        <v>-3.29</v>
      </c>
      <c r="I323" s="31" t="n">
        <v>2101130</v>
      </c>
      <c r="J323" s="31" t="inlineStr">
        <is>
          <t>524164</t>
        </is>
      </c>
    </row>
    <row r="324">
      <c r="A324" s="31" t="inlineStr">
        <is>
          <t>SALSTEEL</t>
        </is>
      </c>
      <c r="B324" s="31" t="inlineStr">
        <is>
          <t>SAL Steel</t>
        </is>
      </c>
      <c r="C324" s="31" t="inlineStr">
        <is>
          <t>metals &amp; mining</t>
        </is>
      </c>
      <c r="D324" s="31" t="inlineStr">
        <is>
          <t>steel - sponge iron</t>
        </is>
      </c>
      <c r="E324" s="31" t="inlineStr">
        <is>
          <t>smallcap</t>
        </is>
      </c>
      <c r="F324" s="31" t="n">
        <v>879.75</v>
      </c>
      <c r="G324" s="31" t="n">
        <v>60.77</v>
      </c>
      <c r="H324" s="31" t="n">
        <v>-3.36</v>
      </c>
      <c r="I324" s="31" t="n">
        <v>72126</v>
      </c>
      <c r="J324" s="31" t="inlineStr">
        <is>
          <t>532604</t>
        </is>
      </c>
    </row>
    <row r="325">
      <c r="A325" s="31" t="inlineStr">
        <is>
          <t>JINDALSAW</t>
        </is>
      </c>
      <c r="B325" s="31" t="inlineStr">
        <is>
          <t>Jindal Saw Limited</t>
        </is>
      </c>
      <c r="C325" s="31" t="inlineStr">
        <is>
          <t>industrials</t>
        </is>
      </c>
      <c r="D325" s="31" t="inlineStr">
        <is>
          <t>steel - large</t>
        </is>
      </c>
      <c r="E325" s="31" t="inlineStr">
        <is>
          <t>midcap</t>
        </is>
      </c>
      <c r="F325" s="31" t="n">
        <v>16024.16</v>
      </c>
      <c r="G325" s="31" t="n">
        <v>250.57</v>
      </c>
      <c r="H325" s="31" t="n">
        <v>-3.63</v>
      </c>
      <c r="I325" s="31" t="n">
        <v>2553060</v>
      </c>
      <c r="J325" s="31" t="inlineStr">
        <is>
          <t>500378</t>
        </is>
      </c>
    </row>
    <row r="326">
      <c r="A326" s="31" t="inlineStr">
        <is>
          <t>MSTCLTD</t>
        </is>
      </c>
      <c r="B326" s="31" t="inlineStr">
        <is>
          <t>MSTC Ltd</t>
        </is>
      </c>
      <c r="C326" s="31" t="inlineStr">
        <is>
          <t>i.t</t>
        </is>
      </c>
      <c r="D326" s="31" t="inlineStr">
        <is>
          <t>trading</t>
        </is>
      </c>
      <c r="E326" s="31" t="inlineStr">
        <is>
          <t>smallcap</t>
        </is>
      </c>
      <c r="F326" s="31" t="n">
        <v>3606.94</v>
      </c>
      <c r="G326" s="31" t="n">
        <v>512.35</v>
      </c>
      <c r="H326" s="31" t="n">
        <v>-3.67</v>
      </c>
      <c r="I326" s="31" t="n">
        <v>3416610</v>
      </c>
      <c r="J326" s="31" t="inlineStr">
        <is>
          <t>542597</t>
        </is>
      </c>
    </row>
    <row r="327">
      <c r="A327" s="31" t="inlineStr">
        <is>
          <t>SGIL</t>
        </is>
      </c>
      <c r="B327" s="31" t="inlineStr">
        <is>
          <t>Synergy Green Industries Ltd</t>
        </is>
      </c>
      <c r="C327" s="31" t="inlineStr">
        <is>
          <t>industrials</t>
        </is>
      </c>
      <c r="D327" s="31" t="inlineStr">
        <is>
          <t>castings &amp; forgings</t>
        </is>
      </c>
      <c r="E327" s="31" t="inlineStr">
        <is>
          <t>smallcap</t>
        </is>
      </c>
      <c r="F327" s="31" t="n">
        <v>887.97</v>
      </c>
      <c r="G327" s="31" t="n">
        <v>571.3</v>
      </c>
      <c r="H327" s="31" t="n">
        <v>-3.81</v>
      </c>
      <c r="I327" s="31" t="n">
        <v>10882</v>
      </c>
      <c r="J327" s="31" t="inlineStr">
        <is>
          <t>541929</t>
        </is>
      </c>
    </row>
    <row r="328">
      <c r="A328" s="31" t="inlineStr">
        <is>
          <t>BLISSGVS</t>
        </is>
      </c>
      <c r="B328" s="31" t="inlineStr">
        <is>
          <t>Bliss Gvs Pharma Limited</t>
        </is>
      </c>
      <c r="C328" s="31" t="inlineStr">
        <is>
          <t>healthcare</t>
        </is>
      </c>
      <c r="D328" s="31" t="inlineStr">
        <is>
          <t>pharmaceuticals - indian - formulations</t>
        </is>
      </c>
      <c r="E328" s="31" t="inlineStr">
        <is>
          <t>smallcap</t>
        </is>
      </c>
      <c r="F328" s="31" t="n">
        <v>4637.26</v>
      </c>
      <c r="G328" s="31" t="n">
        <v>438.35</v>
      </c>
      <c r="H328" s="31" t="n">
        <v>-3.91</v>
      </c>
      <c r="I328" s="31" t="n">
        <v>1239641</v>
      </c>
      <c r="J328" s="31" t="inlineStr">
        <is>
          <t>506197</t>
        </is>
      </c>
    </row>
    <row r="329">
      <c r="A329" s="31" t="inlineStr">
        <is>
          <t>AEROFLEX</t>
        </is>
      </c>
      <c r="B329" s="31" t="inlineStr">
        <is>
          <t>Aeroflex Industries Ltd</t>
        </is>
      </c>
      <c r="C329" s="31" t="inlineStr">
        <is>
          <t>metals &amp; mining</t>
        </is>
      </c>
      <c r="D329" s="31" t="inlineStr">
        <is>
          <t>steel - medium / small</t>
        </is>
      </c>
      <c r="E329" s="31" t="inlineStr">
        <is>
          <t>midcap</t>
        </is>
      </c>
      <c r="F329" s="31" t="n">
        <v>5554.58</v>
      </c>
      <c r="G329" s="31" t="n">
        <v>419.75</v>
      </c>
      <c r="H329" s="31" t="n">
        <v>-4.47</v>
      </c>
      <c r="I329" s="31" t="n">
        <v>1658836</v>
      </c>
      <c r="J329" s="31" t="inlineStr">
        <is>
          <t>543972</t>
        </is>
      </c>
    </row>
    <row r="330">
      <c r="A330" s="31" t="inlineStr">
        <is>
          <t>INDOTECH</t>
        </is>
      </c>
      <c r="B330" s="31" t="inlineStr">
        <is>
          <t>Indo Tech Transformers Limited</t>
        </is>
      </c>
      <c r="C330" s="31" t="inlineStr">
        <is>
          <t>industrials</t>
        </is>
      </c>
      <c r="D330" s="31" t="inlineStr">
        <is>
          <t>electric equipment</t>
        </is>
      </c>
      <c r="E330" s="31" t="inlineStr">
        <is>
          <t>smallcap</t>
        </is>
      </c>
      <c r="F330" s="31" t="n">
        <v>2822.37</v>
      </c>
      <c r="G330" s="31" t="n">
        <v>2657.6</v>
      </c>
      <c r="H330" s="31" t="n">
        <v>-4.5</v>
      </c>
      <c r="I330" s="31" t="n">
        <v>46926</v>
      </c>
      <c r="J330" s="31" t="inlineStr">
        <is>
          <t>532717</t>
        </is>
      </c>
    </row>
    <row r="331">
      <c r="A331" s="31" t="inlineStr">
        <is>
          <t>STLTECH</t>
        </is>
      </c>
      <c r="B331" s="31" t="inlineStr">
        <is>
          <t>Sterlite Technologies Limited</t>
        </is>
      </c>
      <c r="C331" s="31" t="inlineStr">
        <is>
          <t>industrials</t>
        </is>
      </c>
      <c r="D331" s="31" t="inlineStr">
        <is>
          <t>cables - telephone</t>
        </is>
      </c>
      <c r="E331" s="31" t="inlineStr">
        <is>
          <t>largecap</t>
        </is>
      </c>
      <c r="F331" s="31" t="n">
        <v>30227.61</v>
      </c>
      <c r="G331" s="31" t="n">
        <v>619.25</v>
      </c>
      <c r="H331" s="31" t="n">
        <v>-4.96</v>
      </c>
      <c r="I331" s="31" t="n">
        <v>8658536</v>
      </c>
      <c r="J331" s="31" t="inlineStr">
        <is>
          <t>532374</t>
        </is>
      </c>
    </row>
    <row r="332">
      <c r="A332" s="31" t="inlineStr">
        <is>
          <t>SIGMAADV</t>
        </is>
      </c>
      <c r="B332" s="31" t="inlineStr">
        <is>
          <t>Sigma Advanced System Ltd</t>
        </is>
      </c>
      <c r="C332" s="31" t="inlineStr">
        <is>
          <t>aerospace &amp; defence</t>
        </is>
      </c>
      <c r="D332" s="31" t="inlineStr">
        <is>
          <t>electronics - components</t>
        </is>
      </c>
      <c r="E332" s="31" t="inlineStr">
        <is>
          <t>midcap</t>
        </is>
      </c>
      <c r="F332" s="31" t="n">
        <v>7680.53</v>
      </c>
      <c r="G332" s="31" t="n">
        <v>435.8</v>
      </c>
      <c r="H332" s="31" t="n">
        <v>-4.99</v>
      </c>
      <c r="I332" s="31" t="n">
        <v>754289</v>
      </c>
      <c r="J332" s="31" t="inlineStr">
        <is>
          <t>532408</t>
        </is>
      </c>
    </row>
    <row r="333">
      <c r="A333" s="31" t="inlineStr">
        <is>
          <t>BHAGYANGR</t>
        </is>
      </c>
      <c r="B333" s="31" t="inlineStr">
        <is>
          <t>Bhagyanagar India</t>
        </is>
      </c>
      <c r="C333" s="31" t="inlineStr">
        <is>
          <t>power &amp; utilities</t>
        </is>
      </c>
      <c r="D333" s="31" t="inlineStr">
        <is>
          <t>power generation and supply</t>
        </is>
      </c>
      <c r="E333" s="31" t="inlineStr">
        <is>
          <t>smallcap</t>
        </is>
      </c>
      <c r="F333" s="31" t="n">
        <v>981.13</v>
      </c>
      <c r="G333" s="31" t="n">
        <v>306.65</v>
      </c>
      <c r="H333" s="31" t="n">
        <v>-4.99</v>
      </c>
      <c r="I333" s="31" t="n">
        <v>101526</v>
      </c>
      <c r="J333" s="31" t="inlineStr">
        <is>
          <t>512296</t>
        </is>
      </c>
    </row>
    <row r="334">
      <c r="A334" s="31" t="inlineStr">
        <is>
          <t>BIRLACABLE</t>
        </is>
      </c>
      <c r="B334" s="31" t="inlineStr">
        <is>
          <t>Birla Cable Limited</t>
        </is>
      </c>
      <c r="C334" s="31" t="inlineStr">
        <is>
          <t>industrials</t>
        </is>
      </c>
      <c r="D334" s="31" t="inlineStr">
        <is>
          <t>cables - telephone</t>
        </is>
      </c>
      <c r="E334" s="31" t="inlineStr">
        <is>
          <t>smallcap</t>
        </is>
      </c>
      <c r="F334" s="31" t="n">
        <v>671.7</v>
      </c>
      <c r="G334" s="31" t="n">
        <v>223.9</v>
      </c>
      <c r="H334" s="31" t="n">
        <v>-5</v>
      </c>
      <c r="I334" s="31" t="n">
        <v>318293</v>
      </c>
      <c r="J334" s="31" t="inlineStr">
        <is>
          <t>500060</t>
        </is>
      </c>
    </row>
    <row r="335">
      <c r="A335" s="31" t="inlineStr">
        <is>
          <t>HFCL</t>
        </is>
      </c>
      <c r="B335" s="31" t="inlineStr">
        <is>
          <t>HFCL Ltd</t>
        </is>
      </c>
      <c r="C335" s="31" t="inlineStr">
        <is>
          <t>telecom</t>
        </is>
      </c>
      <c r="D335" s="31" t="inlineStr">
        <is>
          <t>cables - telephone</t>
        </is>
      </c>
      <c r="E335" s="31" t="inlineStr">
        <is>
          <t>largecap</t>
        </is>
      </c>
      <c r="F335" s="31" t="n">
        <v>28657.47</v>
      </c>
      <c r="G335" s="31" t="n">
        <v>187.23</v>
      </c>
      <c r="H335" s="31" t="n">
        <v>-5</v>
      </c>
      <c r="I335" s="31" t="n">
        <v>43262952</v>
      </c>
      <c r="J335" s="31" t="inlineStr">
        <is>
          <t>500183</t>
        </is>
      </c>
    </row>
    <row r="336">
      <c r="A336" s="31" t="inlineStr">
        <is>
          <t>SAKAR</t>
        </is>
      </c>
      <c r="B336" s="31" t="inlineStr">
        <is>
          <t>Sakar Healthcare Ltd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smallcap</t>
        </is>
      </c>
      <c r="F336" s="31" t="n">
        <v>1720.36</v>
      </c>
      <c r="G336" s="31" t="n">
        <v>773.2</v>
      </c>
      <c r="H336" s="31" t="n">
        <v>-5.11</v>
      </c>
      <c r="I336" s="31" t="n">
        <v>134932</v>
      </c>
      <c r="J336" s="31" t="inlineStr">
        <is>
          <t>538377</t>
        </is>
      </c>
    </row>
    <row r="337">
      <c r="A337" s="31" t="inlineStr">
        <is>
          <t>NETWEB</t>
        </is>
      </c>
      <c r="B337" s="31" t="inlineStr">
        <is>
          <t>Netweb Technologies India Ltd</t>
        </is>
      </c>
      <c r="C337" s="31" t="inlineStr">
        <is>
          <t>i.t</t>
        </is>
      </c>
      <c r="D337" s="31" t="inlineStr">
        <is>
          <t>computers - hardware</t>
        </is>
      </c>
      <c r="E337" s="31" t="inlineStr">
        <is>
          <t>largecap</t>
        </is>
      </c>
      <c r="F337" s="31" t="n">
        <v>26568.52</v>
      </c>
      <c r="G337" s="31" t="n">
        <v>4666</v>
      </c>
      <c r="H337" s="31" t="n">
        <v>-5.44</v>
      </c>
      <c r="I337" s="31" t="n">
        <v>1931743</v>
      </c>
      <c r="J337" s="31" t="inlineStr">
        <is>
          <t>543945</t>
        </is>
      </c>
    </row>
    <row r="338">
      <c r="A338" s="31" t="inlineStr">
        <is>
          <t>SKYGOLD</t>
        </is>
      </c>
      <c r="B338" s="31" t="inlineStr">
        <is>
          <t>Sky Gold Ltd</t>
        </is>
      </c>
      <c r="C338" s="31" t="inlineStr">
        <is>
          <t>consumer discretionary</t>
        </is>
      </c>
      <c r="D338" s="31" t="inlineStr">
        <is>
          <t>diamond cutting / jewellery</t>
        </is>
      </c>
      <c r="E338" s="31" t="inlineStr">
        <is>
          <t>midcap</t>
        </is>
      </c>
      <c r="F338" s="31" t="n">
        <v>8184.31</v>
      </c>
      <c r="G338" s="31" t="n">
        <v>528.45</v>
      </c>
      <c r="H338" s="31" t="n">
        <v>-7.52</v>
      </c>
      <c r="I338" s="31" t="n">
        <v>2897297</v>
      </c>
      <c r="J338" s="31" t="inlineStr">
        <is>
          <t>541967</t>
        </is>
      </c>
    </row>
    <row r="339">
      <c r="A339" s="31" t="inlineStr">
        <is>
          <t>VINDHYATEL</t>
        </is>
      </c>
      <c r="B339" s="31" t="inlineStr">
        <is>
          <t>Vindhya Telelinks Limited</t>
        </is>
      </c>
      <c r="C339" s="31" t="inlineStr">
        <is>
          <t>realty</t>
        </is>
      </c>
      <c r="D339" s="31" t="inlineStr">
        <is>
          <t>construction</t>
        </is>
      </c>
      <c r="E339" s="31" t="inlineStr">
        <is>
          <t>smallcap</t>
        </is>
      </c>
      <c r="F339" s="31" t="n">
        <v>2362.23</v>
      </c>
      <c r="G339" s="31" t="n">
        <v>1993.3</v>
      </c>
      <c r="H339" s="31" t="n">
        <v>-7.81</v>
      </c>
      <c r="I339" s="31" t="n">
        <v>108244</v>
      </c>
      <c r="J339" s="31" t="inlineStr">
        <is>
          <t>517015</t>
        </is>
      </c>
    </row>
  </sheetData>
  <autoFilter ref="A1:J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0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IF(B2=0,"",RANK(B2,$B$2:$B$306,0))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personal care - indian</t>
        </is>
      </c>
      <c r="G2" s="31" t="inlineStr">
        <is>
          <t>midcap</t>
        </is>
      </c>
      <c r="H2" s="32" t="n">
        <v>7210.78</v>
      </c>
      <c r="I2" s="32" t="n">
        <v>552.05</v>
      </c>
      <c r="J2" s="32" t="n">
        <v>-1.21</v>
      </c>
      <c r="K2" s="32" t="n">
        <v>485590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74.25</v>
      </c>
      <c r="P2" s="32" t="n">
        <v>51.77</v>
      </c>
      <c r="Q2" s="32" t="n">
        <v>440.61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-13.44</v>
      </c>
      <c r="U2" s="32" t="n">
        <v>217.18</v>
      </c>
      <c r="V2" s="32" t="n">
        <v>266.43</v>
      </c>
      <c r="W2" s="32" t="n">
        <v>36.8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OMAXAUTO</t>
        </is>
      </c>
      <c r="D3" s="31" t="inlineStr">
        <is>
          <t>Omax Autos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502.02</v>
      </c>
      <c r="I3" s="32" t="n">
        <v>234.72</v>
      </c>
      <c r="J3" s="32" t="n">
        <v>-0.95</v>
      </c>
      <c r="K3" s="32" t="n">
        <v>38331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73.31999999999999</v>
      </c>
      <c r="P3" s="32" t="n">
        <v>35.14</v>
      </c>
      <c r="Q3" s="32" t="n">
        <v>176.72</v>
      </c>
      <c r="R3" s="31" t="inlineStr">
        <is>
          <t>Near 52W High Breakout</t>
        </is>
      </c>
      <c r="S3" s="31" t="inlineStr">
        <is>
          <t>Nifty Auto</t>
        </is>
      </c>
      <c r="T3" s="32" t="n">
        <v>10.59</v>
      </c>
      <c r="U3" s="32" t="n">
        <v>163.09</v>
      </c>
      <c r="V3" s="32" t="n">
        <v>137.91</v>
      </c>
      <c r="W3" s="32" t="n">
        <v>59.28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IF(B4=0,"",RANK(B4,$B$2:$B$306,0))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CONFIPET</t>
        </is>
      </c>
      <c r="D4" s="31" t="inlineStr">
        <is>
          <t>Confidence Petroleum India Ltd</t>
        </is>
      </c>
      <c r="E4" s="31" t="inlineStr">
        <is>
          <t>miscellaneous</t>
        </is>
      </c>
      <c r="F4" s="31" t="inlineStr">
        <is>
          <t>miscellaneous</t>
        </is>
      </c>
      <c r="G4" s="31" t="inlineStr">
        <is>
          <t>smallcap</t>
        </is>
      </c>
      <c r="H4" s="32" t="n">
        <v>2578.52</v>
      </c>
      <c r="I4" s="32" t="n">
        <v>77.61</v>
      </c>
      <c r="J4" s="32" t="n">
        <v>0.9399999999999999</v>
      </c>
      <c r="K4" s="32" t="n">
        <v>3889694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78.90000000000001</v>
      </c>
      <c r="P4" s="32" t="n">
        <v>46.05</v>
      </c>
      <c r="Q4" s="32" t="n">
        <v>52.82</v>
      </c>
      <c r="R4" s="31" t="inlineStr">
        <is>
          <t>Near 52W High Breakout</t>
        </is>
      </c>
      <c r="S4" s="31" t="inlineStr">
        <is>
          <t>Nifty Energy</t>
        </is>
      </c>
      <c r="T4" s="32" t="n">
        <v>12.31</v>
      </c>
      <c r="U4" s="32" t="n">
        <v>30.47</v>
      </c>
      <c r="V4" s="32" t="n">
        <v>16.17</v>
      </c>
      <c r="W4" s="32" t="n">
        <v>52.08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 - medium / small</t>
        </is>
      </c>
      <c r="G5" s="31" t="inlineStr">
        <is>
          <t>midcap</t>
        </is>
      </c>
      <c r="H5" s="32" t="n">
        <v>5401.86</v>
      </c>
      <c r="I5" s="32" t="n">
        <v>23.24</v>
      </c>
      <c r="J5" s="32" t="n">
        <v>-1.44</v>
      </c>
      <c r="K5" s="32" t="n">
        <v>5138206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71.62</v>
      </c>
      <c r="P5" s="32" t="n">
        <v>35.91</v>
      </c>
      <c r="Q5" s="32" t="n">
        <v>16.2</v>
      </c>
      <c r="R5" s="31" t="inlineStr">
        <is>
          <t>Near 52W High Breakout</t>
        </is>
      </c>
      <c r="S5" s="31" t="inlineStr">
        <is>
          <t>Nifty 50</t>
        </is>
      </c>
      <c r="T5" s="32" t="n">
        <v>-6.54</v>
      </c>
      <c r="U5" s="32" t="n">
        <v>47.74</v>
      </c>
      <c r="V5" s="32" t="n">
        <v>58.09</v>
      </c>
      <c r="W5" s="32" t="n">
        <v>51.77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GAYAPROJ</t>
        </is>
      </c>
      <c r="D6" s="31" t="inlineStr">
        <is>
          <t>Gayatri Projects Limited</t>
        </is>
      </c>
      <c r="E6" s="31" t="inlineStr">
        <is>
          <t>realty</t>
        </is>
      </c>
      <c r="F6" s="31" t="inlineStr">
        <is>
          <t>construction</t>
        </is>
      </c>
      <c r="G6" s="31" t="inlineStr">
        <is>
          <t>smallcap</t>
        </is>
      </c>
      <c r="H6" s="32" t="n">
        <v>608.1</v>
      </c>
      <c r="I6" s="32" t="n">
        <v>20.53</v>
      </c>
      <c r="J6" s="32" t="n">
        <v>-1.77</v>
      </c>
      <c r="K6" s="32" t="n">
        <v>580824</v>
      </c>
      <c r="L6" s="31" t="n">
        <v>90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72.84999999999999</v>
      </c>
      <c r="P6" s="32" t="n">
        <v>63.06</v>
      </c>
      <c r="Q6" s="32" t="n">
        <v>16.33</v>
      </c>
      <c r="R6" s="31" t="inlineStr">
        <is>
          <t>Volume Spike &amp; Near 52W High Breakout</t>
        </is>
      </c>
      <c r="S6" s="31" t="inlineStr">
        <is>
          <t>Nifty Realty</t>
        </is>
      </c>
      <c r="T6" s="32" t="n">
        <v>-26.04</v>
      </c>
      <c r="U6" s="32" t="n">
        <v>140.4</v>
      </c>
      <c r="V6" s="32" t="n">
        <v>225.03</v>
      </c>
      <c r="W6" s="32" t="n">
        <v>33.77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ADANIPOWER</t>
        </is>
      </c>
      <c r="D7" s="31" t="inlineStr">
        <is>
          <t>Adani Power Limited</t>
        </is>
      </c>
      <c r="E7" s="31" t="inlineStr">
        <is>
          <t>power &amp; utilities</t>
        </is>
      </c>
      <c r="F7" s="31" t="inlineStr">
        <is>
          <t>power generation and supply</t>
        </is>
      </c>
      <c r="G7" s="31" t="inlineStr">
        <is>
          <t>largecap</t>
        </is>
      </c>
      <c r="H7" s="32" t="n">
        <v>448562</v>
      </c>
      <c r="I7" s="32" t="n">
        <v>232.6</v>
      </c>
      <c r="J7" s="32" t="n">
        <v>1.12</v>
      </c>
      <c r="K7" s="32" t="n">
        <v>30846795</v>
      </c>
      <c r="L7" s="31" t="n">
        <v>88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74.48999999999999</v>
      </c>
      <c r="P7" s="32" t="n">
        <v>44.77</v>
      </c>
      <c r="Q7" s="32" t="n">
        <v>196.96</v>
      </c>
      <c r="R7" s="31" t="inlineStr">
        <is>
          <t>Near 52W High Breakout</t>
        </is>
      </c>
      <c r="S7" s="31" t="inlineStr">
        <is>
          <t>Nifty IT</t>
        </is>
      </c>
      <c r="T7" s="32" t="n">
        <v>-22.21</v>
      </c>
      <c r="U7" s="32" t="n">
        <v>109.46</v>
      </c>
      <c r="V7" s="32" t="n">
        <v>169.27</v>
      </c>
      <c r="W7" s="32" t="n">
        <v>31.82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VENUSREM</t>
        </is>
      </c>
      <c r="D8" s="31" t="inlineStr">
        <is>
          <t>Venus Remedies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smallcap</t>
        </is>
      </c>
      <c r="H8" s="32" t="n">
        <v>2183.5</v>
      </c>
      <c r="I8" s="32" t="n">
        <v>1633.5</v>
      </c>
      <c r="J8" s="32" t="n">
        <v>4.99</v>
      </c>
      <c r="K8" s="32" t="n">
        <v>177144</v>
      </c>
      <c r="L8" s="31" t="n">
        <v>98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80.33</v>
      </c>
      <c r="P8" s="32" t="n">
        <v>45.77</v>
      </c>
      <c r="Q8" s="32" t="n">
        <v>1234.27</v>
      </c>
      <c r="R8" s="31" t="inlineStr">
        <is>
          <t>Volume Spike &amp; Near 52W High Breakout</t>
        </is>
      </c>
      <c r="S8" s="31" t="inlineStr">
        <is>
          <t>Nifty Pharma</t>
        </is>
      </c>
      <c r="T8" s="32" t="n">
        <v>11.82</v>
      </c>
      <c r="U8" s="32" t="n">
        <v>279.88</v>
      </c>
      <c r="V8" s="32" t="n">
        <v>239.72</v>
      </c>
      <c r="W8" s="32" t="n">
        <v>65.43000000000001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EMCURE</t>
        </is>
      </c>
      <c r="D9" s="31" t="inlineStr">
        <is>
          <t>Emcure Pharmaceuticals Ltd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largecap</t>
        </is>
      </c>
      <c r="H9" s="32" t="n">
        <v>33307.09</v>
      </c>
      <c r="I9" s="32" t="n">
        <v>1756.8</v>
      </c>
      <c r="J9" s="32" t="n">
        <v>0.66</v>
      </c>
      <c r="K9" s="32" t="n">
        <v>117449</v>
      </c>
      <c r="L9" s="31" t="n">
        <v>42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65.66</v>
      </c>
      <c r="P9" s="32" t="n">
        <v>40.79</v>
      </c>
      <c r="Q9" s="32" t="n">
        <v>1368.98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11.82</v>
      </c>
      <c r="U9" s="32" t="n">
        <v>32.62</v>
      </c>
      <c r="V9" s="32" t="n">
        <v>18.6</v>
      </c>
      <c r="W9" s="32" t="n">
        <v>10.98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RADICO</t>
        </is>
      </c>
      <c r="D10" s="31" t="inlineStr">
        <is>
          <t>Radico Khaitan Limited</t>
        </is>
      </c>
      <c r="E10" s="31" t="inlineStr">
        <is>
          <t>fmcg</t>
        </is>
      </c>
      <c r="F10" s="31" t="inlineStr">
        <is>
          <t>breweries &amp; distilleries</t>
        </is>
      </c>
      <c r="G10" s="31" t="inlineStr">
        <is>
          <t>largecap</t>
        </is>
      </c>
      <c r="H10" s="32" t="n">
        <v>46739.75</v>
      </c>
      <c r="I10" s="32" t="n">
        <v>3490.7</v>
      </c>
      <c r="J10" s="32" t="n">
        <v>-0.33</v>
      </c>
      <c r="K10" s="32" t="n">
        <v>191865</v>
      </c>
      <c r="L10" s="31" t="n">
        <v>45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67.06</v>
      </c>
      <c r="P10" s="32" t="n">
        <v>30.24</v>
      </c>
      <c r="Q10" s="32" t="n">
        <v>2880.08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-13.44</v>
      </c>
      <c r="U10" s="32" t="n">
        <v>32.9</v>
      </c>
      <c r="V10" s="32" t="n">
        <v>53.53</v>
      </c>
      <c r="W10" s="32" t="n">
        <v>11.95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BLISSGVS</t>
        </is>
      </c>
      <c r="D11" s="31" t="inlineStr">
        <is>
          <t>Bliss Gvs Pharma Limited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smallcap</t>
        </is>
      </c>
      <c r="H11" s="32" t="n">
        <v>4637.26</v>
      </c>
      <c r="I11" s="32" t="n">
        <v>438.35</v>
      </c>
      <c r="J11" s="32" t="n">
        <v>-3.91</v>
      </c>
      <c r="K11" s="32" t="n">
        <v>1239641</v>
      </c>
      <c r="L11" s="31" t="n">
        <v>95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88.44</v>
      </c>
      <c r="P11" s="32" t="n">
        <v>57.32</v>
      </c>
      <c r="Q11" s="32" t="n">
        <v>334.23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11.82</v>
      </c>
      <c r="U11" s="32" t="n">
        <v>222.91</v>
      </c>
      <c r="V11" s="32" t="n">
        <v>188.77</v>
      </c>
      <c r="W11" s="32" t="n">
        <v>51.9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SAKAR</t>
        </is>
      </c>
      <c r="D12" s="31" t="inlineStr">
        <is>
          <t>Sakar Healthcare Ltd</t>
        </is>
      </c>
      <c r="E12" s="31" t="inlineStr">
        <is>
          <t>healthcare</t>
        </is>
      </c>
      <c r="F12" s="31" t="inlineStr">
        <is>
          <t>pharmaceuticals - indian - bulk drugs &amp; formln</t>
        </is>
      </c>
      <c r="G12" s="31" t="inlineStr">
        <is>
          <t>smallcap</t>
        </is>
      </c>
      <c r="H12" s="32" t="n">
        <v>1720.36</v>
      </c>
      <c r="I12" s="32" t="n">
        <v>773.2</v>
      </c>
      <c r="J12" s="32" t="n">
        <v>-5.11</v>
      </c>
      <c r="K12" s="32" t="n">
        <v>134932</v>
      </c>
      <c r="L12" s="31" t="n">
        <v>85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73.91</v>
      </c>
      <c r="P12" s="32" t="n">
        <v>52.59</v>
      </c>
      <c r="Q12" s="32" t="n">
        <v>561.83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11.82</v>
      </c>
      <c r="U12" s="32" t="n">
        <v>142.92</v>
      </c>
      <c r="V12" s="32" t="n">
        <v>117.23</v>
      </c>
      <c r="W12" s="32" t="n">
        <v>30.17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ATHERENERG</t>
        </is>
      </c>
      <c r="D13" s="31" t="inlineStr">
        <is>
          <t>Ather Energy Ltd</t>
        </is>
      </c>
      <c r="E13" s="31" t="inlineStr">
        <is>
          <t>auto</t>
        </is>
      </c>
      <c r="F13" s="31" t="inlineStr">
        <is>
          <t>automobiles - scooters and 3 - wheelers</t>
        </is>
      </c>
      <c r="G13" s="31" t="inlineStr">
        <is>
          <t>largecap</t>
        </is>
      </c>
      <c r="H13" s="32" t="n">
        <v>39553.1</v>
      </c>
      <c r="I13" s="32" t="n">
        <v>1033.6</v>
      </c>
      <c r="J13" s="32" t="n">
        <v>4.6</v>
      </c>
      <c r="K13" s="32" t="n">
        <v>4325836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73.7</v>
      </c>
      <c r="P13" s="32" t="n">
        <v>45.08</v>
      </c>
      <c r="Q13" s="32" t="n">
        <v>780.66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10.59</v>
      </c>
      <c r="U13" s="32" t="n">
        <v>234.5</v>
      </c>
      <c r="V13" s="32" t="n">
        <v>202.48</v>
      </c>
      <c r="W13" s="32" t="n">
        <v>40.67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Negative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INDOBORAX</t>
        </is>
      </c>
      <c r="D14" s="31" t="inlineStr">
        <is>
          <t>Indo Borax &amp; Chemicals Ltd</t>
        </is>
      </c>
      <c r="E14" s="31" t="inlineStr">
        <is>
          <t>chemicals</t>
        </is>
      </c>
      <c r="F14" s="31" t="inlineStr">
        <is>
          <t>chemicals</t>
        </is>
      </c>
      <c r="G14" s="31" t="inlineStr">
        <is>
          <t>smallcap</t>
        </is>
      </c>
      <c r="H14" s="32" t="n">
        <v>1178.99</v>
      </c>
      <c r="I14" s="32" t="n">
        <v>367.4</v>
      </c>
      <c r="J14" s="32" t="n">
        <v>2.43</v>
      </c>
      <c r="K14" s="32" t="n">
        <v>113924</v>
      </c>
      <c r="L14" s="31" t="n">
        <v>79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81.72</v>
      </c>
      <c r="P14" s="32" t="n">
        <v>45.82</v>
      </c>
      <c r="Q14" s="32" t="n">
        <v>291.76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-6.54</v>
      </c>
      <c r="U14" s="32" t="n">
        <v>88.01000000000001</v>
      </c>
      <c r="V14" s="32" t="n">
        <v>101.18</v>
      </c>
      <c r="W14" s="32" t="n">
        <v>24.83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STYLAMIND</t>
        </is>
      </c>
      <c r="D15" s="31" t="inlineStr">
        <is>
          <t>Stylam Industries Ltd</t>
        </is>
      </c>
      <c r="E15" s="31" t="inlineStr">
        <is>
          <t>building materials</t>
        </is>
      </c>
      <c r="F15" s="31" t="inlineStr">
        <is>
          <t>miscellaneous</t>
        </is>
      </c>
      <c r="G15" s="31" t="inlineStr">
        <is>
          <t>midcap</t>
        </is>
      </c>
      <c r="H15" s="32" t="n">
        <v>5175.09</v>
      </c>
      <c r="I15" s="32" t="n">
        <v>3053.5</v>
      </c>
      <c r="J15" s="32" t="n">
        <v>0.54</v>
      </c>
      <c r="K15" s="32" t="n">
        <v>19378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88.92</v>
      </c>
      <c r="P15" s="32" t="n">
        <v>54.35</v>
      </c>
      <c r="Q15" s="32" t="n">
        <v>2599.24</v>
      </c>
      <c r="R15" s="31" t="inlineStr">
        <is>
          <t>Near 52W High Breakout</t>
        </is>
      </c>
      <c r="S15" s="31" t="inlineStr">
        <is>
          <t>Nifty Infra</t>
        </is>
      </c>
      <c r="T15" s="32" t="n">
        <v>1.11</v>
      </c>
      <c r="U15" s="32" t="n">
        <v>80.39</v>
      </c>
      <c r="V15" s="32" t="n">
        <v>78.41</v>
      </c>
      <c r="W15" s="32" t="n">
        <v>21.07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GVT&amp;D</t>
        </is>
      </c>
      <c r="D16" s="31" t="inlineStr">
        <is>
          <t>GE Vernova T&amp;D India Ltd</t>
        </is>
      </c>
      <c r="E16" s="31" t="inlineStr">
        <is>
          <t>industrials</t>
        </is>
      </c>
      <c r="F16" s="31" t="inlineStr">
        <is>
          <t>electric equipment</t>
        </is>
      </c>
      <c r="G16" s="31" t="inlineStr">
        <is>
          <t>largecap</t>
        </is>
      </c>
      <c r="H16" s="32" t="n">
        <v>129738.78</v>
      </c>
      <c r="I16" s="32" t="n">
        <v>5067</v>
      </c>
      <c r="J16" s="32" t="n">
        <v>-0.38</v>
      </c>
      <c r="K16" s="32" t="n">
        <v>888594</v>
      </c>
      <c r="L16" s="31" t="n">
        <v>78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72.90000000000001</v>
      </c>
      <c r="P16" s="32" t="n">
        <v>49.15</v>
      </c>
      <c r="Q16" s="32" t="n">
        <v>3909.27</v>
      </c>
      <c r="R16" s="31" t="inlineStr">
        <is>
          <t>Volume Spike &amp; Near 52W High Breakout</t>
        </is>
      </c>
      <c r="S16" s="31" t="inlineStr">
        <is>
          <t>Nifty 500</t>
        </is>
      </c>
      <c r="T16" s="32" t="n">
        <v>-3.02</v>
      </c>
      <c r="U16" s="32" t="n">
        <v>119.21</v>
      </c>
      <c r="V16" s="32" t="n">
        <v>126.04</v>
      </c>
      <c r="W16" s="32" t="n">
        <v>24.26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NETWEB</t>
        </is>
      </c>
      <c r="D17" s="31" t="inlineStr">
        <is>
          <t>Netweb Technologies India Ltd</t>
        </is>
      </c>
      <c r="E17" s="31" t="inlineStr">
        <is>
          <t>i.t</t>
        </is>
      </c>
      <c r="F17" s="31" t="inlineStr">
        <is>
          <t>computers - hardware</t>
        </is>
      </c>
      <c r="G17" s="31" t="inlineStr">
        <is>
          <t>largecap</t>
        </is>
      </c>
      <c r="H17" s="32" t="n">
        <v>26568.52</v>
      </c>
      <c r="I17" s="32" t="n">
        <v>4666</v>
      </c>
      <c r="J17" s="32" t="n">
        <v>-5.44</v>
      </c>
      <c r="K17" s="32" t="n">
        <v>1931743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66.13</v>
      </c>
      <c r="P17" s="32" t="n">
        <v>43.6</v>
      </c>
      <c r="Q17" s="32" t="n">
        <v>3260.08</v>
      </c>
      <c r="R17" s="31" t="inlineStr">
        <is>
          <t>Volume Spike &amp; Near 52W High Breakout</t>
        </is>
      </c>
      <c r="S17" s="31" t="inlineStr">
        <is>
          <t>Nifty IT</t>
        </is>
      </c>
      <c r="T17" s="32" t="n">
        <v>-22.21</v>
      </c>
      <c r="U17" s="32" t="n">
        <v>136.35</v>
      </c>
      <c r="V17" s="32" t="n">
        <v>203.84</v>
      </c>
      <c r="W17" s="32" t="n">
        <v>30.05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NGLFINE</t>
        </is>
      </c>
      <c r="D18" s="31" t="inlineStr">
        <is>
          <t>NGL Fine Chem Ltd</t>
        </is>
      </c>
      <c r="E18" s="31" t="inlineStr">
        <is>
          <t>healthcare</t>
        </is>
      </c>
      <c r="F18" s="31" t="inlineStr">
        <is>
          <t>pharmaceuticals - indian - bulk drugs</t>
        </is>
      </c>
      <c r="G18" s="31" t="inlineStr">
        <is>
          <t>smallcap</t>
        </is>
      </c>
      <c r="H18" s="32" t="n">
        <v>1694.38</v>
      </c>
      <c r="I18" s="32" t="n">
        <v>2742.6</v>
      </c>
      <c r="J18" s="32" t="n">
        <v>6.23</v>
      </c>
      <c r="K18" s="32" t="n">
        <v>40222</v>
      </c>
      <c r="L18" s="31" t="n">
        <v>84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74.54000000000001</v>
      </c>
      <c r="P18" s="32" t="n">
        <v>66.68000000000001</v>
      </c>
      <c r="Q18" s="32" t="n">
        <v>1819.57</v>
      </c>
      <c r="R18" s="31" t="inlineStr">
        <is>
          <t>Volume Spike &amp; Near 52W High Breakout</t>
        </is>
      </c>
      <c r="S18" s="31" t="inlineStr">
        <is>
          <t>Nifty Pharma</t>
        </is>
      </c>
      <c r="T18" s="32" t="n">
        <v>11.82</v>
      </c>
      <c r="U18" s="32" t="n">
        <v>159.16</v>
      </c>
      <c r="V18" s="32" t="n">
        <v>131.76</v>
      </c>
      <c r="W18" s="32" t="n">
        <v>28.33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CUPID</t>
        </is>
      </c>
      <c r="D19" s="31" t="inlineStr">
        <is>
          <t>Cupid Limited</t>
        </is>
      </c>
      <c r="E19" s="31" t="inlineStr">
        <is>
          <t>fmcg</t>
        </is>
      </c>
      <c r="F19" s="31" t="inlineStr">
        <is>
          <t>personal care - indian</t>
        </is>
      </c>
      <c r="G19" s="31" t="inlineStr">
        <is>
          <t>midcap</t>
        </is>
      </c>
      <c r="H19" s="32" t="n">
        <v>18435.3</v>
      </c>
      <c r="I19" s="32" t="n">
        <v>137.1</v>
      </c>
      <c r="J19" s="32" t="n">
        <v>3.01</v>
      </c>
      <c r="K19" s="32" t="n">
        <v>15150953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76.19</v>
      </c>
      <c r="P19" s="32" t="n">
        <v>40.67</v>
      </c>
      <c r="Q19" s="32" t="n">
        <v>104.14</v>
      </c>
      <c r="R19" s="31" t="inlineStr">
        <is>
          <t>Near 52W High Breakout</t>
        </is>
      </c>
      <c r="S19" s="31" t="inlineStr">
        <is>
          <t>Nifty FMCG</t>
        </is>
      </c>
      <c r="T19" s="32" t="n">
        <v>-13.44</v>
      </c>
      <c r="U19" s="32" t="n">
        <v>534.72</v>
      </c>
      <c r="V19" s="32" t="n">
        <v>633.28</v>
      </c>
      <c r="W19" s="32" t="n">
        <v>64.33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Less than 50%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PGHL</t>
        </is>
      </c>
      <c r="D20" s="31" t="inlineStr">
        <is>
          <t>Procter &amp; Gamble Health Ltd</t>
        </is>
      </c>
      <c r="E20" s="31" t="inlineStr">
        <is>
          <t>healthcare</t>
        </is>
      </c>
      <c r="F20" s="31" t="inlineStr">
        <is>
          <t>pharmaceuticals - multinational</t>
        </is>
      </c>
      <c r="G20" s="31" t="inlineStr">
        <is>
          <t>midcap</t>
        </is>
      </c>
      <c r="H20" s="32" t="n">
        <v>10291.62</v>
      </c>
      <c r="I20" s="32" t="n">
        <v>6200</v>
      </c>
      <c r="J20" s="32" t="n">
        <v>-0.02</v>
      </c>
      <c r="K20" s="32" t="n">
        <v>10201</v>
      </c>
      <c r="L20" s="31" t="n">
        <v>36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74.12</v>
      </c>
      <c r="P20" s="32" t="n">
        <v>29.9</v>
      </c>
      <c r="Q20" s="32" t="n">
        <v>5206.24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11.82</v>
      </c>
      <c r="U20" s="32" t="n">
        <v>15.67</v>
      </c>
      <c r="V20" s="32" t="n">
        <v>3.44</v>
      </c>
      <c r="W20" s="32" t="n">
        <v>9.460000000000001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IF(B21=0,"",RANK(B21,$B$2:$B$306,0))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TINNARUBR</t>
        </is>
      </c>
      <c r="D21" s="31" t="inlineStr">
        <is>
          <t>Tinna Rubber &amp; Infrastructure Ltd</t>
        </is>
      </c>
      <c r="E21" s="31" t="inlineStr">
        <is>
          <t>fmcg</t>
        </is>
      </c>
      <c r="F21" s="31" t="inlineStr">
        <is>
          <t>miscellaneous</t>
        </is>
      </c>
      <c r="G21" s="31" t="inlineStr">
        <is>
          <t>smallcap</t>
        </is>
      </c>
      <c r="H21" s="32" t="n">
        <v>1566.65</v>
      </c>
      <c r="I21" s="32" t="n">
        <v>869.6</v>
      </c>
      <c r="J21" s="32" t="n">
        <v>-2.43</v>
      </c>
      <c r="K21" s="32" t="n">
        <v>98615</v>
      </c>
      <c r="L21" s="31" t="n">
        <v>27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58.8</v>
      </c>
      <c r="P21" s="32" t="n">
        <v>20.59</v>
      </c>
      <c r="Q21" s="32" t="n">
        <v>602.17</v>
      </c>
      <c r="R21" s="31" t="inlineStr">
        <is>
          <t>Volume Spike / Accumulation</t>
        </is>
      </c>
      <c r="S21" s="31" t="inlineStr">
        <is>
          <t>Nifty FMCG</t>
        </is>
      </c>
      <c r="T21" s="32" t="n">
        <v>-13.44</v>
      </c>
      <c r="U21" s="32" t="n">
        <v>-8.550000000000001</v>
      </c>
      <c r="V21" s="32" t="n">
        <v>5.65</v>
      </c>
      <c r="W21" s="32" t="n">
        <v>6.97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POWERINDIA</t>
        </is>
      </c>
      <c r="D22" s="31" t="inlineStr">
        <is>
          <t>Hitachi Energy India Ltd</t>
        </is>
      </c>
      <c r="E22" s="31" t="inlineStr">
        <is>
          <t>industrials</t>
        </is>
      </c>
      <c r="F22" s="31" t="inlineStr">
        <is>
          <t>electric equipment</t>
        </is>
      </c>
      <c r="G22" s="31" t="inlineStr">
        <is>
          <t>largecap</t>
        </is>
      </c>
      <c r="H22" s="32" t="n">
        <v>164338.3</v>
      </c>
      <c r="I22" s="32" t="n">
        <v>36870</v>
      </c>
      <c r="J22" s="32" t="n">
        <v>0.9399999999999999</v>
      </c>
      <c r="K22" s="32" t="n">
        <v>109445</v>
      </c>
      <c r="L22" s="31" t="n">
        <v>80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74.52</v>
      </c>
      <c r="P22" s="32" t="n">
        <v>59.34</v>
      </c>
      <c r="Q22" s="32" t="n">
        <v>30708.13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-6.54</v>
      </c>
      <c r="U22" s="32" t="n">
        <v>102.61</v>
      </c>
      <c r="V22" s="32" t="n">
        <v>116.8</v>
      </c>
      <c r="W22" s="32" t="n">
        <v>25.02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SYRMA</t>
        </is>
      </c>
      <c r="D23" s="31" t="inlineStr">
        <is>
          <t>Syrma SGS Technology Ltd</t>
        </is>
      </c>
      <c r="E23" s="31" t="inlineStr">
        <is>
          <t>consumer discretionary</t>
        </is>
      </c>
      <c r="F23" s="31" t="inlineStr">
        <is>
          <t>electronics - components</t>
        </is>
      </c>
      <c r="G23" s="31" t="inlineStr">
        <is>
          <t>largecap</t>
        </is>
      </c>
      <c r="H23" s="32" t="n">
        <v>23656.44</v>
      </c>
      <c r="I23" s="32" t="n">
        <v>1226.8</v>
      </c>
      <c r="J23" s="32" t="n">
        <v>0.43</v>
      </c>
      <c r="K23" s="32" t="n">
        <v>737121</v>
      </c>
      <c r="L23" s="31" t="n">
        <v>90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73.01000000000001</v>
      </c>
      <c r="P23" s="32" t="n">
        <v>29.35</v>
      </c>
      <c r="Q23" s="32" t="n">
        <v>942.45</v>
      </c>
      <c r="R23" s="31" t="inlineStr">
        <is>
          <t>Near 52W High Breakout</t>
        </is>
      </c>
      <c r="S23" s="31" t="inlineStr">
        <is>
          <t>Nifty 50</t>
        </is>
      </c>
      <c r="T23" s="32" t="n">
        <v>-6.54</v>
      </c>
      <c r="U23" s="32" t="n">
        <v>129.78</v>
      </c>
      <c r="V23" s="32" t="n">
        <v>145.87</v>
      </c>
      <c r="W23" s="32" t="n">
        <v>33.93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MAYURUNIQ</t>
        </is>
      </c>
      <c r="D24" s="31" t="inlineStr">
        <is>
          <t>Mayur Uniquoters Ltd</t>
        </is>
      </c>
      <c r="E24" s="31" t="inlineStr">
        <is>
          <t>consumer discretionary</t>
        </is>
      </c>
      <c r="F24" s="31" t="inlineStr">
        <is>
          <t>leather / leather products</t>
        </is>
      </c>
      <c r="G24" s="31" t="inlineStr">
        <is>
          <t>smallcap</t>
        </is>
      </c>
      <c r="H24" s="32" t="n">
        <v>3187.9</v>
      </c>
      <c r="I24" s="32" t="n">
        <v>733.65</v>
      </c>
      <c r="J24" s="32" t="n">
        <v>-0.1</v>
      </c>
      <c r="K24" s="32" t="n">
        <v>88627</v>
      </c>
      <c r="L24" s="31" t="n">
        <v>55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73.48</v>
      </c>
      <c r="P24" s="32" t="n">
        <v>31.28</v>
      </c>
      <c r="Q24" s="32" t="n">
        <v>591.33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-6.54</v>
      </c>
      <c r="U24" s="32" t="n">
        <v>27.42</v>
      </c>
      <c r="V24" s="32" t="n">
        <v>36.34</v>
      </c>
      <c r="W24" s="32" t="n">
        <v>14.73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AMBIKCO</t>
        </is>
      </c>
      <c r="D25" s="31" t="inlineStr">
        <is>
          <t>Ambika Cotton Mills Limited</t>
        </is>
      </c>
      <c r="E25" s="31" t="inlineStr">
        <is>
          <t>textiles</t>
        </is>
      </c>
      <c r="F25" s="31" t="inlineStr">
        <is>
          <t>textiles - cotton/blended</t>
        </is>
      </c>
      <c r="G25" s="31" t="inlineStr">
        <is>
          <t>smallcap</t>
        </is>
      </c>
      <c r="H25" s="32" t="n">
        <v>935.41</v>
      </c>
      <c r="I25" s="32" t="n">
        <v>1633.9</v>
      </c>
      <c r="J25" s="32" t="n">
        <v>-2.23</v>
      </c>
      <c r="K25" s="32" t="n">
        <v>11442</v>
      </c>
      <c r="L25" s="31" t="n">
        <v>15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65.69</v>
      </c>
      <c r="P25" s="32" t="n">
        <v>21.51</v>
      </c>
      <c r="Q25" s="32" t="n">
        <v>1304.49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-6.54</v>
      </c>
      <c r="U25" s="32" t="n">
        <v>-0.78</v>
      </c>
      <c r="V25" s="32" t="n">
        <v>6.17</v>
      </c>
      <c r="W25" s="32" t="n">
        <v>4.44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TIPSMUSIC</t>
        </is>
      </c>
      <c r="D26" s="31" t="inlineStr">
        <is>
          <t>Tips Music Ltd</t>
        </is>
      </c>
      <c r="E26" s="31" t="inlineStr">
        <is>
          <t>media</t>
        </is>
      </c>
      <c r="F26" s="31" t="inlineStr">
        <is>
          <t>entertainment / electronic media software</t>
        </is>
      </c>
      <c r="G26" s="31" t="inlineStr">
        <is>
          <t>midcap</t>
        </is>
      </c>
      <c r="H26" s="32" t="n">
        <v>8832.52</v>
      </c>
      <c r="I26" s="32" t="n">
        <v>690.95</v>
      </c>
      <c r="J26" s="32" t="n">
        <v>2.8</v>
      </c>
      <c r="K26" s="32" t="n">
        <v>1683476</v>
      </c>
      <c r="L26" s="31" t="n">
        <v>35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67.37</v>
      </c>
      <c r="P26" s="32" t="n">
        <v>23.62</v>
      </c>
      <c r="Q26" s="32" t="n">
        <v>533.15</v>
      </c>
      <c r="R26" s="31" t="inlineStr">
        <is>
          <t>Volume Spike &amp; Near 52W High Breakout</t>
        </is>
      </c>
      <c r="S26" s="31" t="inlineStr">
        <is>
          <t>Nifty IT</t>
        </is>
      </c>
      <c r="T26" s="32" t="n">
        <v>-22.21</v>
      </c>
      <c r="U26" s="32" t="n">
        <v>3.32</v>
      </c>
      <c r="V26" s="32" t="n">
        <v>32.83</v>
      </c>
      <c r="W26" s="32" t="n">
        <v>9.07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GLAND</t>
        </is>
      </c>
      <c r="D27" s="31" t="inlineStr">
        <is>
          <t>Gland Pharma Ltd</t>
        </is>
      </c>
      <c r="E27" s="31" t="inlineStr">
        <is>
          <t>healthcare</t>
        </is>
      </c>
      <c r="F27" s="31" t="inlineStr">
        <is>
          <t>pharmaceuticals - indian - formulations</t>
        </is>
      </c>
      <c r="G27" s="31" t="inlineStr">
        <is>
          <t>largecap</t>
        </is>
      </c>
      <c r="H27" s="32" t="n">
        <v>37449.13</v>
      </c>
      <c r="I27" s="32" t="n">
        <v>2273</v>
      </c>
      <c r="J27" s="32" t="n">
        <v>2.41</v>
      </c>
      <c r="K27" s="32" t="n">
        <v>494431</v>
      </c>
      <c r="L27" s="31" t="n">
        <v>58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69.06</v>
      </c>
      <c r="P27" s="32" t="n">
        <v>25.77</v>
      </c>
      <c r="Q27" s="32" t="n">
        <v>1879.64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11.82</v>
      </c>
      <c r="U27" s="32" t="n">
        <v>39.72</v>
      </c>
      <c r="V27" s="32" t="n">
        <v>24.95</v>
      </c>
      <c r="W27" s="32" t="n">
        <v>15.31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NINSYS</t>
        </is>
      </c>
      <c r="D28" s="31" t="inlineStr">
        <is>
          <t>NINtec Systems Ltd</t>
        </is>
      </c>
      <c r="E28" s="31" t="inlineStr">
        <is>
          <t>i.t</t>
        </is>
      </c>
      <c r="F28" s="31" t="inlineStr">
        <is>
          <t>computers - software - medium / small</t>
        </is>
      </c>
      <c r="G28" s="31" t="inlineStr">
        <is>
          <t>smallcap</t>
        </is>
      </c>
      <c r="H28" s="32" t="n">
        <v>1345.18</v>
      </c>
      <c r="I28" s="32" t="n">
        <v>724.15</v>
      </c>
      <c r="J28" s="32" t="n">
        <v>1.2</v>
      </c>
      <c r="K28" s="32" t="n">
        <v>9657</v>
      </c>
      <c r="L28" s="31" t="n">
        <v>95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86.13</v>
      </c>
      <c r="P28" s="32" t="n">
        <v>48.21</v>
      </c>
      <c r="Q28" s="32" t="n">
        <v>545.03</v>
      </c>
      <c r="R28" s="31" t="inlineStr">
        <is>
          <t>Near 52W High Breakout</t>
        </is>
      </c>
      <c r="S28" s="31" t="inlineStr">
        <is>
          <t>Nifty IT</t>
        </is>
      </c>
      <c r="T28" s="32" t="n">
        <v>-22.21</v>
      </c>
      <c r="U28" s="32" t="n">
        <v>61.97</v>
      </c>
      <c r="V28" s="32" t="n">
        <v>108.22</v>
      </c>
      <c r="W28" s="32" t="n">
        <v>48.15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ADFFOODS</t>
        </is>
      </c>
      <c r="D29" s="31" t="inlineStr">
        <is>
          <t>Adf Foods Limited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smallcap</t>
        </is>
      </c>
      <c r="H29" s="32" t="n">
        <v>3106.94</v>
      </c>
      <c r="I29" s="32" t="n">
        <v>282.8</v>
      </c>
      <c r="J29" s="32" t="n">
        <v>-2.08</v>
      </c>
      <c r="K29" s="32" t="n">
        <v>164750</v>
      </c>
      <c r="L29" s="31" t="n">
        <v>53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64.13</v>
      </c>
      <c r="P29" s="32" t="n">
        <v>26.78</v>
      </c>
      <c r="Q29" s="32" t="n">
        <v>200.88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-13.44</v>
      </c>
      <c r="U29" s="32" t="n">
        <v>10.42</v>
      </c>
      <c r="V29" s="32" t="n">
        <v>27.56</v>
      </c>
      <c r="W29" s="32" t="n">
        <v>14.07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IF(B30=0,"",RANK(B30,$B$2:$B$306,0))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GVPIL</t>
        </is>
      </c>
      <c r="D30" s="31" t="inlineStr">
        <is>
          <t>GE Power India Ltd</t>
        </is>
      </c>
      <c r="E30" s="31" t="inlineStr">
        <is>
          <t>realty</t>
        </is>
      </c>
      <c r="F30" s="31" t="inlineStr">
        <is>
          <t>engineering - turnkey services</t>
        </is>
      </c>
      <c r="G30" s="31" t="inlineStr">
        <is>
          <t>midcap</t>
        </is>
      </c>
      <c r="H30" s="32" t="n">
        <v>5943.58</v>
      </c>
      <c r="I30" s="32" t="n">
        <v>884.1</v>
      </c>
      <c r="J30" s="32" t="n">
        <v>-2.58</v>
      </c>
      <c r="K30" s="32" t="n">
        <v>583582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87.09999999999999</v>
      </c>
      <c r="P30" s="32" t="n">
        <v>53.92</v>
      </c>
      <c r="Q30" s="32" t="n">
        <v>668.48</v>
      </c>
      <c r="R30" s="31" t="inlineStr">
        <is>
          <t>Volume Spike &amp; Near 52W High Breakout</t>
        </is>
      </c>
      <c r="S30" s="31" t="inlineStr">
        <is>
          <t>Nifty Realty</t>
        </is>
      </c>
      <c r="T30" s="32" t="n">
        <v>-26.04</v>
      </c>
      <c r="U30" s="32" t="n">
        <v>224.26</v>
      </c>
      <c r="V30" s="32" t="n">
        <v>338.42</v>
      </c>
      <c r="W30" s="32" t="n">
        <v>50.6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Duopoly That Cooperate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Shallow Cyclical (2 to 3 Years Growth)</t>
        </is>
      </c>
      <c r="AG30" s="31">
        <f>IF(AF30="Structural (10 Years Consistency)",10,IF(AF30="Shallow Cyclical (2 to 3 years growth)",5,0))</f>
        <v/>
      </c>
      <c r="AH30" s="31" t="inlineStr">
        <is>
          <t>Yes due to Product Mix change or Operating Leverage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Fully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only for next 1 to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IOLCP</t>
        </is>
      </c>
      <c r="D31" s="31" t="inlineStr">
        <is>
          <t>Iol Chemicals And Pharmaceuticals Limited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smallcap</t>
        </is>
      </c>
      <c r="H31" s="32" t="n">
        <v>3865.17</v>
      </c>
      <c r="I31" s="32" t="n">
        <v>131.68</v>
      </c>
      <c r="J31" s="32" t="n">
        <v>-3.29</v>
      </c>
      <c r="K31" s="32" t="n">
        <v>2101130</v>
      </c>
      <c r="L31" s="31" t="n">
        <v>84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80.23999999999999</v>
      </c>
      <c r="P31" s="32" t="n">
        <v>35.4</v>
      </c>
      <c r="Q31" s="32" t="n">
        <v>98.84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11.82</v>
      </c>
      <c r="U31" s="32" t="n">
        <v>50.4</v>
      </c>
      <c r="V31" s="32" t="n">
        <v>34.5</v>
      </c>
      <c r="W31" s="32" t="n">
        <v>28.23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IF(B32=0,"",RANK(B32,$B$2:$B$306,0))</f>
        <v/>
      </c>
      <c r="B32" s="32">
        <f>SUM(N32,Y32,AA32,AC32,AE32,AG32,AI32,AK32,AM32,AO32,AQ32,AS32,AU32,AW32,AY32,BA32,BC32,BE32,BG32,BI32,BK32,BM32,BO32,BQ32,BS32,BU32,BW32,BY32,CA32,CC32,CE32)</f>
        <v/>
      </c>
      <c r="C32" s="33" t="inlineStr">
        <is>
          <t>GANESHBE</t>
        </is>
      </c>
      <c r="D32" s="33" t="inlineStr">
        <is>
          <t>Ganesh Benzoplast Ltd</t>
        </is>
      </c>
      <c r="E32" s="31" t="inlineStr">
        <is>
          <t>miscellaneous</t>
        </is>
      </c>
      <c r="F32" s="31" t="inlineStr">
        <is>
          <t>miscellaneous</t>
        </is>
      </c>
      <c r="G32" s="31" t="inlineStr">
        <is>
          <t>smallcap</t>
        </is>
      </c>
      <c r="H32" s="32" t="n">
        <v>805.92</v>
      </c>
      <c r="I32" s="32" t="n">
        <v>111.95</v>
      </c>
      <c r="J32" s="32" t="n">
        <v>10.64</v>
      </c>
      <c r="K32" s="32" t="n">
        <v>5571472</v>
      </c>
      <c r="L32" s="31" t="n">
        <v>38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68.23999999999999</v>
      </c>
      <c r="P32" s="32" t="n">
        <v>20.59</v>
      </c>
      <c r="Q32" s="32" t="n">
        <v>81.81</v>
      </c>
      <c r="R32" s="31" t="inlineStr">
        <is>
          <t>Volume Spike &amp; Near 52W High Breakout</t>
        </is>
      </c>
      <c r="S32" s="31" t="inlineStr">
        <is>
          <t>Nifty Energy</t>
        </is>
      </c>
      <c r="T32" s="32" t="n">
        <v>12.31</v>
      </c>
      <c r="U32" s="32" t="n">
        <v>2.8</v>
      </c>
      <c r="V32" s="32" t="n">
        <v>-8.470000000000001</v>
      </c>
      <c r="W32" s="32" t="n">
        <v>10.26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MODISONLTD</t>
        </is>
      </c>
      <c r="D33" s="31" t="inlineStr">
        <is>
          <t>Modison Ltd</t>
        </is>
      </c>
      <c r="E33" s="31" t="inlineStr">
        <is>
          <t>industrials</t>
        </is>
      </c>
      <c r="F33" s="31" t="inlineStr">
        <is>
          <t>electric equipment</t>
        </is>
      </c>
      <c r="G33" s="31" t="inlineStr">
        <is>
          <t>smallcap</t>
        </is>
      </c>
      <c r="H33" s="32" t="n">
        <v>1176.96</v>
      </c>
      <c r="I33" s="32" t="n">
        <v>362.7</v>
      </c>
      <c r="J33" s="32" t="n">
        <v>4.99</v>
      </c>
      <c r="K33" s="32" t="n">
        <v>224859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87.36</v>
      </c>
      <c r="P33" s="32" t="n">
        <v>29.03</v>
      </c>
      <c r="Q33" s="32" t="n">
        <v>279.43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-6.54</v>
      </c>
      <c r="U33" s="32" t="n">
        <v>129.78</v>
      </c>
      <c r="V33" s="32" t="n">
        <v>145.87</v>
      </c>
      <c r="W33" s="32" t="n">
        <v>67.47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RPTECH</t>
        </is>
      </c>
      <c r="D34" s="31" t="inlineStr">
        <is>
          <t>Rashi Peripherals Ltd</t>
        </is>
      </c>
      <c r="E34" s="31" t="inlineStr">
        <is>
          <t>services</t>
        </is>
      </c>
      <c r="F34" s="31" t="inlineStr">
        <is>
          <t>trading</t>
        </is>
      </c>
      <c r="G34" s="31" t="inlineStr">
        <is>
          <t>smallcap</t>
        </is>
      </c>
      <c r="H34" s="32" t="n">
        <v>3599.77</v>
      </c>
      <c r="I34" s="32" t="n">
        <v>546.25</v>
      </c>
      <c r="J34" s="32" t="n">
        <v>1.3</v>
      </c>
      <c r="K34" s="32" t="n">
        <v>119861</v>
      </c>
      <c r="L34" s="31" t="n">
        <v>79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77.29000000000001</v>
      </c>
      <c r="P34" s="32" t="n">
        <v>45.85</v>
      </c>
      <c r="Q34" s="32" t="n">
        <v>420.2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-6.54</v>
      </c>
      <c r="U34" s="32" t="n">
        <v>74.02</v>
      </c>
      <c r="V34" s="32" t="n">
        <v>86.20999999999999</v>
      </c>
      <c r="W34" s="32" t="n">
        <v>24.61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UNIDT</t>
        </is>
      </c>
      <c r="D35" s="31" t="inlineStr">
        <is>
          <t>United Drilling Tools Ltd</t>
        </is>
      </c>
      <c r="E35" s="31" t="inlineStr">
        <is>
          <t>industrials</t>
        </is>
      </c>
      <c r="F35" s="31" t="inlineStr">
        <is>
          <t>engineering</t>
        </is>
      </c>
      <c r="G35" s="31" t="inlineStr">
        <is>
          <t>smallcap</t>
        </is>
      </c>
      <c r="H35" s="32" t="n">
        <v>506.58</v>
      </c>
      <c r="I35" s="32" t="n">
        <v>249.51</v>
      </c>
      <c r="J35" s="32" t="n">
        <v>0.53</v>
      </c>
      <c r="K35" s="32" t="n">
        <v>18139</v>
      </c>
      <c r="L35" s="31" t="n">
        <v>56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71.15000000000001</v>
      </c>
      <c r="P35" s="32" t="n">
        <v>36.14</v>
      </c>
      <c r="Q35" s="32" t="n">
        <v>188.43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-6.54</v>
      </c>
      <c r="U35" s="32" t="n">
        <v>33.34</v>
      </c>
      <c r="V35" s="32" t="n">
        <v>42.68</v>
      </c>
      <c r="W35" s="32" t="n">
        <v>14.83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VTL</t>
        </is>
      </c>
      <c r="D36" s="31" t="inlineStr">
        <is>
          <t>Vardhman Textiles Limited</t>
        </is>
      </c>
      <c r="E36" s="31" t="inlineStr">
        <is>
          <t>textiles</t>
        </is>
      </c>
      <c r="F36" s="31" t="inlineStr">
        <is>
          <t>textiles - cotton/blended</t>
        </is>
      </c>
      <c r="G36" s="31" t="inlineStr">
        <is>
          <t>midcap</t>
        </is>
      </c>
      <c r="H36" s="32" t="n">
        <v>18265.25</v>
      </c>
      <c r="I36" s="32" t="n">
        <v>631.4</v>
      </c>
      <c r="J36" s="32" t="n">
        <v>-0.03</v>
      </c>
      <c r="K36" s="32" t="n">
        <v>349112</v>
      </c>
      <c r="L36" s="31" t="n">
        <v>38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68.31999999999999</v>
      </c>
      <c r="P36" s="32" t="n">
        <v>50.91</v>
      </c>
      <c r="Q36" s="32" t="n">
        <v>493.75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-6.54</v>
      </c>
      <c r="U36" s="32" t="n">
        <v>31.59</v>
      </c>
      <c r="V36" s="32" t="n">
        <v>40.8</v>
      </c>
      <c r="W36" s="32" t="n">
        <v>10.06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Less than 12%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SHAILY</t>
        </is>
      </c>
      <c r="D37" s="31" t="inlineStr">
        <is>
          <t>Shaily Engineering Plastics Ltd</t>
        </is>
      </c>
      <c r="E37" s="31" t="inlineStr">
        <is>
          <t>plastic products</t>
        </is>
      </c>
      <c r="F37" s="31" t="inlineStr">
        <is>
          <t>plastics products</t>
        </is>
      </c>
      <c r="G37" s="31" t="inlineStr">
        <is>
          <t>midcap</t>
        </is>
      </c>
      <c r="H37" s="32" t="n">
        <v>14075.59</v>
      </c>
      <c r="I37" s="32" t="n">
        <v>3062.9</v>
      </c>
      <c r="J37" s="32" t="n">
        <v>-0.15</v>
      </c>
      <c r="K37" s="32" t="n">
        <v>227359</v>
      </c>
      <c r="L37" s="31" t="n">
        <v>82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69.40000000000001</v>
      </c>
      <c r="P37" s="32" t="n">
        <v>23.08</v>
      </c>
      <c r="Q37" s="32" t="n">
        <v>2177.09</v>
      </c>
      <c r="R37" s="31" t="inlineStr">
        <is>
          <t>Near 52W High Breakout</t>
        </is>
      </c>
      <c r="S37" s="31" t="inlineStr">
        <is>
          <t>Nifty 50</t>
        </is>
      </c>
      <c r="T37" s="32" t="n">
        <v>-6.54</v>
      </c>
      <c r="U37" s="32" t="n">
        <v>74.77</v>
      </c>
      <c r="V37" s="32" t="n">
        <v>87.01000000000001</v>
      </c>
      <c r="W37" s="32" t="n">
        <v>27.15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NITINSPIN</t>
        </is>
      </c>
      <c r="D38" s="31" t="inlineStr">
        <is>
          <t>Nitin Spinners Limited</t>
        </is>
      </c>
      <c r="E38" s="31" t="inlineStr">
        <is>
          <t>textiles</t>
        </is>
      </c>
      <c r="F38" s="31" t="inlineStr">
        <is>
          <t>textiles - cotton/blended</t>
        </is>
      </c>
      <c r="G38" s="31" t="inlineStr">
        <is>
          <t>smallcap</t>
        </is>
      </c>
      <c r="H38" s="32" t="n">
        <v>3012.27</v>
      </c>
      <c r="I38" s="32" t="n">
        <v>535.8</v>
      </c>
      <c r="J38" s="32" t="n">
        <v>-1.06</v>
      </c>
      <c r="K38" s="32" t="n">
        <v>342486</v>
      </c>
      <c r="L38" s="31" t="n">
        <v>63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79.06</v>
      </c>
      <c r="P38" s="32" t="n">
        <v>51.4</v>
      </c>
      <c r="Q38" s="32" t="n">
        <v>411.7</v>
      </c>
      <c r="R38" s="31" t="inlineStr">
        <is>
          <t>Volume Spike &amp; Near 52W High Breakout</t>
        </is>
      </c>
      <c r="S38" s="31" t="inlineStr">
        <is>
          <t>Nifty 50</t>
        </is>
      </c>
      <c r="T38" s="32" t="n">
        <v>-6.54</v>
      </c>
      <c r="U38" s="32" t="n">
        <v>35.94</v>
      </c>
      <c r="V38" s="32" t="n">
        <v>45.46</v>
      </c>
      <c r="W38" s="32" t="n">
        <v>16.89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IF(B39=0,"",RANK(B39,$B$2:$B$306,0))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CEMPRO</t>
        </is>
      </c>
      <c r="D39" s="31" t="inlineStr">
        <is>
          <t>Cemindia Projects Ltd</t>
        </is>
      </c>
      <c r="E39" s="31" t="inlineStr">
        <is>
          <t>realty</t>
        </is>
      </c>
      <c r="F39" s="31" t="inlineStr">
        <is>
          <t>construction</t>
        </is>
      </c>
      <c r="G39" s="31" t="inlineStr">
        <is>
          <t>midcap</t>
        </is>
      </c>
      <c r="H39" s="32" t="n">
        <v>19116.52</v>
      </c>
      <c r="I39" s="32" t="n">
        <v>1112.8</v>
      </c>
      <c r="J39" s="32" t="n">
        <v>-1.29</v>
      </c>
      <c r="K39" s="32" t="n">
        <v>1192068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74.84</v>
      </c>
      <c r="P39" s="32" t="n">
        <v>35.37</v>
      </c>
      <c r="Q39" s="32" t="n">
        <v>841.63</v>
      </c>
      <c r="R39" s="31" t="inlineStr">
        <is>
          <t>Near 52W High Breakout</t>
        </is>
      </c>
      <c r="S39" s="31" t="inlineStr">
        <is>
          <t>Nifty Realty</t>
        </is>
      </c>
      <c r="T39" s="32" t="n">
        <v>-26.04</v>
      </c>
      <c r="U39" s="32" t="n">
        <v>49.18</v>
      </c>
      <c r="V39" s="32" t="n">
        <v>101.7</v>
      </c>
      <c r="W39" s="32" t="n">
        <v>34.56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AVALON</t>
        </is>
      </c>
      <c r="D40" s="31" t="inlineStr">
        <is>
          <t>Avalon Technologies Ltd</t>
        </is>
      </c>
      <c r="E40" s="31" t="inlineStr">
        <is>
          <t>consumer discretionary</t>
        </is>
      </c>
      <c r="F40" s="31" t="inlineStr">
        <is>
          <t>electronics - components</t>
        </is>
      </c>
      <c r="G40" s="31" t="inlineStr">
        <is>
          <t>midcap</t>
        </is>
      </c>
      <c r="H40" s="32" t="n">
        <v>10735.33</v>
      </c>
      <c r="I40" s="32" t="n">
        <v>1607.9</v>
      </c>
      <c r="J40" s="32" t="n">
        <v>-1.82</v>
      </c>
      <c r="K40" s="32" t="n">
        <v>406233</v>
      </c>
      <c r="L40" s="31" t="n">
        <v>86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74.42</v>
      </c>
      <c r="P40" s="32" t="n">
        <v>28.34</v>
      </c>
      <c r="Q40" s="32" t="n">
        <v>1155.27</v>
      </c>
      <c r="R40" s="31" t="inlineStr">
        <is>
          <t>Near 52W High Breakout</t>
        </is>
      </c>
      <c r="S40" s="31" t="inlineStr">
        <is>
          <t>Nifty 50</t>
        </is>
      </c>
      <c r="T40" s="32" t="n">
        <v>-6.54</v>
      </c>
      <c r="U40" s="32" t="n">
        <v>85.59</v>
      </c>
      <c r="V40" s="32" t="n">
        <v>98.59</v>
      </c>
      <c r="W40" s="32" t="n">
        <v>30.7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ACUTAAS</t>
        </is>
      </c>
      <c r="D41" s="31" t="inlineStr">
        <is>
          <t>Acutaas Chemicals Ltd</t>
        </is>
      </c>
      <c r="E41" s="31" t="inlineStr">
        <is>
          <t>healthcare</t>
        </is>
      </c>
      <c r="F41" s="31" t="inlineStr">
        <is>
          <t>pharmaceuticals - indian - bulk drugs</t>
        </is>
      </c>
      <c r="G41" s="31" t="inlineStr">
        <is>
          <t>largecap</t>
        </is>
      </c>
      <c r="H41" s="32" t="n">
        <v>27249.17</v>
      </c>
      <c r="I41" s="32" t="n">
        <v>3328.3</v>
      </c>
      <c r="J41" s="32" t="n">
        <v>5.17</v>
      </c>
      <c r="K41" s="32" t="n">
        <v>1067585</v>
      </c>
      <c r="L41" s="31" t="n">
        <v>90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79.45</v>
      </c>
      <c r="P41" s="32" t="n">
        <v>64.38</v>
      </c>
      <c r="Q41" s="32" t="n">
        <v>2603.5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11.82</v>
      </c>
      <c r="U41" s="32" t="n">
        <v>192.13</v>
      </c>
      <c r="V41" s="32" t="n">
        <v>161.24</v>
      </c>
      <c r="W41" s="32" t="n">
        <v>34.55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ASTERDM</t>
        </is>
      </c>
      <c r="D42" s="31" t="inlineStr">
        <is>
          <t>Aster DM Healthcare Ltd</t>
        </is>
      </c>
      <c r="E42" s="31" t="inlineStr">
        <is>
          <t>healthcare</t>
        </is>
      </c>
      <c r="F42" s="31" t="inlineStr">
        <is>
          <t>healthcare</t>
        </is>
      </c>
      <c r="G42" s="31" t="inlineStr">
        <is>
          <t>largecap</t>
        </is>
      </c>
      <c r="H42" s="32" t="n">
        <v>39066.33</v>
      </c>
      <c r="I42" s="32" t="n">
        <v>754</v>
      </c>
      <c r="J42" s="32" t="n">
        <v>2.16</v>
      </c>
      <c r="K42" s="32" t="n">
        <v>233590</v>
      </c>
      <c r="L42" s="31" t="n">
        <v>32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65.37</v>
      </c>
      <c r="P42" s="32" t="n">
        <v>34.85</v>
      </c>
      <c r="Q42" s="32" t="n">
        <v>617.52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11.82</v>
      </c>
      <c r="U42" s="32" t="n">
        <v>31.18</v>
      </c>
      <c r="V42" s="32" t="n">
        <v>17.31</v>
      </c>
      <c r="W42" s="32" t="n">
        <v>8.24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RATEGAIN</t>
        </is>
      </c>
      <c r="D43" s="31" t="inlineStr">
        <is>
          <t>Rategain Travel Technologies Ltd</t>
        </is>
      </c>
      <c r="E43" s="31" t="inlineStr">
        <is>
          <t>i.t</t>
        </is>
      </c>
      <c r="F43" s="31" t="inlineStr">
        <is>
          <t>computers - software - medium / small</t>
        </is>
      </c>
      <c r="G43" s="31" t="inlineStr">
        <is>
          <t>midcap</t>
        </is>
      </c>
      <c r="H43" s="32" t="n">
        <v>8965.209999999999</v>
      </c>
      <c r="I43" s="32" t="n">
        <v>758.7</v>
      </c>
      <c r="J43" s="32" t="n">
        <v>-1.6</v>
      </c>
      <c r="K43" s="32" t="n">
        <v>333958</v>
      </c>
      <c r="L43" s="31" t="n">
        <v>82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70.48999999999999</v>
      </c>
      <c r="P43" s="32" t="n">
        <v>25.5</v>
      </c>
      <c r="Q43" s="32" t="n">
        <v>575.59</v>
      </c>
      <c r="R43" s="31" t="inlineStr">
        <is>
          <t>Near 52W High Breakout</t>
        </is>
      </c>
      <c r="S43" s="31" t="inlineStr">
        <is>
          <t>Nifty IT</t>
        </is>
      </c>
      <c r="T43" s="32" t="n">
        <v>-22.21</v>
      </c>
      <c r="U43" s="32" t="n">
        <v>70.48999999999999</v>
      </c>
      <c r="V43" s="32" t="n">
        <v>119.18</v>
      </c>
      <c r="W43" s="32" t="n">
        <v>26.96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RPEL</t>
        </is>
      </c>
      <c r="D44" s="31" t="inlineStr">
        <is>
          <t>Raghav Productivity Enhancers Ltd</t>
        </is>
      </c>
      <c r="E44" s="31" t="inlineStr">
        <is>
          <t>building materials</t>
        </is>
      </c>
      <c r="F44" s="31" t="inlineStr">
        <is>
          <t>refractories / intermediates</t>
        </is>
      </c>
      <c r="G44" s="31" t="inlineStr">
        <is>
          <t>midcap</t>
        </is>
      </c>
      <c r="H44" s="32" t="n">
        <v>5096.92</v>
      </c>
      <c r="I44" s="32" t="n">
        <v>1110.15</v>
      </c>
      <c r="J44" s="32" t="n">
        <v>9.890000000000001</v>
      </c>
      <c r="K44" s="32" t="n">
        <v>594955</v>
      </c>
      <c r="L44" s="31" t="n">
        <v>83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74.29000000000001</v>
      </c>
      <c r="P44" s="32" t="n">
        <v>28.7</v>
      </c>
      <c r="Q44" s="32" t="n">
        <v>838.27</v>
      </c>
      <c r="R44" s="31" t="inlineStr">
        <is>
          <t>Volume Spike &amp; Near 52W High Breakout</t>
        </is>
      </c>
      <c r="S44" s="31" t="inlineStr">
        <is>
          <t>Nifty Infra</t>
        </is>
      </c>
      <c r="T44" s="32" t="n">
        <v>1.11</v>
      </c>
      <c r="U44" s="32" t="n">
        <v>56.18</v>
      </c>
      <c r="V44" s="32" t="n">
        <v>54.46</v>
      </c>
      <c r="W44" s="32" t="n">
        <v>27.34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CENTENKA</t>
        </is>
      </c>
      <c r="D45" s="31" t="inlineStr">
        <is>
          <t>Century Enka Limited</t>
        </is>
      </c>
      <c r="E45" s="31" t="inlineStr">
        <is>
          <t>textiles</t>
        </is>
      </c>
      <c r="F45" s="31" t="inlineStr">
        <is>
          <t>textiles - manmade</t>
        </is>
      </c>
      <c r="G45" s="31" t="inlineStr">
        <is>
          <t>smallcap</t>
        </is>
      </c>
      <c r="H45" s="32" t="n">
        <v>1133.83</v>
      </c>
      <c r="I45" s="32" t="n">
        <v>518.9</v>
      </c>
      <c r="J45" s="32" t="n">
        <v>4.9</v>
      </c>
      <c r="K45" s="32" t="n">
        <v>131157</v>
      </c>
      <c r="L45" s="31" t="n">
        <v>32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62.17</v>
      </c>
      <c r="P45" s="32" t="n">
        <v>24.08</v>
      </c>
      <c r="Q45" s="32" t="n">
        <v>402.82</v>
      </c>
      <c r="R45" s="31" t="inlineStr">
        <is>
          <t>Near 52W High Breakout</t>
        </is>
      </c>
      <c r="S45" s="31" t="inlineStr">
        <is>
          <t>Nifty 50</t>
        </is>
      </c>
      <c r="T45" s="32" t="n">
        <v>-6.54</v>
      </c>
      <c r="U45" s="32" t="n">
        <v>13.64</v>
      </c>
      <c r="V45" s="32" t="n">
        <v>21.6</v>
      </c>
      <c r="W45" s="32" t="n">
        <v>8.279999999999999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NRBBEARING</t>
        </is>
      </c>
      <c r="D46" s="31" t="inlineStr">
        <is>
          <t>Nrb Bearing Limited</t>
        </is>
      </c>
      <c r="E46" s="31" t="inlineStr">
        <is>
          <t>industrials</t>
        </is>
      </c>
      <c r="F46" s="31" t="inlineStr">
        <is>
          <t>bearings</t>
        </is>
      </c>
      <c r="G46" s="31" t="inlineStr">
        <is>
          <t>smallcap</t>
        </is>
      </c>
      <c r="H46" s="32" t="n">
        <v>3737.82</v>
      </c>
      <c r="I46" s="32" t="n">
        <v>385.65</v>
      </c>
      <c r="J46" s="32" t="n">
        <v>3.78</v>
      </c>
      <c r="K46" s="32" t="n">
        <v>792877</v>
      </c>
      <c r="L46" s="31" t="n">
        <v>70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74.5</v>
      </c>
      <c r="P46" s="32" t="n">
        <v>25.61</v>
      </c>
      <c r="Q46" s="32" t="n">
        <v>299.56</v>
      </c>
      <c r="R46" s="31" t="inlineStr">
        <is>
          <t>Near 52W High Breakout</t>
        </is>
      </c>
      <c r="S46" s="31" t="inlineStr">
        <is>
          <t>Nifty 50</t>
        </is>
      </c>
      <c r="T46" s="32" t="n">
        <v>-6.54</v>
      </c>
      <c r="U46" s="32" t="n">
        <v>50.03</v>
      </c>
      <c r="V46" s="32" t="n">
        <v>60.54</v>
      </c>
      <c r="W46" s="32" t="n">
        <v>19.74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HITECHCORP</t>
        </is>
      </c>
      <c r="D47" s="31" t="inlineStr">
        <is>
          <t>Hitech Corporation</t>
        </is>
      </c>
      <c r="E47" s="31" t="inlineStr">
        <is>
          <t>industrials</t>
        </is>
      </c>
      <c r="F47" s="31" t="inlineStr">
        <is>
          <t>packaging</t>
        </is>
      </c>
      <c r="G47" s="31" t="inlineStr">
        <is>
          <t>smallcap</t>
        </is>
      </c>
      <c r="H47" s="32" t="n">
        <v>539.9</v>
      </c>
      <c r="I47" s="32" t="n">
        <v>314.34</v>
      </c>
      <c r="J47" s="32" t="n">
        <v>1.94</v>
      </c>
      <c r="K47" s="32" t="n">
        <v>374046</v>
      </c>
      <c r="L47" s="31" t="n">
        <v>96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82.04000000000001</v>
      </c>
      <c r="P47" s="32" t="n">
        <v>33.67</v>
      </c>
      <c r="Q47" s="32" t="n">
        <v>232.53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-6.54</v>
      </c>
      <c r="U47" s="32" t="n">
        <v>64.16</v>
      </c>
      <c r="V47" s="32" t="n">
        <v>75.66</v>
      </c>
      <c r="W47" s="32" t="n">
        <v>52.64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UNIPARTS</t>
        </is>
      </c>
      <c r="D48" s="31" t="inlineStr">
        <is>
          <t>Uniparts India Ltd</t>
        </is>
      </c>
      <c r="E48" s="31" t="inlineStr">
        <is>
          <t>industrials</t>
        </is>
      </c>
      <c r="F48" s="31" t="inlineStr">
        <is>
          <t>engineering</t>
        </is>
      </c>
      <c r="G48" s="31" t="inlineStr">
        <is>
          <t>smallcap</t>
        </is>
      </c>
      <c r="H48" s="32" t="n">
        <v>2861.85</v>
      </c>
      <c r="I48" s="32" t="n">
        <v>633.95</v>
      </c>
      <c r="J48" s="32" t="n">
        <v>1.4</v>
      </c>
      <c r="K48" s="32" t="n">
        <v>200734</v>
      </c>
      <c r="L48" s="31" t="n">
        <v>73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71.69</v>
      </c>
      <c r="P48" s="32" t="n">
        <v>30.78</v>
      </c>
      <c r="Q48" s="32" t="n">
        <v>486.31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-6.54</v>
      </c>
      <c r="U48" s="32" t="n">
        <v>82.54000000000001</v>
      </c>
      <c r="V48" s="32" t="n">
        <v>95.31999999999999</v>
      </c>
      <c r="W48" s="32" t="n">
        <v>21.4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SOMANYCERA</t>
        </is>
      </c>
      <c r="D49" s="31" t="inlineStr">
        <is>
          <t>Somany Ceramics Limited</t>
        </is>
      </c>
      <c r="E49" s="31" t="inlineStr">
        <is>
          <t>building materials</t>
        </is>
      </c>
      <c r="F49" s="31" t="inlineStr">
        <is>
          <t>ceramics - tiles / sanitaryware</t>
        </is>
      </c>
      <c r="G49" s="31" t="inlineStr">
        <is>
          <t>smallcap</t>
        </is>
      </c>
      <c r="H49" s="32" t="n">
        <v>2101.09</v>
      </c>
      <c r="I49" s="32" t="n">
        <v>512.3</v>
      </c>
      <c r="J49" s="32" t="n">
        <v>0.9399999999999999</v>
      </c>
      <c r="K49" s="32" t="n">
        <v>48974</v>
      </c>
      <c r="L49" s="31" t="n">
        <v>42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62.63</v>
      </c>
      <c r="P49" s="32" t="n">
        <v>28.51</v>
      </c>
      <c r="Q49" s="32" t="n">
        <v>399.65</v>
      </c>
      <c r="R49" s="31" t="inlineStr">
        <is>
          <t>Earnings / Momentum Support</t>
        </is>
      </c>
      <c r="S49" s="31" t="inlineStr">
        <is>
          <t>Nifty Infra</t>
        </is>
      </c>
      <c r="T49" s="32" t="n">
        <v>1.11</v>
      </c>
      <c r="U49" s="32" t="n">
        <v>10.61</v>
      </c>
      <c r="V49" s="32" t="n">
        <v>9.390000000000001</v>
      </c>
      <c r="W49" s="32" t="n">
        <v>10.94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SOLARINDS</t>
        </is>
      </c>
      <c r="D50" s="31" t="inlineStr">
        <is>
          <t>Solar Industries India Limited</t>
        </is>
      </c>
      <c r="E50" s="31" t="inlineStr">
        <is>
          <t>aerospace &amp; defence</t>
        </is>
      </c>
      <c r="F50" s="31" t="inlineStr">
        <is>
          <t>chemicals</t>
        </is>
      </c>
      <c r="G50" s="31" t="inlineStr">
        <is>
          <t>largecap</t>
        </is>
      </c>
      <c r="H50" s="32" t="n">
        <v>166872.71</v>
      </c>
      <c r="I50" s="32" t="n">
        <v>18441</v>
      </c>
      <c r="J50" s="32" t="n">
        <v>0.8100000000000001</v>
      </c>
      <c r="K50" s="32" t="n">
        <v>102618</v>
      </c>
      <c r="L50" s="31" t="n">
        <v>30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73.84</v>
      </c>
      <c r="P50" s="32" t="n">
        <v>30.89</v>
      </c>
      <c r="Q50" s="32" t="n">
        <v>15130.58</v>
      </c>
      <c r="R50" s="31" t="inlineStr">
        <is>
          <t>Near 52W High Breakout</t>
        </is>
      </c>
      <c r="S50" s="31" t="inlineStr">
        <is>
          <t>Nifty 500</t>
        </is>
      </c>
      <c r="T50" s="32" t="n">
        <v>-3.02</v>
      </c>
      <c r="U50" s="32" t="n">
        <v>11.67</v>
      </c>
      <c r="V50" s="32" t="n">
        <v>15.15</v>
      </c>
      <c r="W50" s="32" t="n">
        <v>7.6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GRWRHITECH</t>
        </is>
      </c>
      <c r="D51" s="31" t="inlineStr">
        <is>
          <t>Garware Hi Tech Films Ltd</t>
        </is>
      </c>
      <c r="E51" s="31" t="inlineStr">
        <is>
          <t>industrials</t>
        </is>
      </c>
      <c r="F51" s="31" t="inlineStr">
        <is>
          <t>packaging</t>
        </is>
      </c>
      <c r="G51" s="31" t="inlineStr">
        <is>
          <t>midcap</t>
        </is>
      </c>
      <c r="H51" s="32" t="n">
        <v>13690.85</v>
      </c>
      <c r="I51" s="32" t="n">
        <v>5893</v>
      </c>
      <c r="J51" s="32" t="n">
        <v>0.5</v>
      </c>
      <c r="K51" s="32" t="n">
        <v>57041</v>
      </c>
      <c r="L51" s="31" t="n">
        <v>68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72.19</v>
      </c>
      <c r="P51" s="32" t="n">
        <v>25</v>
      </c>
      <c r="Q51" s="32" t="n">
        <v>4496.52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-6.54</v>
      </c>
      <c r="U51" s="32" t="n">
        <v>32.12</v>
      </c>
      <c r="V51" s="32" t="n">
        <v>41.38</v>
      </c>
      <c r="W51" s="32" t="n">
        <v>19.01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ABB</t>
        </is>
      </c>
      <c r="D52" s="31" t="inlineStr">
        <is>
          <t>Abb India Limited</t>
        </is>
      </c>
      <c r="E52" s="31" t="inlineStr">
        <is>
          <t>industrials</t>
        </is>
      </c>
      <c r="F52" s="31" t="inlineStr">
        <is>
          <t>electric equipment</t>
        </is>
      </c>
      <c r="G52" s="31" t="inlineStr">
        <is>
          <t>largecap</t>
        </is>
      </c>
      <c r="H52" s="32" t="n">
        <v>151885.33</v>
      </c>
      <c r="I52" s="32" t="n">
        <v>7167.5</v>
      </c>
      <c r="J52" s="32" t="n">
        <v>0.16</v>
      </c>
      <c r="K52" s="32" t="n">
        <v>249982</v>
      </c>
      <c r="L52" s="31" t="n">
        <v>31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64.17</v>
      </c>
      <c r="P52" s="32" t="n">
        <v>45.41</v>
      </c>
      <c r="Q52" s="32" t="n">
        <v>5947.82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-6.54</v>
      </c>
      <c r="U52" s="32" t="n">
        <v>19.15</v>
      </c>
      <c r="V52" s="32" t="n">
        <v>27.5</v>
      </c>
      <c r="W52" s="32" t="n">
        <v>8.09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IDEA</t>
        </is>
      </c>
      <c r="D53" s="31" t="inlineStr">
        <is>
          <t>Vodafone Idea Ltd</t>
        </is>
      </c>
      <c r="E53" s="31" t="inlineStr">
        <is>
          <t>telecom-service</t>
        </is>
      </c>
      <c r="F53" s="31" t="inlineStr">
        <is>
          <t>telecommunications - service provider</t>
        </is>
      </c>
      <c r="G53" s="31" t="inlineStr">
        <is>
          <t>largecap</t>
        </is>
      </c>
      <c r="H53" s="32" t="n">
        <v>161972.84</v>
      </c>
      <c r="I53" s="32" t="n">
        <v>14.95</v>
      </c>
      <c r="J53" s="32" t="n">
        <v>0.13</v>
      </c>
      <c r="K53" s="32" t="n">
        <v>685576040</v>
      </c>
      <c r="L53" s="31" t="n">
        <v>84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75.23</v>
      </c>
      <c r="P53" s="32" t="n">
        <v>22.64</v>
      </c>
      <c r="Q53" s="32" t="n">
        <v>11.73</v>
      </c>
      <c r="R53" s="31" t="inlineStr">
        <is>
          <t>Near 52W High Breakout</t>
        </is>
      </c>
      <c r="S53" s="31" t="inlineStr">
        <is>
          <t>Nifty 50</t>
        </is>
      </c>
      <c r="T53" s="32" t="n">
        <v>-6.54</v>
      </c>
      <c r="U53" s="32" t="n">
        <v>116.04</v>
      </c>
      <c r="V53" s="32" t="n">
        <v>131.17</v>
      </c>
      <c r="W53" s="32" t="n">
        <v>28.84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IF(B54=0,"",RANK(B54,$B$2:$B$306,0))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SPORTKING</t>
        </is>
      </c>
      <c r="D54" s="31" t="inlineStr">
        <is>
          <t>Sportking India Ltd</t>
        </is>
      </c>
      <c r="E54" s="31" t="inlineStr">
        <is>
          <t>textiles</t>
        </is>
      </c>
      <c r="F54" s="31" t="inlineStr">
        <is>
          <t>textiles - spinning - synthetic / blended</t>
        </is>
      </c>
      <c r="G54" s="31" t="inlineStr">
        <is>
          <t>smallcap</t>
        </is>
      </c>
      <c r="H54" s="32" t="n">
        <v>2292.12</v>
      </c>
      <c r="I54" s="32" t="n">
        <v>180.38</v>
      </c>
      <c r="J54" s="32" t="n">
        <v>0.06</v>
      </c>
      <c r="K54" s="32" t="n">
        <v>454052</v>
      </c>
      <c r="L54" s="31" t="n">
        <v>81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80.43000000000001</v>
      </c>
      <c r="P54" s="32" t="n">
        <v>51.15</v>
      </c>
      <c r="Q54" s="32" t="n">
        <v>133.83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-6.54</v>
      </c>
      <c r="U54" s="32" t="n">
        <v>54.95</v>
      </c>
      <c r="V54" s="32" t="n">
        <v>65.8</v>
      </c>
      <c r="W54" s="32" t="n">
        <v>25.18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Less than 12%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MOTHERSON</t>
        </is>
      </c>
      <c r="D55" s="31" t="inlineStr">
        <is>
          <t>Samvardhana Motherson International Ltd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largecap</t>
        </is>
      </c>
      <c r="H55" s="32" t="n">
        <v>151519.58</v>
      </c>
      <c r="I55" s="32" t="n">
        <v>143.56</v>
      </c>
      <c r="J55" s="32" t="n">
        <v>-0.52</v>
      </c>
      <c r="K55" s="32" t="n">
        <v>13743288</v>
      </c>
      <c r="L55" s="31" t="n">
        <v>40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66.02</v>
      </c>
      <c r="P55" s="32" t="n">
        <v>18.72</v>
      </c>
      <c r="Q55" s="32" t="n">
        <v>115.48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10.59</v>
      </c>
      <c r="U55" s="32" t="n">
        <v>37.48</v>
      </c>
      <c r="V55" s="32" t="n">
        <v>24.32</v>
      </c>
      <c r="W55" s="32" t="n">
        <v>10.7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IF(B56=0,"",RANK(B56,$B$2:$B$306,0))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PGIL</t>
        </is>
      </c>
      <c r="D56" s="31" t="inlineStr">
        <is>
          <t>Pearl Global Industries Limited</t>
        </is>
      </c>
      <c r="E56" s="31" t="inlineStr">
        <is>
          <t>consumer discretionary</t>
        </is>
      </c>
      <c r="F56" s="31" t="inlineStr">
        <is>
          <t>textiles - products</t>
        </is>
      </c>
      <c r="G56" s="31" t="inlineStr">
        <is>
          <t>midcap</t>
        </is>
      </c>
      <c r="H56" s="32" t="n">
        <v>7686.08</v>
      </c>
      <c r="I56" s="32" t="n">
        <v>1665.6</v>
      </c>
      <c r="J56" s="32" t="n">
        <v>-0.78</v>
      </c>
      <c r="K56" s="32" t="n">
        <v>20715</v>
      </c>
      <c r="L56" s="31" t="n">
        <v>28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56.5</v>
      </c>
      <c r="P56" s="32" t="n">
        <v>28.77</v>
      </c>
      <c r="Q56" s="32" t="n">
        <v>1201.79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-6.54</v>
      </c>
      <c r="U56" s="32" t="n">
        <v>20.52</v>
      </c>
      <c r="V56" s="32" t="n">
        <v>28.96</v>
      </c>
      <c r="W56" s="32" t="n">
        <v>7.16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IF(B57=0,"",RANK(B57,$B$2:$B$306,0))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TALBROAUTO</t>
        </is>
      </c>
      <c r="D57" s="31" t="inlineStr">
        <is>
          <t>Talbros Automotive Components Limited</t>
        </is>
      </c>
      <c r="E57" s="31" t="inlineStr">
        <is>
          <t>auto</t>
        </is>
      </c>
      <c r="F57" s="31" t="inlineStr">
        <is>
          <t>auto ancillaries</t>
        </is>
      </c>
      <c r="G57" s="31" t="inlineStr">
        <is>
          <t>smallcap</t>
        </is>
      </c>
      <c r="H57" s="32" t="n">
        <v>2165.11</v>
      </c>
      <c r="I57" s="32" t="n">
        <v>350.75</v>
      </c>
      <c r="J57" s="32" t="n">
        <v>-1</v>
      </c>
      <c r="K57" s="32" t="n">
        <v>199616</v>
      </c>
      <c r="L57" s="31" t="n">
        <v>57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67.08</v>
      </c>
      <c r="P57" s="32" t="n">
        <v>26.52</v>
      </c>
      <c r="Q57" s="32" t="n">
        <v>269.56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10.59</v>
      </c>
      <c r="U57" s="32" t="n">
        <v>23.17</v>
      </c>
      <c r="V57" s="32" t="n">
        <v>11.38</v>
      </c>
      <c r="W57" s="32" t="n">
        <v>15.17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KIRLPNU</t>
        </is>
      </c>
      <c r="D58" s="31" t="inlineStr">
        <is>
          <t>Kirloskar Pneumatic Company Ltd</t>
        </is>
      </c>
      <c r="E58" s="31" t="inlineStr">
        <is>
          <t>industrials</t>
        </is>
      </c>
      <c r="F58" s="31" t="inlineStr">
        <is>
          <t>compressors / drilling equipment</t>
        </is>
      </c>
      <c r="G58" s="31" t="inlineStr">
        <is>
          <t>midcap</t>
        </is>
      </c>
      <c r="H58" s="32" t="n">
        <v>10203.63</v>
      </c>
      <c r="I58" s="32" t="n">
        <v>1570.8</v>
      </c>
      <c r="J58" s="32" t="n">
        <v>-1.71</v>
      </c>
      <c r="K58" s="32" t="n">
        <v>69471</v>
      </c>
      <c r="L58" s="31" t="n">
        <v>44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73.56999999999999</v>
      </c>
      <c r="P58" s="32" t="n">
        <v>31.96</v>
      </c>
      <c r="Q58" s="32" t="n">
        <v>1275.07</v>
      </c>
      <c r="R58" s="31" t="inlineStr">
        <is>
          <t>Near 52W High Breakout</t>
        </is>
      </c>
      <c r="S58" s="31" t="inlineStr">
        <is>
          <t>Nifty 50</t>
        </is>
      </c>
      <c r="T58" s="32" t="n">
        <v>-6.54</v>
      </c>
      <c r="U58" s="32" t="n">
        <v>14.94</v>
      </c>
      <c r="V58" s="32" t="n">
        <v>22.99</v>
      </c>
      <c r="W58" s="32" t="n">
        <v>11.58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GOCLCORP</t>
        </is>
      </c>
      <c r="D59" s="31" t="inlineStr">
        <is>
          <t>Gocl Corporation Limited</t>
        </is>
      </c>
      <c r="E59" s="31" t="inlineStr">
        <is>
          <t>miscellaneous</t>
        </is>
      </c>
      <c r="F59" s="31" t="inlineStr">
        <is>
          <t>diversified - medium / small</t>
        </is>
      </c>
      <c r="G59" s="31" t="inlineStr">
        <is>
          <t>smallcap</t>
        </is>
      </c>
      <c r="H59" s="32" t="n">
        <v>2036.69</v>
      </c>
      <c r="I59" s="32" t="n">
        <v>410.85</v>
      </c>
      <c r="J59" s="32" t="n">
        <v>-2.28</v>
      </c>
      <c r="K59" s="32" t="n">
        <v>89413</v>
      </c>
      <c r="L59" s="31" t="n">
        <v>75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71.59999999999999</v>
      </c>
      <c r="P59" s="32" t="n">
        <v>25.3</v>
      </c>
      <c r="Q59" s="32" t="n">
        <v>300.25</v>
      </c>
      <c r="R59" s="31" t="inlineStr">
        <is>
          <t>Volume Spike &amp; Near 52W High Breakout</t>
        </is>
      </c>
      <c r="S59" s="31" t="inlineStr">
        <is>
          <t>Nifty IT</t>
        </is>
      </c>
      <c r="T59" s="32" t="n">
        <v>-22.21</v>
      </c>
      <c r="U59" s="32" t="n">
        <v>33.33</v>
      </c>
      <c r="V59" s="32" t="n">
        <v>71.41</v>
      </c>
      <c r="W59" s="32" t="n">
        <v>22.71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IF(B60=0,"",RANK(B60,$B$2:$B$306,0))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MTARTECH</t>
        </is>
      </c>
      <c r="D60" s="31" t="inlineStr">
        <is>
          <t>MTAR Technologies Ltd</t>
        </is>
      </c>
      <c r="E60" s="31" t="inlineStr">
        <is>
          <t>aerospace &amp; defence</t>
        </is>
      </c>
      <c r="F60" s="31" t="inlineStr">
        <is>
          <t>engineering</t>
        </is>
      </c>
      <c r="G60" s="31" t="inlineStr">
        <is>
          <t>largecap</t>
        </is>
      </c>
      <c r="H60" s="32" t="n">
        <v>23178.89</v>
      </c>
      <c r="I60" s="32" t="n">
        <v>7535.5</v>
      </c>
      <c r="J60" s="32" t="n">
        <v>-2.84</v>
      </c>
      <c r="K60" s="32" t="n">
        <v>1254939</v>
      </c>
      <c r="L60" s="31" t="n">
        <v>97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81.87</v>
      </c>
      <c r="P60" s="32" t="n">
        <v>64.09999999999999</v>
      </c>
      <c r="Q60" s="32" t="n">
        <v>5930.69</v>
      </c>
      <c r="R60" s="31" t="inlineStr">
        <is>
          <t>Earnings / Momentum Support</t>
        </is>
      </c>
      <c r="S60" s="31" t="inlineStr">
        <is>
          <t>Nifty 50</t>
        </is>
      </c>
      <c r="T60" s="32" t="n">
        <v>-6.54</v>
      </c>
      <c r="U60" s="32" t="n">
        <v>325.57</v>
      </c>
      <c r="V60" s="32" t="n">
        <v>355.37</v>
      </c>
      <c r="W60" s="32" t="n">
        <v>61.19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THANGAMAYL</t>
        </is>
      </c>
      <c r="D61" s="31" t="inlineStr">
        <is>
          <t>Thangamayil Jewellery Limited</t>
        </is>
      </c>
      <c r="E61" s="31" t="inlineStr">
        <is>
          <t>consumer discretionary</t>
        </is>
      </c>
      <c r="F61" s="31" t="inlineStr">
        <is>
          <t>diamond cutting / jewellery</t>
        </is>
      </c>
      <c r="G61" s="31" t="inlineStr">
        <is>
          <t>midcap</t>
        </is>
      </c>
      <c r="H61" s="32" t="n">
        <v>16634.79</v>
      </c>
      <c r="I61" s="32" t="n">
        <v>5351.9</v>
      </c>
      <c r="J61" s="32" t="n">
        <v>-3.06</v>
      </c>
      <c r="K61" s="32" t="n">
        <v>461288</v>
      </c>
      <c r="L61" s="31" t="n">
        <v>89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70.3</v>
      </c>
      <c r="P61" s="32" t="n">
        <v>39.59</v>
      </c>
      <c r="Q61" s="32" t="n">
        <v>3840.56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-6.54</v>
      </c>
      <c r="U61" s="32" t="n">
        <v>181.48</v>
      </c>
      <c r="V61" s="32" t="n">
        <v>201.19</v>
      </c>
      <c r="W61" s="32" t="n">
        <v>33.32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IF(B62=0,"",RANK(B62,$B$2:$B$306,0))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STLTECH</t>
        </is>
      </c>
      <c r="D62" s="31" t="inlineStr">
        <is>
          <t>Sterlite Technologies Limited</t>
        </is>
      </c>
      <c r="E62" s="31" t="inlineStr">
        <is>
          <t>industrials</t>
        </is>
      </c>
      <c r="F62" s="31" t="inlineStr">
        <is>
          <t>cables - telephone</t>
        </is>
      </c>
      <c r="G62" s="31" t="inlineStr">
        <is>
          <t>largecap</t>
        </is>
      </c>
      <c r="H62" s="32" t="n">
        <v>30227.61</v>
      </c>
      <c r="I62" s="32" t="n">
        <v>619.25</v>
      </c>
      <c r="J62" s="32" t="n">
        <v>-4.96</v>
      </c>
      <c r="K62" s="32" t="n">
        <v>8658536</v>
      </c>
      <c r="L62" s="31" t="n">
        <v>99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96.06999999999999</v>
      </c>
      <c r="P62" s="32" t="n">
        <v>76.48</v>
      </c>
      <c r="Q62" s="32" t="n">
        <v>484.21</v>
      </c>
      <c r="R62" s="31" t="inlineStr">
        <is>
          <t>Near 52W High Breakout</t>
        </is>
      </c>
      <c r="S62" s="31" t="inlineStr">
        <is>
          <t>Nifty Infra</t>
        </is>
      </c>
      <c r="T62" s="32" t="n">
        <v>1.11</v>
      </c>
      <c r="U62" s="32" t="n">
        <v>716.95</v>
      </c>
      <c r="V62" s="32" t="n">
        <v>707.96</v>
      </c>
      <c r="W62" s="32" t="n">
        <v>120.28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VIJAYA</t>
        </is>
      </c>
      <c r="D63" s="31" t="inlineStr">
        <is>
          <t>Vijaya Diagnostic Centre Ltd</t>
        </is>
      </c>
      <c r="E63" s="31" t="inlineStr">
        <is>
          <t>healthcare</t>
        </is>
      </c>
      <c r="F63" s="31" t="inlineStr">
        <is>
          <t>healthcare</t>
        </is>
      </c>
      <c r="G63" s="31" t="inlineStr">
        <is>
          <t>midcap</t>
        </is>
      </c>
      <c r="H63" s="32" t="n">
        <v>14121.55</v>
      </c>
      <c r="I63" s="32" t="n">
        <v>1372.4</v>
      </c>
      <c r="J63" s="32" t="n">
        <v>0.96</v>
      </c>
      <c r="K63" s="32" t="n">
        <v>546490</v>
      </c>
      <c r="L63" s="31" t="n">
        <v>64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71.25</v>
      </c>
      <c r="P63" s="32" t="n">
        <v>28.66</v>
      </c>
      <c r="Q63" s="32" t="n">
        <v>1088.22</v>
      </c>
      <c r="R63" s="31" t="inlineStr">
        <is>
          <t>Volume Spike &amp; Near 52W High Breakout</t>
        </is>
      </c>
      <c r="S63" s="31" t="inlineStr">
        <is>
          <t>Nifty Pharma</t>
        </is>
      </c>
      <c r="T63" s="32" t="n">
        <v>11.82</v>
      </c>
      <c r="U63" s="32" t="n">
        <v>41.04</v>
      </c>
      <c r="V63" s="32" t="n">
        <v>26.13</v>
      </c>
      <c r="W63" s="32" t="n">
        <v>17.33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KEI</t>
        </is>
      </c>
      <c r="D64" s="31" t="inlineStr">
        <is>
          <t>Kei Industries Limited</t>
        </is>
      </c>
      <c r="E64" s="31" t="inlineStr">
        <is>
          <t>industrials</t>
        </is>
      </c>
      <c r="F64" s="31" t="inlineStr">
        <is>
          <t>cables - power</t>
        </is>
      </c>
      <c r="G64" s="31" t="inlineStr">
        <is>
          <t>largecap</t>
        </is>
      </c>
      <c r="H64" s="32" t="n">
        <v>51007.7</v>
      </c>
      <c r="I64" s="32" t="n">
        <v>5335.5</v>
      </c>
      <c r="J64" s="32" t="n">
        <v>0.75</v>
      </c>
      <c r="K64" s="32" t="n">
        <v>203971</v>
      </c>
      <c r="L64" s="31" t="n">
        <v>35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66.8</v>
      </c>
      <c r="P64" s="32" t="n">
        <v>22.66</v>
      </c>
      <c r="Q64" s="32" t="n">
        <v>4248.37</v>
      </c>
      <c r="R64" s="31" t="inlineStr">
        <is>
          <t>Near 52W High Breakout</t>
        </is>
      </c>
      <c r="S64" s="31" t="inlineStr">
        <is>
          <t>Nifty Energy</t>
        </is>
      </c>
      <c r="T64" s="32" t="n">
        <v>12.31</v>
      </c>
      <c r="U64" s="32" t="n">
        <v>42.53</v>
      </c>
      <c r="V64" s="32" t="n">
        <v>26.91</v>
      </c>
      <c r="W64" s="32" t="n">
        <v>9.210000000000001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Fully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Yes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Yes, More Than 10%</t>
        </is>
      </c>
      <c r="CE64" s="31">
        <f>IF(CD64="Yes, more than 10%",-10,IF(CD64="No",10,0))</f>
        <v/>
      </c>
    </row>
    <row r="65">
      <c r="A65" s="31">
        <f>IF(B65=0,"",RANK(B65,$B$2:$B$306,0))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SOFTTECH</t>
        </is>
      </c>
      <c r="D65" s="31" t="inlineStr">
        <is>
          <t>Softtech Engineers Ltd</t>
        </is>
      </c>
      <c r="E65" s="31" t="inlineStr">
        <is>
          <t>i.t</t>
        </is>
      </c>
      <c r="F65" s="31" t="inlineStr">
        <is>
          <t>computers - software - medium / small</t>
        </is>
      </c>
      <c r="G65" s="31" t="inlineStr">
        <is>
          <t>smallcap</t>
        </is>
      </c>
      <c r="H65" s="32" t="n">
        <v>622.9</v>
      </c>
      <c r="I65" s="32" t="n">
        <v>450</v>
      </c>
      <c r="J65" s="32" t="n">
        <v>0.6899999999999999</v>
      </c>
      <c r="K65" s="32" t="n">
        <v>2609</v>
      </c>
      <c r="L65" s="31" t="n">
        <v>75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67.95</v>
      </c>
      <c r="P65" s="32" t="n">
        <v>33.14</v>
      </c>
      <c r="Q65" s="32" t="n">
        <v>331.12</v>
      </c>
      <c r="R65" s="31" t="inlineStr">
        <is>
          <t>Near 52W High Breakout</t>
        </is>
      </c>
      <c r="S65" s="31" t="inlineStr">
        <is>
          <t>Nifty IT</t>
        </is>
      </c>
      <c r="T65" s="32" t="n">
        <v>-22.21</v>
      </c>
      <c r="U65" s="32" t="n">
        <v>28.57</v>
      </c>
      <c r="V65" s="32" t="n">
        <v>65.29000000000001</v>
      </c>
      <c r="W65" s="32" t="n">
        <v>22.74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SPARC</t>
        </is>
      </c>
      <c r="D66" s="31" t="inlineStr">
        <is>
          <t>Sun Pharma Advanced Research Company Limited</t>
        </is>
      </c>
      <c r="E66" s="31" t="inlineStr">
        <is>
          <t>healthcare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6906.47</v>
      </c>
      <c r="I66" s="32" t="n">
        <v>212.82</v>
      </c>
      <c r="J66" s="32" t="n">
        <v>-0.07000000000000001</v>
      </c>
      <c r="K66" s="32" t="n">
        <v>3607773</v>
      </c>
      <c r="L66" s="31" t="n">
        <v>76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74.19</v>
      </c>
      <c r="P66" s="32" t="n">
        <v>43.38</v>
      </c>
      <c r="Q66" s="32" t="n">
        <v>145.34</v>
      </c>
      <c r="R66" s="31" t="inlineStr">
        <is>
          <t>Near 52W High Breakout</t>
        </is>
      </c>
      <c r="S66" s="31" t="inlineStr">
        <is>
          <t>Nifty Pharma</t>
        </is>
      </c>
      <c r="T66" s="32" t="n">
        <v>11.82</v>
      </c>
      <c r="U66" s="32" t="n">
        <v>28.55</v>
      </c>
      <c r="V66" s="32" t="n">
        <v>14.96</v>
      </c>
      <c r="W66" s="32" t="n">
        <v>23.5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GRANULES</t>
        </is>
      </c>
      <c r="D67" s="31" t="inlineStr">
        <is>
          <t>Granules India Limited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midcap</t>
        </is>
      </c>
      <c r="H67" s="32" t="n">
        <v>19572.24</v>
      </c>
      <c r="I67" s="32" t="n">
        <v>789.85</v>
      </c>
      <c r="J67" s="32" t="n">
        <v>-0.19</v>
      </c>
      <c r="K67" s="32" t="n">
        <v>591926</v>
      </c>
      <c r="L67" s="31" t="n">
        <v>62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77.91</v>
      </c>
      <c r="P67" s="32" t="n">
        <v>32.31</v>
      </c>
      <c r="Q67" s="32" t="n">
        <v>662.02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11.82</v>
      </c>
      <c r="U67" s="32" t="n">
        <v>49.5</v>
      </c>
      <c r="V67" s="32" t="n">
        <v>33.69</v>
      </c>
      <c r="W67" s="32" t="n">
        <v>16.62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IF(B68=0,"",RANK(B68,$B$2:$B$306,0))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SUPRIYA</t>
        </is>
      </c>
      <c r="D68" s="31" t="inlineStr">
        <is>
          <t>Supriya Lifescience Ltd</t>
        </is>
      </c>
      <c r="E68" s="31" t="inlineStr">
        <is>
          <t>healthcare</t>
        </is>
      </c>
      <c r="F68" s="31" t="inlineStr">
        <is>
          <t>pharmaceuticals - indian - bulk drugs &amp; formln</t>
        </is>
      </c>
      <c r="G68" s="31" t="inlineStr">
        <is>
          <t>midcap</t>
        </is>
      </c>
      <c r="H68" s="32" t="n">
        <v>7629.37</v>
      </c>
      <c r="I68" s="32" t="n">
        <v>947.95</v>
      </c>
      <c r="J68" s="32" t="n">
        <v>-0.44</v>
      </c>
      <c r="K68" s="32" t="n">
        <v>606961</v>
      </c>
      <c r="L68" s="31" t="n">
        <v>69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75.63</v>
      </c>
      <c r="P68" s="32" t="n">
        <v>31.75</v>
      </c>
      <c r="Q68" s="32" t="n">
        <v>735.54</v>
      </c>
      <c r="R68" s="31" t="inlineStr">
        <is>
          <t>Volume Spike &amp; Near 52W High Breakout</t>
        </is>
      </c>
      <c r="S68" s="31" t="inlineStr">
        <is>
          <t>Nifty Pharma</t>
        </is>
      </c>
      <c r="T68" s="32" t="n">
        <v>11.82</v>
      </c>
      <c r="U68" s="32" t="n">
        <v>37.48</v>
      </c>
      <c r="V68" s="32" t="n">
        <v>22.95</v>
      </c>
      <c r="W68" s="32" t="n">
        <v>19.02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IF(B69=0,"",RANK(B69,$B$2:$B$306,0))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THYROCARE</t>
        </is>
      </c>
      <c r="D69" s="31" t="inlineStr">
        <is>
          <t>Thyrocare Technologies Limited</t>
        </is>
      </c>
      <c r="E69" s="31" t="inlineStr">
        <is>
          <t>healthcare</t>
        </is>
      </c>
      <c r="F69" s="31" t="inlineStr">
        <is>
          <t>healthcare</t>
        </is>
      </c>
      <c r="G69" s="31" t="inlineStr">
        <is>
          <t>midcap</t>
        </is>
      </c>
      <c r="H69" s="32" t="n">
        <v>8244.76</v>
      </c>
      <c r="I69" s="32" t="n">
        <v>518</v>
      </c>
      <c r="J69" s="32" t="n">
        <v>-0.53</v>
      </c>
      <c r="K69" s="32" t="n">
        <v>89511</v>
      </c>
      <c r="L69" s="31" t="n">
        <v>72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67.69</v>
      </c>
      <c r="P69" s="32" t="n">
        <v>21.7</v>
      </c>
      <c r="Q69" s="32" t="n">
        <v>393.58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11.82</v>
      </c>
      <c r="U69" s="32" t="n">
        <v>66.63</v>
      </c>
      <c r="V69" s="32" t="n">
        <v>49.02</v>
      </c>
      <c r="W69" s="32" t="n">
        <v>21.01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IF(B70=0,"",RANK(B70,$B$2:$B$306,0))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MCLEODRUSS</t>
        </is>
      </c>
      <c r="D70" s="31" t="inlineStr">
        <is>
          <t>Mcleod Russel India Limited</t>
        </is>
      </c>
      <c r="E70" s="31" t="inlineStr">
        <is>
          <t>fmcg</t>
        </is>
      </c>
      <c r="F70" s="31" t="inlineStr">
        <is>
          <t>tea</t>
        </is>
      </c>
      <c r="G70" s="31" t="inlineStr">
        <is>
          <t>smallcap</t>
        </is>
      </c>
      <c r="H70" s="32" t="n">
        <v>740.7</v>
      </c>
      <c r="I70" s="32" t="n">
        <v>70.91</v>
      </c>
      <c r="J70" s="32" t="n">
        <v>-1.99</v>
      </c>
      <c r="K70" s="32" t="n">
        <v>496879</v>
      </c>
      <c r="L70" s="31" t="n">
        <v>91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67.56999999999999</v>
      </c>
      <c r="P70" s="32" t="n">
        <v>26.49</v>
      </c>
      <c r="Q70" s="32" t="n">
        <v>58.19</v>
      </c>
      <c r="R70" s="31" t="inlineStr">
        <is>
          <t>Earnings / Momentum Support</t>
        </is>
      </c>
      <c r="S70" s="31" t="inlineStr">
        <is>
          <t>Nifty FMCG</t>
        </is>
      </c>
      <c r="T70" s="32" t="n">
        <v>-13.44</v>
      </c>
      <c r="U70" s="32" t="n">
        <v>101.28</v>
      </c>
      <c r="V70" s="32" t="n">
        <v>132.53</v>
      </c>
      <c r="W70" s="32" t="n">
        <v>36.92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PRIMO</t>
        </is>
      </c>
      <c r="D71" s="31" t="inlineStr">
        <is>
          <t>Primo Chemicals Ltd</t>
        </is>
      </c>
      <c r="E71" s="31" t="inlineStr">
        <is>
          <t>chemicals</t>
        </is>
      </c>
      <c r="F71" s="31" t="inlineStr">
        <is>
          <t>chlor alkali / soda ash</t>
        </is>
      </c>
      <c r="G71" s="31" t="inlineStr">
        <is>
          <t>smallcap</t>
        </is>
      </c>
      <c r="H71" s="32" t="n">
        <v>632.76</v>
      </c>
      <c r="I71" s="32" t="n">
        <v>26.11</v>
      </c>
      <c r="J71" s="32" t="n">
        <v>18.84</v>
      </c>
      <c r="K71" s="32" t="n">
        <v>2989541</v>
      </c>
      <c r="L71" s="31" t="n">
        <v>47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58.37</v>
      </c>
      <c r="P71" s="32" t="n">
        <v>20.31</v>
      </c>
      <c r="Q71" s="32" t="n">
        <v>17.28</v>
      </c>
      <c r="R71" s="31" t="inlineStr">
        <is>
          <t>Volume Spike / Accumulation</t>
        </is>
      </c>
      <c r="S71" s="31" t="inlineStr">
        <is>
          <t>Nifty 50</t>
        </is>
      </c>
      <c r="T71" s="32" t="n">
        <v>-6.54</v>
      </c>
      <c r="U71" s="32" t="n">
        <v>6.1</v>
      </c>
      <c r="V71" s="32" t="n">
        <v>13.52</v>
      </c>
      <c r="W71" s="32" t="n">
        <v>12.23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IF(B72=0,"",RANK(B72,$B$2:$B$306,0))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PASUPTAC</t>
        </is>
      </c>
      <c r="D72" s="31" t="inlineStr">
        <is>
          <t>Pasupati Acrylon Ltd</t>
        </is>
      </c>
      <c r="E72" s="31" t="inlineStr">
        <is>
          <t>textiles</t>
        </is>
      </c>
      <c r="F72" s="31" t="inlineStr">
        <is>
          <t>textiles - manmade</t>
        </is>
      </c>
      <c r="G72" s="31" t="inlineStr">
        <is>
          <t>smallcap</t>
        </is>
      </c>
      <c r="H72" s="32" t="n">
        <v>661.46</v>
      </c>
      <c r="I72" s="32" t="n">
        <v>74.20999999999999</v>
      </c>
      <c r="J72" s="32" t="n">
        <v>8.960000000000001</v>
      </c>
      <c r="K72" s="32" t="n">
        <v>2905211</v>
      </c>
      <c r="L72" s="31" t="n">
        <v>74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74.81</v>
      </c>
      <c r="P72" s="32" t="n">
        <v>28.36</v>
      </c>
      <c r="Q72" s="32" t="n">
        <v>54.16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-6.54</v>
      </c>
      <c r="U72" s="32" t="n">
        <v>52.38</v>
      </c>
      <c r="V72" s="32" t="n">
        <v>63.05</v>
      </c>
      <c r="W72" s="32" t="n">
        <v>22.46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IF(B73=0,"",RANK(B73,$B$2:$B$306,0))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PARAS</t>
        </is>
      </c>
      <c r="D73" s="31" t="inlineStr">
        <is>
          <t>Paras Defence and Space Technologies Ltd</t>
        </is>
      </c>
      <c r="E73" s="31" t="inlineStr">
        <is>
          <t>aerospace &amp; defence</t>
        </is>
      </c>
      <c r="F73" s="31" t="inlineStr">
        <is>
          <t>engineering</t>
        </is>
      </c>
      <c r="G73" s="31" t="inlineStr">
        <is>
          <t>midcap</t>
        </is>
      </c>
      <c r="H73" s="32" t="n">
        <v>7737.59</v>
      </c>
      <c r="I73" s="32" t="n">
        <v>960.15</v>
      </c>
      <c r="J73" s="32" t="n">
        <v>7.42</v>
      </c>
      <c r="K73" s="32" t="n">
        <v>14940270</v>
      </c>
      <c r="L73" s="31" t="n">
        <v>37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67.20999999999999</v>
      </c>
      <c r="P73" s="32" t="n">
        <v>35.77</v>
      </c>
      <c r="Q73" s="32" t="n">
        <v>694.17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-6.54</v>
      </c>
      <c r="U73" s="32" t="n">
        <v>16.68</v>
      </c>
      <c r="V73" s="32" t="n">
        <v>24.85</v>
      </c>
      <c r="W73" s="32" t="n">
        <v>9.92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IF(B74=0,"",RANK(B74,$B$2:$B$306,0))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HSCL</t>
        </is>
      </c>
      <c r="D74" s="31" t="inlineStr">
        <is>
          <t>Himadri Speciality Chemical Limited</t>
        </is>
      </c>
      <c r="E74" s="31" t="inlineStr">
        <is>
          <t>chemicals</t>
        </is>
      </c>
      <c r="F74" s="31" t="inlineStr">
        <is>
          <t>chemicals</t>
        </is>
      </c>
      <c r="G74" s="31" t="inlineStr">
        <is>
          <t>largecap</t>
        </is>
      </c>
      <c r="H74" s="32" t="n">
        <v>34563.62</v>
      </c>
      <c r="I74" s="32" t="n">
        <v>685.05</v>
      </c>
      <c r="J74" s="32" t="n">
        <v>6.71</v>
      </c>
      <c r="K74" s="32" t="n">
        <v>24445679</v>
      </c>
      <c r="L74" s="31" t="n">
        <v>69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73.98999999999999</v>
      </c>
      <c r="P74" s="32" t="n">
        <v>27.87</v>
      </c>
      <c r="Q74" s="32" t="n">
        <v>526.01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-6.54</v>
      </c>
      <c r="U74" s="32" t="n">
        <v>38.19</v>
      </c>
      <c r="V74" s="32" t="n">
        <v>47.87</v>
      </c>
      <c r="W74" s="32" t="n">
        <v>19.02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GRINDWELL</t>
        </is>
      </c>
      <c r="D75" s="31" t="inlineStr">
        <is>
          <t>Grindwell Norton Limited</t>
        </is>
      </c>
      <c r="E75" s="31" t="inlineStr">
        <is>
          <t>industrials</t>
        </is>
      </c>
      <c r="F75" s="31" t="inlineStr">
        <is>
          <t>abrasives and grinding wheels</t>
        </is>
      </c>
      <c r="G75" s="31" t="inlineStr">
        <is>
          <t>largecap</t>
        </is>
      </c>
      <c r="H75" s="32" t="n">
        <v>21681.19</v>
      </c>
      <c r="I75" s="32" t="n">
        <v>1958.2</v>
      </c>
      <c r="J75" s="32" t="n">
        <v>1.92</v>
      </c>
      <c r="K75" s="32" t="n">
        <v>76304</v>
      </c>
      <c r="L75" s="31" t="n">
        <v>28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66.59999999999999</v>
      </c>
      <c r="P75" s="32" t="n">
        <v>25.06</v>
      </c>
      <c r="Q75" s="32" t="n">
        <v>1583.91</v>
      </c>
      <c r="R75" s="31" t="inlineStr">
        <is>
          <t>Near 52W High Breakout</t>
        </is>
      </c>
      <c r="S75" s="31" t="inlineStr">
        <is>
          <t>Nifty Infra</t>
        </is>
      </c>
      <c r="T75" s="32" t="n">
        <v>1.11</v>
      </c>
      <c r="U75" s="32" t="n">
        <v>7.38</v>
      </c>
      <c r="V75" s="32" t="n">
        <v>6.2</v>
      </c>
      <c r="W75" s="32" t="n">
        <v>7.12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ADANIPORTS</t>
        </is>
      </c>
      <c r="D76" s="31" t="inlineStr">
        <is>
          <t>Adani Ports And Special Economic Zone Limited</t>
        </is>
      </c>
      <c r="E76" s="31" t="inlineStr">
        <is>
          <t>transportation</t>
        </is>
      </c>
      <c r="F76" s="31" t="inlineStr">
        <is>
          <t>miscellaneous</t>
        </is>
      </c>
      <c r="G76" s="31" t="inlineStr">
        <is>
          <t>largecap</t>
        </is>
      </c>
      <c r="H76" s="32" t="n">
        <v>420288.22</v>
      </c>
      <c r="I76" s="32" t="n">
        <v>1824.2</v>
      </c>
      <c r="J76" s="32" t="n">
        <v>1.86</v>
      </c>
      <c r="K76" s="32" t="n">
        <v>1640762</v>
      </c>
      <c r="L76" s="31" t="n">
        <v>37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72.25</v>
      </c>
      <c r="P76" s="32" t="n">
        <v>25.7</v>
      </c>
      <c r="Q76" s="32" t="n">
        <v>1540.64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-6.54</v>
      </c>
      <c r="U76" s="32" t="n">
        <v>24.55</v>
      </c>
      <c r="V76" s="32" t="n">
        <v>33.28</v>
      </c>
      <c r="W76" s="32" t="n">
        <v>9.85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SANSERA</t>
        </is>
      </c>
      <c r="D77" s="31" t="inlineStr">
        <is>
          <t>Sansera Engineering Ltd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midcap</t>
        </is>
      </c>
      <c r="H77" s="32" t="n">
        <v>18357.41</v>
      </c>
      <c r="I77" s="32" t="n">
        <v>2945.1</v>
      </c>
      <c r="J77" s="32" t="n">
        <v>0.66</v>
      </c>
      <c r="K77" s="32" t="n">
        <v>178995</v>
      </c>
      <c r="L77" s="31" t="n">
        <v>79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74.73999999999999</v>
      </c>
      <c r="P77" s="32" t="n">
        <v>39.79</v>
      </c>
      <c r="Q77" s="32" t="n">
        <v>2273.52</v>
      </c>
      <c r="R77" s="31" t="inlineStr">
        <is>
          <t>Near 52W High Breakout</t>
        </is>
      </c>
      <c r="S77" s="31" t="inlineStr">
        <is>
          <t>Nifty Auto</t>
        </is>
      </c>
      <c r="T77" s="32" t="n">
        <v>10.59</v>
      </c>
      <c r="U77" s="32" t="n">
        <v>118.38</v>
      </c>
      <c r="V77" s="32" t="n">
        <v>97.47</v>
      </c>
      <c r="W77" s="32" t="n">
        <v>24.66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CARYSIL</t>
        </is>
      </c>
      <c r="D78" s="31" t="inlineStr">
        <is>
          <t>Carysil Ltd</t>
        </is>
      </c>
      <c r="E78" s="31" t="inlineStr">
        <is>
          <t>consumer discretionary</t>
        </is>
      </c>
      <c r="F78" s="31" t="inlineStr">
        <is>
          <t>domestic appliances</t>
        </is>
      </c>
      <c r="G78" s="31" t="inlineStr">
        <is>
          <t>smallcap</t>
        </is>
      </c>
      <c r="H78" s="32" t="n">
        <v>3134.38</v>
      </c>
      <c r="I78" s="32" t="n">
        <v>1102</v>
      </c>
      <c r="J78" s="32" t="n">
        <v>0.62</v>
      </c>
      <c r="K78" s="32" t="n">
        <v>82441</v>
      </c>
      <c r="L78" s="31" t="n">
        <v>42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67.15000000000001</v>
      </c>
      <c r="P78" s="32" t="n">
        <v>18.25</v>
      </c>
      <c r="Q78" s="32" t="n">
        <v>817.76</v>
      </c>
      <c r="R78" s="31" t="inlineStr">
        <is>
          <t>Near 52W High Breakout</t>
        </is>
      </c>
      <c r="S78" s="31" t="inlineStr">
        <is>
          <t>Nifty 50</t>
        </is>
      </c>
      <c r="T78" s="32" t="n">
        <v>-6.54</v>
      </c>
      <c r="U78" s="32" t="n">
        <v>26.81</v>
      </c>
      <c r="V78" s="32" t="n">
        <v>35.69</v>
      </c>
      <c r="W78" s="32" t="n">
        <v>11.05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SANGAMIND</t>
        </is>
      </c>
      <c r="D79" s="31" t="inlineStr">
        <is>
          <t>Sangam (india) Limited</t>
        </is>
      </c>
      <c r="E79" s="31" t="inlineStr">
        <is>
          <t>textiles</t>
        </is>
      </c>
      <c r="F79" s="31" t="inlineStr">
        <is>
          <t>textiles - spinning - synthetic / blended</t>
        </is>
      </c>
      <c r="G79" s="31" t="inlineStr">
        <is>
          <t>smallcap</t>
        </is>
      </c>
      <c r="H79" s="32" t="n">
        <v>2644.98</v>
      </c>
      <c r="I79" s="32" t="n">
        <v>526.4</v>
      </c>
      <c r="J79" s="32" t="n">
        <v>-0.18</v>
      </c>
      <c r="K79" s="32" t="n">
        <v>24596</v>
      </c>
      <c r="L79" s="31" t="n">
        <v>35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63.92</v>
      </c>
      <c r="P79" s="32" t="n">
        <v>26.44</v>
      </c>
      <c r="Q79" s="32" t="n">
        <v>403.66</v>
      </c>
      <c r="R79" s="31" t="inlineStr">
        <is>
          <t>Near 52W High Breakout</t>
        </is>
      </c>
      <c r="S79" s="31" t="inlineStr">
        <is>
          <t>Nifty 50</t>
        </is>
      </c>
      <c r="T79" s="32" t="n">
        <v>-6.54</v>
      </c>
      <c r="U79" s="32" t="n">
        <v>22.76</v>
      </c>
      <c r="V79" s="32" t="n">
        <v>31.36</v>
      </c>
      <c r="W79" s="32" t="n">
        <v>9.32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DIVGIITTS</t>
        </is>
      </c>
      <c r="D80" s="31" t="inlineStr">
        <is>
          <t>Divgi Torqtransfer Systems Ltd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smallcap</t>
        </is>
      </c>
      <c r="H80" s="32" t="n">
        <v>2387.61</v>
      </c>
      <c r="I80" s="32" t="n">
        <v>780.7</v>
      </c>
      <c r="J80" s="32" t="n">
        <v>-0.71</v>
      </c>
      <c r="K80" s="32" t="n">
        <v>37222</v>
      </c>
      <c r="L80" s="31" t="n">
        <v>29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58.28</v>
      </c>
      <c r="P80" s="32" t="n">
        <v>26.07</v>
      </c>
      <c r="Q80" s="32" t="n">
        <v>583.97</v>
      </c>
      <c r="R80" s="31" t="inlineStr">
        <is>
          <t>Near 52W High Breakout</t>
        </is>
      </c>
      <c r="S80" s="31" t="inlineStr">
        <is>
          <t>Nifty Auto</t>
        </is>
      </c>
      <c r="T80" s="32" t="n">
        <v>10.59</v>
      </c>
      <c r="U80" s="32" t="n">
        <v>29.92</v>
      </c>
      <c r="V80" s="32" t="n">
        <v>17.48</v>
      </c>
      <c r="W80" s="32" t="n">
        <v>7.54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PRECOT</t>
        </is>
      </c>
      <c r="D81" s="31" t="inlineStr">
        <is>
          <t>Precot Meridian Limited</t>
        </is>
      </c>
      <c r="E81" s="31" t="inlineStr">
        <is>
          <t>textiles</t>
        </is>
      </c>
      <c r="F81" s="31" t="inlineStr">
        <is>
          <t>textiles - cotton/blended</t>
        </is>
      </c>
      <c r="G81" s="31" t="inlineStr">
        <is>
          <t>smallcap</t>
        </is>
      </c>
      <c r="H81" s="32" t="n">
        <v>909.9</v>
      </c>
      <c r="I81" s="32" t="n">
        <v>758.25</v>
      </c>
      <c r="J81" s="32" t="n">
        <v>-0.97</v>
      </c>
      <c r="K81" s="32" t="n">
        <v>3619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70.84999999999999</v>
      </c>
      <c r="P81" s="32" t="n">
        <v>37.46</v>
      </c>
      <c r="Q81" s="32" t="n">
        <v>577.22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-6.54</v>
      </c>
      <c r="U81" s="32" t="n">
        <v>37.04</v>
      </c>
      <c r="V81" s="32" t="n">
        <v>46.63</v>
      </c>
      <c r="W81" s="32" t="n">
        <v>25.02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WELCORP</t>
        </is>
      </c>
      <c r="D82" s="31" t="inlineStr">
        <is>
          <t>Welspun Corp Limited</t>
        </is>
      </c>
      <c r="E82" s="31" t="inlineStr">
        <is>
          <t>industrials</t>
        </is>
      </c>
      <c r="F82" s="31" t="inlineStr">
        <is>
          <t>steel - large</t>
        </is>
      </c>
      <c r="G82" s="31" t="inlineStr">
        <is>
          <t>largecap</t>
        </is>
      </c>
      <c r="H82" s="32" t="n">
        <v>36635.24</v>
      </c>
      <c r="I82" s="32" t="n">
        <v>1388.8</v>
      </c>
      <c r="J82" s="32" t="n">
        <v>-0.99</v>
      </c>
      <c r="K82" s="32" t="n">
        <v>498958</v>
      </c>
      <c r="L82" s="31" t="n">
        <v>81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81.72</v>
      </c>
      <c r="P82" s="32" t="n">
        <v>46.39</v>
      </c>
      <c r="Q82" s="32" t="n">
        <v>1130.58</v>
      </c>
      <c r="R82" s="31" t="inlineStr">
        <is>
          <t>Near 52W High Breakout</t>
        </is>
      </c>
      <c r="S82" s="31" t="inlineStr">
        <is>
          <t>Nifty Metal</t>
        </is>
      </c>
      <c r="T82" s="32" t="n">
        <v>40.56</v>
      </c>
      <c r="U82" s="32" t="n">
        <v>44.5</v>
      </c>
      <c r="V82" s="32" t="n">
        <v>2.8</v>
      </c>
      <c r="W82" s="32" t="n">
        <v>25.38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WHEELS</t>
        </is>
      </c>
      <c r="D83" s="31" t="inlineStr">
        <is>
          <t>Wheels India Limited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smallcap</t>
        </is>
      </c>
      <c r="H83" s="32" t="n">
        <v>3634.9</v>
      </c>
      <c r="I83" s="32" t="n">
        <v>1487.7</v>
      </c>
      <c r="J83" s="32" t="n">
        <v>-2.68</v>
      </c>
      <c r="K83" s="32" t="n">
        <v>180561</v>
      </c>
      <c r="L83" s="31" t="n">
        <v>87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69.42</v>
      </c>
      <c r="P83" s="32" t="n">
        <v>46.61</v>
      </c>
      <c r="Q83" s="32" t="n">
        <v>1300.75</v>
      </c>
      <c r="R83" s="31" t="inlineStr">
        <is>
          <t>Earnings / Momentum Support</t>
        </is>
      </c>
      <c r="S83" s="31" t="inlineStr">
        <is>
          <t>Nifty Auto</t>
        </is>
      </c>
      <c r="T83" s="32" t="n">
        <v>10.59</v>
      </c>
      <c r="U83" s="32" t="n">
        <v>102.69</v>
      </c>
      <c r="V83" s="32" t="n">
        <v>83.28</v>
      </c>
      <c r="W83" s="32" t="n">
        <v>31.44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IF(B84=0,"",RANK(B84,$B$2:$B$306,0))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SKIPPER</t>
        </is>
      </c>
      <c r="D84" s="31" t="inlineStr">
        <is>
          <t>Skipper Limited</t>
        </is>
      </c>
      <c r="E84" s="31" t="inlineStr">
        <is>
          <t>industrials</t>
        </is>
      </c>
      <c r="F84" s="31" t="inlineStr">
        <is>
          <t>engineering</t>
        </is>
      </c>
      <c r="G84" s="31" t="inlineStr">
        <is>
          <t>midcap</t>
        </is>
      </c>
      <c r="H84" s="32" t="n">
        <v>6284.24</v>
      </c>
      <c r="I84" s="32" t="n">
        <v>556.6</v>
      </c>
      <c r="J84" s="32" t="n">
        <v>-3.14</v>
      </c>
      <c r="K84" s="32" t="n">
        <v>1219133</v>
      </c>
      <c r="L84" s="31" t="n">
        <v>68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70.95</v>
      </c>
      <c r="P84" s="32" t="n">
        <v>32.76</v>
      </c>
      <c r="Q84" s="32" t="n">
        <v>414.08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-6.54</v>
      </c>
      <c r="U84" s="32" t="n">
        <v>14.37</v>
      </c>
      <c r="V84" s="32" t="n">
        <v>22.38</v>
      </c>
      <c r="W84" s="32" t="n">
        <v>18.9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VERANDA</t>
        </is>
      </c>
      <c r="D85" s="31" t="inlineStr">
        <is>
          <t>Veranda Learning Solutions Ltd</t>
        </is>
      </c>
      <c r="E85" s="31" t="inlineStr">
        <is>
          <t>services</t>
        </is>
      </c>
      <c r="F85" s="31" t="inlineStr">
        <is>
          <t>miscellaneous</t>
        </is>
      </c>
      <c r="G85" s="31" t="inlineStr">
        <is>
          <t>smallcap</t>
        </is>
      </c>
      <c r="H85" s="32" t="n">
        <v>2209.31</v>
      </c>
      <c r="I85" s="32" t="n">
        <v>229.73</v>
      </c>
      <c r="J85" s="32" t="n">
        <v>-3.29</v>
      </c>
      <c r="K85" s="32" t="n">
        <v>242097</v>
      </c>
      <c r="L85" s="31" t="n">
        <v>50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61.44</v>
      </c>
      <c r="P85" s="32" t="n">
        <v>31.62</v>
      </c>
      <c r="Q85" s="32" t="n">
        <v>170.78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-6.54</v>
      </c>
      <c r="U85" s="32" t="n">
        <v>16.01</v>
      </c>
      <c r="V85" s="32" t="n">
        <v>24.14</v>
      </c>
      <c r="W85" s="32" t="n">
        <v>13.13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PANACEABIO</t>
        </is>
      </c>
      <c r="D86" s="31" t="inlineStr">
        <is>
          <t>Panacea Biotec Limited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smallcap</t>
        </is>
      </c>
      <c r="H86" s="32" t="n">
        <v>3308.77</v>
      </c>
      <c r="I86" s="32" t="n">
        <v>540.2</v>
      </c>
      <c r="J86" s="32" t="n">
        <v>3.82</v>
      </c>
      <c r="K86" s="32" t="n">
        <v>8876574</v>
      </c>
      <c r="L86" s="31" t="n">
        <v>73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76.41</v>
      </c>
      <c r="P86" s="32" t="n">
        <v>20.61</v>
      </c>
      <c r="Q86" s="32" t="n">
        <v>387.03</v>
      </c>
      <c r="R86" s="31" t="inlineStr">
        <is>
          <t>Volume Spike &amp; Near 52W High Breakout</t>
        </is>
      </c>
      <c r="S86" s="31" t="inlineStr">
        <is>
          <t>Nifty Pharma</t>
        </is>
      </c>
      <c r="T86" s="32" t="n">
        <v>11.82</v>
      </c>
      <c r="U86" s="32" t="n">
        <v>20.72</v>
      </c>
      <c r="V86" s="32" t="n">
        <v>7.95</v>
      </c>
      <c r="W86" s="32" t="n">
        <v>21.15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IF(B87=0,"",RANK(B87,$B$2:$B$306,0))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SANSTAR</t>
        </is>
      </c>
      <c r="D87" s="31" t="inlineStr">
        <is>
          <t>Sanstar Ltd</t>
        </is>
      </c>
      <c r="E87" s="31" t="inlineStr">
        <is>
          <t>fmcg</t>
        </is>
      </c>
      <c r="F87" s="31" t="inlineStr">
        <is>
          <t>miscellaneous</t>
        </is>
      </c>
      <c r="G87" s="31" t="inlineStr">
        <is>
          <t>smallcap</t>
        </is>
      </c>
      <c r="H87" s="32" t="n">
        <v>2149.75</v>
      </c>
      <c r="I87" s="32" t="n">
        <v>117.96</v>
      </c>
      <c r="J87" s="32" t="n">
        <v>2.79</v>
      </c>
      <c r="K87" s="32" t="n">
        <v>1062832</v>
      </c>
      <c r="L87" s="31" t="n">
        <v>55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75.23</v>
      </c>
      <c r="P87" s="32" t="n">
        <v>26.66</v>
      </c>
      <c r="Q87" s="32" t="n">
        <v>92.61</v>
      </c>
      <c r="R87" s="31" t="inlineStr">
        <is>
          <t>Near 52W High Breakout</t>
        </is>
      </c>
      <c r="S87" s="31" t="inlineStr">
        <is>
          <t>Nifty FMCG</t>
        </is>
      </c>
      <c r="T87" s="32" t="n">
        <v>-13.44</v>
      </c>
      <c r="U87" s="32" t="n">
        <v>31.81</v>
      </c>
      <c r="V87" s="32" t="n">
        <v>52.28</v>
      </c>
      <c r="W87" s="32" t="n">
        <v>14.7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IF(B88=0,"",RANK(B88,$B$2:$B$306,0))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SKMEGGPROD</t>
        </is>
      </c>
      <c r="D88" s="31" t="inlineStr">
        <is>
          <t>Skm Egg Products Export (india) Limited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smallcap</t>
        </is>
      </c>
      <c r="H88" s="32" t="n">
        <v>1294.59</v>
      </c>
      <c r="I88" s="32" t="n">
        <v>245.84</v>
      </c>
      <c r="J88" s="32" t="n">
        <v>2.73</v>
      </c>
      <c r="K88" s="32" t="n">
        <v>1042696</v>
      </c>
      <c r="L88" s="31" t="n">
        <v>89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71.45</v>
      </c>
      <c r="P88" s="32" t="n">
        <v>15.93</v>
      </c>
      <c r="Q88" s="32" t="n">
        <v>170.89</v>
      </c>
      <c r="R88" s="31" t="inlineStr">
        <is>
          <t>Volume Spike &amp; Near 52W High Breakout</t>
        </is>
      </c>
      <c r="S88" s="31" t="inlineStr">
        <is>
          <t>Nifty FMCG</t>
        </is>
      </c>
      <c r="T88" s="32" t="n">
        <v>-13.44</v>
      </c>
      <c r="U88" s="32" t="n">
        <v>118.96</v>
      </c>
      <c r="V88" s="32" t="n">
        <v>152.96</v>
      </c>
      <c r="W88" s="32" t="n">
        <v>33.38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Less than 50%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IF(B89=0,"",RANK(B89,$B$2:$B$306,0))</f>
        <v/>
      </c>
      <c r="B89" s="32">
        <f>SUM(N89,Y89,AA89,AC89,AE89,AG89,AI89,AK89,AM89,AO89,AQ89,AS89,AU89,AW89,AY89,BA89,BC89,BE89,BG89,BI89,BK89,BM89,BO89,BQ89,BS89,BU89,BW89,BY89,CA89,CC89,CE89)</f>
        <v/>
      </c>
      <c r="C89" s="33" t="inlineStr">
        <is>
          <t>KOPRAN</t>
        </is>
      </c>
      <c r="D89" s="33" t="inlineStr">
        <is>
          <t>Kopran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smallcap</t>
        </is>
      </c>
      <c r="H89" s="32" t="n">
        <v>912.98</v>
      </c>
      <c r="I89" s="32" t="n">
        <v>189.08</v>
      </c>
      <c r="J89" s="32" t="n">
        <v>2.72</v>
      </c>
      <c r="K89" s="32" t="n">
        <v>174976</v>
      </c>
      <c r="L89" s="31" t="n">
        <v>52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62.83</v>
      </c>
      <c r="P89" s="32" t="n">
        <v>25.16</v>
      </c>
      <c r="Q89" s="32" t="n">
        <v>148.28</v>
      </c>
      <c r="R89" s="31" t="inlineStr">
        <is>
          <t>Earnings / Momentum Support</t>
        </is>
      </c>
      <c r="S89" s="31" t="inlineStr">
        <is>
          <t>Nifty Pharma</t>
        </is>
      </c>
      <c r="T89" s="32" t="n">
        <v>11.82</v>
      </c>
      <c r="U89" s="32" t="n">
        <v>-0.39</v>
      </c>
      <c r="V89" s="32" t="n">
        <v>-10.92</v>
      </c>
      <c r="W89" s="32" t="n">
        <v>13.62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IF(B90=0,"",RANK(B90,$B$2:$B$306,0))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SAILIFE</t>
        </is>
      </c>
      <c r="D90" s="31" t="inlineStr">
        <is>
          <t>Sai Life Sciences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largecap</t>
        </is>
      </c>
      <c r="H90" s="32" t="n">
        <v>25125.49</v>
      </c>
      <c r="I90" s="32" t="n">
        <v>1186.4</v>
      </c>
      <c r="J90" s="32" t="n">
        <v>2.34</v>
      </c>
      <c r="K90" s="32" t="n">
        <v>749906</v>
      </c>
      <c r="L90" s="31" t="n">
        <v>50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70.11</v>
      </c>
      <c r="P90" s="32" t="n">
        <v>30.3</v>
      </c>
      <c r="Q90" s="32" t="n">
        <v>938.2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11.82</v>
      </c>
      <c r="U90" s="32" t="n">
        <v>60.93</v>
      </c>
      <c r="V90" s="32" t="n">
        <v>43.92</v>
      </c>
      <c r="W90" s="32" t="n">
        <v>13.14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IPCALAB</t>
        </is>
      </c>
      <c r="D91" s="31" t="inlineStr">
        <is>
          <t>Ipca Laboratories Limited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largecap</t>
        </is>
      </c>
      <c r="H91" s="32" t="n">
        <v>41655.7</v>
      </c>
      <c r="I91" s="32" t="n">
        <v>1641.9</v>
      </c>
      <c r="J91" s="32" t="n">
        <v>1.73</v>
      </c>
      <c r="K91" s="32" t="n">
        <v>242278</v>
      </c>
      <c r="L91" s="31" t="n">
        <v>21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59.88</v>
      </c>
      <c r="P91" s="32" t="n">
        <v>33.72</v>
      </c>
      <c r="Q91" s="32" t="n">
        <v>1307.39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11.82</v>
      </c>
      <c r="U91" s="32" t="n">
        <v>19.93</v>
      </c>
      <c r="V91" s="32" t="n">
        <v>7.25</v>
      </c>
      <c r="W91" s="32" t="n">
        <v>5.8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JBCHEPHARM</t>
        </is>
      </c>
      <c r="D92" s="31" t="inlineStr">
        <is>
          <t>Jb Chemicals &amp; Pharmaceuticals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largecap</t>
        </is>
      </c>
      <c r="H92" s="32" t="n">
        <v>34830</v>
      </c>
      <c r="I92" s="32" t="n">
        <v>2169.3</v>
      </c>
      <c r="J92" s="32" t="n">
        <v>1.67</v>
      </c>
      <c r="K92" s="32" t="n">
        <v>188786</v>
      </c>
      <c r="L92" s="31" t="n">
        <v>25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67.33</v>
      </c>
      <c r="P92" s="32" t="n">
        <v>40.2</v>
      </c>
      <c r="Q92" s="32" t="n">
        <v>1863.36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11.82</v>
      </c>
      <c r="U92" s="32" t="n">
        <v>29.33</v>
      </c>
      <c r="V92" s="32" t="n">
        <v>15.65</v>
      </c>
      <c r="W92" s="32" t="n">
        <v>6.6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IF(B93=0,"",RANK(B93,$B$2:$B$306,0))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VBL</t>
        </is>
      </c>
      <c r="D93" s="31" t="inlineStr">
        <is>
          <t>Varun Beverages Limited</t>
        </is>
      </c>
      <c r="E93" s="31" t="inlineStr">
        <is>
          <t>fmcg</t>
        </is>
      </c>
      <c r="F93" s="31" t="inlineStr">
        <is>
          <t>food - processing - indian</t>
        </is>
      </c>
      <c r="G93" s="31" t="inlineStr">
        <is>
          <t>largecap</t>
        </is>
      </c>
      <c r="H93" s="32" t="n">
        <v>176985</v>
      </c>
      <c r="I93" s="32" t="n">
        <v>523.3</v>
      </c>
      <c r="J93" s="32" t="n">
        <v>-0.97</v>
      </c>
      <c r="K93" s="32" t="n">
        <v>3217921</v>
      </c>
      <c r="L93" s="31" t="n">
        <v>20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61.66</v>
      </c>
      <c r="P93" s="32" t="n">
        <v>29.43</v>
      </c>
      <c r="Q93" s="32" t="n">
        <v>446.79</v>
      </c>
      <c r="R93" s="31" t="inlineStr">
        <is>
          <t>Near 52W High Breakout</t>
        </is>
      </c>
      <c r="S93" s="31" t="inlineStr">
        <is>
          <t>Nifty FMCG</t>
        </is>
      </c>
      <c r="T93" s="32" t="n">
        <v>-13.44</v>
      </c>
      <c r="U93" s="32" t="n">
        <v>10.05</v>
      </c>
      <c r="V93" s="32" t="n">
        <v>27.14</v>
      </c>
      <c r="W93" s="32" t="n">
        <v>5.67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Duopoly That Cooperate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Fully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only for next 1 to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IF(B94=0,"",RANK(B94,$B$2:$B$306,0))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MARKSANS</t>
        </is>
      </c>
      <c r="D94" s="33" t="inlineStr">
        <is>
          <t>Marksans Pharma Limited</t>
        </is>
      </c>
      <c r="E94" s="31" t="inlineStr">
        <is>
          <t>healthcare</t>
        </is>
      </c>
      <c r="F94" s="31" t="inlineStr">
        <is>
          <t>pharmaceuticals - indian - formulations</t>
        </is>
      </c>
      <c r="G94" s="31" t="inlineStr">
        <is>
          <t>midcap</t>
        </is>
      </c>
      <c r="H94" s="32" t="n">
        <v>10567.33</v>
      </c>
      <c r="I94" s="32" t="n">
        <v>233.19</v>
      </c>
      <c r="J94" s="32" t="n">
        <v>-2.49</v>
      </c>
      <c r="K94" s="32" t="n">
        <v>1734226</v>
      </c>
      <c r="L94" s="31" t="n">
        <v>33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67.25</v>
      </c>
      <c r="P94" s="32" t="n">
        <v>25.72</v>
      </c>
      <c r="Q94" s="32" t="n">
        <v>190.21</v>
      </c>
      <c r="R94" s="31" t="inlineStr">
        <is>
          <t>Earnings / Momentum Support</t>
        </is>
      </c>
      <c r="S94" s="31" t="inlineStr">
        <is>
          <t>Nifty Pharma</t>
        </is>
      </c>
      <c r="T94" s="32" t="n">
        <v>11.82</v>
      </c>
      <c r="U94" s="32" t="n">
        <v>-7.12</v>
      </c>
      <c r="V94" s="32" t="n">
        <v>-16.94</v>
      </c>
      <c r="W94" s="32" t="n">
        <v>8.369999999999999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IF(B95=0,"",RANK(B95,$B$2:$B$306,0))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SPECTRUM</t>
        </is>
      </c>
      <c r="D95" s="31" t="inlineStr">
        <is>
          <t>Spectrum Electrical Industries Ltd</t>
        </is>
      </c>
      <c r="E95" s="31" t="inlineStr">
        <is>
          <t>industrials</t>
        </is>
      </c>
      <c r="F95" s="31" t="inlineStr">
        <is>
          <t>electric equipment</t>
        </is>
      </c>
      <c r="G95" s="31" t="inlineStr">
        <is>
          <t>smallcap</t>
        </is>
      </c>
      <c r="H95" s="32" t="n">
        <v>2779.94</v>
      </c>
      <c r="I95" s="32" t="n">
        <v>1769.1</v>
      </c>
      <c r="J95" s="32" t="n">
        <v>6.27</v>
      </c>
      <c r="K95" s="32" t="n">
        <v>86017</v>
      </c>
      <c r="L95" s="31" t="n">
        <v>31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66.55</v>
      </c>
      <c r="P95" s="32" t="n">
        <v>23.69</v>
      </c>
      <c r="Q95" s="32" t="n">
        <v>1223.18</v>
      </c>
      <c r="R95" s="31" t="inlineStr">
        <is>
          <t>Volume Spike &amp; Near 52W High Breakout</t>
        </is>
      </c>
      <c r="S95" s="31" t="inlineStr">
        <is>
          <t>Nifty 50</t>
        </is>
      </c>
      <c r="T95" s="32" t="n">
        <v>-6.54</v>
      </c>
      <c r="U95" s="32" t="n">
        <v>7.74</v>
      </c>
      <c r="V95" s="32" t="n">
        <v>15.29</v>
      </c>
      <c r="W95" s="32" t="n">
        <v>8.1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IF(B96=0,"",RANK(B96,$B$2:$B$306,0))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GREENPLY</t>
        </is>
      </c>
      <c r="D96" s="33" t="inlineStr">
        <is>
          <t>Greenply Industries Limited</t>
        </is>
      </c>
      <c r="E96" s="31" t="inlineStr">
        <is>
          <t>building materials</t>
        </is>
      </c>
      <c r="F96" s="31" t="inlineStr">
        <is>
          <t>miscellaneous</t>
        </is>
      </c>
      <c r="G96" s="31" t="inlineStr">
        <is>
          <t>smallcap</t>
        </is>
      </c>
      <c r="H96" s="32" t="n">
        <v>3644.52</v>
      </c>
      <c r="I96" s="32" t="n">
        <v>291.79</v>
      </c>
      <c r="J96" s="32" t="n">
        <v>5.91</v>
      </c>
      <c r="K96" s="32" t="n">
        <v>1161053</v>
      </c>
      <c r="L96" s="31" t="n">
        <v>44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62.53</v>
      </c>
      <c r="P96" s="32" t="n">
        <v>29.39</v>
      </c>
      <c r="Q96" s="32" t="n">
        <v>212.85</v>
      </c>
      <c r="R96" s="31" t="inlineStr">
        <is>
          <t>Earnings / Momentum Support</t>
        </is>
      </c>
      <c r="S96" s="31" t="inlineStr">
        <is>
          <t>Nifty Infra</t>
        </is>
      </c>
      <c r="T96" s="32" t="n">
        <v>1.11</v>
      </c>
      <c r="U96" s="32" t="n">
        <v>-4.96</v>
      </c>
      <c r="V96" s="32" t="n">
        <v>-6.01</v>
      </c>
      <c r="W96" s="32" t="n">
        <v>11.61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INOXINDIA</t>
        </is>
      </c>
      <c r="D97" s="31" t="inlineStr">
        <is>
          <t>Inox India Ltd</t>
        </is>
      </c>
      <c r="E97" s="31" t="inlineStr">
        <is>
          <t>industrials</t>
        </is>
      </c>
      <c r="F97" s="31" t="inlineStr">
        <is>
          <t>packaging</t>
        </is>
      </c>
      <c r="G97" s="31" t="inlineStr">
        <is>
          <t>midcap</t>
        </is>
      </c>
      <c r="H97" s="32" t="n">
        <v>14329.74</v>
      </c>
      <c r="I97" s="32" t="n">
        <v>1578.8</v>
      </c>
      <c r="J97" s="32" t="n">
        <v>4.9</v>
      </c>
      <c r="K97" s="32" t="n">
        <v>454358</v>
      </c>
      <c r="L97" s="31" t="n">
        <v>50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73.95999999999999</v>
      </c>
      <c r="P97" s="32" t="n">
        <v>49.88</v>
      </c>
      <c r="Q97" s="32" t="n">
        <v>1237.66</v>
      </c>
      <c r="R97" s="31" t="inlineStr">
        <is>
          <t>Near 52W High Breakout</t>
        </is>
      </c>
      <c r="S97" s="31" t="inlineStr">
        <is>
          <t>Nifty 50</t>
        </is>
      </c>
      <c r="T97" s="32" t="n">
        <v>-6.54</v>
      </c>
      <c r="U97" s="32" t="n">
        <v>29.6</v>
      </c>
      <c r="V97" s="32" t="n">
        <v>38.68</v>
      </c>
      <c r="W97" s="32" t="n">
        <v>12.9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ASTRAMICRO</t>
        </is>
      </c>
      <c r="D98" s="31" t="inlineStr">
        <is>
          <t>Astra Microwave Products Limited</t>
        </is>
      </c>
      <c r="E98" s="31" t="inlineStr">
        <is>
          <t>aerospace &amp; defence</t>
        </is>
      </c>
      <c r="F98" s="31" t="inlineStr">
        <is>
          <t>telecommunications - equipment</t>
        </is>
      </c>
      <c r="G98" s="31" t="inlineStr">
        <is>
          <t>midcap</t>
        </is>
      </c>
      <c r="H98" s="32" t="n">
        <v>13477.44</v>
      </c>
      <c r="I98" s="32" t="n">
        <v>1419.5</v>
      </c>
      <c r="J98" s="32" t="n">
        <v>3.03</v>
      </c>
      <c r="K98" s="32" t="n">
        <v>2195447</v>
      </c>
      <c r="L98" s="31" t="n">
        <v>51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75.45</v>
      </c>
      <c r="P98" s="32" t="n">
        <v>26.86</v>
      </c>
      <c r="Q98" s="32" t="n">
        <v>1103.55</v>
      </c>
      <c r="R98" s="31" t="inlineStr">
        <is>
          <t>Volume Spike &amp; Near 52W High Breakout</t>
        </is>
      </c>
      <c r="S98" s="31" t="inlineStr">
        <is>
          <t>Nifty 50</t>
        </is>
      </c>
      <c r="T98" s="32" t="n">
        <v>-6.54</v>
      </c>
      <c r="U98" s="32" t="n">
        <v>25.66</v>
      </c>
      <c r="V98" s="32" t="n">
        <v>34.46</v>
      </c>
      <c r="W98" s="32" t="n">
        <v>13.42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Oligopoly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ADOR</t>
        </is>
      </c>
      <c r="D99" s="31" t="inlineStr">
        <is>
          <t>Ador Welding Ltd</t>
        </is>
      </c>
      <c r="E99" s="31" t="inlineStr">
        <is>
          <t>industrials</t>
        </is>
      </c>
      <c r="F99" s="31" t="inlineStr">
        <is>
          <t>electrodes - welding equipment</t>
        </is>
      </c>
      <c r="G99" s="31" t="inlineStr">
        <is>
          <t>smallcap</t>
        </is>
      </c>
      <c r="H99" s="32" t="n">
        <v>1970.52</v>
      </c>
      <c r="I99" s="32" t="n">
        <v>1132.3</v>
      </c>
      <c r="J99" s="32" t="n">
        <v>1.11</v>
      </c>
      <c r="K99" s="32" t="n">
        <v>10906</v>
      </c>
      <c r="L99" s="31" t="n">
        <v>21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61.06</v>
      </c>
      <c r="P99" s="32" t="n">
        <v>18.66</v>
      </c>
      <c r="Q99" s="32" t="n">
        <v>869.17</v>
      </c>
      <c r="R99" s="31" t="inlineStr">
        <is>
          <t>Near 52W High Breakout</t>
        </is>
      </c>
      <c r="S99" s="31" t="inlineStr">
        <is>
          <t>Nifty Infra</t>
        </is>
      </c>
      <c r="T99" s="32" t="n">
        <v>1.11</v>
      </c>
      <c r="U99" s="32" t="n">
        <v>16.4</v>
      </c>
      <c r="V99" s="32" t="n">
        <v>15.12</v>
      </c>
      <c r="W99" s="32" t="n">
        <v>5.69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0 to 20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DATAPATTNS</t>
        </is>
      </c>
      <c r="D100" s="31" t="inlineStr">
        <is>
          <t>Data Patterns (India) Ltd</t>
        </is>
      </c>
      <c r="E100" s="31" t="inlineStr">
        <is>
          <t>aerospace &amp; defence</t>
        </is>
      </c>
      <c r="F100" s="31" t="inlineStr">
        <is>
          <t>electronics - components</t>
        </is>
      </c>
      <c r="G100" s="31" t="inlineStr">
        <is>
          <t>largecap</t>
        </is>
      </c>
      <c r="H100" s="32" t="n">
        <v>23583.81</v>
      </c>
      <c r="I100" s="32" t="n">
        <v>4212.6</v>
      </c>
      <c r="J100" s="32" t="n">
        <v>0.48</v>
      </c>
      <c r="K100" s="32" t="n">
        <v>1177096</v>
      </c>
      <c r="L100" s="31" t="n">
        <v>46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69.93000000000001</v>
      </c>
      <c r="P100" s="32" t="n">
        <v>29.22</v>
      </c>
      <c r="Q100" s="32" t="n">
        <v>3025.08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-6.54</v>
      </c>
      <c r="U100" s="32" t="n">
        <v>37.89</v>
      </c>
      <c r="V100" s="32" t="n">
        <v>47.54</v>
      </c>
      <c r="W100" s="32" t="n">
        <v>12.06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3" t="inlineStr">
        <is>
          <t>NAHARINDUS</t>
        </is>
      </c>
      <c r="D101" s="33" t="inlineStr">
        <is>
          <t>Nahar Industrial Enterprises Limited</t>
        </is>
      </c>
      <c r="E101" s="31" t="inlineStr">
        <is>
          <t>textiles</t>
        </is>
      </c>
      <c r="F101" s="31" t="inlineStr">
        <is>
          <t>textiles - cotton/blended</t>
        </is>
      </c>
      <c r="G101" s="31" t="inlineStr">
        <is>
          <t>smallcap</t>
        </is>
      </c>
      <c r="H101" s="32" t="n">
        <v>518.86</v>
      </c>
      <c r="I101" s="32" t="n">
        <v>120.09</v>
      </c>
      <c r="J101" s="32" t="n">
        <v>0.42</v>
      </c>
      <c r="K101" s="32" t="n">
        <v>22554</v>
      </c>
      <c r="L101" s="31" t="n">
        <v>18</v>
      </c>
      <c r="M101" s="31" t="inlineStr">
        <is>
          <t>Underperforming</t>
        </is>
      </c>
      <c r="N101" s="32">
        <f>IF(M101="Underperforming",-5,IF(L101&gt;=95,15,IF(L101&gt;=90,10,IF(L101&gt;=80,5,0))))</f>
        <v/>
      </c>
      <c r="O101" s="32" t="n">
        <v>60.68</v>
      </c>
      <c r="P101" s="32" t="n">
        <v>17.95</v>
      </c>
      <c r="Q101" s="32" t="n">
        <v>90.58</v>
      </c>
      <c r="R101" s="31" t="inlineStr">
        <is>
          <t>Volume Spike / Accumulation</t>
        </is>
      </c>
      <c r="S101" s="31" t="inlineStr">
        <is>
          <t>Nifty 50</t>
        </is>
      </c>
      <c r="T101" s="32" t="n">
        <v>-6.54</v>
      </c>
      <c r="U101" s="32" t="n">
        <v>-10.38</v>
      </c>
      <c r="V101" s="32" t="n">
        <v>-4.1</v>
      </c>
      <c r="W101" s="32" t="n">
        <v>5.12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0 to 20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KPIL</t>
        </is>
      </c>
      <c r="D102" s="31" t="inlineStr">
        <is>
          <t>Kalpataru Projects International Ltd</t>
        </is>
      </c>
      <c r="E102" s="31" t="inlineStr">
        <is>
          <t>realty</t>
        </is>
      </c>
      <c r="F102" s="31" t="inlineStr">
        <is>
          <t>transmisson line towers / equipment</t>
        </is>
      </c>
      <c r="G102" s="31" t="inlineStr">
        <is>
          <t>largecap</t>
        </is>
      </c>
      <c r="H102" s="32" t="n">
        <v>22034.78</v>
      </c>
      <c r="I102" s="32" t="n">
        <v>1290.3</v>
      </c>
      <c r="J102" s="32" t="n">
        <v>-0.07000000000000001</v>
      </c>
      <c r="K102" s="32" t="n">
        <v>193618</v>
      </c>
      <c r="L102" s="31" t="n">
        <v>20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60.09</v>
      </c>
      <c r="P102" s="32" t="n">
        <v>18.53</v>
      </c>
      <c r="Q102" s="32" t="n">
        <v>1054.36</v>
      </c>
      <c r="R102" s="31" t="inlineStr">
        <is>
          <t>Volume Spike &amp; Near 52W High Breakout</t>
        </is>
      </c>
      <c r="S102" s="31" t="inlineStr">
        <is>
          <t>Nifty Realty</t>
        </is>
      </c>
      <c r="T102" s="32" t="n">
        <v>-26.04</v>
      </c>
      <c r="U102" s="32" t="n">
        <v>13.1</v>
      </c>
      <c r="V102" s="32" t="n">
        <v>52.91</v>
      </c>
      <c r="W102" s="32" t="n">
        <v>5.58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0 to 20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Between 50% to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SOUTHWEST</t>
        </is>
      </c>
      <c r="D103" s="31" t="inlineStr">
        <is>
          <t>South West Pinnacle Exploration Ltd</t>
        </is>
      </c>
      <c r="E103" s="31" t="inlineStr">
        <is>
          <t>metals &amp; mining</t>
        </is>
      </c>
      <c r="F103" s="31" t="inlineStr">
        <is>
          <t>mining / minerals / metals</t>
        </is>
      </c>
      <c r="G103" s="31" t="inlineStr">
        <is>
          <t>smallcap</t>
        </is>
      </c>
      <c r="H103" s="32" t="n">
        <v>783.78</v>
      </c>
      <c r="I103" s="32" t="n">
        <v>262.75</v>
      </c>
      <c r="J103" s="32" t="n">
        <v>-0.57</v>
      </c>
      <c r="K103" s="32" t="n">
        <v>227707</v>
      </c>
      <c r="L103" s="31" t="n">
        <v>74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64.88</v>
      </c>
      <c r="P103" s="32" t="n">
        <v>46.03</v>
      </c>
      <c r="Q103" s="32" t="n">
        <v>174.7</v>
      </c>
      <c r="R103" s="31" t="inlineStr">
        <is>
          <t>Near 52W High Breakout</t>
        </is>
      </c>
      <c r="S103" s="31" t="inlineStr">
        <is>
          <t>Nifty Metal</t>
        </is>
      </c>
      <c r="T103" s="32" t="n">
        <v>40.56</v>
      </c>
      <c r="U103" s="32" t="n">
        <v>78.86</v>
      </c>
      <c r="V103" s="32" t="n">
        <v>27.25</v>
      </c>
      <c r="W103" s="32" t="n">
        <v>21.93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Cyclical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Volatile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CENTUM</t>
        </is>
      </c>
      <c r="D104" s="31" t="inlineStr">
        <is>
          <t>Centum Electronics Limited</t>
        </is>
      </c>
      <c r="E104" s="31" t="inlineStr">
        <is>
          <t>consumer discretionary</t>
        </is>
      </c>
      <c r="F104" s="31" t="inlineStr">
        <is>
          <t>electronics - components</t>
        </is>
      </c>
      <c r="G104" s="31" t="inlineStr">
        <is>
          <t>midcap</t>
        </is>
      </c>
      <c r="H104" s="32" t="n">
        <v>5100.23</v>
      </c>
      <c r="I104" s="32" t="n">
        <v>3459.9</v>
      </c>
      <c r="J104" s="32" t="n">
        <v>-0.65</v>
      </c>
      <c r="K104" s="32" t="n">
        <v>42803</v>
      </c>
      <c r="L104" s="31" t="n">
        <v>54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66.45999999999999</v>
      </c>
      <c r="P104" s="32" t="n">
        <v>56.24</v>
      </c>
      <c r="Q104" s="32" t="n">
        <v>2489.62</v>
      </c>
      <c r="R104" s="31" t="inlineStr">
        <is>
          <t>Near 52W High Breakout</t>
        </is>
      </c>
      <c r="S104" s="31" t="inlineStr">
        <is>
          <t>Nifty Infra</t>
        </is>
      </c>
      <c r="T104" s="32" t="n">
        <v>1.11</v>
      </c>
      <c r="U104" s="32" t="n">
        <v>47.26</v>
      </c>
      <c r="V104" s="32" t="n">
        <v>45.63</v>
      </c>
      <c r="W104" s="32" t="n">
        <v>14.45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3" t="inlineStr">
        <is>
          <t>EXIDEIND</t>
        </is>
      </c>
      <c r="D105" s="33" t="inlineStr">
        <is>
          <t>Exide Industries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largecap</t>
        </is>
      </c>
      <c r="H105" s="32" t="n">
        <v>33961.75</v>
      </c>
      <c r="I105" s="32" t="n">
        <v>399.55</v>
      </c>
      <c r="J105" s="32" t="n">
        <v>-0.95</v>
      </c>
      <c r="K105" s="32" t="n">
        <v>2825564</v>
      </c>
      <c r="L105" s="31" t="n">
        <v>25</v>
      </c>
      <c r="M105" s="31" t="inlineStr">
        <is>
          <t>Underperforming</t>
        </is>
      </c>
      <c r="N105" s="32">
        <f>IF(M105="Underperforming",-5,IF(L105&gt;=95,15,IF(L105&gt;=90,10,IF(L105&gt;=80,5,0))))</f>
        <v/>
      </c>
      <c r="O105" s="32" t="n">
        <v>65.56999999999999</v>
      </c>
      <c r="P105" s="32" t="n">
        <v>30.69</v>
      </c>
      <c r="Q105" s="32" t="n">
        <v>326.69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10.59</v>
      </c>
      <c r="U105" s="32" t="n">
        <v>2.12</v>
      </c>
      <c r="V105" s="32" t="n">
        <v>-7.65</v>
      </c>
      <c r="W105" s="32" t="n">
        <v>6.73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Between 12 to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TDPOWERSYS</t>
        </is>
      </c>
      <c r="D106" s="31" t="inlineStr">
        <is>
          <t>Td Power Systems Limited</t>
        </is>
      </c>
      <c r="E106" s="31" t="inlineStr">
        <is>
          <t>industrials</t>
        </is>
      </c>
      <c r="F106" s="31" t="inlineStr">
        <is>
          <t>electric equipment</t>
        </is>
      </c>
      <c r="G106" s="31" t="inlineStr">
        <is>
          <t>largecap</t>
        </is>
      </c>
      <c r="H106" s="32" t="n">
        <v>20507.88</v>
      </c>
      <c r="I106" s="32" t="n">
        <v>1312.8</v>
      </c>
      <c r="J106" s="32" t="n">
        <v>-0.96</v>
      </c>
      <c r="K106" s="32" t="n">
        <v>686757</v>
      </c>
      <c r="L106" s="31" t="n">
        <v>88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79.42</v>
      </c>
      <c r="P106" s="32" t="n">
        <v>49.13</v>
      </c>
      <c r="Q106" s="32" t="n">
        <v>992.5700000000001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-6.54</v>
      </c>
      <c r="U106" s="32" t="n">
        <v>164.63</v>
      </c>
      <c r="V106" s="32" t="n">
        <v>183.16</v>
      </c>
      <c r="W106" s="32" t="n">
        <v>32.5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FIEMIND</t>
        </is>
      </c>
      <c r="D107" s="31" t="inlineStr">
        <is>
          <t>Fiem Industries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midcap</t>
        </is>
      </c>
      <c r="H107" s="32" t="n">
        <v>6083</v>
      </c>
      <c r="I107" s="32" t="n">
        <v>2311.2</v>
      </c>
      <c r="J107" s="32" t="n">
        <v>-0.97</v>
      </c>
      <c r="K107" s="32" t="n">
        <v>95607</v>
      </c>
      <c r="L107" s="31" t="n">
        <v>26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58.87</v>
      </c>
      <c r="P107" s="32" t="n">
        <v>14.14</v>
      </c>
      <c r="Q107" s="32" t="n">
        <v>1834.14</v>
      </c>
      <c r="R107" s="31" t="inlineStr">
        <is>
          <t>Volume Spike &amp; Near 52W High Breakout</t>
        </is>
      </c>
      <c r="S107" s="31" t="inlineStr">
        <is>
          <t>Nifty Auto</t>
        </is>
      </c>
      <c r="T107" s="32" t="n">
        <v>10.59</v>
      </c>
      <c r="U107" s="32" t="n">
        <v>24.72</v>
      </c>
      <c r="V107" s="32" t="n">
        <v>12.78</v>
      </c>
      <c r="W107" s="32" t="n">
        <v>6.83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0 to 20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UNIVCABLES</t>
        </is>
      </c>
      <c r="D108" s="31" t="inlineStr">
        <is>
          <t>Universal Cables Limited</t>
        </is>
      </c>
      <c r="E108" s="31" t="inlineStr">
        <is>
          <t>industrials</t>
        </is>
      </c>
      <c r="F108" s="31" t="inlineStr">
        <is>
          <t>cables - power</t>
        </is>
      </c>
      <c r="G108" s="31" t="inlineStr">
        <is>
          <t>smallcap</t>
        </is>
      </c>
      <c r="H108" s="32" t="n">
        <v>4258.86</v>
      </c>
      <c r="I108" s="32" t="n">
        <v>1227.5</v>
      </c>
      <c r="J108" s="32" t="n">
        <v>-1.22</v>
      </c>
      <c r="K108" s="32" t="n">
        <v>278223</v>
      </c>
      <c r="L108" s="31" t="n">
        <v>91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69.86</v>
      </c>
      <c r="P108" s="32" t="n">
        <v>31.27</v>
      </c>
      <c r="Q108" s="32" t="n">
        <v>842.59</v>
      </c>
      <c r="R108" s="31" t="inlineStr">
        <is>
          <t>Volume Spike &amp; Near 52W High Breakout</t>
        </is>
      </c>
      <c r="S108" s="31" t="inlineStr">
        <is>
          <t>Nifty Energy</t>
        </is>
      </c>
      <c r="T108" s="32" t="n">
        <v>12.31</v>
      </c>
      <c r="U108" s="32" t="n">
        <v>101.64</v>
      </c>
      <c r="V108" s="32" t="n">
        <v>79.54000000000001</v>
      </c>
      <c r="W108" s="32" t="n">
        <v>36.24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USHAMART</t>
        </is>
      </c>
      <c r="D109" s="31" t="inlineStr">
        <is>
          <t>Usha Martin Limited</t>
        </is>
      </c>
      <c r="E109" s="31" t="inlineStr">
        <is>
          <t>metals &amp; mining</t>
        </is>
      </c>
      <c r="F109" s="31" t="inlineStr">
        <is>
          <t>steel - medium / small</t>
        </is>
      </c>
      <c r="G109" s="31" t="inlineStr">
        <is>
          <t>midcap</t>
        </is>
      </c>
      <c r="H109" s="32" t="n">
        <v>15636.31</v>
      </c>
      <c r="I109" s="32" t="n">
        <v>513.1</v>
      </c>
      <c r="J109" s="32" t="n">
        <v>-1.29</v>
      </c>
      <c r="K109" s="32" t="n">
        <v>550452</v>
      </c>
      <c r="L109" s="31" t="n">
        <v>61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72.78</v>
      </c>
      <c r="P109" s="32" t="n">
        <v>29.08</v>
      </c>
      <c r="Q109" s="32" t="n">
        <v>414.58</v>
      </c>
      <c r="R109" s="31" t="inlineStr">
        <is>
          <t>Near 52W High Breakout</t>
        </is>
      </c>
      <c r="S109" s="31" t="inlineStr">
        <is>
          <t>Nifty Metal</t>
        </is>
      </c>
      <c r="T109" s="32" t="n">
        <v>40.56</v>
      </c>
      <c r="U109" s="32" t="n">
        <v>68.94</v>
      </c>
      <c r="V109" s="32" t="n">
        <v>20.19</v>
      </c>
      <c r="W109" s="32" t="n">
        <v>16.15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Cyclical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Volatile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MIDHANI</t>
        </is>
      </c>
      <c r="D110" s="33" t="inlineStr">
        <is>
          <t>Mishra Dhatu Nigam Ltd</t>
        </is>
      </c>
      <c r="E110" s="31" t="inlineStr">
        <is>
          <t>aerospace &amp; defence</t>
        </is>
      </c>
      <c r="F110" s="31" t="inlineStr">
        <is>
          <t>steel - medium / small</t>
        </is>
      </c>
      <c r="G110" s="31" t="inlineStr">
        <is>
          <t>midcap</t>
        </is>
      </c>
      <c r="H110" s="32" t="n">
        <v>8159.59</v>
      </c>
      <c r="I110" s="32" t="n">
        <v>435.55</v>
      </c>
      <c r="J110" s="32" t="n">
        <v>-1.74</v>
      </c>
      <c r="K110" s="32" t="n">
        <v>1581227</v>
      </c>
      <c r="L110" s="31" t="n">
        <v>24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66.20999999999999</v>
      </c>
      <c r="P110" s="32" t="n">
        <v>22.59</v>
      </c>
      <c r="Q110" s="32" t="n">
        <v>324.29</v>
      </c>
      <c r="R110" s="31" t="inlineStr">
        <is>
          <t>Volume Spike &amp; Near 52W High Breakout</t>
        </is>
      </c>
      <c r="S110" s="31" t="inlineStr">
        <is>
          <t>Nifty Metal</t>
        </is>
      </c>
      <c r="T110" s="32" t="n">
        <v>40.56</v>
      </c>
      <c r="U110" s="32" t="n">
        <v>2.69</v>
      </c>
      <c r="V110" s="32" t="n">
        <v>-26.94</v>
      </c>
      <c r="W110" s="32" t="n">
        <v>6.41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Between 50% to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NMDC</t>
        </is>
      </c>
      <c r="D111" s="33" t="inlineStr">
        <is>
          <t>Nmdc Limited</t>
        </is>
      </c>
      <c r="E111" s="31" t="inlineStr">
        <is>
          <t>metals &amp; mining</t>
        </is>
      </c>
      <c r="F111" s="31" t="inlineStr">
        <is>
          <t>mining / minerals / metals</t>
        </is>
      </c>
      <c r="G111" s="31" t="inlineStr">
        <is>
          <t>largecap</t>
        </is>
      </c>
      <c r="H111" s="32" t="n">
        <v>81675.99000000001</v>
      </c>
      <c r="I111" s="32" t="n">
        <v>92.90000000000001</v>
      </c>
      <c r="J111" s="32" t="n">
        <v>-1.9</v>
      </c>
      <c r="K111" s="32" t="n">
        <v>40684291</v>
      </c>
      <c r="L111" s="31" t="n">
        <v>36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65.15000000000001</v>
      </c>
      <c r="P111" s="32" t="n">
        <v>43.29</v>
      </c>
      <c r="Q111" s="32" t="n">
        <v>76.20999999999999</v>
      </c>
      <c r="R111" s="31" t="inlineStr">
        <is>
          <t>Volume Spike &amp; Near 52W High Breakout</t>
        </is>
      </c>
      <c r="S111" s="31" t="inlineStr">
        <is>
          <t>Nifty Metal</t>
        </is>
      </c>
      <c r="T111" s="32" t="n">
        <v>40.56</v>
      </c>
      <c r="U111" s="32" t="n">
        <v>33.9</v>
      </c>
      <c r="V111" s="32" t="n">
        <v>-4.74</v>
      </c>
      <c r="W111" s="32" t="n">
        <v>9.449999999999999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COALINDIA</t>
        </is>
      </c>
      <c r="D112" s="33" t="inlineStr">
        <is>
          <t>Coal India Limited</t>
        </is>
      </c>
      <c r="E112" s="31" t="inlineStr">
        <is>
          <t>metals &amp; mining</t>
        </is>
      </c>
      <c r="F112" s="31" t="inlineStr">
        <is>
          <t>mining / minerals / metals</t>
        </is>
      </c>
      <c r="G112" s="31" t="inlineStr">
        <is>
          <t>largecap</t>
        </is>
      </c>
      <c r="H112" s="32" t="n">
        <v>291065.66</v>
      </c>
      <c r="I112" s="32" t="n">
        <v>472.3</v>
      </c>
      <c r="J112" s="32" t="n">
        <v>-1.94</v>
      </c>
      <c r="K112" s="32" t="n">
        <v>9592529</v>
      </c>
      <c r="L112" s="31" t="n">
        <v>25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62.11</v>
      </c>
      <c r="P112" s="32" t="n">
        <v>48.76</v>
      </c>
      <c r="Q112" s="32" t="n">
        <v>402.41</v>
      </c>
      <c r="R112" s="31" t="inlineStr">
        <is>
          <t>Volume Spike &amp; Near 52W High Breakout</t>
        </is>
      </c>
      <c r="S112" s="31" t="inlineStr">
        <is>
          <t>Nifty Metal</t>
        </is>
      </c>
      <c r="T112" s="32" t="n">
        <v>40.56</v>
      </c>
      <c r="U112" s="32" t="n">
        <v>26.71</v>
      </c>
      <c r="V112" s="32" t="n">
        <v>-9.85</v>
      </c>
      <c r="W112" s="32" t="n">
        <v>6.51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KERNEX</t>
        </is>
      </c>
      <c r="D113" s="31" t="inlineStr">
        <is>
          <t>Kernex Microsystems (india) Limited</t>
        </is>
      </c>
      <c r="E113" s="31" t="inlineStr">
        <is>
          <t>consumer discretionary</t>
        </is>
      </c>
      <c r="F113" s="31" t="inlineStr">
        <is>
          <t>electronics - components</t>
        </is>
      </c>
      <c r="G113" s="31" t="inlineStr">
        <is>
          <t>smallcap</t>
        </is>
      </c>
      <c r="H113" s="32" t="n">
        <v>3085.09</v>
      </c>
      <c r="I113" s="32" t="n">
        <v>1836.1</v>
      </c>
      <c r="J113" s="32" t="n">
        <v>-2.86</v>
      </c>
      <c r="K113" s="32" t="n">
        <v>214449</v>
      </c>
      <c r="L113" s="31" t="n">
        <v>83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70.26000000000001</v>
      </c>
      <c r="P113" s="32" t="n">
        <v>27.28</v>
      </c>
      <c r="Q113" s="32" t="n">
        <v>1318.68</v>
      </c>
      <c r="R113" s="31" t="inlineStr">
        <is>
          <t>Volume Spike &amp; Near 52W High Breakout</t>
        </is>
      </c>
      <c r="S113" s="31" t="inlineStr">
        <is>
          <t>Nifty 50</t>
        </is>
      </c>
      <c r="T113" s="32" t="n">
        <v>-6.54</v>
      </c>
      <c r="U113" s="32" t="n">
        <v>49.11</v>
      </c>
      <c r="V113" s="32" t="n">
        <v>59.55</v>
      </c>
      <c r="W113" s="32" t="n">
        <v>27.6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Negative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SIGMAADV</t>
        </is>
      </c>
      <c r="D114" s="31" t="inlineStr">
        <is>
          <t>Sigma Advanced System Ltd</t>
        </is>
      </c>
      <c r="E114" s="31" t="inlineStr">
        <is>
          <t>aerospace &amp; defence</t>
        </is>
      </c>
      <c r="F114" s="31" t="inlineStr">
        <is>
          <t>electronics - components</t>
        </is>
      </c>
      <c r="G114" s="31" t="inlineStr">
        <is>
          <t>midcap</t>
        </is>
      </c>
      <c r="H114" s="32" t="n">
        <v>7680.53</v>
      </c>
      <c r="I114" s="32" t="n">
        <v>435.8</v>
      </c>
      <c r="J114" s="32" t="n">
        <v>-4.99</v>
      </c>
      <c r="K114" s="32" t="n">
        <v>754289</v>
      </c>
      <c r="L114" s="31" t="n">
        <v>99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83.98</v>
      </c>
      <c r="P114" s="32" t="n">
        <v>34.09</v>
      </c>
      <c r="Q114" s="32" t="n">
        <v>328.07</v>
      </c>
      <c r="R114" s="31" t="inlineStr">
        <is>
          <t>Volume Spike &amp; Near 52W High Breakout</t>
        </is>
      </c>
      <c r="S114" s="31" t="inlineStr">
        <is>
          <t>Nifty 50</t>
        </is>
      </c>
      <c r="T114" s="32" t="n">
        <v>-6.54</v>
      </c>
      <c r="U114" s="32" t="n">
        <v>371.95</v>
      </c>
      <c r="V114" s="32" t="n">
        <v>405</v>
      </c>
      <c r="W114" s="32" t="n">
        <v>83.69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Negative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HFCL</t>
        </is>
      </c>
      <c r="D115" s="31" t="inlineStr">
        <is>
          <t>HFCL Ltd</t>
        </is>
      </c>
      <c r="E115" s="31" t="inlineStr">
        <is>
          <t>telecom</t>
        </is>
      </c>
      <c r="F115" s="31" t="inlineStr">
        <is>
          <t>cables - telephone</t>
        </is>
      </c>
      <c r="G115" s="31" t="inlineStr">
        <is>
          <t>largecap</t>
        </is>
      </c>
      <c r="H115" s="32" t="n">
        <v>28657.47</v>
      </c>
      <c r="I115" s="32" t="n">
        <v>187.23</v>
      </c>
      <c r="J115" s="32" t="n">
        <v>-5</v>
      </c>
      <c r="K115" s="32" t="n">
        <v>43262952</v>
      </c>
      <c r="L115" s="31" t="n">
        <v>97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91.68000000000001</v>
      </c>
      <c r="P115" s="32" t="n">
        <v>44.02</v>
      </c>
      <c r="Q115" s="32" t="n">
        <v>143.43</v>
      </c>
      <c r="R115" s="31" t="inlineStr">
        <is>
          <t>Near 52W High Breakout</t>
        </is>
      </c>
      <c r="S115" s="31" t="inlineStr">
        <is>
          <t>Nifty Infra</t>
        </is>
      </c>
      <c r="T115" s="32" t="n">
        <v>1.11</v>
      </c>
      <c r="U115" s="32" t="n">
        <v>105.1</v>
      </c>
      <c r="V115" s="32" t="n">
        <v>102.84</v>
      </c>
      <c r="W115" s="32" t="n">
        <v>62.79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Oligopoly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Negative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TATATECH</t>
        </is>
      </c>
      <c r="D116" s="31" t="inlineStr">
        <is>
          <t>Tata Technologies Ltd</t>
        </is>
      </c>
      <c r="E116" s="31" t="inlineStr">
        <is>
          <t>i.t</t>
        </is>
      </c>
      <c r="F116" s="31" t="inlineStr">
        <is>
          <t>computers - software - medium / small</t>
        </is>
      </c>
      <c r="G116" s="31" t="inlineStr">
        <is>
          <t>largecap</t>
        </is>
      </c>
      <c r="H116" s="32" t="n">
        <v>31309.13</v>
      </c>
      <c r="I116" s="32" t="n">
        <v>771.2</v>
      </c>
      <c r="J116" s="32" t="n">
        <v>3.05</v>
      </c>
      <c r="K116" s="32" t="n">
        <v>3001493</v>
      </c>
      <c r="L116" s="31" t="n">
        <v>33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72.72</v>
      </c>
      <c r="P116" s="32" t="n">
        <v>33.82</v>
      </c>
      <c r="Q116" s="32" t="n">
        <v>636.13</v>
      </c>
      <c r="R116" s="31" t="inlineStr">
        <is>
          <t>Near 52W High Breakout</t>
        </is>
      </c>
      <c r="S116" s="31" t="inlineStr">
        <is>
          <t>Nifty IT</t>
        </is>
      </c>
      <c r="T116" s="32" t="n">
        <v>-22.21</v>
      </c>
      <c r="U116" s="32" t="n">
        <v>3.28</v>
      </c>
      <c r="V116" s="32" t="n">
        <v>32.78</v>
      </c>
      <c r="W116" s="32" t="n">
        <v>8.640000000000001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VIYASH</t>
        </is>
      </c>
      <c r="D117" s="31" t="inlineStr">
        <is>
          <t>Viyash Scientific Ltd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midcap</t>
        </is>
      </c>
      <c r="H117" s="32" t="n">
        <v>11150.62</v>
      </c>
      <c r="I117" s="32" t="n">
        <v>255.25</v>
      </c>
      <c r="J117" s="32" t="n">
        <v>2.45</v>
      </c>
      <c r="K117" s="32" t="n">
        <v>2949212</v>
      </c>
      <c r="L117" s="31" t="n">
        <v>45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68.31</v>
      </c>
      <c r="P117" s="32" t="n">
        <v>28.69</v>
      </c>
      <c r="Q117" s="32" t="n">
        <v>196.17</v>
      </c>
      <c r="R117" s="31" t="inlineStr">
        <is>
          <t>Volume Spike &amp; Near 52W High Breakout</t>
        </is>
      </c>
      <c r="S117" s="31" t="inlineStr">
        <is>
          <t>Nifty Pharma</t>
        </is>
      </c>
      <c r="T117" s="32" t="n">
        <v>11.82</v>
      </c>
      <c r="U117" s="32" t="n">
        <v>35.88</v>
      </c>
      <c r="V117" s="32" t="n">
        <v>21.51</v>
      </c>
      <c r="W117" s="32" t="n">
        <v>11.94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SHILPAMED</t>
        </is>
      </c>
      <c r="D118" s="31" t="inlineStr">
        <is>
          <t>Shilpa Medicare Limited</t>
        </is>
      </c>
      <c r="E118" s="31" t="inlineStr">
        <is>
          <t>healthcare</t>
        </is>
      </c>
      <c r="F118" s="31" t="inlineStr">
        <is>
          <t>pharmaceuticals - indian - formulations</t>
        </is>
      </c>
      <c r="G118" s="31" t="inlineStr">
        <is>
          <t>midcap</t>
        </is>
      </c>
      <c r="H118" s="32" t="n">
        <v>10523.28</v>
      </c>
      <c r="I118" s="32" t="n">
        <v>538.05</v>
      </c>
      <c r="J118" s="32" t="n">
        <v>2.33</v>
      </c>
      <c r="K118" s="32" t="n">
        <v>1777281</v>
      </c>
      <c r="L118" s="31" t="n">
        <v>68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78.78</v>
      </c>
      <c r="P118" s="32" t="n">
        <v>39.68</v>
      </c>
      <c r="Q118" s="32" t="n">
        <v>418.43</v>
      </c>
      <c r="R118" s="31" t="inlineStr">
        <is>
          <t>Volume Spike &amp; Near 52W High Breakout</t>
        </is>
      </c>
      <c r="S118" s="31" t="inlineStr">
        <is>
          <t>Nifty Pharma</t>
        </is>
      </c>
      <c r="T118" s="32" t="n">
        <v>11.82</v>
      </c>
      <c r="U118" s="32" t="n">
        <v>17.82</v>
      </c>
      <c r="V118" s="32" t="n">
        <v>5.36</v>
      </c>
      <c r="W118" s="32" t="n">
        <v>18.9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BLSE</t>
        </is>
      </c>
      <c r="D119" s="31" t="inlineStr">
        <is>
          <t>BLS E-Services Ltd</t>
        </is>
      </c>
      <c r="E119" s="31" t="inlineStr">
        <is>
          <t>i.t</t>
        </is>
      </c>
      <c r="F119" s="31" t="inlineStr">
        <is>
          <t>computers - software - medium / small</t>
        </is>
      </c>
      <c r="G119" s="31" t="inlineStr">
        <is>
          <t>smallcap</t>
        </is>
      </c>
      <c r="H119" s="32" t="n">
        <v>2086.79</v>
      </c>
      <c r="I119" s="32" t="n">
        <v>229.68</v>
      </c>
      <c r="J119" s="32" t="n">
        <v>2</v>
      </c>
      <c r="K119" s="32" t="n">
        <v>385454</v>
      </c>
      <c r="L119" s="31" t="n">
        <v>76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69.22</v>
      </c>
      <c r="P119" s="32" t="n">
        <v>21.65</v>
      </c>
      <c r="Q119" s="32" t="n">
        <v>176.01</v>
      </c>
      <c r="R119" s="31" t="inlineStr">
        <is>
          <t>Near 52W High Breakout</t>
        </is>
      </c>
      <c r="S119" s="31" t="inlineStr">
        <is>
          <t>Nifty IT</t>
        </is>
      </c>
      <c r="T119" s="32" t="n">
        <v>-22.21</v>
      </c>
      <c r="U119" s="32" t="n">
        <v>9.73</v>
      </c>
      <c r="V119" s="32" t="n">
        <v>41.07</v>
      </c>
      <c r="W119" s="32" t="n">
        <v>22.98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LAURUSLABS</t>
        </is>
      </c>
      <c r="D120" s="31" t="inlineStr">
        <is>
          <t>Laurus Labs Limited</t>
        </is>
      </c>
      <c r="E120" s="31" t="inlineStr">
        <is>
          <t>healthcare</t>
        </is>
      </c>
      <c r="F120" s="31" t="inlineStr">
        <is>
          <t>pharmaceuticals - indian - bulk drugs &amp; formln</t>
        </is>
      </c>
      <c r="G120" s="31" t="inlineStr">
        <is>
          <t>largecap</t>
        </is>
      </c>
      <c r="H120" s="32" t="n">
        <v>78106.45</v>
      </c>
      <c r="I120" s="32" t="n">
        <v>1446.8</v>
      </c>
      <c r="J120" s="32" t="n">
        <v>1.37</v>
      </c>
      <c r="K120" s="32" t="n">
        <v>1515580</v>
      </c>
      <c r="L120" s="31" t="n">
        <v>83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79.90000000000001</v>
      </c>
      <c r="P120" s="32" t="n">
        <v>29.97</v>
      </c>
      <c r="Q120" s="32" t="n">
        <v>1224.52</v>
      </c>
      <c r="R120" s="31" t="inlineStr">
        <is>
          <t>Near 52W High Breakout</t>
        </is>
      </c>
      <c r="S120" s="31" t="inlineStr">
        <is>
          <t>Nifty Pharma</t>
        </is>
      </c>
      <c r="T120" s="32" t="n">
        <v>11.82</v>
      </c>
      <c r="U120" s="32" t="n">
        <v>125.75</v>
      </c>
      <c r="V120" s="32" t="n">
        <v>101.88</v>
      </c>
      <c r="W120" s="32" t="n">
        <v>27.21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Yes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Between 12 to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SASKEN</t>
        </is>
      </c>
      <c r="D121" s="31" t="inlineStr">
        <is>
          <t>Sasken Communication Technologies Limited</t>
        </is>
      </c>
      <c r="E121" s="31" t="inlineStr">
        <is>
          <t>i.t</t>
        </is>
      </c>
      <c r="F121" s="31" t="inlineStr">
        <is>
          <t>computers - software - medium / small</t>
        </is>
      </c>
      <c r="G121" s="31" t="inlineStr">
        <is>
          <t>smallcap</t>
        </is>
      </c>
      <c r="H121" s="32" t="n">
        <v>3312.47</v>
      </c>
      <c r="I121" s="32" t="n">
        <v>2181.2</v>
      </c>
      <c r="J121" s="32" t="n">
        <v>0.93</v>
      </c>
      <c r="K121" s="32" t="n">
        <v>45175</v>
      </c>
      <c r="L121" s="31" t="n">
        <v>89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74.63</v>
      </c>
      <c r="P121" s="32" t="n">
        <v>27.93</v>
      </c>
      <c r="Q121" s="32" t="n">
        <v>1692.28</v>
      </c>
      <c r="R121" s="31" t="inlineStr">
        <is>
          <t>Near 52W High Breakout</t>
        </is>
      </c>
      <c r="S121" s="31" t="inlineStr">
        <is>
          <t>Nifty IT</t>
        </is>
      </c>
      <c r="T121" s="32" t="n">
        <v>-22.21</v>
      </c>
      <c r="U121" s="32" t="n">
        <v>51.84</v>
      </c>
      <c r="V121" s="32" t="n">
        <v>95.2</v>
      </c>
      <c r="W121" s="32" t="n">
        <v>33.25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Negative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MEDANTA</t>
        </is>
      </c>
      <c r="D122" s="33" t="inlineStr">
        <is>
          <t>Global Health Ltd</t>
        </is>
      </c>
      <c r="E122" s="31" t="inlineStr">
        <is>
          <t>healthcare</t>
        </is>
      </c>
      <c r="F122" s="31" t="inlineStr">
        <is>
          <t>healthcare</t>
        </is>
      </c>
      <c r="G122" s="31" t="inlineStr">
        <is>
          <t>largecap</t>
        </is>
      </c>
      <c r="H122" s="32" t="n">
        <v>33330.01</v>
      </c>
      <c r="I122" s="32" t="n">
        <v>1240</v>
      </c>
      <c r="J122" s="32" t="n">
        <v>0.67</v>
      </c>
      <c r="K122" s="32" t="n">
        <v>310258</v>
      </c>
      <c r="L122" s="31" t="n">
        <v>10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58.38</v>
      </c>
      <c r="P122" s="32" t="n">
        <v>22.63</v>
      </c>
      <c r="Q122" s="32" t="n">
        <v>1002.11</v>
      </c>
      <c r="R122" s="31" t="inlineStr">
        <is>
          <t>Earnings / Momentum Support</t>
        </is>
      </c>
      <c r="S122" s="31" t="inlineStr">
        <is>
          <t>Nifty Pharma</t>
        </is>
      </c>
      <c r="T122" s="32" t="n">
        <v>11.82</v>
      </c>
      <c r="U122" s="32" t="n">
        <v>2</v>
      </c>
      <c r="V122" s="32" t="n">
        <v>-8.779999999999999</v>
      </c>
      <c r="W122" s="32" t="n">
        <v>3.46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APOLLO</t>
        </is>
      </c>
      <c r="D123" s="31" t="inlineStr">
        <is>
          <t>Apollo Micro Systems Ltd</t>
        </is>
      </c>
      <c r="E123" s="31" t="inlineStr">
        <is>
          <t>aerospace &amp; defence</t>
        </is>
      </c>
      <c r="F123" s="31" t="inlineStr">
        <is>
          <t>electronics - components</t>
        </is>
      </c>
      <c r="G123" s="31" t="inlineStr">
        <is>
          <t>midcap</t>
        </is>
      </c>
      <c r="H123" s="32" t="n">
        <v>15054.52</v>
      </c>
      <c r="I123" s="32" t="n">
        <v>421.35</v>
      </c>
      <c r="J123" s="32" t="n">
        <v>0.51</v>
      </c>
      <c r="K123" s="32" t="n">
        <v>27746500</v>
      </c>
      <c r="L123" s="31" t="n">
        <v>93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74.81</v>
      </c>
      <c r="P123" s="32" t="n">
        <v>30.38</v>
      </c>
      <c r="Q123" s="32" t="n">
        <v>301.5</v>
      </c>
      <c r="R123" s="31" t="inlineStr">
        <is>
          <t>Volume Spike &amp; Near 52W High Breakout</t>
        </is>
      </c>
      <c r="S123" s="31" t="inlineStr">
        <is>
          <t>Nifty 50</t>
        </is>
      </c>
      <c r="T123" s="32" t="n">
        <v>-6.54</v>
      </c>
      <c r="U123" s="32" t="n">
        <v>105.74</v>
      </c>
      <c r="V123" s="32" t="n">
        <v>120.14</v>
      </c>
      <c r="W123" s="32" t="n">
        <v>40.27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Oligopoly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Cyclical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B2C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Fully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Yes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GPTHEALTH</t>
        </is>
      </c>
      <c r="D124" s="33" t="inlineStr">
        <is>
          <t>GPT Healthcare Ltd</t>
        </is>
      </c>
      <c r="E124" s="31" t="inlineStr">
        <is>
          <t>healthcare</t>
        </is>
      </c>
      <c r="F124" s="31" t="inlineStr">
        <is>
          <t>healthcare</t>
        </is>
      </c>
      <c r="G124" s="31" t="inlineStr">
        <is>
          <t>smallcap</t>
        </is>
      </c>
      <c r="H124" s="32" t="n">
        <v>1227.87</v>
      </c>
      <c r="I124" s="32" t="n">
        <v>149.64</v>
      </c>
      <c r="J124" s="32" t="n">
        <v>-1.83</v>
      </c>
      <c r="K124" s="32" t="n">
        <v>128739</v>
      </c>
      <c r="L124" s="31" t="n">
        <v>15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62.49</v>
      </c>
      <c r="P124" s="32" t="n">
        <v>27.06</v>
      </c>
      <c r="Q124" s="32" t="n">
        <v>120.65</v>
      </c>
      <c r="R124" s="31" t="inlineStr">
        <is>
          <t>Volume Spike / Accumulation</t>
        </is>
      </c>
      <c r="S124" s="31" t="inlineStr">
        <is>
          <t>Nifty Pharma</t>
        </is>
      </c>
      <c r="T124" s="32" t="n">
        <v>11.82</v>
      </c>
      <c r="U124" s="32" t="n">
        <v>1.39</v>
      </c>
      <c r="V124" s="32" t="n">
        <v>-9.33</v>
      </c>
      <c r="W124" s="32" t="n">
        <v>4.61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SBCL</t>
        </is>
      </c>
      <c r="D125" s="31" t="inlineStr">
        <is>
          <t>Shivalik Bimetal Controls Ltd</t>
        </is>
      </c>
      <c r="E125" s="31" t="inlineStr">
        <is>
          <t>metals &amp; mining</t>
        </is>
      </c>
      <c r="F125" s="31" t="inlineStr">
        <is>
          <t>mining / minerals / metals</t>
        </is>
      </c>
      <c r="G125" s="31" t="inlineStr">
        <is>
          <t>smallcap</t>
        </is>
      </c>
      <c r="H125" s="32" t="n">
        <v>4105.45</v>
      </c>
      <c r="I125" s="32" t="n">
        <v>712.7</v>
      </c>
      <c r="J125" s="32" t="n">
        <v>-2.07</v>
      </c>
      <c r="K125" s="32" t="n">
        <v>325013</v>
      </c>
      <c r="L125" s="31" t="n">
        <v>79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69.93000000000001</v>
      </c>
      <c r="P125" s="32" t="n">
        <v>30.36</v>
      </c>
      <c r="Q125" s="32" t="n">
        <v>552.04</v>
      </c>
      <c r="R125" s="31" t="inlineStr">
        <is>
          <t>Near 52W High Breakout</t>
        </is>
      </c>
      <c r="S125" s="31" t="inlineStr">
        <is>
          <t>Nifty Metal</t>
        </is>
      </c>
      <c r="T125" s="32" t="n">
        <v>40.56</v>
      </c>
      <c r="U125" s="32" t="n">
        <v>47.71</v>
      </c>
      <c r="V125" s="32" t="n">
        <v>5.09</v>
      </c>
      <c r="W125" s="32" t="n">
        <v>24.82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Monopoly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Shallow Cyclical (2 to 3 Years Growth)</t>
        </is>
      </c>
      <c r="AG125" s="31">
        <f>IF(AF125="Structural (10 Years Consistency)",10,IF(AF125="Shallow Cyclical (2 to 3 years growth)",5,0))</f>
        <v/>
      </c>
      <c r="AH125" s="31" t="inlineStr">
        <is>
          <t>Yes due to Product Mix change or Operating Leverage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Fully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Yes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ITDC</t>
        </is>
      </c>
      <c r="D126" s="31" t="inlineStr">
        <is>
          <t>India Tourism Development Corporation Ltd</t>
        </is>
      </c>
      <c r="E126" s="31" t="inlineStr">
        <is>
          <t>services</t>
        </is>
      </c>
      <c r="F126" s="31" t="inlineStr">
        <is>
          <t>hotels</t>
        </is>
      </c>
      <c r="G126" s="31" t="inlineStr">
        <is>
          <t>midcap</t>
        </is>
      </c>
      <c r="H126" s="32" t="n">
        <v>5746.12</v>
      </c>
      <c r="I126" s="32" t="n">
        <v>669.95</v>
      </c>
      <c r="J126" s="32" t="n">
        <v>13.71</v>
      </c>
      <c r="K126" s="32" t="n">
        <v>18236659</v>
      </c>
      <c r="L126" s="31" t="n">
        <v>42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63.23</v>
      </c>
      <c r="P126" s="32" t="n">
        <v>24.15</v>
      </c>
      <c r="Q126" s="32" t="n">
        <v>470.01</v>
      </c>
      <c r="R126" s="31" t="inlineStr">
        <is>
          <t>Volume Spike &amp; Near 52W High Breakout</t>
        </is>
      </c>
      <c r="S126" s="31" t="inlineStr">
        <is>
          <t>Nifty 50</t>
        </is>
      </c>
      <c r="T126" s="32" t="n">
        <v>-6.54</v>
      </c>
      <c r="U126" s="32" t="n">
        <v>8.140000000000001</v>
      </c>
      <c r="V126" s="32" t="n">
        <v>15.71</v>
      </c>
      <c r="W126" s="32" t="n">
        <v>10.94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IDEAFORGE</t>
        </is>
      </c>
      <c r="D127" s="31" t="inlineStr">
        <is>
          <t>Ideaforge Technology Ltd</t>
        </is>
      </c>
      <c r="E127" s="31" t="inlineStr">
        <is>
          <t>aerospace &amp; defence</t>
        </is>
      </c>
      <c r="F127" s="31" t="inlineStr">
        <is>
          <t>engineering</t>
        </is>
      </c>
      <c r="G127" s="31" t="inlineStr">
        <is>
          <t>smallcap</t>
        </is>
      </c>
      <c r="H127" s="32" t="n">
        <v>4089.58</v>
      </c>
      <c r="I127" s="32" t="n">
        <v>945</v>
      </c>
      <c r="J127" s="32" t="n">
        <v>5</v>
      </c>
      <c r="K127" s="32" t="n">
        <v>221612</v>
      </c>
      <c r="L127" s="31" t="n">
        <v>92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80.69</v>
      </c>
      <c r="P127" s="32" t="n">
        <v>37.87</v>
      </c>
      <c r="Q127" s="32" t="n">
        <v>682.3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-6.54</v>
      </c>
      <c r="U127" s="32" t="n">
        <v>59.8</v>
      </c>
      <c r="V127" s="32" t="n">
        <v>70.98999999999999</v>
      </c>
      <c r="W127" s="32" t="n">
        <v>40.21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Negative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WABAG</t>
        </is>
      </c>
      <c r="D128" s="31" t="inlineStr">
        <is>
          <t>Va Tech Wabag Limited</t>
        </is>
      </c>
      <c r="E128" s="31" t="inlineStr">
        <is>
          <t>realty</t>
        </is>
      </c>
      <c r="F128" s="31" t="inlineStr">
        <is>
          <t>engineering - turnkey services</t>
        </is>
      </c>
      <c r="G128" s="31" t="inlineStr">
        <is>
          <t>midcap</t>
        </is>
      </c>
      <c r="H128" s="32" t="n">
        <v>9972.030000000001</v>
      </c>
      <c r="I128" s="32" t="n">
        <v>1600.4</v>
      </c>
      <c r="J128" s="32" t="n">
        <v>2.55</v>
      </c>
      <c r="K128" s="32" t="n">
        <v>438879</v>
      </c>
      <c r="L128" s="31" t="n">
        <v>29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65.93000000000001</v>
      </c>
      <c r="P128" s="32" t="n">
        <v>15.24</v>
      </c>
      <c r="Q128" s="32" t="n">
        <v>1255.8</v>
      </c>
      <c r="R128" s="31" t="inlineStr">
        <is>
          <t>Near 52W High Breakout</t>
        </is>
      </c>
      <c r="S128" s="31" t="inlineStr">
        <is>
          <t>Nifty Realty</t>
        </is>
      </c>
      <c r="T128" s="32" t="n">
        <v>-26.04</v>
      </c>
      <c r="U128" s="32" t="n">
        <v>1.17</v>
      </c>
      <c r="V128" s="32" t="n">
        <v>36.78</v>
      </c>
      <c r="W128" s="32" t="n">
        <v>7.37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GHCLTEXTIL</t>
        </is>
      </c>
      <c r="D129" s="31" t="inlineStr">
        <is>
          <t>GHCL Textiles Ltd</t>
        </is>
      </c>
      <c r="E129" s="31" t="inlineStr">
        <is>
          <t>textiles</t>
        </is>
      </c>
      <c r="F129" s="31" t="inlineStr">
        <is>
          <t>textiles - spinning - synthetic / blended</t>
        </is>
      </c>
      <c r="G129" s="31" t="inlineStr">
        <is>
          <t>smallcap</t>
        </is>
      </c>
      <c r="H129" s="32" t="n">
        <v>944.1</v>
      </c>
      <c r="I129" s="32" t="n">
        <v>98.77</v>
      </c>
      <c r="J129" s="32" t="n">
        <v>2.46</v>
      </c>
      <c r="K129" s="32" t="n">
        <v>707347</v>
      </c>
      <c r="L129" s="31" t="n">
        <v>38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66.43000000000001</v>
      </c>
      <c r="P129" s="32" t="n">
        <v>16.5</v>
      </c>
      <c r="Q129" s="32" t="n">
        <v>73.43000000000001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-6.54</v>
      </c>
      <c r="U129" s="32" t="n">
        <v>8.890000000000001</v>
      </c>
      <c r="V129" s="32" t="n">
        <v>16.51</v>
      </c>
      <c r="W129" s="32" t="n">
        <v>10.41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Less than 50%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AEGISLOG</t>
        </is>
      </c>
      <c r="D130" s="31" t="inlineStr">
        <is>
          <t>Aegis Logistics Ltd</t>
        </is>
      </c>
      <c r="E130" s="31" t="inlineStr">
        <is>
          <t>services</t>
        </is>
      </c>
      <c r="F130" s="31" t="inlineStr">
        <is>
          <t>trading</t>
        </is>
      </c>
      <c r="G130" s="31" t="inlineStr">
        <is>
          <t>largecap</t>
        </is>
      </c>
      <c r="H130" s="32" t="n">
        <v>27041.04</v>
      </c>
      <c r="I130" s="32" t="n">
        <v>770.4</v>
      </c>
      <c r="J130" s="32" t="n">
        <v>1.93</v>
      </c>
      <c r="K130" s="32" t="n">
        <v>758298</v>
      </c>
      <c r="L130" s="31" t="n">
        <v>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59.14</v>
      </c>
      <c r="P130" s="32" t="n">
        <v>16.52</v>
      </c>
      <c r="Q130" s="32" t="n">
        <v>585.92</v>
      </c>
      <c r="R130" s="31" t="inlineStr">
        <is>
          <t>Earnings / Momentum Support</t>
        </is>
      </c>
      <c r="S130" s="31" t="inlineStr">
        <is>
          <t>Nifty 50</t>
        </is>
      </c>
      <c r="T130" s="32" t="n">
        <v>-6.54</v>
      </c>
      <c r="U130" s="32" t="n">
        <v>-2.67</v>
      </c>
      <c r="V130" s="32" t="n">
        <v>4.14</v>
      </c>
      <c r="W130" s="32" t="n">
        <v>3.15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NH</t>
        </is>
      </c>
      <c r="D131" s="31" t="inlineStr">
        <is>
          <t>Narayana Hrudayalaya Ltd.</t>
        </is>
      </c>
      <c r="E131" s="31" t="inlineStr">
        <is>
          <t>healthcare</t>
        </is>
      </c>
      <c r="F131" s="31" t="inlineStr">
        <is>
          <t>healthcare</t>
        </is>
      </c>
      <c r="G131" s="31" t="inlineStr">
        <is>
          <t>largecap</t>
        </is>
      </c>
      <c r="H131" s="32" t="n">
        <v>40242.73</v>
      </c>
      <c r="I131" s="32" t="n">
        <v>1969.2</v>
      </c>
      <c r="J131" s="32" t="n">
        <v>1.03</v>
      </c>
      <c r="K131" s="32" t="n">
        <v>224931</v>
      </c>
      <c r="L131" s="31" t="n">
        <v>18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62.28</v>
      </c>
      <c r="P131" s="32" t="n">
        <v>17.35</v>
      </c>
      <c r="Q131" s="32" t="n">
        <v>1626.91</v>
      </c>
      <c r="R131" s="31" t="inlineStr">
        <is>
          <t>Earnings / Momentum Support</t>
        </is>
      </c>
      <c r="S131" s="31" t="inlineStr">
        <is>
          <t>Nifty Pharma</t>
        </is>
      </c>
      <c r="T131" s="32" t="n">
        <v>11.82</v>
      </c>
      <c r="U131" s="32" t="n">
        <v>12.75</v>
      </c>
      <c r="V131" s="32" t="n">
        <v>0.83</v>
      </c>
      <c r="W131" s="32" t="n">
        <v>5.11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Shallow Cyclical (2 to 3 Years Growth)</t>
        </is>
      </c>
      <c r="AG131" s="31">
        <f>IF(AF131="Structural (10 Years Consistency)",10,IF(AF131="Shallow Cyclical (2 to 3 years growth)",5,0))</f>
        <v/>
      </c>
      <c r="AH131" s="31" t="inlineStr">
        <is>
          <t>Yes due to Product Mix change or Operating Leverage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Yes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AIAENG</t>
        </is>
      </c>
      <c r="D132" s="31" t="inlineStr">
        <is>
          <t>Aia Engineering Limited</t>
        </is>
      </c>
      <c r="E132" s="31" t="inlineStr">
        <is>
          <t>industrials</t>
        </is>
      </c>
      <c r="F132" s="31" t="inlineStr">
        <is>
          <t>castings &amp; forgings</t>
        </is>
      </c>
      <c r="G132" s="31" t="inlineStr">
        <is>
          <t>largecap</t>
        </is>
      </c>
      <c r="H132" s="32" t="n">
        <v>43213.86</v>
      </c>
      <c r="I132" s="32" t="n">
        <v>4630.7</v>
      </c>
      <c r="J132" s="32" t="n">
        <v>0.74</v>
      </c>
      <c r="K132" s="32" t="n">
        <v>206638</v>
      </c>
      <c r="L132" s="31" t="n">
        <v>47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71.56999999999999</v>
      </c>
      <c r="P132" s="32" t="n">
        <v>15.73</v>
      </c>
      <c r="Q132" s="32" t="n">
        <v>3759.83</v>
      </c>
      <c r="R132" s="31" t="inlineStr">
        <is>
          <t>Volume Spike &amp; Near 52W High Breakout</t>
        </is>
      </c>
      <c r="S132" s="31" t="inlineStr">
        <is>
          <t>Nifty 500</t>
        </is>
      </c>
      <c r="T132" s="32" t="n">
        <v>-3.02</v>
      </c>
      <c r="U132" s="32" t="n">
        <v>32.92</v>
      </c>
      <c r="V132" s="32" t="n">
        <v>37.06</v>
      </c>
      <c r="W132" s="32" t="n">
        <v>12.16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SONACOMS</t>
        </is>
      </c>
      <c r="D133" s="31" t="inlineStr">
        <is>
          <t>Sona BLW Precision Forgings Ltd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largecap</t>
        </is>
      </c>
      <c r="H133" s="32" t="n">
        <v>37453.84</v>
      </c>
      <c r="I133" s="32" t="n">
        <v>602.3</v>
      </c>
      <c r="J133" s="32" t="n">
        <v>0.19</v>
      </c>
      <c r="K133" s="32" t="n">
        <v>1525449</v>
      </c>
      <c r="L133" s="31" t="n">
        <v>29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62.72</v>
      </c>
      <c r="P133" s="32" t="n">
        <v>23.21</v>
      </c>
      <c r="Q133" s="32" t="n">
        <v>493.2</v>
      </c>
      <c r="R133" s="31" t="inlineStr">
        <is>
          <t>Near 52W High Breakout</t>
        </is>
      </c>
      <c r="S133" s="31" t="inlineStr">
        <is>
          <t>Nifty Auto</t>
        </is>
      </c>
      <c r="T133" s="32" t="n">
        <v>10.59</v>
      </c>
      <c r="U133" s="32" t="n">
        <v>18.84</v>
      </c>
      <c r="V133" s="32" t="n">
        <v>7.47</v>
      </c>
      <c r="W133" s="32" t="n">
        <v>7.45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Between 12 to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WELENT</t>
        </is>
      </c>
      <c r="D134" s="31" t="inlineStr">
        <is>
          <t>Welspun Enterprises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midcap</t>
        </is>
      </c>
      <c r="H134" s="32" t="n">
        <v>7493.72</v>
      </c>
      <c r="I134" s="32" t="n">
        <v>541.4</v>
      </c>
      <c r="J134" s="32" t="n">
        <v>0.12</v>
      </c>
      <c r="K134" s="32" t="n">
        <v>245430</v>
      </c>
      <c r="L134" s="31" t="n">
        <v>18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60.73</v>
      </c>
      <c r="P134" s="32" t="n">
        <v>12.15</v>
      </c>
      <c r="Q134" s="32" t="n">
        <v>419.47</v>
      </c>
      <c r="R134" s="31" t="inlineStr">
        <is>
          <t>Near 52W High Breakout</t>
        </is>
      </c>
      <c r="S134" s="31" t="inlineStr">
        <is>
          <t>Nifty Realty</t>
        </is>
      </c>
      <c r="T134" s="32" t="n">
        <v>-26.04</v>
      </c>
      <c r="U134" s="32" t="n">
        <v>4.5</v>
      </c>
      <c r="V134" s="32" t="n">
        <v>41.29</v>
      </c>
      <c r="W134" s="32" t="n">
        <v>5.19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CGPOWER</t>
        </is>
      </c>
      <c r="D135" s="31" t="inlineStr">
        <is>
          <t>CG Power and Industrial Solutions Ltd</t>
        </is>
      </c>
      <c r="E135" s="31" t="inlineStr">
        <is>
          <t>industrials</t>
        </is>
      </c>
      <c r="F135" s="31" t="inlineStr">
        <is>
          <t>electric equipment</t>
        </is>
      </c>
      <c r="G135" s="31" t="inlineStr">
        <is>
          <t>largecap</t>
        </is>
      </c>
      <c r="H135" s="32" t="n">
        <v>147703.99</v>
      </c>
      <c r="I135" s="32" t="n">
        <v>937.85</v>
      </c>
      <c r="J135" s="32" t="n">
        <v>-0.01</v>
      </c>
      <c r="K135" s="32" t="n">
        <v>4645742</v>
      </c>
      <c r="L135" s="31" t="n">
        <v>52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73.22</v>
      </c>
      <c r="P135" s="32" t="n">
        <v>22.76</v>
      </c>
      <c r="Q135" s="32" t="n">
        <v>767.8</v>
      </c>
      <c r="R135" s="31" t="inlineStr">
        <is>
          <t>Volume Spike &amp; Near 52W High Breakout</t>
        </is>
      </c>
      <c r="S135" s="31" t="inlineStr">
        <is>
          <t>Nifty 500</t>
        </is>
      </c>
      <c r="T135" s="32" t="n">
        <v>-3.02</v>
      </c>
      <c r="U135" s="32" t="n">
        <v>37.9</v>
      </c>
      <c r="V135" s="32" t="n">
        <v>42.19</v>
      </c>
      <c r="W135" s="32" t="n">
        <v>13.69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JNKINDIA</t>
        </is>
      </c>
      <c r="D136" s="31" t="inlineStr">
        <is>
          <t>JNK India Ltd</t>
        </is>
      </c>
      <c r="E136" s="31" t="inlineStr">
        <is>
          <t>realty</t>
        </is>
      </c>
      <c r="F136" s="31" t="inlineStr">
        <is>
          <t>engineering - turnkey services</t>
        </is>
      </c>
      <c r="G136" s="31" t="inlineStr">
        <is>
          <t>smallcap</t>
        </is>
      </c>
      <c r="H136" s="32" t="n">
        <v>2357.34</v>
      </c>
      <c r="I136" s="32" t="n">
        <v>421.3</v>
      </c>
      <c r="J136" s="32" t="n">
        <v>-0.07000000000000001</v>
      </c>
      <c r="K136" s="32" t="n">
        <v>1827501</v>
      </c>
      <c r="L136" s="31" t="n">
        <v>81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70.78</v>
      </c>
      <c r="P136" s="32" t="n">
        <v>25.29</v>
      </c>
      <c r="Q136" s="32" t="n">
        <v>287.51</v>
      </c>
      <c r="R136" s="31" t="inlineStr">
        <is>
          <t>Volume Spike &amp; Near 52W High Breakout</t>
        </is>
      </c>
      <c r="S136" s="31" t="inlineStr">
        <is>
          <t>Nifty Realty</t>
        </is>
      </c>
      <c r="T136" s="32" t="n">
        <v>-26.04</v>
      </c>
      <c r="U136" s="32" t="n">
        <v>21.97</v>
      </c>
      <c r="V136" s="32" t="n">
        <v>64.91</v>
      </c>
      <c r="W136" s="32" t="n">
        <v>26.03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POLYCAB</t>
        </is>
      </c>
      <c r="D137" s="31" t="inlineStr">
        <is>
          <t>Polycab India Ltd</t>
        </is>
      </c>
      <c r="E137" s="31" t="inlineStr">
        <is>
          <t>industrials</t>
        </is>
      </c>
      <c r="F137" s="31" t="inlineStr">
        <is>
          <t>cables - power</t>
        </is>
      </c>
      <c r="G137" s="31" t="inlineStr">
        <is>
          <t>largecap</t>
        </is>
      </c>
      <c r="H137" s="32" t="n">
        <v>146018.94</v>
      </c>
      <c r="I137" s="32" t="n">
        <v>9699</v>
      </c>
      <c r="J137" s="32" t="n">
        <v>-0.19</v>
      </c>
      <c r="K137" s="32" t="n">
        <v>256030</v>
      </c>
      <c r="L137" s="31" t="n">
        <v>49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70.5</v>
      </c>
      <c r="P137" s="32" t="n">
        <v>22.61</v>
      </c>
      <c r="Q137" s="32" t="n">
        <v>8063.45</v>
      </c>
      <c r="R137" s="31" t="inlineStr">
        <is>
          <t>Near 52W High Breakout</t>
        </is>
      </c>
      <c r="S137" s="31" t="inlineStr">
        <is>
          <t>Nifty Energy</t>
        </is>
      </c>
      <c r="T137" s="32" t="n">
        <v>12.31</v>
      </c>
      <c r="U137" s="32" t="n">
        <v>59.67</v>
      </c>
      <c r="V137" s="32" t="n">
        <v>42.17</v>
      </c>
      <c r="W137" s="32" t="n">
        <v>12.81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MINDACORP</t>
        </is>
      </c>
      <c r="D138" s="31" t="inlineStr">
        <is>
          <t>Minda Corporation Limited</t>
        </is>
      </c>
      <c r="E138" s="31" t="inlineStr">
        <is>
          <t>auto</t>
        </is>
      </c>
      <c r="F138" s="31" t="inlineStr">
        <is>
          <t>auto ancillaries</t>
        </is>
      </c>
      <c r="G138" s="31" t="inlineStr">
        <is>
          <t>midcap</t>
        </is>
      </c>
      <c r="H138" s="32" t="n">
        <v>15382.37</v>
      </c>
      <c r="I138" s="32" t="n">
        <v>643.4</v>
      </c>
      <c r="J138" s="32" t="n">
        <v>-0.29</v>
      </c>
      <c r="K138" s="32" t="n">
        <v>465038</v>
      </c>
      <c r="L138" s="31" t="n">
        <v>33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65.58</v>
      </c>
      <c r="P138" s="32" t="n">
        <v>19.59</v>
      </c>
      <c r="Q138" s="32" t="n">
        <v>510.61</v>
      </c>
      <c r="R138" s="31" t="inlineStr">
        <is>
          <t>Volume Spike &amp; Near 52W High Breakout</t>
        </is>
      </c>
      <c r="S138" s="31" t="inlineStr">
        <is>
          <t>Nifty Auto</t>
        </is>
      </c>
      <c r="T138" s="32" t="n">
        <v>10.59</v>
      </c>
      <c r="U138" s="32" t="n">
        <v>15.21</v>
      </c>
      <c r="V138" s="32" t="n">
        <v>4.18</v>
      </c>
      <c r="W138" s="32" t="n">
        <v>8.49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CRAFTSMAN</t>
        </is>
      </c>
      <c r="D139" s="31" t="inlineStr">
        <is>
          <t>Craftsman Automation Ltd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largecap</t>
        </is>
      </c>
      <c r="H139" s="32" t="n">
        <v>21625.09</v>
      </c>
      <c r="I139" s="32" t="n">
        <v>9065</v>
      </c>
      <c r="J139" s="32" t="n">
        <v>-1.19</v>
      </c>
      <c r="K139" s="32" t="n">
        <v>37933</v>
      </c>
      <c r="L139" s="31" t="n">
        <v>56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66.52</v>
      </c>
      <c r="P139" s="32" t="n">
        <v>29.55</v>
      </c>
      <c r="Q139" s="32" t="n">
        <v>7021.13</v>
      </c>
      <c r="R139" s="31" t="inlineStr">
        <is>
          <t>Near 52W High Breakout</t>
        </is>
      </c>
      <c r="S139" s="31" t="inlineStr">
        <is>
          <t>Nifty Auto</t>
        </is>
      </c>
      <c r="T139" s="32" t="n">
        <v>10.59</v>
      </c>
      <c r="U139" s="32" t="n">
        <v>61.88</v>
      </c>
      <c r="V139" s="32" t="n">
        <v>46.39</v>
      </c>
      <c r="W139" s="32" t="n">
        <v>14.85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Less than 50% and Borrowings are increasing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ICIL</t>
        </is>
      </c>
      <c r="D140" s="31" t="inlineStr">
        <is>
          <t>Indo Count Industries Limited</t>
        </is>
      </c>
      <c r="E140" s="31" t="inlineStr">
        <is>
          <t>textiles</t>
        </is>
      </c>
      <c r="F140" s="31" t="inlineStr">
        <is>
          <t>textiles - cotton/blended</t>
        </is>
      </c>
      <c r="G140" s="31" t="inlineStr">
        <is>
          <t>midcap</t>
        </is>
      </c>
      <c r="H140" s="32" t="n">
        <v>6508.07</v>
      </c>
      <c r="I140" s="32" t="n">
        <v>328.6</v>
      </c>
      <c r="J140" s="32" t="n">
        <v>-1.35</v>
      </c>
      <c r="K140" s="32" t="n">
        <v>298662</v>
      </c>
      <c r="L140" s="31" t="n">
        <v>40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61.78</v>
      </c>
      <c r="P140" s="32" t="n">
        <v>21.46</v>
      </c>
      <c r="Q140" s="32" t="n">
        <v>231.34</v>
      </c>
      <c r="R140" s="31" t="inlineStr">
        <is>
          <t>Volume Spike &amp; Near 52W High Breakout</t>
        </is>
      </c>
      <c r="S140" s="31" t="inlineStr">
        <is>
          <t>Nifty 50</t>
        </is>
      </c>
      <c r="T140" s="32" t="n">
        <v>-6.54</v>
      </c>
      <c r="U140" s="32" t="n">
        <v>23.46</v>
      </c>
      <c r="V140" s="32" t="n">
        <v>32.11</v>
      </c>
      <c r="W140" s="32" t="n">
        <v>10.84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ARVIND</t>
        </is>
      </c>
      <c r="D141" s="31" t="inlineStr">
        <is>
          <t>Arvind Limited</t>
        </is>
      </c>
      <c r="E141" s="31" t="inlineStr">
        <is>
          <t>textiles</t>
        </is>
      </c>
      <c r="F141" s="31" t="inlineStr">
        <is>
          <t>textiles - cotton/blended</t>
        </is>
      </c>
      <c r="G141" s="31" t="inlineStr">
        <is>
          <t>midcap</t>
        </is>
      </c>
      <c r="H141" s="32" t="n">
        <v>12940.6</v>
      </c>
      <c r="I141" s="32" t="n">
        <v>493.7</v>
      </c>
      <c r="J141" s="32" t="n">
        <v>-1.47</v>
      </c>
      <c r="K141" s="32" t="n">
        <v>613084</v>
      </c>
      <c r="L141" s="31" t="n">
        <v>64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76.34</v>
      </c>
      <c r="P141" s="32" t="n">
        <v>33.85</v>
      </c>
      <c r="Q141" s="32" t="n">
        <v>392.4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-6.54</v>
      </c>
      <c r="U141" s="32" t="n">
        <v>39.99</v>
      </c>
      <c r="V141" s="32" t="n">
        <v>49.79</v>
      </c>
      <c r="W141" s="32" t="n">
        <v>17.54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SIS</t>
        </is>
      </c>
      <c r="D142" s="31" t="inlineStr">
        <is>
          <t>Security &amp; Intelligence Services India</t>
        </is>
      </c>
      <c r="E142" s="31" t="inlineStr">
        <is>
          <t>miscellaneous</t>
        </is>
      </c>
      <c r="F142" s="31" t="inlineStr">
        <is>
          <t>miscellaneous</t>
        </is>
      </c>
      <c r="G142" s="31" t="inlineStr">
        <is>
          <t>midcap</t>
        </is>
      </c>
      <c r="H142" s="32" t="n">
        <v>5891.76</v>
      </c>
      <c r="I142" s="32" t="n">
        <v>417.05</v>
      </c>
      <c r="J142" s="32" t="n">
        <v>-1.64</v>
      </c>
      <c r="K142" s="32" t="n">
        <v>493627</v>
      </c>
      <c r="L142" s="31" t="n">
        <v>47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75.38</v>
      </c>
      <c r="P142" s="32" t="n">
        <v>35.25</v>
      </c>
      <c r="Q142" s="32" t="n">
        <v>333.52</v>
      </c>
      <c r="R142" s="31" t="inlineStr">
        <is>
          <t>Volume Spike &amp; Near 52W High Breakout</t>
        </is>
      </c>
      <c r="S142" s="31" t="inlineStr">
        <is>
          <t>Nifty 50</t>
        </is>
      </c>
      <c r="T142" s="32" t="n">
        <v>-6.54</v>
      </c>
      <c r="U142" s="32" t="n">
        <v>15.03</v>
      </c>
      <c r="V142" s="32" t="n">
        <v>23.08</v>
      </c>
      <c r="W142" s="32" t="n">
        <v>12.21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PSPPROJECT</t>
        </is>
      </c>
      <c r="D143" s="31" t="inlineStr">
        <is>
          <t>PSP Projects Ltd</t>
        </is>
      </c>
      <c r="E143" s="31" t="inlineStr">
        <is>
          <t>realty</t>
        </is>
      </c>
      <c r="F143" s="31" t="inlineStr">
        <is>
          <t>construction</t>
        </is>
      </c>
      <c r="G143" s="31" t="inlineStr">
        <is>
          <t>smallcap</t>
        </is>
      </c>
      <c r="H143" s="32" t="n">
        <v>3462.51</v>
      </c>
      <c r="I143" s="32" t="n">
        <v>873.45</v>
      </c>
      <c r="J143" s="32" t="n">
        <v>-2.8</v>
      </c>
      <c r="K143" s="32" t="n">
        <v>136987</v>
      </c>
      <c r="L143" s="31" t="n">
        <v>51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60.38</v>
      </c>
      <c r="P143" s="32" t="n">
        <v>23.15</v>
      </c>
      <c r="Q143" s="32" t="n">
        <v>632.27</v>
      </c>
      <c r="R143" s="31" t="inlineStr">
        <is>
          <t>Volume Spike / Accumulation</t>
        </is>
      </c>
      <c r="S143" s="31" t="inlineStr">
        <is>
          <t>Nifty Realty</t>
        </is>
      </c>
      <c r="T143" s="32" t="n">
        <v>-26.04</v>
      </c>
      <c r="U143" s="32" t="n">
        <v>35.27</v>
      </c>
      <c r="V143" s="32" t="n">
        <v>82.90000000000001</v>
      </c>
      <c r="W143" s="32" t="n">
        <v>13.19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BHAGYANGR</t>
        </is>
      </c>
      <c r="D144" s="31" t="inlineStr">
        <is>
          <t>Bhagyanagar India</t>
        </is>
      </c>
      <c r="E144" s="31" t="inlineStr">
        <is>
          <t>power &amp; utilities</t>
        </is>
      </c>
      <c r="F144" s="31" t="inlineStr">
        <is>
          <t>power generation and supply</t>
        </is>
      </c>
      <c r="G144" s="31" t="inlineStr">
        <is>
          <t>smallcap</t>
        </is>
      </c>
      <c r="H144" s="32" t="n">
        <v>981.13</v>
      </c>
      <c r="I144" s="32" t="n">
        <v>306.65</v>
      </c>
      <c r="J144" s="32" t="n">
        <v>-4.99</v>
      </c>
      <c r="K144" s="32" t="n">
        <v>101526</v>
      </c>
      <c r="L144" s="31" t="n">
        <v>96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74.77</v>
      </c>
      <c r="P144" s="32" t="n">
        <v>56.6</v>
      </c>
      <c r="Q144" s="32" t="n">
        <v>220.35</v>
      </c>
      <c r="R144" s="31" t="inlineStr">
        <is>
          <t>Near 52W High Breakout</t>
        </is>
      </c>
      <c r="S144" s="31" t="inlineStr">
        <is>
          <t>Nifty IT</t>
        </is>
      </c>
      <c r="T144" s="32" t="n">
        <v>-22.21</v>
      </c>
      <c r="U144" s="32" t="n">
        <v>288.56</v>
      </c>
      <c r="V144" s="32" t="n">
        <v>399.52</v>
      </c>
      <c r="W144" s="32" t="n">
        <v>52.8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Between 50% to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HESTERBIO</t>
        </is>
      </c>
      <c r="D145" s="33" t="inlineStr">
        <is>
          <t>Hester Biosciences Limited</t>
        </is>
      </c>
      <c r="E145" s="31" t="inlineStr">
        <is>
          <t>healthcare</t>
        </is>
      </c>
      <c r="F145" s="31" t="inlineStr">
        <is>
          <t>pharmaceuticals - indian - formulations</t>
        </is>
      </c>
      <c r="G145" s="31" t="inlineStr">
        <is>
          <t>smallcap</t>
        </is>
      </c>
      <c r="H145" s="32" t="n">
        <v>1668.71</v>
      </c>
      <c r="I145" s="32" t="n">
        <v>1961.6</v>
      </c>
      <c r="J145" s="32" t="n">
        <v>2.04</v>
      </c>
      <c r="K145" s="32" t="n">
        <v>5164</v>
      </c>
      <c r="L145" s="31" t="n">
        <v>36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67.64</v>
      </c>
      <c r="P145" s="32" t="n">
        <v>32.52</v>
      </c>
      <c r="Q145" s="32" t="n">
        <v>1533.72</v>
      </c>
      <c r="R145" s="31" t="inlineStr">
        <is>
          <t>Earnings / Momentum Support</t>
        </is>
      </c>
      <c r="S145" s="31" t="inlineStr">
        <is>
          <t>Nifty Pharma</t>
        </is>
      </c>
      <c r="T145" s="32" t="n">
        <v>11.82</v>
      </c>
      <c r="U145" s="32" t="n">
        <v>6.01</v>
      </c>
      <c r="V145" s="32" t="n">
        <v>-5.2</v>
      </c>
      <c r="W145" s="32" t="n">
        <v>9.6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ORCHPHARMA</t>
        </is>
      </c>
      <c r="D146" s="31" t="inlineStr">
        <is>
          <t>Orchid Pharma Ltd</t>
        </is>
      </c>
      <c r="E146" s="31" t="inlineStr">
        <is>
          <t>healthcare</t>
        </is>
      </c>
      <c r="F146" s="31" t="inlineStr">
        <is>
          <t>pharmaceuticals - indian - bulk drugs &amp; formln</t>
        </is>
      </c>
      <c r="G146" s="31" t="inlineStr">
        <is>
          <t>smallcap</t>
        </is>
      </c>
      <c r="H146" s="32" t="n">
        <v>4281.96</v>
      </c>
      <c r="I146" s="32" t="n">
        <v>844.25</v>
      </c>
      <c r="J146" s="32" t="n">
        <v>1.13</v>
      </c>
      <c r="K146" s="32" t="n">
        <v>46242</v>
      </c>
      <c r="L146" s="31" t="n">
        <v>74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67.09999999999999</v>
      </c>
      <c r="P146" s="32" t="n">
        <v>36.08</v>
      </c>
      <c r="Q146" s="32" t="n">
        <v>635.23</v>
      </c>
      <c r="R146" s="31" t="inlineStr">
        <is>
          <t>Volume Spike &amp; Near 52W High Breakout</t>
        </is>
      </c>
      <c r="S146" s="31" t="inlineStr">
        <is>
          <t>Nifty Pharma</t>
        </is>
      </c>
      <c r="T146" s="32" t="n">
        <v>11.82</v>
      </c>
      <c r="U146" s="32" t="n">
        <v>17.56</v>
      </c>
      <c r="V146" s="32" t="n">
        <v>5.13</v>
      </c>
      <c r="W146" s="32" t="n">
        <v>22.32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CAPLIPOINT</t>
        </is>
      </c>
      <c r="D147" s="33" t="inlineStr">
        <is>
          <t>Caplin Point Laboratories Limited</t>
        </is>
      </c>
      <c r="E147" s="31" t="inlineStr">
        <is>
          <t>healthcare</t>
        </is>
      </c>
      <c r="F147" s="31" t="inlineStr">
        <is>
          <t>pharmaceuticals - indian - formulations</t>
        </is>
      </c>
      <c r="G147" s="31" t="inlineStr">
        <is>
          <t>midcap</t>
        </is>
      </c>
      <c r="H147" s="32" t="n">
        <v>15453.94</v>
      </c>
      <c r="I147" s="32" t="n">
        <v>2033.1</v>
      </c>
      <c r="J147" s="32" t="n">
        <v>0.66</v>
      </c>
      <c r="K147" s="32" t="n">
        <v>84426</v>
      </c>
      <c r="L147" s="31" t="n">
        <v>16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63.73</v>
      </c>
      <c r="P147" s="32" t="n">
        <v>23.29</v>
      </c>
      <c r="Q147" s="32" t="n">
        <v>1666.18</v>
      </c>
      <c r="R147" s="31" t="inlineStr">
        <is>
          <t>Earnings / Momentum Support</t>
        </is>
      </c>
      <c r="S147" s="31" t="inlineStr">
        <is>
          <t>Nifty Pharma</t>
        </is>
      </c>
      <c r="T147" s="32" t="n">
        <v>11.82</v>
      </c>
      <c r="U147" s="32" t="n">
        <v>-2.55</v>
      </c>
      <c r="V147" s="32" t="n">
        <v>-12.86</v>
      </c>
      <c r="W147" s="32" t="n">
        <v>4.72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PIXTRANS</t>
        </is>
      </c>
      <c r="D148" s="31" t="inlineStr">
        <is>
          <t>Pix Transmission Ltd</t>
        </is>
      </c>
      <c r="E148" s="31" t="inlineStr">
        <is>
          <t>fmcg</t>
        </is>
      </c>
      <c r="F148" s="31" t="inlineStr">
        <is>
          <t>miscellaneous</t>
        </is>
      </c>
      <c r="G148" s="31" t="inlineStr">
        <is>
          <t>smallcap</t>
        </is>
      </c>
      <c r="H148" s="32" t="n">
        <v>2192.16</v>
      </c>
      <c r="I148" s="32" t="n">
        <v>1608.9</v>
      </c>
      <c r="J148" s="32" t="n">
        <v>0.14</v>
      </c>
      <c r="K148" s="32" t="n">
        <v>28959</v>
      </c>
      <c r="L148" s="31" t="n">
        <v>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60.25</v>
      </c>
      <c r="P148" s="32" t="n">
        <v>17.59</v>
      </c>
      <c r="Q148" s="32" t="n">
        <v>1304.55</v>
      </c>
      <c r="R148" s="31" t="inlineStr">
        <is>
          <t>Near 52W High Breakout</t>
        </is>
      </c>
      <c r="S148" s="31" t="inlineStr">
        <is>
          <t>Nifty FMCG</t>
        </is>
      </c>
      <c r="T148" s="32" t="n">
        <v>-13.44</v>
      </c>
      <c r="U148" s="32" t="n">
        <v>1.11</v>
      </c>
      <c r="V148" s="32" t="n">
        <v>16.81</v>
      </c>
      <c r="W148" s="32" t="n">
        <v>2.54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DIAMONDYD</t>
        </is>
      </c>
      <c r="D149" s="31" t="inlineStr">
        <is>
          <t>Prataap Snacks Ltd</t>
        </is>
      </c>
      <c r="E149" s="31" t="inlineStr">
        <is>
          <t>fmcg</t>
        </is>
      </c>
      <c r="F149" s="31" t="inlineStr">
        <is>
          <t>food - processing - indian</t>
        </is>
      </c>
      <c r="G149" s="31" t="inlineStr">
        <is>
          <t>smallcap</t>
        </is>
      </c>
      <c r="H149" s="32" t="n">
        <v>2786.91</v>
      </c>
      <c r="I149" s="32" t="n">
        <v>1165.9</v>
      </c>
      <c r="J149" s="32" t="n">
        <v>0.01</v>
      </c>
      <c r="K149" s="32" t="n">
        <v>49264</v>
      </c>
      <c r="L149" s="31" t="n">
        <v>17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64.52</v>
      </c>
      <c r="P149" s="32" t="n">
        <v>17.89</v>
      </c>
      <c r="Q149" s="32" t="n">
        <v>914.99</v>
      </c>
      <c r="R149" s="31" t="inlineStr">
        <is>
          <t>Near 52W High Breakout</t>
        </is>
      </c>
      <c r="S149" s="31" t="inlineStr">
        <is>
          <t>Nifty FMCG</t>
        </is>
      </c>
      <c r="T149" s="32" t="n">
        <v>-13.44</v>
      </c>
      <c r="U149" s="32" t="n">
        <v>4.23</v>
      </c>
      <c r="V149" s="32" t="n">
        <v>20.41</v>
      </c>
      <c r="W149" s="32" t="n">
        <v>4.94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UFBL</t>
        </is>
      </c>
      <c r="D150" s="31" t="inlineStr">
        <is>
          <t>United Foodbrands Ltd</t>
        </is>
      </c>
      <c r="E150" s="31" t="inlineStr">
        <is>
          <t>consumer discretionary</t>
        </is>
      </c>
      <c r="F150" s="31" t="inlineStr">
        <is>
          <t>hotels</t>
        </is>
      </c>
      <c r="G150" s="31" t="inlineStr">
        <is>
          <t>smallcap</t>
        </is>
      </c>
      <c r="H150" s="32" t="n">
        <v>1977.77</v>
      </c>
      <c r="I150" s="32" t="n">
        <v>506</v>
      </c>
      <c r="J150" s="32" t="n">
        <v>10</v>
      </c>
      <c r="K150" s="32" t="n">
        <v>432012</v>
      </c>
      <c r="L150" s="31" t="n">
        <v>93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77.15000000000001</v>
      </c>
      <c r="P150" s="32" t="n">
        <v>32.16</v>
      </c>
      <c r="Q150" s="32" t="n">
        <v>351.02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-6.54</v>
      </c>
      <c r="U150" s="32" t="n">
        <v>62.23</v>
      </c>
      <c r="V150" s="32" t="n">
        <v>73.59</v>
      </c>
      <c r="W150" s="32" t="n">
        <v>42.07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More than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TIMKEN</t>
        </is>
      </c>
      <c r="D151" s="31" t="inlineStr">
        <is>
          <t>Timken India Limited</t>
        </is>
      </c>
      <c r="E151" s="31" t="inlineStr">
        <is>
          <t>industrials</t>
        </is>
      </c>
      <c r="F151" s="31" t="inlineStr">
        <is>
          <t>bearings</t>
        </is>
      </c>
      <c r="G151" s="31" t="inlineStr">
        <is>
          <t>largecap</t>
        </is>
      </c>
      <c r="H151" s="32" t="n">
        <v>27406.7</v>
      </c>
      <c r="I151" s="32" t="n">
        <v>3643.6</v>
      </c>
      <c r="J151" s="32" t="n">
        <v>2.02</v>
      </c>
      <c r="K151" s="32" t="n">
        <v>81085</v>
      </c>
      <c r="L151" s="31" t="n">
        <v>13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60.71</v>
      </c>
      <c r="P151" s="32" t="n">
        <v>32.64</v>
      </c>
      <c r="Q151" s="32" t="n">
        <v>3020.12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-6.54</v>
      </c>
      <c r="U151" s="32" t="n">
        <v>11.23</v>
      </c>
      <c r="V151" s="32" t="n">
        <v>19.02</v>
      </c>
      <c r="W151" s="32" t="n">
        <v>4.01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MGEL</t>
        </is>
      </c>
      <c r="D152" s="31" t="inlineStr">
        <is>
          <t>Mangalam Global Enterprise Ltd</t>
        </is>
      </c>
      <c r="E152" s="31" t="inlineStr">
        <is>
          <t>services</t>
        </is>
      </c>
      <c r="F152" s="31" t="inlineStr">
        <is>
          <t>trading</t>
        </is>
      </c>
      <c r="G152" s="31" t="inlineStr">
        <is>
          <t>smallcap</t>
        </is>
      </c>
      <c r="H152" s="32" t="n">
        <v>509.82</v>
      </c>
      <c r="I152" s="32" t="n">
        <v>15.47</v>
      </c>
      <c r="J152" s="32" t="n">
        <v>1.78</v>
      </c>
      <c r="K152" s="32" t="n">
        <v>324141</v>
      </c>
      <c r="L152" s="31" t="n">
        <v>66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62.63</v>
      </c>
      <c r="P152" s="32" t="n">
        <v>30.11</v>
      </c>
      <c r="Q152" s="32" t="n">
        <v>10.78</v>
      </c>
      <c r="R152" s="31" t="inlineStr">
        <is>
          <t>Earnings / Momentum Support</t>
        </is>
      </c>
      <c r="S152" s="31" t="inlineStr">
        <is>
          <t>Nifty 50</t>
        </is>
      </c>
      <c r="T152" s="32" t="n">
        <v>-6.54</v>
      </c>
      <c r="U152" s="32" t="n">
        <v>21.6</v>
      </c>
      <c r="V152" s="32" t="n">
        <v>30.11</v>
      </c>
      <c r="W152" s="32" t="n">
        <v>18.57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SANGHVIMOV</t>
        </is>
      </c>
      <c r="D153" s="31" t="inlineStr">
        <is>
          <t>Sanghvi Movers Limited</t>
        </is>
      </c>
      <c r="E153" s="31" t="inlineStr">
        <is>
          <t>miscellaneous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3230.58</v>
      </c>
      <c r="I153" s="32" t="n">
        <v>373.15</v>
      </c>
      <c r="J153" s="32" t="n">
        <v>1.75</v>
      </c>
      <c r="K153" s="32" t="n">
        <v>292358</v>
      </c>
      <c r="L153" s="31" t="n">
        <v>65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62.17</v>
      </c>
      <c r="P153" s="32" t="n">
        <v>18.61</v>
      </c>
      <c r="Q153" s="32" t="n">
        <v>261.47</v>
      </c>
      <c r="R153" s="31" t="inlineStr">
        <is>
          <t>Earnings / Momentum Support</t>
        </is>
      </c>
      <c r="S153" s="31" t="inlineStr">
        <is>
          <t>Nifty 50</t>
        </is>
      </c>
      <c r="T153" s="32" t="n">
        <v>-6.54</v>
      </c>
      <c r="U153" s="32" t="n">
        <v>26.38</v>
      </c>
      <c r="V153" s="32" t="n">
        <v>35.23</v>
      </c>
      <c r="W153" s="32" t="n">
        <v>17.85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Between 50% to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FINEORG</t>
        </is>
      </c>
      <c r="D154" s="31" t="inlineStr">
        <is>
          <t>Fine Organic Industries Ltd</t>
        </is>
      </c>
      <c r="E154" s="31" t="inlineStr">
        <is>
          <t>chemicals</t>
        </is>
      </c>
      <c r="F154" s="31" t="inlineStr">
        <is>
          <t>chemicals</t>
        </is>
      </c>
      <c r="G154" s="31" t="inlineStr">
        <is>
          <t>midcap</t>
        </is>
      </c>
      <c r="H154" s="32" t="n">
        <v>14576.98</v>
      </c>
      <c r="I154" s="32" t="n">
        <v>4754.4</v>
      </c>
      <c r="J154" s="32" t="n">
        <v>1.38</v>
      </c>
      <c r="K154" s="32" t="n">
        <v>17984</v>
      </c>
      <c r="L154" s="31" t="n">
        <v>5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56.73</v>
      </c>
      <c r="P154" s="32" t="n">
        <v>11.54</v>
      </c>
      <c r="Q154" s="32" t="n">
        <v>3944.31</v>
      </c>
      <c r="R154" s="31" t="inlineStr">
        <is>
          <t>Earnings / Momentum Support</t>
        </is>
      </c>
      <c r="S154" s="31" t="inlineStr">
        <is>
          <t>Nifty IT</t>
        </is>
      </c>
      <c r="T154" s="32" t="n">
        <v>-22.21</v>
      </c>
      <c r="U154" s="32" t="n">
        <v>-0.6899999999999999</v>
      </c>
      <c r="V154" s="32" t="n">
        <v>27.67</v>
      </c>
      <c r="W154" s="32" t="n">
        <v>2.3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Between 1.5 to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APARINDS</t>
        </is>
      </c>
      <c r="D155" s="31" t="inlineStr">
        <is>
          <t>Apar Industries Limited</t>
        </is>
      </c>
      <c r="E155" s="31" t="inlineStr">
        <is>
          <t>industrials</t>
        </is>
      </c>
      <c r="F155" s="31" t="inlineStr">
        <is>
          <t>electric equipment</t>
        </is>
      </c>
      <c r="G155" s="31" t="inlineStr">
        <is>
          <t>largecap</t>
        </is>
      </c>
      <c r="H155" s="32" t="n">
        <v>55745.59</v>
      </c>
      <c r="I155" s="32" t="n">
        <v>13878</v>
      </c>
      <c r="J155" s="32" t="n">
        <v>1.23</v>
      </c>
      <c r="K155" s="32" t="n">
        <v>100710</v>
      </c>
      <c r="L155" s="31" t="n">
        <v>68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72.16</v>
      </c>
      <c r="P155" s="32" t="n">
        <v>37.25</v>
      </c>
      <c r="Q155" s="32" t="n">
        <v>10681.09</v>
      </c>
      <c r="R155" s="31" t="inlineStr">
        <is>
          <t>Near 52W High Breakout</t>
        </is>
      </c>
      <c r="S155" s="31" t="inlineStr">
        <is>
          <t>Nifty 500</t>
        </is>
      </c>
      <c r="T155" s="32" t="n">
        <v>-3.02</v>
      </c>
      <c r="U155" s="32" t="n">
        <v>72.26000000000001</v>
      </c>
      <c r="V155" s="32" t="n">
        <v>77.63</v>
      </c>
      <c r="W155" s="32" t="n">
        <v>18.96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RAIN</t>
        </is>
      </c>
      <c r="D156" s="31" t="inlineStr">
        <is>
          <t>Rain Industries Limited</t>
        </is>
      </c>
      <c r="E156" s="31" t="inlineStr">
        <is>
          <t>miscellaneous</t>
        </is>
      </c>
      <c r="F156" s="31" t="inlineStr">
        <is>
          <t>miscellaneous</t>
        </is>
      </c>
      <c r="G156" s="31" t="inlineStr">
        <is>
          <t>midcap</t>
        </is>
      </c>
      <c r="H156" s="32" t="n">
        <v>6629.04</v>
      </c>
      <c r="I156" s="32" t="n">
        <v>197.09</v>
      </c>
      <c r="J156" s="32" t="n">
        <v>0.8100000000000001</v>
      </c>
      <c r="K156" s="32" t="n">
        <v>4579100</v>
      </c>
      <c r="L156" s="31" t="n">
        <v>67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72.51000000000001</v>
      </c>
      <c r="P156" s="32" t="n">
        <v>18.85</v>
      </c>
      <c r="Q156" s="32" t="n">
        <v>147.01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-6.54</v>
      </c>
      <c r="U156" s="32" t="n">
        <v>35.54</v>
      </c>
      <c r="V156" s="32" t="n">
        <v>45.03</v>
      </c>
      <c r="W156" s="32" t="n">
        <v>18.87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IF(B157=0,"",RANK(B157,$B$2:$B$306,0))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GLOBAL</t>
        </is>
      </c>
      <c r="D157" s="31" t="inlineStr">
        <is>
          <t>Global Education Ltd</t>
        </is>
      </c>
      <c r="E157" s="31" t="inlineStr">
        <is>
          <t>services</t>
        </is>
      </c>
      <c r="F157" s="31" t="inlineStr">
        <is>
          <t>miscellaneous</t>
        </is>
      </c>
      <c r="G157" s="31" t="inlineStr">
        <is>
          <t>smallcap</t>
        </is>
      </c>
      <c r="H157" s="32" t="n">
        <v>553.4</v>
      </c>
      <c r="I157" s="32" t="n">
        <v>108.72</v>
      </c>
      <c r="J157" s="32" t="n">
        <v>0.65</v>
      </c>
      <c r="K157" s="32" t="n">
        <v>98296</v>
      </c>
      <c r="L157" s="31" t="n">
        <v>55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60.56</v>
      </c>
      <c r="P157" s="32" t="n">
        <v>49.2</v>
      </c>
      <c r="Q157" s="32" t="n">
        <v>88.62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-6.54</v>
      </c>
      <c r="U157" s="32" t="n">
        <v>78.04000000000001</v>
      </c>
      <c r="V157" s="32" t="n">
        <v>90.51000000000001</v>
      </c>
      <c r="W157" s="32" t="n">
        <v>14.64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IF(B158=0,"",RANK(B158,$B$2:$B$306,0))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RUBYMILLS</t>
        </is>
      </c>
      <c r="D158" s="31" t="inlineStr">
        <is>
          <t>The Ruby Mills Limited</t>
        </is>
      </c>
      <c r="E158" s="31" t="inlineStr">
        <is>
          <t>textiles</t>
        </is>
      </c>
      <c r="F158" s="31" t="inlineStr">
        <is>
          <t>textiles - composite</t>
        </is>
      </c>
      <c r="G158" s="31" t="inlineStr">
        <is>
          <t>smallcap</t>
        </is>
      </c>
      <c r="H158" s="32" t="n">
        <v>1129.77</v>
      </c>
      <c r="I158" s="32" t="n">
        <v>337.85</v>
      </c>
      <c r="J158" s="32" t="n">
        <v>0.49</v>
      </c>
      <c r="K158" s="32" t="n">
        <v>127037</v>
      </c>
      <c r="L158" s="31" t="n">
        <v>75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76.73999999999999</v>
      </c>
      <c r="P158" s="32" t="n">
        <v>34.89</v>
      </c>
      <c r="Q158" s="32" t="n">
        <v>254.42</v>
      </c>
      <c r="R158" s="31" t="inlineStr">
        <is>
          <t>Volume Spike &amp; Near 52W High Breakout</t>
        </is>
      </c>
      <c r="S158" s="31" t="inlineStr">
        <is>
          <t>Nifty 50</t>
        </is>
      </c>
      <c r="T158" s="32" t="n">
        <v>-6.54</v>
      </c>
      <c r="U158" s="32" t="n">
        <v>56.28</v>
      </c>
      <c r="V158" s="32" t="n">
        <v>67.22</v>
      </c>
      <c r="W158" s="32" t="n">
        <v>22.85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Between 50% to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IF(B159=0,"",RANK(B159,$B$2:$B$306,0))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ZENTEC</t>
        </is>
      </c>
      <c r="D159" s="33" t="inlineStr">
        <is>
          <t>Zen Technologies Limited</t>
        </is>
      </c>
      <c r="E159" s="31" t="inlineStr">
        <is>
          <t>aerospace &amp; defence</t>
        </is>
      </c>
      <c r="F159" s="31" t="inlineStr">
        <is>
          <t>miscellaneous</t>
        </is>
      </c>
      <c r="G159" s="31" t="inlineStr">
        <is>
          <t>midcap</t>
        </is>
      </c>
      <c r="H159" s="32" t="n">
        <v>16390.41</v>
      </c>
      <c r="I159" s="32" t="n">
        <v>1815.3</v>
      </c>
      <c r="J159" s="32" t="n">
        <v>0.3</v>
      </c>
      <c r="K159" s="32" t="n">
        <v>1598541</v>
      </c>
      <c r="L159" s="31" t="n">
        <v>15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69.43000000000001</v>
      </c>
      <c r="P159" s="32" t="n">
        <v>21.13</v>
      </c>
      <c r="Q159" s="32" t="n">
        <v>1373.18</v>
      </c>
      <c r="R159" s="31" t="inlineStr">
        <is>
          <t>Volume Spike / Accumulation</t>
        </is>
      </c>
      <c r="S159" s="31" t="inlineStr">
        <is>
          <t>Nifty 50</t>
        </is>
      </c>
      <c r="T159" s="32" t="n">
        <v>-6.54</v>
      </c>
      <c r="U159" s="32" t="n">
        <v>-12.75</v>
      </c>
      <c r="V159" s="32" t="n">
        <v>-6.64</v>
      </c>
      <c r="W159" s="32" t="n">
        <v>4.44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IF(B160=0,"",RANK(B160,$B$2:$B$306,0))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PREMIERENE</t>
        </is>
      </c>
      <c r="D160" s="31" t="inlineStr">
        <is>
          <t>Premier Energies Ltd</t>
        </is>
      </c>
      <c r="E160" s="31" t="inlineStr">
        <is>
          <t>services</t>
        </is>
      </c>
      <c r="F160" s="31" t="inlineStr">
        <is>
          <t>trading</t>
        </is>
      </c>
      <c r="G160" s="31" t="inlineStr">
        <is>
          <t>largecap</t>
        </is>
      </c>
      <c r="H160" s="32" t="n">
        <v>48927.92</v>
      </c>
      <c r="I160" s="32" t="n">
        <v>1080.1</v>
      </c>
      <c r="J160" s="32" t="n">
        <v>0.21</v>
      </c>
      <c r="K160" s="32" t="n">
        <v>1147886</v>
      </c>
      <c r="L160" s="31" t="n">
        <v>49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65.43000000000001</v>
      </c>
      <c r="P160" s="32" t="n">
        <v>18.7</v>
      </c>
      <c r="Q160" s="32" t="n">
        <v>849.1799999999999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-6.54</v>
      </c>
      <c r="U160" s="32" t="n">
        <v>2.66</v>
      </c>
      <c r="V160" s="32" t="n">
        <v>9.85</v>
      </c>
      <c r="W160" s="32" t="n">
        <v>12.82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Between 50% to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IF(B161=0,"",RANK(B161,$B$2:$B$306,0))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RRKABEL</t>
        </is>
      </c>
      <c r="D161" s="31" t="inlineStr">
        <is>
          <t>R R Kabel Ltd</t>
        </is>
      </c>
      <c r="E161" s="31" t="inlineStr">
        <is>
          <t>industrials</t>
        </is>
      </c>
      <c r="F161" s="31" t="inlineStr">
        <is>
          <t>cables - power</t>
        </is>
      </c>
      <c r="G161" s="31" t="inlineStr">
        <is>
          <t>largecap</t>
        </is>
      </c>
      <c r="H161" s="32" t="n">
        <v>25147.88</v>
      </c>
      <c r="I161" s="32" t="n">
        <v>2223.4</v>
      </c>
      <c r="J161" s="32" t="n">
        <v>0.02</v>
      </c>
      <c r="K161" s="32" t="n">
        <v>564015</v>
      </c>
      <c r="L161" s="31" t="n">
        <v>71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78.59</v>
      </c>
      <c r="P161" s="32" t="n">
        <v>32.21</v>
      </c>
      <c r="Q161" s="32" t="n">
        <v>1758.31</v>
      </c>
      <c r="R161" s="31" t="inlineStr">
        <is>
          <t>Volume Spike &amp; Near 52W High Breakout</t>
        </is>
      </c>
      <c r="S161" s="31" t="inlineStr">
        <is>
          <t>Nifty Energy</t>
        </is>
      </c>
      <c r="T161" s="32" t="n">
        <v>12.31</v>
      </c>
      <c r="U161" s="32" t="n">
        <v>58.13</v>
      </c>
      <c r="V161" s="32" t="n">
        <v>40.8</v>
      </c>
      <c r="W161" s="32" t="n">
        <v>20.39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Between 1.5 to 2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IF(B162=0,"",RANK(B162,$B$2:$B$306,0))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CUMMINSIND</t>
        </is>
      </c>
      <c r="D162" s="31" t="inlineStr">
        <is>
          <t>Cummins India Limited</t>
        </is>
      </c>
      <c r="E162" s="31" t="inlineStr">
        <is>
          <t>industrials</t>
        </is>
      </c>
      <c r="F162" s="31" t="inlineStr">
        <is>
          <t>engines</t>
        </is>
      </c>
      <c r="G162" s="31" t="inlineStr">
        <is>
          <t>largecap</t>
        </is>
      </c>
      <c r="H162" s="32" t="n">
        <v>160332.48</v>
      </c>
      <c r="I162" s="32" t="n">
        <v>5784</v>
      </c>
      <c r="J162" s="32" t="n">
        <v>-0.06</v>
      </c>
      <c r="K162" s="32" t="n">
        <v>381090</v>
      </c>
      <c r="L162" s="31" t="n">
        <v>60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75.88</v>
      </c>
      <c r="P162" s="32" t="n">
        <v>38.7</v>
      </c>
      <c r="Q162" s="32" t="n">
        <v>4943.41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-6.54</v>
      </c>
      <c r="U162" s="32" t="n">
        <v>73.31</v>
      </c>
      <c r="V162" s="32" t="n">
        <v>85.45</v>
      </c>
      <c r="W162" s="32" t="n">
        <v>15.96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IF(B163=0,"",RANK(B163,$B$2:$B$306,0))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HONASA</t>
        </is>
      </c>
      <c r="D163" s="31" t="inlineStr">
        <is>
          <t>Honasa Consumer Ltd</t>
        </is>
      </c>
      <c r="E163" s="31" t="inlineStr">
        <is>
          <t>services</t>
        </is>
      </c>
      <c r="F163" s="31" t="inlineStr">
        <is>
          <t>trading</t>
        </is>
      </c>
      <c r="G163" s="31" t="inlineStr">
        <is>
          <t>midcap</t>
        </is>
      </c>
      <c r="H163" s="32" t="n">
        <v>13538.64</v>
      </c>
      <c r="I163" s="32" t="n">
        <v>416.1</v>
      </c>
      <c r="J163" s="32" t="n">
        <v>-0.23</v>
      </c>
      <c r="K163" s="32" t="n">
        <v>733175</v>
      </c>
      <c r="L163" s="31" t="n">
        <v>58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76.38</v>
      </c>
      <c r="P163" s="32" t="n">
        <v>27.04</v>
      </c>
      <c r="Q163" s="32" t="n">
        <v>334.48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-6.54</v>
      </c>
      <c r="U163" s="32" t="n">
        <v>30.03</v>
      </c>
      <c r="V163" s="32" t="n">
        <v>39.14</v>
      </c>
      <c r="W163" s="32" t="n">
        <v>15.47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Between 50% to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IF(B164=0,"",RANK(B164,$B$2:$B$306,0))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FCL</t>
        </is>
      </c>
      <c r="D164" s="31" t="inlineStr">
        <is>
          <t>Fineotex Chemical Limited</t>
        </is>
      </c>
      <c r="E164" s="31" t="inlineStr">
        <is>
          <t>chemicals</t>
        </is>
      </c>
      <c r="F164" s="31" t="inlineStr">
        <is>
          <t>chemicals</t>
        </is>
      </c>
      <c r="G164" s="31" t="inlineStr">
        <is>
          <t>smallcap</t>
        </is>
      </c>
      <c r="H164" s="32" t="n">
        <v>4743.01</v>
      </c>
      <c r="I164" s="32" t="n">
        <v>40.73</v>
      </c>
      <c r="J164" s="32" t="n">
        <v>-0.73</v>
      </c>
      <c r="K164" s="32" t="n">
        <v>15341694</v>
      </c>
      <c r="L164" s="31" t="n">
        <v>87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76.69</v>
      </c>
      <c r="P164" s="32" t="n">
        <v>27.71</v>
      </c>
      <c r="Q164" s="32" t="n">
        <v>30.26</v>
      </c>
      <c r="R164" s="31" t="inlineStr">
        <is>
          <t>Near 52W High Breakout</t>
        </is>
      </c>
      <c r="S164" s="31" t="inlineStr">
        <is>
          <t>Nifty IT</t>
        </is>
      </c>
      <c r="T164" s="32" t="n">
        <v>-22.21</v>
      </c>
      <c r="U164" s="32" t="n">
        <v>61.05</v>
      </c>
      <c r="V164" s="32" t="n">
        <v>107.04</v>
      </c>
      <c r="W164" s="32" t="n">
        <v>31.8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Negative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IF(B165=0,"",RANK(B165,$B$2:$B$306,0))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CHENNPETRO</t>
        </is>
      </c>
      <c r="D165" s="31" t="inlineStr">
        <is>
          <t>Chennai Petroleum Corporation Limited</t>
        </is>
      </c>
      <c r="E165" s="31" t="inlineStr">
        <is>
          <t>energy</t>
        </is>
      </c>
      <c r="F165" s="31" t="inlineStr">
        <is>
          <t>refineries</t>
        </is>
      </c>
      <c r="G165" s="31" t="inlineStr">
        <is>
          <t>midcap</t>
        </is>
      </c>
      <c r="H165" s="32" t="n">
        <v>17592.39</v>
      </c>
      <c r="I165" s="32" t="n">
        <v>1181.4</v>
      </c>
      <c r="J165" s="32" t="n">
        <v>-0.77</v>
      </c>
      <c r="K165" s="32" t="n">
        <v>1196141</v>
      </c>
      <c r="L165" s="31" t="n">
        <v>63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64.16</v>
      </c>
      <c r="P165" s="32" t="n">
        <v>43.09</v>
      </c>
      <c r="Q165" s="32" t="n">
        <v>879.16</v>
      </c>
      <c r="R165" s="31" t="inlineStr">
        <is>
          <t>Near 52W High Breakout</t>
        </is>
      </c>
      <c r="S165" s="31" t="inlineStr">
        <is>
          <t>Nifty Energy</t>
        </is>
      </c>
      <c r="T165" s="32" t="n">
        <v>12.31</v>
      </c>
      <c r="U165" s="32" t="n">
        <v>85.02</v>
      </c>
      <c r="V165" s="32" t="n">
        <v>64.73999999999999</v>
      </c>
      <c r="W165" s="32" t="n">
        <v>17.24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Oligopoly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IF(B166=0,"",RANK(B166,$B$2:$B$306,0))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THERMAX</t>
        </is>
      </c>
      <c r="D166" s="31" t="inlineStr">
        <is>
          <t>Thermax Limited</t>
        </is>
      </c>
      <c r="E166" s="31" t="inlineStr">
        <is>
          <t>industrials</t>
        </is>
      </c>
      <c r="F166" s="31" t="inlineStr">
        <is>
          <t>electric equipment</t>
        </is>
      </c>
      <c r="G166" s="31" t="inlineStr">
        <is>
          <t>largecap</t>
        </is>
      </c>
      <c r="H166" s="32" t="n">
        <v>57577.52</v>
      </c>
      <c r="I166" s="32" t="n">
        <v>4832.1</v>
      </c>
      <c r="J166" s="32" t="n">
        <v>-0.9</v>
      </c>
      <c r="K166" s="32" t="n">
        <v>203060</v>
      </c>
      <c r="L166" s="31" t="n">
        <v>69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74.08</v>
      </c>
      <c r="P166" s="32" t="n">
        <v>34.22</v>
      </c>
      <c r="Q166" s="32" t="n">
        <v>3993.74</v>
      </c>
      <c r="R166" s="31" t="inlineStr">
        <is>
          <t>Near 52W High Breakout</t>
        </is>
      </c>
      <c r="S166" s="31" t="inlineStr">
        <is>
          <t>Nifty 500</t>
        </is>
      </c>
      <c r="T166" s="32" t="n">
        <v>-3.02</v>
      </c>
      <c r="U166" s="32" t="n">
        <v>37.35</v>
      </c>
      <c r="V166" s="32" t="n">
        <v>41.62</v>
      </c>
      <c r="W166" s="32" t="n">
        <v>19.35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Between 50% to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IF(B167=0,"",RANK(B167,$B$2:$B$306,0))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SANDHAR</t>
        </is>
      </c>
      <c r="D167" s="31" t="inlineStr">
        <is>
          <t>Sandhar Technologies Limited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smallcap</t>
        </is>
      </c>
      <c r="H167" s="32" t="n">
        <v>4232.01</v>
      </c>
      <c r="I167" s="32" t="n">
        <v>703.1</v>
      </c>
      <c r="J167" s="32" t="n">
        <v>-1.22</v>
      </c>
      <c r="K167" s="32" t="n">
        <v>222897</v>
      </c>
      <c r="L167" s="31" t="n">
        <v>62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71.37</v>
      </c>
      <c r="P167" s="32" t="n">
        <v>15.64</v>
      </c>
      <c r="Q167" s="32" t="n">
        <v>523.08</v>
      </c>
      <c r="R167" s="31" t="inlineStr">
        <is>
          <t>Volume Spike &amp; Near 52W High Breakout</t>
        </is>
      </c>
      <c r="S167" s="31" t="inlineStr">
        <is>
          <t>Nifty Auto</t>
        </is>
      </c>
      <c r="T167" s="32" t="n">
        <v>10.59</v>
      </c>
      <c r="U167" s="32" t="n">
        <v>38.03</v>
      </c>
      <c r="V167" s="32" t="n">
        <v>24.82</v>
      </c>
      <c r="W167" s="32" t="n">
        <v>16.59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IF(B168=0,"",RANK(B168,$B$2:$B$306,0))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KIRLOSENG</t>
        </is>
      </c>
      <c r="D168" s="31" t="inlineStr">
        <is>
          <t>Kirloskar Oil Engines Limited</t>
        </is>
      </c>
      <c r="E168" s="31" t="inlineStr">
        <is>
          <t>industrials</t>
        </is>
      </c>
      <c r="F168" s="31" t="inlineStr">
        <is>
          <t>engines</t>
        </is>
      </c>
      <c r="G168" s="31" t="inlineStr">
        <is>
          <t>largecap</t>
        </is>
      </c>
      <c r="H168" s="32" t="n">
        <v>27811.58</v>
      </c>
      <c r="I168" s="32" t="n">
        <v>1913.3</v>
      </c>
      <c r="J168" s="32" t="n">
        <v>-1.88</v>
      </c>
      <c r="K168" s="32" t="n">
        <v>248496</v>
      </c>
      <c r="L168" s="31" t="n">
        <v>77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74.93000000000001</v>
      </c>
      <c r="P168" s="32" t="n">
        <v>40.11</v>
      </c>
      <c r="Q168" s="32" t="n">
        <v>1492.03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-6.54</v>
      </c>
      <c r="U168" s="32" t="n">
        <v>121.36</v>
      </c>
      <c r="V168" s="32" t="n">
        <v>136.86</v>
      </c>
      <c r="W168" s="32" t="n">
        <v>23.54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IF(B169=0,"",RANK(B169,$B$2:$B$306,0))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ELGIEQUIP</t>
        </is>
      </c>
      <c r="D169" s="31" t="inlineStr">
        <is>
          <t>Elgi Equipments Limited</t>
        </is>
      </c>
      <c r="E169" s="31" t="inlineStr">
        <is>
          <t>industrials</t>
        </is>
      </c>
      <c r="F169" s="31" t="inlineStr">
        <is>
          <t>compressors / drilling equipment</t>
        </is>
      </c>
      <c r="G169" s="31" t="inlineStr">
        <is>
          <t>midcap</t>
        </is>
      </c>
      <c r="H169" s="32" t="n">
        <v>19340.96</v>
      </c>
      <c r="I169" s="32" t="n">
        <v>610.3</v>
      </c>
      <c r="J169" s="32" t="n">
        <v>-1.9</v>
      </c>
      <c r="K169" s="32" t="n">
        <v>378367</v>
      </c>
      <c r="L169" s="31" t="n">
        <v>26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66.67</v>
      </c>
      <c r="P169" s="32" t="n">
        <v>15.78</v>
      </c>
      <c r="Q169" s="32" t="n">
        <v>476.98</v>
      </c>
      <c r="R169" s="31" t="inlineStr">
        <is>
          <t>Volume Spike &amp; Near 52W High Breakout</t>
        </is>
      </c>
      <c r="S169" s="31" t="inlineStr">
        <is>
          <t>Nifty 50</t>
        </is>
      </c>
      <c r="T169" s="32" t="n">
        <v>-6.54</v>
      </c>
      <c r="U169" s="32" t="n">
        <v>15.74</v>
      </c>
      <c r="V169" s="32" t="n">
        <v>23.85</v>
      </c>
      <c r="W169" s="32" t="n">
        <v>6.85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Between 1.5 to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IF(B170=0,"",RANK(B170,$B$2:$B$306,0))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DREDGECORP</t>
        </is>
      </c>
      <c r="D170" s="31" t="inlineStr">
        <is>
          <t>Dredging Corporation Of India Limited</t>
        </is>
      </c>
      <c r="E170" s="31" t="inlineStr">
        <is>
          <t>miscellaneous</t>
        </is>
      </c>
      <c r="F170" s="31" t="inlineStr">
        <is>
          <t>miscellaneous</t>
        </is>
      </c>
      <c r="G170" s="31" t="inlineStr">
        <is>
          <t>smallcap</t>
        </is>
      </c>
      <c r="H170" s="32" t="n">
        <v>3299.24</v>
      </c>
      <c r="I170" s="32" t="n">
        <v>1178.3</v>
      </c>
      <c r="J170" s="32" t="n">
        <v>-2.1</v>
      </c>
      <c r="K170" s="32" t="n">
        <v>261288</v>
      </c>
      <c r="L170" s="31" t="n">
        <v>53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65.09999999999999</v>
      </c>
      <c r="P170" s="32" t="n">
        <v>36.75</v>
      </c>
      <c r="Q170" s="32" t="n">
        <v>776.8099999999999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-6.54</v>
      </c>
      <c r="U170" s="32" t="n">
        <v>49.01</v>
      </c>
      <c r="V170" s="32" t="n">
        <v>59.45</v>
      </c>
      <c r="W170" s="32" t="n">
        <v>14.18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IF(B171=0,"",RANK(B171,$B$2:$B$306,0))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PARACABLES</t>
        </is>
      </c>
      <c r="D171" s="31" t="inlineStr">
        <is>
          <t>Paramount Communications Limited</t>
        </is>
      </c>
      <c r="E171" s="31" t="inlineStr">
        <is>
          <t>industrials</t>
        </is>
      </c>
      <c r="F171" s="31" t="inlineStr">
        <is>
          <t>cables - power</t>
        </is>
      </c>
      <c r="G171" s="31" t="inlineStr">
        <is>
          <t>smallcap</t>
        </is>
      </c>
      <c r="H171" s="32" t="n">
        <v>2054.67</v>
      </c>
      <c r="I171" s="32" t="n">
        <v>67.31999999999999</v>
      </c>
      <c r="J171" s="32" t="n">
        <v>-2.94</v>
      </c>
      <c r="K171" s="32" t="n">
        <v>5519490</v>
      </c>
      <c r="L171" s="31" t="n">
        <v>88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75.16</v>
      </c>
      <c r="P171" s="32" t="n">
        <v>30.02</v>
      </c>
      <c r="Q171" s="32" t="n">
        <v>46.88</v>
      </c>
      <c r="R171" s="31" t="inlineStr">
        <is>
          <t>Volume Spike &amp; Near 52W High Breakout</t>
        </is>
      </c>
      <c r="S171" s="31" t="inlineStr">
        <is>
          <t>Nifty Energy</t>
        </is>
      </c>
      <c r="T171" s="32" t="n">
        <v>12.31</v>
      </c>
      <c r="U171" s="32" t="n">
        <v>23.61</v>
      </c>
      <c r="V171" s="32" t="n">
        <v>10.07</v>
      </c>
      <c r="W171" s="32" t="n">
        <v>33.05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IF(B172=0,"",RANK(B172,$B$2:$B$306,0))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SALSTEEL</t>
        </is>
      </c>
      <c r="D172" s="31" t="inlineStr">
        <is>
          <t>SAL Steel</t>
        </is>
      </c>
      <c r="E172" s="31" t="inlineStr">
        <is>
          <t>metals &amp; mining</t>
        </is>
      </c>
      <c r="F172" s="31" t="inlineStr">
        <is>
          <t>steel - sponge iron</t>
        </is>
      </c>
      <c r="G172" s="31" t="inlineStr">
        <is>
          <t>smallcap</t>
        </is>
      </c>
      <c r="H172" s="32" t="n">
        <v>879.75</v>
      </c>
      <c r="I172" s="32" t="n">
        <v>60.77</v>
      </c>
      <c r="J172" s="32" t="n">
        <v>-3.36</v>
      </c>
      <c r="K172" s="32" t="n">
        <v>72126</v>
      </c>
      <c r="L172" s="31" t="n">
        <v>91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67.55</v>
      </c>
      <c r="P172" s="32" t="n">
        <v>28.29</v>
      </c>
      <c r="Q172" s="32" t="n">
        <v>42.83</v>
      </c>
      <c r="R172" s="31" t="inlineStr">
        <is>
          <t>Near 52W High Breakout</t>
        </is>
      </c>
      <c r="S172" s="31" t="inlineStr">
        <is>
          <t>Nifty Metal</t>
        </is>
      </c>
      <c r="T172" s="32" t="n">
        <v>40.56</v>
      </c>
      <c r="U172" s="32" t="n">
        <v>235.19</v>
      </c>
      <c r="V172" s="32" t="n">
        <v>138.47</v>
      </c>
      <c r="W172" s="32" t="n">
        <v>36.15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Cyclical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Volatile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More than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IF(B173=0,"",RANK(B173,$B$2:$B$306,0))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JINDALSAW</t>
        </is>
      </c>
      <c r="D173" s="33" t="inlineStr">
        <is>
          <t>Jindal Saw Limited</t>
        </is>
      </c>
      <c r="E173" s="31" t="inlineStr">
        <is>
          <t>industrials</t>
        </is>
      </c>
      <c r="F173" s="31" t="inlineStr">
        <is>
          <t>steel - large</t>
        </is>
      </c>
      <c r="G173" s="31" t="inlineStr">
        <is>
          <t>midcap</t>
        </is>
      </c>
      <c r="H173" s="32" t="n">
        <v>16024.16</v>
      </c>
      <c r="I173" s="32" t="n">
        <v>250.57</v>
      </c>
      <c r="J173" s="32" t="n">
        <v>-3.63</v>
      </c>
      <c r="K173" s="32" t="n">
        <v>2553060</v>
      </c>
      <c r="L173" s="31" t="n">
        <v>61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64.01000000000001</v>
      </c>
      <c r="P173" s="32" t="n">
        <v>27.75</v>
      </c>
      <c r="Q173" s="32" t="n">
        <v>185.37</v>
      </c>
      <c r="R173" s="31" t="inlineStr">
        <is>
          <t>Volume Spike &amp; Near 52W High Breakout</t>
        </is>
      </c>
      <c r="S173" s="31" t="inlineStr">
        <is>
          <t>Nifty Metal</t>
        </is>
      </c>
      <c r="T173" s="32" t="n">
        <v>40.56</v>
      </c>
      <c r="U173" s="32" t="n">
        <v>17.16</v>
      </c>
      <c r="V173" s="32" t="n">
        <v>-16.65</v>
      </c>
      <c r="W173" s="32" t="n">
        <v>16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IF(B174=0,"",RANK(B174,$B$2:$B$306,0))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GUFICBIO</t>
        </is>
      </c>
      <c r="D174" s="33" t="inlineStr">
        <is>
          <t>Gufic Biosciences Limited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smallcap</t>
        </is>
      </c>
      <c r="H174" s="32" t="n">
        <v>3709.95</v>
      </c>
      <c r="I174" s="32" t="n">
        <v>369.95</v>
      </c>
      <c r="J174" s="32" t="n">
        <v>4.4</v>
      </c>
      <c r="K174" s="32" t="n">
        <v>243828</v>
      </c>
      <c r="L174" s="31" t="n">
        <v>30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65.29000000000001</v>
      </c>
      <c r="P174" s="32" t="n">
        <v>22.26</v>
      </c>
      <c r="Q174" s="32" t="n">
        <v>289.33</v>
      </c>
      <c r="R174" s="31" t="inlineStr">
        <is>
          <t>Volume Spike &amp; Near 52W High Breakout</t>
        </is>
      </c>
      <c r="S174" s="31" t="inlineStr">
        <is>
          <t>Nifty Pharma</t>
        </is>
      </c>
      <c r="T174" s="32" t="n">
        <v>11.82</v>
      </c>
      <c r="U174" s="32" t="n">
        <v>0.53</v>
      </c>
      <c r="V174" s="32" t="n">
        <v>-10.1</v>
      </c>
      <c r="W174" s="32" t="n">
        <v>8.029999999999999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IF(B175=0,"",RANK(B175,$B$2:$B$306,0))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NOVARTIND</t>
        </is>
      </c>
      <c r="D175" s="31" t="inlineStr">
        <is>
          <t>Novartis India Ltd</t>
        </is>
      </c>
      <c r="E175" s="31" t="inlineStr">
        <is>
          <t>healthcare</t>
        </is>
      </c>
      <c r="F175" s="31" t="inlineStr">
        <is>
          <t>pharmaceuticals - multinational</t>
        </is>
      </c>
      <c r="G175" s="31" t="inlineStr">
        <is>
          <t>smallcap</t>
        </is>
      </c>
      <c r="H175" s="32" t="n">
        <v>3434.74</v>
      </c>
      <c r="I175" s="32" t="n">
        <v>1391.1</v>
      </c>
      <c r="J175" s="32" t="n">
        <v>2.82</v>
      </c>
      <c r="K175" s="32" t="n">
        <v>23113</v>
      </c>
      <c r="L175" s="31" t="n">
        <v>69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69.33</v>
      </c>
      <c r="P175" s="32" t="n">
        <v>60.89</v>
      </c>
      <c r="Q175" s="32" t="n">
        <v>1205.97</v>
      </c>
      <c r="R175" s="31" t="inlineStr">
        <is>
          <t>Earnings / Momentum Support</t>
        </is>
      </c>
      <c r="S175" s="31" t="inlineStr">
        <is>
          <t>Nifty Pharma</t>
        </is>
      </c>
      <c r="T175" s="32" t="n">
        <v>11.82</v>
      </c>
      <c r="U175" s="32" t="n">
        <v>40.54</v>
      </c>
      <c r="V175" s="32" t="n">
        <v>25.68</v>
      </c>
      <c r="W175" s="32" t="n">
        <v>19.13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IF(B176=0,"",RANK(B176,$B$2:$B$306,0))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AURUM</t>
        </is>
      </c>
      <c r="D176" s="31" t="inlineStr">
        <is>
          <t>Aurum Proptech Ltd</t>
        </is>
      </c>
      <c r="E176" s="31" t="inlineStr">
        <is>
          <t>i.t</t>
        </is>
      </c>
      <c r="F176" s="31" t="inlineStr">
        <is>
          <t>computers - software - medium / small</t>
        </is>
      </c>
      <c r="G176" s="31" t="inlineStr">
        <is>
          <t>smallcap</t>
        </is>
      </c>
      <c r="H176" s="32" t="n">
        <v>1457.13</v>
      </c>
      <c r="I176" s="32" t="n">
        <v>190.08</v>
      </c>
      <c r="J176" s="32" t="n">
        <v>0.73</v>
      </c>
      <c r="K176" s="32" t="n">
        <v>247744</v>
      </c>
      <c r="L176" s="31" t="n">
        <v>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58.87</v>
      </c>
      <c r="P176" s="32" t="n">
        <v>15.18</v>
      </c>
      <c r="Q176" s="32" t="n">
        <v>145.71</v>
      </c>
      <c r="R176" s="31" t="inlineStr">
        <is>
          <t>Volume Spike / Accumulation</t>
        </is>
      </c>
      <c r="S176" s="31" t="inlineStr">
        <is>
          <t>Nifty IT</t>
        </is>
      </c>
      <c r="T176" s="32" t="n">
        <v>-22.21</v>
      </c>
      <c r="U176" s="32" t="n">
        <v>-1.94</v>
      </c>
      <c r="V176" s="32" t="n">
        <v>26.06</v>
      </c>
      <c r="W176" s="32" t="n">
        <v>2.59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Between 50% to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IF(B177=0,"",RANK(B177,$B$2:$B$306,0))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APOLLOHOSP</t>
        </is>
      </c>
      <c r="D177" s="31" t="inlineStr">
        <is>
          <t>Apollo Hospitals Enterprise Limited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largecap</t>
        </is>
      </c>
      <c r="H177" s="32" t="n">
        <v>119405.97</v>
      </c>
      <c r="I177" s="32" t="n">
        <v>8304.5</v>
      </c>
      <c r="J177" s="32" t="n">
        <v>0.67</v>
      </c>
      <c r="K177" s="32" t="n">
        <v>187969</v>
      </c>
      <c r="L177" s="31" t="n">
        <v>20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63.76</v>
      </c>
      <c r="P177" s="32" t="n">
        <v>13.03</v>
      </c>
      <c r="Q177" s="32" t="n">
        <v>7255.87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11.82</v>
      </c>
      <c r="U177" s="32" t="n">
        <v>19.93</v>
      </c>
      <c r="V177" s="32" t="n">
        <v>7.25</v>
      </c>
      <c r="W177" s="32" t="n">
        <v>5.46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Fully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Yes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IF(B178=0,"",RANK(B178,$B$2:$B$306,0))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RAINBOW</t>
        </is>
      </c>
      <c r="D178" s="33" t="inlineStr">
        <is>
          <t>Rainbow Childrens Medicare Ltd</t>
        </is>
      </c>
      <c r="E178" s="31" t="inlineStr">
        <is>
          <t>healthcare</t>
        </is>
      </c>
      <c r="F178" s="31" t="inlineStr">
        <is>
          <t>healthcare</t>
        </is>
      </c>
      <c r="G178" s="31" t="inlineStr">
        <is>
          <t>midcap</t>
        </is>
      </c>
      <c r="H178" s="32" t="n">
        <v>13642.44</v>
      </c>
      <c r="I178" s="32" t="n">
        <v>1343.3</v>
      </c>
      <c r="J178" s="32" t="n">
        <v>-0.27</v>
      </c>
      <c r="K178" s="32" t="n">
        <v>76791</v>
      </c>
      <c r="L178" s="31" t="n">
        <v>4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57.73</v>
      </c>
      <c r="P178" s="32" t="n">
        <v>26.1</v>
      </c>
      <c r="Q178" s="32" t="n">
        <v>1145.51</v>
      </c>
      <c r="R178" s="31" t="inlineStr">
        <is>
          <t>Earnings / Momentum Support</t>
        </is>
      </c>
      <c r="S178" s="31" t="inlineStr">
        <is>
          <t>Nifty Pharma</t>
        </is>
      </c>
      <c r="T178" s="32" t="n">
        <v>11.82</v>
      </c>
      <c r="U178" s="32" t="n">
        <v>-4.79</v>
      </c>
      <c r="V178" s="32" t="n">
        <v>-14.86</v>
      </c>
      <c r="W178" s="32" t="n">
        <v>1.85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IF(B179=0,"",RANK(B179,$B$2:$B$306,0))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RSWM</t>
        </is>
      </c>
      <c r="D179" s="31" t="inlineStr">
        <is>
          <t>Rswm Limited</t>
        </is>
      </c>
      <c r="E179" s="31" t="inlineStr">
        <is>
          <t>textiles</t>
        </is>
      </c>
      <c r="F179" s="31" t="inlineStr">
        <is>
          <t>textiles - cotton/blended</t>
        </is>
      </c>
      <c r="G179" s="31" t="inlineStr">
        <is>
          <t>smallcap</t>
        </is>
      </c>
      <c r="H179" s="32" t="n">
        <v>928.37</v>
      </c>
      <c r="I179" s="32" t="n">
        <v>197.1</v>
      </c>
      <c r="J179" s="32" t="n">
        <v>11.22</v>
      </c>
      <c r="K179" s="32" t="n">
        <v>3701180</v>
      </c>
      <c r="L179" s="31" t="n">
        <v>40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67.73999999999999</v>
      </c>
      <c r="P179" s="32" t="n">
        <v>19.7</v>
      </c>
      <c r="Q179" s="32" t="n">
        <v>148.77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-6.54</v>
      </c>
      <c r="U179" s="32" t="n">
        <v>13.45</v>
      </c>
      <c r="V179" s="32" t="n">
        <v>21.4</v>
      </c>
      <c r="W179" s="32" t="n">
        <v>10.7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More than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IF(B180=0,"",RANK(B180,$B$2:$B$306,0))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MUNJALAU</t>
        </is>
      </c>
      <c r="D180" s="31" t="inlineStr">
        <is>
          <t>Munjal Auto Industries Limited</t>
        </is>
      </c>
      <c r="E180" s="31" t="inlineStr">
        <is>
          <t>auto</t>
        </is>
      </c>
      <c r="F180" s="31" t="inlineStr">
        <is>
          <t>auto ancillaries</t>
        </is>
      </c>
      <c r="G180" s="31" t="inlineStr">
        <is>
          <t>smallcap</t>
        </is>
      </c>
      <c r="H180" s="32" t="n">
        <v>962.8</v>
      </c>
      <c r="I180" s="32" t="n">
        <v>96.28</v>
      </c>
      <c r="J180" s="32" t="n">
        <v>9.199999999999999</v>
      </c>
      <c r="K180" s="32" t="n">
        <v>2122594</v>
      </c>
      <c r="L180" s="31" t="n">
        <v>37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66.25</v>
      </c>
      <c r="P180" s="32" t="n">
        <v>19.37</v>
      </c>
      <c r="Q180" s="32" t="n">
        <v>72.93000000000001</v>
      </c>
      <c r="R180" s="31" t="inlineStr">
        <is>
          <t>Volume Spike / Accumulation</t>
        </is>
      </c>
      <c r="S180" s="31" t="inlineStr">
        <is>
          <t>Nifty Auto</t>
        </is>
      </c>
      <c r="T180" s="32" t="n">
        <v>10.59</v>
      </c>
      <c r="U180" s="32" t="n">
        <v>19.06</v>
      </c>
      <c r="V180" s="32" t="n">
        <v>7.66</v>
      </c>
      <c r="W180" s="32" t="n">
        <v>9.619999999999999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IF(B181=0,"",RANK(B181,$B$2:$B$306,0))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IGIL</t>
        </is>
      </c>
      <c r="D181" s="33" t="inlineStr">
        <is>
          <t>International Gemmological Institute (India) Ltd</t>
        </is>
      </c>
      <c r="E181" s="31" t="inlineStr">
        <is>
          <t>miscellaneous</t>
        </is>
      </c>
      <c r="F181" s="31" t="inlineStr">
        <is>
          <t>miscellaneous</t>
        </is>
      </c>
      <c r="G181" s="31" t="inlineStr">
        <is>
          <t>midcap</t>
        </is>
      </c>
      <c r="H181" s="32" t="n">
        <v>15920.76</v>
      </c>
      <c r="I181" s="32" t="n">
        <v>368.4</v>
      </c>
      <c r="J181" s="32" t="n">
        <v>1.77</v>
      </c>
      <c r="K181" s="32" t="n">
        <v>835243</v>
      </c>
      <c r="L181" s="31" t="n">
        <v>3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55.98</v>
      </c>
      <c r="P181" s="32" t="n">
        <v>16.93</v>
      </c>
      <c r="Q181" s="32" t="n">
        <v>281.32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-6.54</v>
      </c>
      <c r="U181" s="32" t="n">
        <v>-6.98</v>
      </c>
      <c r="V181" s="32" t="n">
        <v>-0.47</v>
      </c>
      <c r="W181" s="32" t="n">
        <v>0.93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Between 50% to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IF(B182=0,"",RANK(B182,$B$2:$B$306,0))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CARBORUNIV</t>
        </is>
      </c>
      <c r="D182" s="31" t="inlineStr">
        <is>
          <t>Carborundum Universal Limited</t>
        </is>
      </c>
      <c r="E182" s="31" t="inlineStr">
        <is>
          <t>industrials</t>
        </is>
      </c>
      <c r="F182" s="31" t="inlineStr">
        <is>
          <t>abrasives and grinding wheels</t>
        </is>
      </c>
      <c r="G182" s="31" t="inlineStr">
        <is>
          <t>midcap</t>
        </is>
      </c>
      <c r="H182" s="32" t="n">
        <v>19807.41</v>
      </c>
      <c r="I182" s="32" t="n">
        <v>1039.8</v>
      </c>
      <c r="J182" s="32" t="n">
        <v>1.09</v>
      </c>
      <c r="K182" s="32" t="n">
        <v>311452</v>
      </c>
      <c r="L182" s="31" t="n">
        <v>33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63.5</v>
      </c>
      <c r="P182" s="32" t="n">
        <v>31.11</v>
      </c>
      <c r="Q182" s="32" t="n">
        <v>886.95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-6.54</v>
      </c>
      <c r="U182" s="32" t="n">
        <v>10.01</v>
      </c>
      <c r="V182" s="32" t="n">
        <v>17.71</v>
      </c>
      <c r="W182" s="32" t="n">
        <v>8.609999999999999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IF(B183=0,"",RANK(B183,$B$2:$B$306,0))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JAYBARMARU</t>
        </is>
      </c>
      <c r="D183" s="31" t="inlineStr">
        <is>
          <t>Jay Bharat Maruti Limited</t>
        </is>
      </c>
      <c r="E183" s="31" t="inlineStr">
        <is>
          <t>auto</t>
        </is>
      </c>
      <c r="F183" s="31" t="inlineStr">
        <is>
          <t>auto ancillaries</t>
        </is>
      </c>
      <c r="G183" s="31" t="inlineStr">
        <is>
          <t>smallcap</t>
        </is>
      </c>
      <c r="H183" s="32" t="n">
        <v>1385.28</v>
      </c>
      <c r="I183" s="32" t="n">
        <v>127.97</v>
      </c>
      <c r="J183" s="32" t="n">
        <v>1.08</v>
      </c>
      <c r="K183" s="32" t="n">
        <v>952101</v>
      </c>
      <c r="L183" s="31" t="n">
        <v>67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65.44</v>
      </c>
      <c r="P183" s="32" t="n">
        <v>15.35</v>
      </c>
      <c r="Q183" s="32" t="n">
        <v>90.14</v>
      </c>
      <c r="R183" s="31" t="inlineStr">
        <is>
          <t>Volume Spike &amp; Near 52W High Breakout</t>
        </is>
      </c>
      <c r="S183" s="31" t="inlineStr">
        <is>
          <t>Nifty Auto</t>
        </is>
      </c>
      <c r="T183" s="32" t="n">
        <v>10.59</v>
      </c>
      <c r="U183" s="32" t="n">
        <v>64.98999999999999</v>
      </c>
      <c r="V183" s="32" t="n">
        <v>49.2</v>
      </c>
      <c r="W183" s="32" t="n">
        <v>18.86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IF(B184=0,"",RANK(B184,$B$2:$B$306,0))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HONAUT</t>
        </is>
      </c>
      <c r="D184" s="33" t="inlineStr">
        <is>
          <t>Honeywell Automation India Limited</t>
        </is>
      </c>
      <c r="E184" s="31" t="inlineStr">
        <is>
          <t>consumer discretionary</t>
        </is>
      </c>
      <c r="F184" s="31" t="inlineStr">
        <is>
          <t>electronics - components</t>
        </is>
      </c>
      <c r="G184" s="31" t="inlineStr">
        <is>
          <t>largecap</t>
        </is>
      </c>
      <c r="H184" s="32" t="n">
        <v>30680.08</v>
      </c>
      <c r="I184" s="32" t="n">
        <v>34700</v>
      </c>
      <c r="J184" s="32" t="n">
        <v>0.62</v>
      </c>
      <c r="K184" s="32" t="n">
        <v>4364</v>
      </c>
      <c r="L184" s="31" t="n">
        <v>4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56.83</v>
      </c>
      <c r="P184" s="32" t="n">
        <v>24.61</v>
      </c>
      <c r="Q184" s="32" t="n">
        <v>28410.53</v>
      </c>
      <c r="R184" s="31" t="inlineStr">
        <is>
          <t>Earnings / Momentum Support</t>
        </is>
      </c>
      <c r="S184" s="31" t="inlineStr">
        <is>
          <t>Nifty 50</t>
        </is>
      </c>
      <c r="T184" s="32" t="n">
        <v>-6.54</v>
      </c>
      <c r="U184" s="32" t="n">
        <v>-10.94</v>
      </c>
      <c r="V184" s="32" t="n">
        <v>-4.7</v>
      </c>
      <c r="W184" s="32" t="n">
        <v>1.38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IF(B185=0,"",RANK(B185,$B$2:$B$306,0))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WSTCSTPAPR</t>
        </is>
      </c>
      <c r="D185" s="31" t="inlineStr">
        <is>
          <t>West Coast Paper Mills Limited</t>
        </is>
      </c>
      <c r="E185" s="31" t="inlineStr">
        <is>
          <t>building materials</t>
        </is>
      </c>
      <c r="F185" s="31" t="inlineStr">
        <is>
          <t>paper</t>
        </is>
      </c>
      <c r="G185" s="31" t="inlineStr">
        <is>
          <t>smallcap</t>
        </is>
      </c>
      <c r="H185" s="32" t="n">
        <v>3389.96</v>
      </c>
      <c r="I185" s="32" t="n">
        <v>513.25</v>
      </c>
      <c r="J185" s="32" t="n">
        <v>0.38</v>
      </c>
      <c r="K185" s="32" t="n">
        <v>120647</v>
      </c>
      <c r="L185" s="31" t="n">
        <v>32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60.64</v>
      </c>
      <c r="P185" s="32" t="n">
        <v>26.07</v>
      </c>
      <c r="Q185" s="32" t="n">
        <v>402.61</v>
      </c>
      <c r="R185" s="31" t="inlineStr">
        <is>
          <t>Volume Spike / Accumulation</t>
        </is>
      </c>
      <c r="S185" s="31" t="inlineStr">
        <is>
          <t>Nifty Infra</t>
        </is>
      </c>
      <c r="T185" s="32" t="n">
        <v>1.11</v>
      </c>
      <c r="U185" s="32" t="n">
        <v>4.49</v>
      </c>
      <c r="V185" s="32" t="n">
        <v>3.34</v>
      </c>
      <c r="W185" s="32" t="n">
        <v>8.34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Between 12 to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IF(B186=0,"",RANK(B186,$B$2:$B$306,0))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NAHARSPING</t>
        </is>
      </c>
      <c r="D186" s="31" t="inlineStr">
        <is>
          <t>Nahar Spinning Mills Limited</t>
        </is>
      </c>
      <c r="E186" s="31" t="inlineStr">
        <is>
          <t>textiles</t>
        </is>
      </c>
      <c r="F186" s="31" t="inlineStr">
        <is>
          <t>textiles - cotton/blended</t>
        </is>
      </c>
      <c r="G186" s="31" t="inlineStr">
        <is>
          <t>smallcap</t>
        </is>
      </c>
      <c r="H186" s="32" t="n">
        <v>1010.01</v>
      </c>
      <c r="I186" s="32" t="n">
        <v>280.05</v>
      </c>
      <c r="J186" s="32" t="n">
        <v>0.38</v>
      </c>
      <c r="K186" s="32" t="n">
        <v>16759</v>
      </c>
      <c r="L186" s="31" t="n">
        <v>39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66.58</v>
      </c>
      <c r="P186" s="32" t="n">
        <v>19.68</v>
      </c>
      <c r="Q186" s="32" t="n">
        <v>214.54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-6.54</v>
      </c>
      <c r="U186" s="32" t="n">
        <v>-0.27</v>
      </c>
      <c r="V186" s="32" t="n">
        <v>6.71</v>
      </c>
      <c r="W186" s="32" t="n">
        <v>10.46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IF(B187=0,"",RANK(B187,$B$2:$B$306,0))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PIDILITIND</t>
        </is>
      </c>
      <c r="D187" s="31" t="inlineStr">
        <is>
          <t>Pidilite Industries Limited</t>
        </is>
      </c>
      <c r="E187" s="31" t="inlineStr">
        <is>
          <t>chemicals</t>
        </is>
      </c>
      <c r="F187" s="31" t="inlineStr">
        <is>
          <t>chemicals</t>
        </is>
      </c>
      <c r="G187" s="31" t="inlineStr">
        <is>
          <t>largecap</t>
        </is>
      </c>
      <c r="H187" s="32" t="n">
        <v>150283.37</v>
      </c>
      <c r="I187" s="32" t="n">
        <v>1476.6</v>
      </c>
      <c r="J187" s="32" t="n">
        <v>0.37</v>
      </c>
      <c r="K187" s="32" t="n">
        <v>489330</v>
      </c>
      <c r="L187" s="31" t="n">
        <v>2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55.48</v>
      </c>
      <c r="P187" s="32" t="n">
        <v>19.82</v>
      </c>
      <c r="Q187" s="32" t="n">
        <v>1276.9</v>
      </c>
      <c r="R187" s="31" t="inlineStr">
        <is>
          <t>Near 52W High Breakout</t>
        </is>
      </c>
      <c r="S187" s="31" t="inlineStr">
        <is>
          <t>Nifty 500</t>
        </is>
      </c>
      <c r="T187" s="32" t="n">
        <v>-3.02</v>
      </c>
      <c r="U187" s="32" t="n">
        <v>-2.5</v>
      </c>
      <c r="V187" s="32" t="n">
        <v>0.53</v>
      </c>
      <c r="W187" s="32" t="n">
        <v>0.13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IF(B188=0,"",RANK(B188,$B$2:$B$306,0))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KINGFA</t>
        </is>
      </c>
      <c r="D188" s="31" t="inlineStr">
        <is>
          <t>Kingfa Science &amp; Technology (india) Limited</t>
        </is>
      </c>
      <c r="E188" s="31" t="inlineStr">
        <is>
          <t>plastic products</t>
        </is>
      </c>
      <c r="F188" s="31" t="inlineStr">
        <is>
          <t>plastics products</t>
        </is>
      </c>
      <c r="G188" s="31" t="inlineStr">
        <is>
          <t>midcap</t>
        </is>
      </c>
      <c r="H188" s="32" t="n">
        <v>7273.03</v>
      </c>
      <c r="I188" s="32" t="n">
        <v>5367</v>
      </c>
      <c r="J188" s="32" t="n">
        <v>-0.06</v>
      </c>
      <c r="K188" s="32" t="n">
        <v>3752</v>
      </c>
      <c r="L188" s="31" t="n">
        <v>65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64.42</v>
      </c>
      <c r="P188" s="32" t="n">
        <v>22.02</v>
      </c>
      <c r="Q188" s="32" t="n">
        <v>4205.08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-6.54</v>
      </c>
      <c r="U188" s="32" t="n">
        <v>66.93000000000001</v>
      </c>
      <c r="V188" s="32" t="n">
        <v>78.62</v>
      </c>
      <c r="W188" s="32" t="n">
        <v>17.59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Less than 50%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IF(B189=0,"",RANK(B189,$B$2:$B$306,0))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MARINE</t>
        </is>
      </c>
      <c r="D189" s="31" t="inlineStr">
        <is>
          <t>Marine Electricals (India) Ltd</t>
        </is>
      </c>
      <c r="E189" s="31" t="inlineStr">
        <is>
          <t>industrials</t>
        </is>
      </c>
      <c r="F189" s="31" t="inlineStr">
        <is>
          <t>electric equipment</t>
        </is>
      </c>
      <c r="G189" s="31" t="inlineStr">
        <is>
          <t>smallcap</t>
        </is>
      </c>
      <c r="H189" s="32" t="n">
        <v>610.5</v>
      </c>
      <c r="I189" s="32" t="n">
        <v>248.85</v>
      </c>
      <c r="J189" s="32" t="n">
        <v>-0.52</v>
      </c>
      <c r="K189" s="32" t="n">
        <v>560240</v>
      </c>
      <c r="L189" s="31" t="n">
        <v>34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59.9</v>
      </c>
      <c r="P189" s="32" t="n">
        <v>24.31</v>
      </c>
      <c r="Q189" s="32" t="n">
        <v>191.62</v>
      </c>
      <c r="R189" s="31" t="inlineStr">
        <is>
          <t>Volume Spike / Accumulation</t>
        </is>
      </c>
      <c r="S189" s="31" t="inlineStr">
        <is>
          <t>Nifty 50</t>
        </is>
      </c>
      <c r="T189" s="32" t="n">
        <v>-6.54</v>
      </c>
      <c r="U189" s="32" t="n">
        <v>5.53</v>
      </c>
      <c r="V189" s="32" t="n">
        <v>12.92</v>
      </c>
      <c r="W189" s="32" t="n">
        <v>8.970000000000001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IF(B190=0,"",RANK(B190,$B$2:$B$306,0))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SSWL</t>
        </is>
      </c>
      <c r="D190" s="33" t="inlineStr">
        <is>
          <t>Steel Strips Wheels Limited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smallcap</t>
        </is>
      </c>
      <c r="H190" s="32" t="n">
        <v>3566.27</v>
      </c>
      <c r="I190" s="32" t="n">
        <v>226.89</v>
      </c>
      <c r="J190" s="32" t="n">
        <v>-0.52</v>
      </c>
      <c r="K190" s="32" t="n">
        <v>586948</v>
      </c>
      <c r="L190" s="31" t="n">
        <v>6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57.87</v>
      </c>
      <c r="P190" s="32" t="n">
        <v>7.91</v>
      </c>
      <c r="Q190" s="32" t="n">
        <v>168.86</v>
      </c>
      <c r="R190" s="31" t="inlineStr">
        <is>
          <t>Volume Spike / Accumulation</t>
        </is>
      </c>
      <c r="S190" s="31" t="inlineStr">
        <is>
          <t>Nifty Auto</t>
        </is>
      </c>
      <c r="T190" s="32" t="n">
        <v>10.59</v>
      </c>
      <c r="U190" s="32" t="n">
        <v>-6.32</v>
      </c>
      <c r="V190" s="32" t="n">
        <v>-15.29</v>
      </c>
      <c r="W190" s="32" t="n">
        <v>2.4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Between 50% to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IF(B191=0,"",RANK(B191,$B$2:$B$306,0))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SOTL</t>
        </is>
      </c>
      <c r="D191" s="31" t="inlineStr">
        <is>
          <t>Savita Oil Technologies Limited</t>
        </is>
      </c>
      <c r="E191" s="31" t="inlineStr">
        <is>
          <t>energy</t>
        </is>
      </c>
      <c r="F191" s="31" t="inlineStr">
        <is>
          <t>petrochemicals</t>
        </is>
      </c>
      <c r="G191" s="31" t="inlineStr">
        <is>
          <t>smallcap</t>
        </is>
      </c>
      <c r="H191" s="32" t="n">
        <v>3842.81</v>
      </c>
      <c r="I191" s="32" t="n">
        <v>560.5</v>
      </c>
      <c r="J191" s="32" t="n">
        <v>-0.67</v>
      </c>
      <c r="K191" s="32" t="n">
        <v>1747443</v>
      </c>
      <c r="L191" s="31" t="n">
        <v>71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74.61</v>
      </c>
      <c r="P191" s="32" t="n">
        <v>23.58</v>
      </c>
      <c r="Q191" s="32" t="n">
        <v>422.23</v>
      </c>
      <c r="R191" s="31" t="inlineStr">
        <is>
          <t>Volume Spike &amp; Near 52W High Breakout</t>
        </is>
      </c>
      <c r="S191" s="31" t="inlineStr">
        <is>
          <t>Nifty Energy</t>
        </is>
      </c>
      <c r="T191" s="32" t="n">
        <v>12.31</v>
      </c>
      <c r="U191" s="32" t="n">
        <v>33.41</v>
      </c>
      <c r="V191" s="32" t="n">
        <v>18.79</v>
      </c>
      <c r="W191" s="32" t="n">
        <v>19.99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Oligopoly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Volatile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IF(B192=0,"",RANK(B192,$B$2:$B$306,0))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HIRECT</t>
        </is>
      </c>
      <c r="D192" s="31" t="inlineStr">
        <is>
          <t>Hind Rectifiers Limited</t>
        </is>
      </c>
      <c r="E192" s="31" t="inlineStr">
        <is>
          <t>consumer discretionary</t>
        </is>
      </c>
      <c r="F192" s="31" t="inlineStr">
        <is>
          <t>electronics - components</t>
        </is>
      </c>
      <c r="G192" s="31" t="inlineStr">
        <is>
          <t>smallcap</t>
        </is>
      </c>
      <c r="H192" s="32" t="n">
        <v>3878.04</v>
      </c>
      <c r="I192" s="32" t="n">
        <v>1128.4</v>
      </c>
      <c r="J192" s="32" t="n">
        <v>-0.83</v>
      </c>
      <c r="K192" s="32" t="n">
        <v>137804</v>
      </c>
      <c r="L192" s="31" t="n">
        <v>80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76.65000000000001</v>
      </c>
      <c r="P192" s="32" t="n">
        <v>23.28</v>
      </c>
      <c r="Q192" s="32" t="n">
        <v>790.77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-6.54</v>
      </c>
      <c r="U192" s="32" t="n">
        <v>73.17</v>
      </c>
      <c r="V192" s="32" t="n">
        <v>85.29000000000001</v>
      </c>
      <c r="W192" s="32" t="n">
        <v>25.01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IF(B193=0,"",RANK(B193,$B$2:$B$306,0))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INDNIPPON</t>
        </is>
      </c>
      <c r="D193" s="31" t="inlineStr">
        <is>
          <t>India Nippon Electricals Limited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smallcap</t>
        </is>
      </c>
      <c r="H193" s="32" t="n">
        <v>2049.27</v>
      </c>
      <c r="I193" s="32" t="n">
        <v>905.9</v>
      </c>
      <c r="J193" s="32" t="n">
        <v>-1.1</v>
      </c>
      <c r="K193" s="32" t="n">
        <v>34230</v>
      </c>
      <c r="L193" s="31" t="n">
        <v>37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61.07</v>
      </c>
      <c r="P193" s="32" t="n">
        <v>10.62</v>
      </c>
      <c r="Q193" s="32" t="n">
        <v>713.83</v>
      </c>
      <c r="R193" s="31" t="inlineStr">
        <is>
          <t>Earnings / Momentum Support</t>
        </is>
      </c>
      <c r="S193" s="31" t="inlineStr">
        <is>
          <t>Nifty Auto</t>
        </is>
      </c>
      <c r="T193" s="32" t="n">
        <v>10.59</v>
      </c>
      <c r="U193" s="32" t="n">
        <v>33.91</v>
      </c>
      <c r="V193" s="32" t="n">
        <v>21.1</v>
      </c>
      <c r="W193" s="32" t="n">
        <v>9.66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IF(B194=0,"",RANK(B194,$B$2:$B$306,0))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KDDL</t>
        </is>
      </c>
      <c r="D194" s="31" t="inlineStr">
        <is>
          <t>Kddl Limited</t>
        </is>
      </c>
      <c r="E194" s="31" t="inlineStr">
        <is>
          <t>consumer discretionary</t>
        </is>
      </c>
      <c r="F194" s="31" t="inlineStr">
        <is>
          <t>miscellaneous</t>
        </is>
      </c>
      <c r="G194" s="31" t="inlineStr">
        <is>
          <t>smallcap</t>
        </is>
      </c>
      <c r="H194" s="32" t="n">
        <v>3572.57</v>
      </c>
      <c r="I194" s="32" t="n">
        <v>2904.7</v>
      </c>
      <c r="J194" s="32" t="n">
        <v>-1.41</v>
      </c>
      <c r="K194" s="32" t="n">
        <v>29820</v>
      </c>
      <c r="L194" s="31" t="n">
        <v>24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62.56</v>
      </c>
      <c r="P194" s="32" t="n">
        <v>13.15</v>
      </c>
      <c r="Q194" s="32" t="n">
        <v>2092.5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-6.54</v>
      </c>
      <c r="U194" s="32" t="n">
        <v>10.64</v>
      </c>
      <c r="V194" s="32" t="n">
        <v>18.39</v>
      </c>
      <c r="W194" s="32" t="n">
        <v>6.49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Between 1.5 to 2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IF(B195=0,"",RANK(B195,$B$2:$B$306,0))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MAHASTEEL</t>
        </is>
      </c>
      <c r="D195" s="31" t="inlineStr">
        <is>
          <t>Mahamaya Steel Industries Limited</t>
        </is>
      </c>
      <c r="E195" s="31" t="inlineStr">
        <is>
          <t>metals &amp; mining</t>
        </is>
      </c>
      <c r="F195" s="31" t="inlineStr">
        <is>
          <t>steel - medium / small</t>
        </is>
      </c>
      <c r="G195" s="31" t="inlineStr">
        <is>
          <t>smallcap</t>
        </is>
      </c>
      <c r="H195" s="32" t="n">
        <v>1498.74</v>
      </c>
      <c r="I195" s="32" t="n">
        <v>911.95</v>
      </c>
      <c r="J195" s="32" t="n">
        <v>-3.09</v>
      </c>
      <c r="K195" s="32" t="n">
        <v>2299</v>
      </c>
      <c r="L195" s="31" t="n">
        <v>86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58.66</v>
      </c>
      <c r="P195" s="32" t="n">
        <v>40.56</v>
      </c>
      <c r="Q195" s="32" t="n">
        <v>734.99</v>
      </c>
      <c r="R195" s="31" t="inlineStr">
        <is>
          <t>Earnings / Momentum Support</t>
        </is>
      </c>
      <c r="S195" s="31" t="inlineStr">
        <is>
          <t>Nifty Metal</t>
        </is>
      </c>
      <c r="T195" s="32" t="n">
        <v>40.56</v>
      </c>
      <c r="U195" s="32" t="n">
        <v>201.97</v>
      </c>
      <c r="V195" s="32" t="n">
        <v>114.83</v>
      </c>
      <c r="W195" s="32" t="n">
        <v>30.77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IF(B196=0,"",RANK(B196,$B$2:$B$306,0))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BIRLACABLE</t>
        </is>
      </c>
      <c r="D196" s="31" t="inlineStr">
        <is>
          <t>Birla Cable Limited</t>
        </is>
      </c>
      <c r="E196" s="31" t="inlineStr">
        <is>
          <t>industrials</t>
        </is>
      </c>
      <c r="F196" s="31" t="inlineStr">
        <is>
          <t>cables - telephone</t>
        </is>
      </c>
      <c r="G196" s="31" t="inlineStr">
        <is>
          <t>smallcap</t>
        </is>
      </c>
      <c r="H196" s="32" t="n">
        <v>671.7</v>
      </c>
      <c r="I196" s="32" t="n">
        <v>223.9</v>
      </c>
      <c r="J196" s="32" t="n">
        <v>-5</v>
      </c>
      <c r="K196" s="32" t="n">
        <v>318293</v>
      </c>
      <c r="L196" s="31" t="n">
        <v>70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73.64</v>
      </c>
      <c r="P196" s="32" t="n">
        <v>27.4</v>
      </c>
      <c r="Q196" s="32" t="n">
        <v>164.75</v>
      </c>
      <c r="R196" s="31" t="inlineStr">
        <is>
          <t>Volume Spike &amp; Near 52W High Breakout</t>
        </is>
      </c>
      <c r="S196" s="31" t="inlineStr">
        <is>
          <t>Nifty Infra</t>
        </is>
      </c>
      <c r="T196" s="32" t="n">
        <v>1.11</v>
      </c>
      <c r="U196" s="32" t="n">
        <v>23.39</v>
      </c>
      <c r="V196" s="32" t="n">
        <v>22.04</v>
      </c>
      <c r="W196" s="32" t="n">
        <v>19.42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Negative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IF(B197=0,"",RANK(B197,$B$2:$B$306,0))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VINDHYATEL</t>
        </is>
      </c>
      <c r="D197" s="31" t="inlineStr">
        <is>
          <t>Vindhya Telelinks Limited</t>
        </is>
      </c>
      <c r="E197" s="31" t="inlineStr">
        <is>
          <t>realty</t>
        </is>
      </c>
      <c r="F197" s="31" t="inlineStr">
        <is>
          <t>construction</t>
        </is>
      </c>
      <c r="G197" s="31" t="inlineStr">
        <is>
          <t>smallcap</t>
        </is>
      </c>
      <c r="H197" s="32" t="n">
        <v>2362.23</v>
      </c>
      <c r="I197" s="32" t="n">
        <v>1993.3</v>
      </c>
      <c r="J197" s="32" t="n">
        <v>-7.81</v>
      </c>
      <c r="K197" s="32" t="n">
        <v>108244</v>
      </c>
      <c r="L197" s="31" t="n">
        <v>86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64.73999999999999</v>
      </c>
      <c r="P197" s="32" t="n">
        <v>32.3</v>
      </c>
      <c r="Q197" s="32" t="n">
        <v>1543.43</v>
      </c>
      <c r="R197" s="31" t="inlineStr">
        <is>
          <t>Volume Spike / Accumulation</t>
        </is>
      </c>
      <c r="S197" s="31" t="inlineStr">
        <is>
          <t>Nifty Realty</t>
        </is>
      </c>
      <c r="T197" s="32" t="n">
        <v>-26.04</v>
      </c>
      <c r="U197" s="32" t="n">
        <v>19.62</v>
      </c>
      <c r="V197" s="32" t="n">
        <v>61.73</v>
      </c>
      <c r="W197" s="32" t="n">
        <v>30.71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Negative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IF(B198=0,"",RANK(B198,$B$2:$B$306,0))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RAMCOSYS</t>
        </is>
      </c>
      <c r="D198" s="31" t="inlineStr">
        <is>
          <t>Ramco Systems Limited</t>
        </is>
      </c>
      <c r="E198" s="31" t="inlineStr">
        <is>
          <t>i.t</t>
        </is>
      </c>
      <c r="F198" s="31" t="inlineStr">
        <is>
          <t>computers - software - medium / small</t>
        </is>
      </c>
      <c r="G198" s="31" t="inlineStr">
        <is>
          <t>smallcap</t>
        </is>
      </c>
      <c r="H198" s="32" t="n">
        <v>2103.49</v>
      </c>
      <c r="I198" s="32" t="n">
        <v>562.25</v>
      </c>
      <c r="J198" s="32" t="n">
        <v>17.96</v>
      </c>
      <c r="K198" s="32" t="n">
        <v>10906275</v>
      </c>
      <c r="L198" s="31" t="n">
        <v>59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61.24</v>
      </c>
      <c r="P198" s="32" t="n">
        <v>15.77</v>
      </c>
      <c r="Q198" s="32" t="n">
        <v>382.77</v>
      </c>
      <c r="R198" s="31" t="inlineStr">
        <is>
          <t>Volume Spike / Accumulation</t>
        </is>
      </c>
      <c r="S198" s="31" t="inlineStr">
        <is>
          <t>Nifty IT</t>
        </is>
      </c>
      <c r="T198" s="32" t="n">
        <v>-22.21</v>
      </c>
      <c r="U198" s="32" t="n">
        <v>21.92</v>
      </c>
      <c r="V198" s="32" t="n">
        <v>56.74</v>
      </c>
      <c r="W198" s="32" t="n">
        <v>15.59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IF(B199=0,"",RANK(B199,$B$2:$B$306,0))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FORTIS</t>
        </is>
      </c>
      <c r="D199" s="31" t="inlineStr">
        <is>
          <t>Fortis Healthcare Limited</t>
        </is>
      </c>
      <c r="E199" s="31" t="inlineStr">
        <is>
          <t>healthcare</t>
        </is>
      </c>
      <c r="F199" s="31" t="inlineStr">
        <is>
          <t>healthcare</t>
        </is>
      </c>
      <c r="G199" s="31" t="inlineStr">
        <is>
          <t>largecap</t>
        </is>
      </c>
      <c r="H199" s="32" t="n">
        <v>73129.02</v>
      </c>
      <c r="I199" s="32" t="n">
        <v>968.65</v>
      </c>
      <c r="J199" s="32" t="n">
        <v>2.98</v>
      </c>
      <c r="K199" s="32" t="n">
        <v>1545060</v>
      </c>
      <c r="L199" s="31" t="n">
        <v>28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59.17</v>
      </c>
      <c r="P199" s="32" t="n">
        <v>13.61</v>
      </c>
      <c r="Q199" s="32" t="n">
        <v>802.2</v>
      </c>
      <c r="R199" s="31" t="inlineStr">
        <is>
          <t>Earnings / Momentum Support</t>
        </is>
      </c>
      <c r="S199" s="31" t="inlineStr">
        <is>
          <t>Nifty Pharma</t>
        </is>
      </c>
      <c r="T199" s="32" t="n">
        <v>11.82</v>
      </c>
      <c r="U199" s="32" t="n">
        <v>27.05</v>
      </c>
      <c r="V199" s="32" t="n">
        <v>13.62</v>
      </c>
      <c r="W199" s="32" t="n">
        <v>7.11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Between 1.5 to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IF(B200=0,"",RANK(B200,$B$2:$B$306,0))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GOKULAGRO</t>
        </is>
      </c>
      <c r="D200" s="31" t="inlineStr">
        <is>
          <t>Gokul Agro Resources Limited</t>
        </is>
      </c>
      <c r="E200" s="31" t="inlineStr">
        <is>
          <t>fmcg</t>
        </is>
      </c>
      <c r="F200" s="31" t="inlineStr">
        <is>
          <t>solvent extraction</t>
        </is>
      </c>
      <c r="G200" s="31" t="inlineStr">
        <is>
          <t>midcap</t>
        </is>
      </c>
      <c r="H200" s="32" t="n">
        <v>6871.09</v>
      </c>
      <c r="I200" s="32" t="n">
        <v>232.85</v>
      </c>
      <c r="J200" s="32" t="n">
        <v>0.45</v>
      </c>
      <c r="K200" s="32" t="n">
        <v>128711</v>
      </c>
      <c r="L200" s="31" t="n">
        <v>71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66.16</v>
      </c>
      <c r="P200" s="32" t="n">
        <v>35.42</v>
      </c>
      <c r="Q200" s="32" t="n">
        <v>180.11</v>
      </c>
      <c r="R200" s="31" t="inlineStr">
        <is>
          <t>Near 52W High Breakout</t>
        </is>
      </c>
      <c r="S200" s="31" t="inlineStr">
        <is>
          <t>Nifty FMCG</t>
        </is>
      </c>
      <c r="T200" s="32" t="n">
        <v>-13.44</v>
      </c>
      <c r="U200" s="32" t="n">
        <v>66.19</v>
      </c>
      <c r="V200" s="32" t="n">
        <v>92</v>
      </c>
      <c r="W200" s="32" t="n">
        <v>20.4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B2C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IF(B201=0,"",RANK(B201,$B$2:$B$306,0))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BBOX</t>
        </is>
      </c>
      <c r="D201" s="31" t="inlineStr">
        <is>
          <t>Black Box Ltd</t>
        </is>
      </c>
      <c r="E201" s="31" t="inlineStr">
        <is>
          <t>i.t</t>
        </is>
      </c>
      <c r="F201" s="31" t="inlineStr">
        <is>
          <t>computers - software - medium / small</t>
        </is>
      </c>
      <c r="G201" s="31" t="inlineStr">
        <is>
          <t>midcap</t>
        </is>
      </c>
      <c r="H201" s="32" t="n">
        <v>19043.47</v>
      </c>
      <c r="I201" s="32" t="n">
        <v>1072.9</v>
      </c>
      <c r="J201" s="32" t="n">
        <v>-0.49</v>
      </c>
      <c r="K201" s="32" t="n">
        <v>616162</v>
      </c>
      <c r="L201" s="31" t="n">
        <v>94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85.91</v>
      </c>
      <c r="P201" s="32" t="n">
        <v>31.4</v>
      </c>
      <c r="Q201" s="32" t="n">
        <v>845.74</v>
      </c>
      <c r="R201" s="31" t="inlineStr">
        <is>
          <t>Near 52W High Breakout</t>
        </is>
      </c>
      <c r="S201" s="31" t="inlineStr">
        <is>
          <t>Nifty IT</t>
        </is>
      </c>
      <c r="T201" s="32" t="n">
        <v>-22.21</v>
      </c>
      <c r="U201" s="32" t="n">
        <v>91.81999999999999</v>
      </c>
      <c r="V201" s="32" t="n">
        <v>146.6</v>
      </c>
      <c r="W201" s="32" t="n">
        <v>42.85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IF(B202=0,"",RANK(B202,$B$2:$B$306,0))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ADANIGREEN</t>
        </is>
      </c>
      <c r="D202" s="31" t="inlineStr">
        <is>
          <t>Adani Green Energy Ltd</t>
        </is>
      </c>
      <c r="E202" s="31" t="inlineStr">
        <is>
          <t>power &amp; utilities</t>
        </is>
      </c>
      <c r="F202" s="31" t="inlineStr">
        <is>
          <t>power generation and supply</t>
        </is>
      </c>
      <c r="G202" s="31" t="inlineStr">
        <is>
          <t>largecap</t>
        </is>
      </c>
      <c r="H202" s="32" t="n">
        <v>251309.67</v>
      </c>
      <c r="I202" s="32" t="n">
        <v>1525.7</v>
      </c>
      <c r="J202" s="32" t="n">
        <v>7.19</v>
      </c>
      <c r="K202" s="32" t="n">
        <v>10448500</v>
      </c>
      <c r="L202" s="31" t="n">
        <v>84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76.55</v>
      </c>
      <c r="P202" s="32" t="n">
        <v>34.21</v>
      </c>
      <c r="Q202" s="32" t="n">
        <v>1199.47</v>
      </c>
      <c r="R202" s="31" t="inlineStr">
        <is>
          <t>Near 52W High Breakout</t>
        </is>
      </c>
      <c r="S202" s="31" t="inlineStr">
        <is>
          <t>Nifty IT</t>
        </is>
      </c>
      <c r="T202" s="32" t="n">
        <v>-22.21</v>
      </c>
      <c r="U202" s="32" t="n">
        <v>49.75</v>
      </c>
      <c r="V202" s="32" t="n">
        <v>92.52</v>
      </c>
      <c r="W202" s="32" t="n">
        <v>28.11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More than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IF(B203=0,"",RANK(B203,$B$2:$B$306,0))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DIACABS</t>
        </is>
      </c>
      <c r="D203" s="31" t="inlineStr">
        <is>
          <t>Diamond Power Infrastructure Ltd</t>
        </is>
      </c>
      <c r="E203" s="31" t="inlineStr">
        <is>
          <t>industrials</t>
        </is>
      </c>
      <c r="F203" s="31" t="inlineStr">
        <is>
          <t>cables - power</t>
        </is>
      </c>
      <c r="G203" s="31" t="inlineStr">
        <is>
          <t>midcap</t>
        </is>
      </c>
      <c r="H203" s="32" t="n">
        <v>10729.13</v>
      </c>
      <c r="I203" s="32" t="n">
        <v>203.6</v>
      </c>
      <c r="J203" s="32" t="n">
        <v>5.66</v>
      </c>
      <c r="K203" s="32" t="n">
        <v>10037123</v>
      </c>
      <c r="L203" s="31" t="n">
        <v>83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76.54000000000001</v>
      </c>
      <c r="P203" s="32" t="n">
        <v>29.5</v>
      </c>
      <c r="Q203" s="32" t="n">
        <v>151.68</v>
      </c>
      <c r="R203" s="31" t="inlineStr">
        <is>
          <t>Volume Spike &amp; Near 52W High Breakout</t>
        </is>
      </c>
      <c r="S203" s="31" t="inlineStr">
        <is>
          <t>Nifty Energy</t>
        </is>
      </c>
      <c r="T203" s="32" t="n">
        <v>12.31</v>
      </c>
      <c r="U203" s="32" t="n">
        <v>101.03</v>
      </c>
      <c r="V203" s="32" t="n">
        <v>78.98999999999999</v>
      </c>
      <c r="W203" s="32" t="n">
        <v>27.43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Negative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IF(B204=0,"",RANK(B204,$B$2:$B$306,0))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RICOAUTO</t>
        </is>
      </c>
      <c r="D204" s="31" t="inlineStr">
        <is>
          <t>Rico Auto Industries Limited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smallcap</t>
        </is>
      </c>
      <c r="H204" s="32" t="n">
        <v>1851.38</v>
      </c>
      <c r="I204" s="32" t="n">
        <v>136.85</v>
      </c>
      <c r="J204" s="32" t="n">
        <v>4.17</v>
      </c>
      <c r="K204" s="32" t="n">
        <v>20107949</v>
      </c>
      <c r="L204" s="31" t="n">
        <v>59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61.47</v>
      </c>
      <c r="P204" s="32" t="n">
        <v>16.5</v>
      </c>
      <c r="Q204" s="32" t="n">
        <v>95.73</v>
      </c>
      <c r="R204" s="31" t="inlineStr">
        <is>
          <t>Volume Spike &amp; Near 52W High Breakout</t>
        </is>
      </c>
      <c r="S204" s="31" t="inlineStr">
        <is>
          <t>Nifty Auto</t>
        </is>
      </c>
      <c r="T204" s="32" t="n">
        <v>10.59</v>
      </c>
      <c r="U204" s="32" t="n">
        <v>67.75</v>
      </c>
      <c r="V204" s="32" t="n">
        <v>51.7</v>
      </c>
      <c r="W204" s="32" t="n">
        <v>15.48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IF(B205=0,"",RANK(B205,$B$2:$B$306,0))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SFL</t>
        </is>
      </c>
      <c r="D205" s="31" t="inlineStr">
        <is>
          <t>Sheela Foam Limited</t>
        </is>
      </c>
      <c r="E205" s="31" t="inlineStr">
        <is>
          <t>consumer discretionary</t>
        </is>
      </c>
      <c r="F205" s="31" t="inlineStr">
        <is>
          <t>miscellaneous</t>
        </is>
      </c>
      <c r="G205" s="31" t="inlineStr">
        <is>
          <t>midcap</t>
        </is>
      </c>
      <c r="H205" s="32" t="n">
        <v>6987.39</v>
      </c>
      <c r="I205" s="32" t="n">
        <v>642.75</v>
      </c>
      <c r="J205" s="32" t="n">
        <v>3.15</v>
      </c>
      <c r="K205" s="32" t="n">
        <v>500842</v>
      </c>
      <c r="L205" s="31" t="n">
        <v>20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59.66</v>
      </c>
      <c r="P205" s="32" t="n">
        <v>17.78</v>
      </c>
      <c r="Q205" s="32" t="n">
        <v>481.17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-6.54</v>
      </c>
      <c r="U205" s="32" t="n">
        <v>-0.09</v>
      </c>
      <c r="V205" s="32" t="n">
        <v>6.91</v>
      </c>
      <c r="W205" s="32" t="n">
        <v>5.64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IF(B206=0,"",RANK(B206,$B$2:$B$306,0))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SUPRAJIT</t>
        </is>
      </c>
      <c r="D206" s="33" t="inlineStr">
        <is>
          <t>Suprajit Engineering Limited</t>
        </is>
      </c>
      <c r="E206" s="31" t="inlineStr">
        <is>
          <t>auto</t>
        </is>
      </c>
      <c r="F206" s="31" t="inlineStr">
        <is>
          <t>auto ancillaries</t>
        </is>
      </c>
      <c r="G206" s="31" t="inlineStr">
        <is>
          <t>midcap</t>
        </is>
      </c>
      <c r="H206" s="32" t="n">
        <v>6525.92</v>
      </c>
      <c r="I206" s="32" t="n">
        <v>475.75</v>
      </c>
      <c r="J206" s="32" t="n">
        <v>1.07</v>
      </c>
      <c r="K206" s="32" t="n">
        <v>230617</v>
      </c>
      <c r="L206" s="31" t="n">
        <v>7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58.74</v>
      </c>
      <c r="P206" s="32" t="n">
        <v>16.7</v>
      </c>
      <c r="Q206" s="32" t="n">
        <v>372.09</v>
      </c>
      <c r="R206" s="31" t="inlineStr">
        <is>
          <t>Volume Spike &amp; Near 52W High Breakout</t>
        </is>
      </c>
      <c r="S206" s="31" t="inlineStr">
        <is>
          <t>Nifty Auto</t>
        </is>
      </c>
      <c r="T206" s="32" t="n">
        <v>10.59</v>
      </c>
      <c r="U206" s="32" t="n">
        <v>0.32</v>
      </c>
      <c r="V206" s="32" t="n">
        <v>-9.279999999999999</v>
      </c>
      <c r="W206" s="32" t="n">
        <v>2.63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IF(B207=0,"",RANK(B207,$B$2:$B$306,0))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ASIANPAINT</t>
        </is>
      </c>
      <c r="D207" s="31" t="inlineStr">
        <is>
          <t>Asian Paints Limited</t>
        </is>
      </c>
      <c r="E207" s="31" t="inlineStr">
        <is>
          <t>building materials</t>
        </is>
      </c>
      <c r="F207" s="31" t="inlineStr">
        <is>
          <t>paints / varnishes</t>
        </is>
      </c>
      <c r="G207" s="31" t="inlineStr">
        <is>
          <t>largecap</t>
        </is>
      </c>
      <c r="H207" s="32" t="n">
        <v>257707.67</v>
      </c>
      <c r="I207" s="32" t="n">
        <v>2686.7</v>
      </c>
      <c r="J207" s="32" t="n">
        <v>0.9399999999999999</v>
      </c>
      <c r="K207" s="32" t="n">
        <v>1615011</v>
      </c>
      <c r="L207" s="31" t="n">
        <v>34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60.77</v>
      </c>
      <c r="P207" s="32" t="n">
        <v>19.92</v>
      </c>
      <c r="Q207" s="32" t="n">
        <v>2256.44</v>
      </c>
      <c r="R207" s="31" t="inlineStr">
        <is>
          <t>Earnings / Momentum Support</t>
        </is>
      </c>
      <c r="S207" s="31" t="inlineStr">
        <is>
          <t>Nifty Infra</t>
        </is>
      </c>
      <c r="T207" s="32" t="n">
        <v>1.11</v>
      </c>
      <c r="U207" s="32" t="n">
        <v>20.96</v>
      </c>
      <c r="V207" s="32" t="n">
        <v>19.62</v>
      </c>
      <c r="W207" s="32" t="n">
        <v>8.75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IF(B208=0,"",RANK(B208,$B$2:$B$306,0))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SJS</t>
        </is>
      </c>
      <c r="D208" s="31" t="inlineStr">
        <is>
          <t>S J S Enterprises Ltd</t>
        </is>
      </c>
      <c r="E208" s="31" t="inlineStr">
        <is>
          <t>auto</t>
        </is>
      </c>
      <c r="F208" s="31" t="inlineStr">
        <is>
          <t>plastics products</t>
        </is>
      </c>
      <c r="G208" s="31" t="inlineStr">
        <is>
          <t>midcap</t>
        </is>
      </c>
      <c r="H208" s="32" t="n">
        <v>6411.51</v>
      </c>
      <c r="I208" s="32" t="n">
        <v>2003.8</v>
      </c>
      <c r="J208" s="32" t="n">
        <v>0.7</v>
      </c>
      <c r="K208" s="32" t="n">
        <v>49604</v>
      </c>
      <c r="L208" s="31" t="n">
        <v>65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60.58</v>
      </c>
      <c r="P208" s="32" t="n">
        <v>19.45</v>
      </c>
      <c r="Q208" s="32" t="n">
        <v>1629.77</v>
      </c>
      <c r="R208" s="31" t="inlineStr">
        <is>
          <t>Near 52W High Breakout</t>
        </is>
      </c>
      <c r="S208" s="31" t="inlineStr">
        <is>
          <t>Nifty Auto</t>
        </is>
      </c>
      <c r="T208" s="32" t="n">
        <v>10.59</v>
      </c>
      <c r="U208" s="32" t="n">
        <v>79.81</v>
      </c>
      <c r="V208" s="32" t="n">
        <v>62.6</v>
      </c>
      <c r="W208" s="32" t="n">
        <v>17.63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IF(B209=0,"",RANK(B209,$B$2:$B$306,0))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PREMEXPLN</t>
        </is>
      </c>
      <c r="D209" s="31" t="inlineStr">
        <is>
          <t>Premier Explosives Limited</t>
        </is>
      </c>
      <c r="E209" s="31" t="inlineStr">
        <is>
          <t>aerospace &amp; defence</t>
        </is>
      </c>
      <c r="F209" s="31" t="inlineStr">
        <is>
          <t>chemicals</t>
        </is>
      </c>
      <c r="G209" s="31" t="inlineStr">
        <is>
          <t>smallcap</t>
        </is>
      </c>
      <c r="H209" s="32" t="n">
        <v>3686.14</v>
      </c>
      <c r="I209" s="32" t="n">
        <v>685.65</v>
      </c>
      <c r="J209" s="32" t="n">
        <v>0.18</v>
      </c>
      <c r="K209" s="32" t="n">
        <v>1518822</v>
      </c>
      <c r="L209" s="31" t="n">
        <v>42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67.47</v>
      </c>
      <c r="P209" s="32" t="n">
        <v>16.34</v>
      </c>
      <c r="Q209" s="32" t="n">
        <v>481.9</v>
      </c>
      <c r="R209" s="31" t="inlineStr">
        <is>
          <t>Near 52W High Breakout</t>
        </is>
      </c>
      <c r="S209" s="31" t="inlineStr">
        <is>
          <t>Nifty IT</t>
        </is>
      </c>
      <c r="T209" s="32" t="n">
        <v>-22.21</v>
      </c>
      <c r="U209" s="32" t="n">
        <v>15.65</v>
      </c>
      <c r="V209" s="32" t="n">
        <v>48.68</v>
      </c>
      <c r="W209" s="32" t="n">
        <v>11.01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Negative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IF(B210=0,"",RANK(B210,$B$2:$B$306,0))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GMRAIRPORT</t>
        </is>
      </c>
      <c r="D210" s="31" t="inlineStr">
        <is>
          <t>GMR Airports Ltd</t>
        </is>
      </c>
      <c r="E210" s="31" t="inlineStr">
        <is>
          <t>miscellaneous</t>
        </is>
      </c>
      <c r="F210" s="31" t="inlineStr">
        <is>
          <t>miscellaneous</t>
        </is>
      </c>
      <c r="G210" s="31" t="inlineStr">
        <is>
          <t>largecap</t>
        </is>
      </c>
      <c r="H210" s="32" t="n">
        <v>107733.23</v>
      </c>
      <c r="I210" s="32" t="n">
        <v>102.03</v>
      </c>
      <c r="J210" s="32" t="n">
        <v>0.04</v>
      </c>
      <c r="K210" s="32" t="n">
        <v>21055639</v>
      </c>
      <c r="L210" s="31" t="n">
        <v>19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57.43</v>
      </c>
      <c r="P210" s="32" t="n">
        <v>11.29</v>
      </c>
      <c r="Q210" s="32" t="n">
        <v>81.94</v>
      </c>
      <c r="R210" s="31" t="inlineStr">
        <is>
          <t>Volume Spike / Accumulation</t>
        </is>
      </c>
      <c r="S210" s="31" t="inlineStr">
        <is>
          <t>Nifty 500</t>
        </is>
      </c>
      <c r="T210" s="32" t="n">
        <v>-3.02</v>
      </c>
      <c r="U210" s="32" t="n">
        <v>18.28</v>
      </c>
      <c r="V210" s="32" t="n">
        <v>21.97</v>
      </c>
      <c r="W210" s="32" t="n">
        <v>5.31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IF(B211=0,"",RANK(B211,$B$2:$B$306,0))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CEIGALL</t>
        </is>
      </c>
      <c r="D211" s="31" t="inlineStr">
        <is>
          <t>Ceigall India Ltd</t>
        </is>
      </c>
      <c r="E211" s="31" t="inlineStr">
        <is>
          <t>realty</t>
        </is>
      </c>
      <c r="F211" s="31" t="inlineStr">
        <is>
          <t>construction</t>
        </is>
      </c>
      <c r="G211" s="31" t="inlineStr">
        <is>
          <t>midcap</t>
        </is>
      </c>
      <c r="H211" s="32" t="n">
        <v>6245.24</v>
      </c>
      <c r="I211" s="32" t="n">
        <v>358.5</v>
      </c>
      <c r="J211" s="32" t="n">
        <v>0</v>
      </c>
      <c r="K211" s="32" t="n">
        <v>595015</v>
      </c>
      <c r="L211" s="31" t="n">
        <v>57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68.81</v>
      </c>
      <c r="P211" s="32" t="n">
        <v>41.58</v>
      </c>
      <c r="Q211" s="32" t="n">
        <v>298.02</v>
      </c>
      <c r="R211" s="31" t="inlineStr">
        <is>
          <t>Near 52W High Breakout</t>
        </is>
      </c>
      <c r="S211" s="31" t="inlineStr">
        <is>
          <t>Nifty Realty</t>
        </is>
      </c>
      <c r="T211" s="32" t="n">
        <v>-26.04</v>
      </c>
      <c r="U211" s="32" t="n">
        <v>46.43</v>
      </c>
      <c r="V211" s="32" t="n">
        <v>97.98</v>
      </c>
      <c r="W211" s="32" t="n">
        <v>14.86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Negative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IF(B212=0,"",RANK(B212,$B$2:$B$306,0))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SHYAMMETL</t>
        </is>
      </c>
      <c r="D212" s="33" t="inlineStr">
        <is>
          <t>Shyam Metalics &amp; Energy Ltd</t>
        </is>
      </c>
      <c r="E212" s="31" t="inlineStr">
        <is>
          <t>metals &amp; mining</t>
        </is>
      </c>
      <c r="F212" s="31" t="inlineStr">
        <is>
          <t>steel - large</t>
        </is>
      </c>
      <c r="G212" s="31" t="inlineStr">
        <is>
          <t>largecap</t>
        </is>
      </c>
      <c r="H212" s="32" t="n">
        <v>27949.47</v>
      </c>
      <c r="I212" s="32" t="n">
        <v>1001.3</v>
      </c>
      <c r="J212" s="32" t="n">
        <v>-0.07000000000000001</v>
      </c>
      <c r="K212" s="32" t="n">
        <v>663549</v>
      </c>
      <c r="L212" s="31" t="n">
        <v>34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65.81</v>
      </c>
      <c r="P212" s="32" t="n">
        <v>14.17</v>
      </c>
      <c r="Q212" s="32" t="n">
        <v>806.87</v>
      </c>
      <c r="R212" s="31" t="inlineStr">
        <is>
          <t>Near 52W High Breakout</t>
        </is>
      </c>
      <c r="S212" s="31" t="inlineStr">
        <is>
          <t>Nifty Metal</t>
        </is>
      </c>
      <c r="T212" s="32" t="n">
        <v>40.56</v>
      </c>
      <c r="U212" s="32" t="n">
        <v>15.57</v>
      </c>
      <c r="V212" s="32" t="n">
        <v>-17.78</v>
      </c>
      <c r="W212" s="32" t="n">
        <v>8.92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IF(B213=0,"",RANK(B213,$B$2:$B$306,0))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DLINKINDIA</t>
        </is>
      </c>
      <c r="D213" s="31" t="inlineStr">
        <is>
          <t>D-link (india) Limited</t>
        </is>
      </c>
      <c r="E213" s="31" t="inlineStr">
        <is>
          <t>services</t>
        </is>
      </c>
      <c r="F213" s="31" t="inlineStr">
        <is>
          <t>trading</t>
        </is>
      </c>
      <c r="G213" s="31" t="inlineStr">
        <is>
          <t>smallcap</t>
        </is>
      </c>
      <c r="H213" s="32" t="n">
        <v>1695.36</v>
      </c>
      <c r="I213" s="32" t="n">
        <v>477.5</v>
      </c>
      <c r="J213" s="32" t="n">
        <v>-0.51</v>
      </c>
      <c r="K213" s="32" t="n">
        <v>114871</v>
      </c>
      <c r="L213" s="31" t="n">
        <v>15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60.84</v>
      </c>
      <c r="P213" s="32" t="n">
        <v>23.25</v>
      </c>
      <c r="Q213" s="32" t="n">
        <v>389.36</v>
      </c>
      <c r="R213" s="31" t="inlineStr">
        <is>
          <t>Earnings / Momentum Support</t>
        </is>
      </c>
      <c r="S213" s="31" t="inlineStr">
        <is>
          <t>Nifty 50</t>
        </is>
      </c>
      <c r="T213" s="32" t="n">
        <v>-6.54</v>
      </c>
      <c r="U213" s="32" t="n">
        <v>-0.34</v>
      </c>
      <c r="V213" s="32" t="n">
        <v>6.64</v>
      </c>
      <c r="W213" s="32" t="n">
        <v>4.46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IF(B214=0,"",RANK(B214,$B$2:$B$306,0))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GRASIM</t>
        </is>
      </c>
      <c r="D214" s="31" t="inlineStr">
        <is>
          <t>Grasim Industries Limited</t>
        </is>
      </c>
      <c r="E214" s="31" t="inlineStr">
        <is>
          <t>textiles</t>
        </is>
      </c>
      <c r="F214" s="31" t="inlineStr">
        <is>
          <t>textiles - manmade</t>
        </is>
      </c>
      <c r="G214" s="31" t="inlineStr">
        <is>
          <t>largecap</t>
        </is>
      </c>
      <c r="H214" s="32" t="n">
        <v>210142.86</v>
      </c>
      <c r="I214" s="32" t="n">
        <v>3087.7</v>
      </c>
      <c r="J214" s="32" t="n">
        <v>-0.51</v>
      </c>
      <c r="K214" s="32" t="n">
        <v>697168</v>
      </c>
      <c r="L214" s="31" t="n">
        <v>25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63.81</v>
      </c>
      <c r="P214" s="32" t="n">
        <v>21.55</v>
      </c>
      <c r="Q214" s="32" t="n">
        <v>2732.23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-6.54</v>
      </c>
      <c r="U214" s="32" t="n">
        <v>20.37</v>
      </c>
      <c r="V214" s="32" t="n">
        <v>28.8</v>
      </c>
      <c r="W214" s="32" t="n">
        <v>6.68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Negative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IF(B215=0,"",RANK(B215,$B$2:$B$306,0))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WELSPUNLIV</t>
        </is>
      </c>
      <c r="D215" s="31" t="inlineStr">
        <is>
          <t>Welspun Living Ltd</t>
        </is>
      </c>
      <c r="E215" s="31" t="inlineStr">
        <is>
          <t>textiles</t>
        </is>
      </c>
      <c r="F215" s="31" t="inlineStr">
        <is>
          <t>textiles - products</t>
        </is>
      </c>
      <c r="G215" s="31" t="inlineStr">
        <is>
          <t>midcap</t>
        </is>
      </c>
      <c r="H215" s="32" t="n">
        <v>13728.35</v>
      </c>
      <c r="I215" s="32" t="n">
        <v>143.13</v>
      </c>
      <c r="J215" s="32" t="n">
        <v>-0.8</v>
      </c>
      <c r="K215" s="32" t="n">
        <v>637847</v>
      </c>
      <c r="L215" s="31" t="n">
        <v>22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61.16</v>
      </c>
      <c r="P215" s="32" t="n">
        <v>16.23</v>
      </c>
      <c r="Q215" s="32" t="n">
        <v>110.91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-6.54</v>
      </c>
      <c r="U215" s="32" t="n">
        <v>5.56</v>
      </c>
      <c r="V215" s="32" t="n">
        <v>12.95</v>
      </c>
      <c r="W215" s="32" t="n">
        <v>5.88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IF(B216=0,"",RANK(B216,$B$2:$B$306,0))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KPRMILL</t>
        </is>
      </c>
      <c r="D216" s="31" t="inlineStr">
        <is>
          <t>K.p.r. Mill Limited</t>
        </is>
      </c>
      <c r="E216" s="31" t="inlineStr">
        <is>
          <t>consumer discretionary</t>
        </is>
      </c>
      <c r="F216" s="31" t="inlineStr">
        <is>
          <t>textiles - products</t>
        </is>
      </c>
      <c r="G216" s="31" t="inlineStr">
        <is>
          <t>largecap</t>
        </is>
      </c>
      <c r="H216" s="32" t="n">
        <v>37139.8</v>
      </c>
      <c r="I216" s="32" t="n">
        <v>1086.55</v>
      </c>
      <c r="J216" s="32" t="n">
        <v>-1.51</v>
      </c>
      <c r="K216" s="32" t="n">
        <v>195566</v>
      </c>
      <c r="L216" s="31" t="n">
        <v>23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66.22</v>
      </c>
      <c r="P216" s="32" t="n">
        <v>19.73</v>
      </c>
      <c r="Q216" s="32" t="n">
        <v>854.08</v>
      </c>
      <c r="R216" s="31" t="inlineStr">
        <is>
          <t>Volume Spike / Accumulation</t>
        </is>
      </c>
      <c r="S216" s="31" t="inlineStr">
        <is>
          <t>Nifty 50</t>
        </is>
      </c>
      <c r="T216" s="32" t="n">
        <v>-6.54</v>
      </c>
      <c r="U216" s="32" t="n">
        <v>-3.43</v>
      </c>
      <c r="V216" s="32" t="n">
        <v>3.34</v>
      </c>
      <c r="W216" s="32" t="n">
        <v>6.27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IF(B217=0,"",RANK(B217,$B$2:$B$306,0))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ANTELOPUS</t>
        </is>
      </c>
      <c r="D217" s="31" t="inlineStr">
        <is>
          <t>Antelopus Selan Energy Ltd</t>
        </is>
      </c>
      <c r="E217" s="31" t="inlineStr">
        <is>
          <t>energy</t>
        </is>
      </c>
      <c r="F217" s="31" t="inlineStr">
        <is>
          <t>oil drilling / allied services</t>
        </is>
      </c>
      <c r="G217" s="31" t="inlineStr">
        <is>
          <t>smallcap</t>
        </is>
      </c>
      <c r="H217" s="32" t="n">
        <v>3162.33</v>
      </c>
      <c r="I217" s="32" t="n">
        <v>899.35</v>
      </c>
      <c r="J217" s="32" t="n">
        <v>-1.75</v>
      </c>
      <c r="K217" s="32" t="n">
        <v>218479</v>
      </c>
      <c r="L217" s="31" t="n">
        <v>77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71.73999999999999</v>
      </c>
      <c r="P217" s="32" t="n">
        <v>39.6</v>
      </c>
      <c r="Q217" s="32" t="n">
        <v>628.8099999999999</v>
      </c>
      <c r="R217" s="31" t="inlineStr">
        <is>
          <t>Near 52W High Breakout</t>
        </is>
      </c>
      <c r="S217" s="31" t="inlineStr">
        <is>
          <t>Nifty Energy</t>
        </is>
      </c>
      <c r="T217" s="32" t="n">
        <v>12.31</v>
      </c>
      <c r="U217" s="32" t="n">
        <v>49.28</v>
      </c>
      <c r="V217" s="32" t="n">
        <v>32.92</v>
      </c>
      <c r="W217" s="32" t="n">
        <v>24.04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IF(B218=0,"",RANK(B218,$B$2:$B$306,0))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GOLDIAM</t>
        </is>
      </c>
      <c r="D218" s="31" t="inlineStr">
        <is>
          <t>Goldiam International Limited</t>
        </is>
      </c>
      <c r="E218" s="31" t="inlineStr">
        <is>
          <t>consumer discretionary</t>
        </is>
      </c>
      <c r="F218" s="31" t="inlineStr">
        <is>
          <t>diamond cutting / jewellery</t>
        </is>
      </c>
      <c r="G218" s="31" t="inlineStr">
        <is>
          <t>smallcap</t>
        </is>
      </c>
      <c r="H218" s="32" t="n">
        <v>4760.62</v>
      </c>
      <c r="I218" s="32" t="n">
        <v>421.6</v>
      </c>
      <c r="J218" s="32" t="n">
        <v>-2.35</v>
      </c>
      <c r="K218" s="32" t="n">
        <v>510424</v>
      </c>
      <c r="L218" s="31" t="n">
        <v>40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58.61</v>
      </c>
      <c r="P218" s="32" t="n">
        <v>22</v>
      </c>
      <c r="Q218" s="32" t="n">
        <v>306.78</v>
      </c>
      <c r="R218" s="31" t="inlineStr">
        <is>
          <t>Volume Spike &amp; Near 52W High Breakout</t>
        </is>
      </c>
      <c r="S218" s="31" t="inlineStr">
        <is>
          <t>Nifty 50</t>
        </is>
      </c>
      <c r="T218" s="32" t="n">
        <v>-6.54</v>
      </c>
      <c r="U218" s="32" t="n">
        <v>18.38</v>
      </c>
      <c r="V218" s="32" t="n">
        <v>26.67</v>
      </c>
      <c r="W218" s="32" t="n">
        <v>10.77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IF(B219=0,"",RANK(B219,$B$2:$B$306,0))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V2RETAIL</t>
        </is>
      </c>
      <c r="D219" s="31" t="inlineStr">
        <is>
          <t>V2 Retail Limited</t>
        </is>
      </c>
      <c r="E219" s="31" t="inlineStr">
        <is>
          <t>consumer discretionary</t>
        </is>
      </c>
      <c r="F219" s="31" t="inlineStr">
        <is>
          <t>textiles - products</t>
        </is>
      </c>
      <c r="G219" s="31" t="inlineStr">
        <is>
          <t>midcap</t>
        </is>
      </c>
      <c r="H219" s="32" t="n">
        <v>9042.65</v>
      </c>
      <c r="I219" s="32" t="n">
        <v>247.99</v>
      </c>
      <c r="J219" s="32" t="n">
        <v>-3.28</v>
      </c>
      <c r="K219" s="32" t="n">
        <v>1871365</v>
      </c>
      <c r="L219" s="31" t="n">
        <v>52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66.48</v>
      </c>
      <c r="P219" s="32" t="n">
        <v>26.15</v>
      </c>
      <c r="Q219" s="32" t="n">
        <v>182.91</v>
      </c>
      <c r="R219" s="31" t="inlineStr">
        <is>
          <t>Volume Spike &amp; Near 52W High Breakout</t>
        </is>
      </c>
      <c r="S219" s="31" t="inlineStr">
        <is>
          <t>Nifty 50</t>
        </is>
      </c>
      <c r="T219" s="32" t="n">
        <v>-6.54</v>
      </c>
      <c r="U219" s="32" t="n">
        <v>36.2</v>
      </c>
      <c r="V219" s="32" t="n">
        <v>45.74</v>
      </c>
      <c r="W219" s="32" t="n">
        <v>13.87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IF(B220=0,"",RANK(B220,$B$2:$B$306,0))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VADILALIND</t>
        </is>
      </c>
      <c r="D220" s="31" t="inlineStr">
        <is>
          <t>Vadilal Industries Limited</t>
        </is>
      </c>
      <c r="E220" s="31" t="inlineStr">
        <is>
          <t>fmcg</t>
        </is>
      </c>
      <c r="F220" s="31" t="inlineStr">
        <is>
          <t>food - processing - indian</t>
        </is>
      </c>
      <c r="G220" s="31" t="inlineStr">
        <is>
          <t>smallcap</t>
        </is>
      </c>
      <c r="H220" s="32" t="n">
        <v>4155.07</v>
      </c>
      <c r="I220" s="32" t="n">
        <v>5780.7</v>
      </c>
      <c r="J220" s="32" t="n">
        <v>5.24</v>
      </c>
      <c r="K220" s="32" t="n">
        <v>121955</v>
      </c>
      <c r="L220" s="31" t="n">
        <v>14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64.17</v>
      </c>
      <c r="P220" s="32" t="n">
        <v>11.06</v>
      </c>
      <c r="Q220" s="32" t="n">
        <v>4390.09</v>
      </c>
      <c r="R220" s="31" t="inlineStr">
        <is>
          <t>Volume Spike &amp; Near 52W High Breakout</t>
        </is>
      </c>
      <c r="S220" s="31" t="inlineStr">
        <is>
          <t>Nifty FMCG</t>
        </is>
      </c>
      <c r="T220" s="32" t="n">
        <v>-13.44</v>
      </c>
      <c r="U220" s="32" t="n">
        <v>6.54</v>
      </c>
      <c r="V220" s="32" t="n">
        <v>23.08</v>
      </c>
      <c r="W220" s="32" t="n">
        <v>4.13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B2C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1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Between 50% to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IF(B221=0,"",RANK(B221,$B$2:$B$306,0))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HMVL</t>
        </is>
      </c>
      <c r="D221" s="31" t="inlineStr">
        <is>
          <t>Hindustan Media Ventures Limited</t>
        </is>
      </c>
      <c r="E221" s="31" t="inlineStr">
        <is>
          <t>media</t>
        </is>
      </c>
      <c r="F221" s="31" t="inlineStr">
        <is>
          <t>entertainment / electronic media software</t>
        </is>
      </c>
      <c r="G221" s="31" t="inlineStr">
        <is>
          <t>smallcap</t>
        </is>
      </c>
      <c r="H221" s="32" t="n">
        <v>594.01</v>
      </c>
      <c r="I221" s="32" t="n">
        <v>80.63</v>
      </c>
      <c r="J221" s="32" t="n">
        <v>4.8</v>
      </c>
      <c r="K221" s="32" t="n">
        <v>87093</v>
      </c>
      <c r="L221" s="31" t="n">
        <v>11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64.3</v>
      </c>
      <c r="P221" s="32" t="n">
        <v>29.18</v>
      </c>
      <c r="Q221" s="32" t="n">
        <v>60.37</v>
      </c>
      <c r="R221" s="31" t="inlineStr">
        <is>
          <t>Volume Spike / Accumulation</t>
        </is>
      </c>
      <c r="S221" s="31" t="inlineStr">
        <is>
          <t>Nifty IT</t>
        </is>
      </c>
      <c r="T221" s="32" t="n">
        <v>-22.21</v>
      </c>
      <c r="U221" s="32" t="n">
        <v>-10.34</v>
      </c>
      <c r="V221" s="32" t="n">
        <v>15.26</v>
      </c>
      <c r="W221" s="32" t="n">
        <v>3.57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1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IF(B222=0,"",RANK(B222,$B$2:$B$306,0))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HTMEDIA</t>
        </is>
      </c>
      <c r="D222" s="31" t="inlineStr">
        <is>
          <t>Ht Media Limited</t>
        </is>
      </c>
      <c r="E222" s="31" t="inlineStr">
        <is>
          <t>media</t>
        </is>
      </c>
      <c r="F222" s="31" t="inlineStr">
        <is>
          <t>entertainment / electronic media software</t>
        </is>
      </c>
      <c r="G222" s="31" t="inlineStr">
        <is>
          <t>smallcap</t>
        </is>
      </c>
      <c r="H222" s="32" t="n">
        <v>536.77</v>
      </c>
      <c r="I222" s="32" t="n">
        <v>23.06</v>
      </c>
      <c r="J222" s="32" t="n">
        <v>1.01</v>
      </c>
      <c r="K222" s="32" t="n">
        <v>76565</v>
      </c>
      <c r="L222" s="31" t="n">
        <v>23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53.57</v>
      </c>
      <c r="P222" s="32" t="n">
        <v>28.78</v>
      </c>
      <c r="Q222" s="32" t="n">
        <v>17.07</v>
      </c>
      <c r="R222" s="31" t="inlineStr">
        <is>
          <t>Earnings / Momentum Support</t>
        </is>
      </c>
      <c r="S222" s="31" t="inlineStr">
        <is>
          <t>Nifty IT</t>
        </is>
      </c>
      <c r="T222" s="32" t="n">
        <v>-22.21</v>
      </c>
      <c r="U222" s="32" t="n">
        <v>11.78</v>
      </c>
      <c r="V222" s="32" t="n">
        <v>43.7</v>
      </c>
      <c r="W222" s="32" t="n">
        <v>5.91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1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IF(B223=0,"",RANK(B223,$B$2:$B$306,0))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INDSWFTLAB</t>
        </is>
      </c>
      <c r="D223" s="31" t="inlineStr">
        <is>
          <t>Ind-swift Laboratories Limited</t>
        </is>
      </c>
      <c r="E223" s="31" t="inlineStr">
        <is>
          <t>healthcare</t>
        </is>
      </c>
      <c r="F223" s="31" t="inlineStr">
        <is>
          <t>pharmaceuticals - indian - bulk drugs &amp; formln</t>
        </is>
      </c>
      <c r="G223" s="31" t="inlineStr">
        <is>
          <t>smallcap</t>
        </is>
      </c>
      <c r="H223" s="32" t="n">
        <v>1372.02</v>
      </c>
      <c r="I223" s="32" t="n">
        <v>158</v>
      </c>
      <c r="J223" s="32" t="n">
        <v>0.84</v>
      </c>
      <c r="K223" s="32" t="n">
        <v>1275663</v>
      </c>
      <c r="L223" s="31" t="n">
        <v>59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70.97</v>
      </c>
      <c r="P223" s="32" t="n">
        <v>32.77</v>
      </c>
      <c r="Q223" s="32" t="n">
        <v>112.15</v>
      </c>
      <c r="R223" s="31" t="inlineStr">
        <is>
          <t>Volume Spike &amp; Near 52W High Breakout</t>
        </is>
      </c>
      <c r="S223" s="31" t="inlineStr">
        <is>
          <t>Nifty Pharma</t>
        </is>
      </c>
      <c r="T223" s="32" t="n">
        <v>11.82</v>
      </c>
      <c r="U223" s="32" t="n">
        <v>70.5</v>
      </c>
      <c r="V223" s="32" t="n">
        <v>52.47</v>
      </c>
      <c r="W223" s="32" t="n">
        <v>15.54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Negative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IF(B224=0,"",RANK(B224,$B$2:$B$306,0))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APCOTEXIND</t>
        </is>
      </c>
      <c r="D224" s="31" t="inlineStr">
        <is>
          <t>Apcotex Industries Limited</t>
        </is>
      </c>
      <c r="E224" s="31" t="inlineStr">
        <is>
          <t>chemicals</t>
        </is>
      </c>
      <c r="F224" s="31" t="inlineStr">
        <is>
          <t>miscellaneous</t>
        </is>
      </c>
      <c r="G224" s="31" t="inlineStr">
        <is>
          <t>smallcap</t>
        </is>
      </c>
      <c r="H224" s="32" t="n">
        <v>2800.66</v>
      </c>
      <c r="I224" s="32" t="n">
        <v>540.2</v>
      </c>
      <c r="J224" s="32" t="n">
        <v>0.34</v>
      </c>
      <c r="K224" s="32" t="n">
        <v>215905</v>
      </c>
      <c r="L224" s="31" t="n">
        <v>67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72.94</v>
      </c>
      <c r="P224" s="32" t="n">
        <v>29.53</v>
      </c>
      <c r="Q224" s="32" t="n">
        <v>415.02</v>
      </c>
      <c r="R224" s="31" t="inlineStr">
        <is>
          <t>Volume Spike &amp; Near 52W High Breakout</t>
        </is>
      </c>
      <c r="S224" s="31" t="inlineStr">
        <is>
          <t>Nifty Infra</t>
        </is>
      </c>
      <c r="T224" s="32" t="n">
        <v>1.11</v>
      </c>
      <c r="U224" s="32" t="n">
        <v>46.71</v>
      </c>
      <c r="V224" s="32" t="n">
        <v>45.09</v>
      </c>
      <c r="W224" s="32" t="n">
        <v>18.84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Fully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1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Sideways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Overhead supply in last 2 years in last 2 years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IF(B225=0,"",RANK(B225,$B$2:$B$306,0))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ZIMLAB</t>
        </is>
      </c>
      <c r="D225" s="33" t="inlineStr">
        <is>
          <t>Zim Laboratories Ltd</t>
        </is>
      </c>
      <c r="E225" s="31" t="inlineStr">
        <is>
          <t>healthcare</t>
        </is>
      </c>
      <c r="F225" s="31" t="inlineStr">
        <is>
          <t>pharmaceuticals - indian - bulk drugs &amp; formln</t>
        </is>
      </c>
      <c r="G225" s="31" t="inlineStr">
        <is>
          <t>smallcap</t>
        </is>
      </c>
      <c r="H225" s="32" t="n">
        <v>562.4</v>
      </c>
      <c r="I225" s="32" t="n">
        <v>105.12</v>
      </c>
      <c r="J225" s="32" t="n">
        <v>-2.31</v>
      </c>
      <c r="K225" s="32" t="n">
        <v>28513</v>
      </c>
      <c r="L225" s="31" t="n">
        <v>60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71.83</v>
      </c>
      <c r="P225" s="32" t="n">
        <v>38.47</v>
      </c>
      <c r="Q225" s="32" t="n">
        <v>74.29000000000001</v>
      </c>
      <c r="R225" s="31" t="inlineStr">
        <is>
          <t>Earnings / Momentum Support</t>
        </is>
      </c>
      <c r="S225" s="31" t="inlineStr">
        <is>
          <t>Nifty Pharma</t>
        </is>
      </c>
      <c r="T225" s="32" t="n">
        <v>11.82</v>
      </c>
      <c r="U225" s="32" t="n">
        <v>5.16</v>
      </c>
      <c r="V225" s="32" t="n">
        <v>-5.96</v>
      </c>
      <c r="W225" s="32" t="n">
        <v>15.86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IF(B226=0,"",RANK(B226,$B$2:$B$306,0))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ADANIENSOL</t>
        </is>
      </c>
      <c r="D226" s="31" t="inlineStr">
        <is>
          <t>Adani Energy Solutions Ltd</t>
        </is>
      </c>
      <c r="E226" s="31" t="inlineStr">
        <is>
          <t>power &amp; utilities</t>
        </is>
      </c>
      <c r="F226" s="31" t="inlineStr">
        <is>
          <t>power generation and supply</t>
        </is>
      </c>
      <c r="G226" s="31" t="inlineStr">
        <is>
          <t>largecap</t>
        </is>
      </c>
      <c r="H226" s="32" t="n">
        <v>189682.53</v>
      </c>
      <c r="I226" s="32" t="n">
        <v>1579</v>
      </c>
      <c r="J226" s="32" t="n">
        <v>3.88</v>
      </c>
      <c r="K226" s="32" t="n">
        <v>5528998</v>
      </c>
      <c r="L226" s="31" t="n">
        <v>82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75.11</v>
      </c>
      <c r="P226" s="32" t="n">
        <v>30.8</v>
      </c>
      <c r="Q226" s="32" t="n">
        <v>1228.19</v>
      </c>
      <c r="R226" s="31" t="inlineStr">
        <is>
          <t>Near 52W High Breakout</t>
        </is>
      </c>
      <c r="S226" s="31" t="inlineStr">
        <is>
          <t>Nifty IT</t>
        </is>
      </c>
      <c r="T226" s="32" t="n">
        <v>-22.21</v>
      </c>
      <c r="U226" s="32" t="n">
        <v>78.59999999999999</v>
      </c>
      <c r="V226" s="32" t="n">
        <v>129.6</v>
      </c>
      <c r="W226" s="32" t="n">
        <v>26.91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Above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IF(B227=0,"",RANK(B227,$B$2:$B$306,0))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NBCC</t>
        </is>
      </c>
      <c r="D227" s="33" t="inlineStr">
        <is>
          <t>Nbcc (india) Limited</t>
        </is>
      </c>
      <c r="E227" s="31" t="inlineStr">
        <is>
          <t>miscellaneous</t>
        </is>
      </c>
      <c r="F227" s="31" t="inlineStr">
        <is>
          <t>miscellaneous</t>
        </is>
      </c>
      <c r="G227" s="31" t="inlineStr">
        <is>
          <t>largecap</t>
        </is>
      </c>
      <c r="H227" s="32" t="n">
        <v>28717.2</v>
      </c>
      <c r="I227" s="32" t="n">
        <v>106.36</v>
      </c>
      <c r="J227" s="32" t="n">
        <v>2.19</v>
      </c>
      <c r="K227" s="32" t="n">
        <v>28253888</v>
      </c>
      <c r="L227" s="31" t="n">
        <v>8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58.12</v>
      </c>
      <c r="P227" s="32" t="n">
        <v>23.55</v>
      </c>
      <c r="Q227" s="32" t="n">
        <v>83.45</v>
      </c>
      <c r="R227" s="31" t="inlineStr">
        <is>
          <t>Volume Spike / Accumulation</t>
        </is>
      </c>
      <c r="S227" s="31" t="inlineStr">
        <is>
          <t>Nifty 50</t>
        </is>
      </c>
      <c r="T227" s="32" t="n">
        <v>-6.54</v>
      </c>
      <c r="U227" s="32" t="n">
        <v>-16.18</v>
      </c>
      <c r="V227" s="32" t="n">
        <v>-10.31</v>
      </c>
      <c r="W227" s="32" t="n">
        <v>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1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IF(B228=0,"",RANK(B228,$B$2:$B$306,0))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DEEPINDS</t>
        </is>
      </c>
      <c r="D228" s="31" t="inlineStr">
        <is>
          <t>Deep Industries Ltd</t>
        </is>
      </c>
      <c r="E228" s="31" t="inlineStr">
        <is>
          <t>energy</t>
        </is>
      </c>
      <c r="F228" s="31" t="inlineStr">
        <is>
          <t>oil drilling / allied services</t>
        </is>
      </c>
      <c r="G228" s="31" t="inlineStr">
        <is>
          <t>smallcap</t>
        </is>
      </c>
      <c r="H228" s="32" t="n">
        <v>3406.72</v>
      </c>
      <c r="I228" s="32" t="n">
        <v>532.3</v>
      </c>
      <c r="J228" s="32" t="n">
        <v>1.34</v>
      </c>
      <c r="K228" s="32" t="n">
        <v>432988</v>
      </c>
      <c r="L228" s="31" t="n">
        <v>72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64.54000000000001</v>
      </c>
      <c r="P228" s="32" t="n">
        <v>16.2</v>
      </c>
      <c r="Q228" s="32" t="n">
        <v>391.73</v>
      </c>
      <c r="R228" s="31" t="inlineStr">
        <is>
          <t>Volume Spike &amp; Near 52W High Breakout</t>
        </is>
      </c>
      <c r="S228" s="31" t="inlineStr">
        <is>
          <t>Nifty Energy</t>
        </is>
      </c>
      <c r="T228" s="32" t="n">
        <v>12.31</v>
      </c>
      <c r="U228" s="32" t="n">
        <v>27.12</v>
      </c>
      <c r="V228" s="32" t="n">
        <v>13.19</v>
      </c>
      <c r="W228" s="32" t="n">
        <v>20.64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IF(B229=0,"",RANK(B229,$B$2:$B$306,0))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AJAXENGG</t>
        </is>
      </c>
      <c r="D229" s="31" t="inlineStr">
        <is>
          <t>Ajax Engineering Ltd</t>
        </is>
      </c>
      <c r="E229" s="31" t="inlineStr">
        <is>
          <t>industrials</t>
        </is>
      </c>
      <c r="F229" s="31" t="inlineStr">
        <is>
          <t>engineering</t>
        </is>
      </c>
      <c r="G229" s="31" t="inlineStr">
        <is>
          <t>midcap</t>
        </is>
      </c>
      <c r="H229" s="32" t="n">
        <v>6884.43</v>
      </c>
      <c r="I229" s="32" t="n">
        <v>601.75</v>
      </c>
      <c r="J229" s="32" t="n">
        <v>0.15</v>
      </c>
      <c r="K229" s="32" t="n">
        <v>41503</v>
      </c>
      <c r="L229" s="31" t="n">
        <v>16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60.05</v>
      </c>
      <c r="P229" s="32" t="n">
        <v>24.2</v>
      </c>
      <c r="Q229" s="32" t="n">
        <v>463.08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-6.54</v>
      </c>
      <c r="U229" s="32" t="n">
        <v>-3.37</v>
      </c>
      <c r="V229" s="32" t="n">
        <v>3.39</v>
      </c>
      <c r="W229" s="32" t="n">
        <v>4.88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IF(B230=0,"",RANK(B230,$B$2:$B$306,0))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CYIENTDLM</t>
        </is>
      </c>
      <c r="D230" s="31" t="inlineStr">
        <is>
          <t>Cyient DLM Ltd</t>
        </is>
      </c>
      <c r="E230" s="31" t="inlineStr">
        <is>
          <t>consumer discretionary</t>
        </is>
      </c>
      <c r="F230" s="31" t="inlineStr">
        <is>
          <t>electronics - components</t>
        </is>
      </c>
      <c r="G230" s="31" t="inlineStr">
        <is>
          <t>smallcap</t>
        </is>
      </c>
      <c r="H230" s="32" t="n">
        <v>3598.38</v>
      </c>
      <c r="I230" s="32" t="n">
        <v>453.4</v>
      </c>
      <c r="J230" s="32" t="n">
        <v>-0.96</v>
      </c>
      <c r="K230" s="32" t="n">
        <v>117332</v>
      </c>
      <c r="L230" s="31" t="n">
        <v>49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64.45</v>
      </c>
      <c r="P230" s="32" t="n">
        <v>28.69</v>
      </c>
      <c r="Q230" s="32" t="n">
        <v>342.67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-6.54</v>
      </c>
      <c r="U230" s="32" t="n">
        <v>-6.49</v>
      </c>
      <c r="V230" s="32" t="n">
        <v>0.06</v>
      </c>
      <c r="W230" s="32" t="n">
        <v>12.76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Less than 50%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IF(B231=0,"",RANK(B231,$B$2:$B$306,0))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SBC</t>
        </is>
      </c>
      <c r="D231" s="31" t="inlineStr">
        <is>
          <t>SBC Exports Ltd</t>
        </is>
      </c>
      <c r="E231" s="31" t="inlineStr">
        <is>
          <t>textiles</t>
        </is>
      </c>
      <c r="F231" s="31" t="inlineStr">
        <is>
          <t>textiles - products</t>
        </is>
      </c>
      <c r="G231" s="31" t="inlineStr">
        <is>
          <t>smallcap</t>
        </is>
      </c>
      <c r="H231" s="32" t="n">
        <v>1766.66</v>
      </c>
      <c r="I231" s="32" t="n">
        <v>37.1</v>
      </c>
      <c r="J231" s="32" t="n">
        <v>-1.07</v>
      </c>
      <c r="K231" s="32" t="n">
        <v>14817177</v>
      </c>
      <c r="L231" s="31" t="n">
        <v>78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70.62</v>
      </c>
      <c r="P231" s="32" t="n">
        <v>22.68</v>
      </c>
      <c r="Q231" s="32" t="n">
        <v>32.66</v>
      </c>
      <c r="R231" s="31" t="inlineStr">
        <is>
          <t>Volume Spike / Accumulation</t>
        </is>
      </c>
      <c r="S231" s="31" t="inlineStr">
        <is>
          <t>Nifty 50</t>
        </is>
      </c>
      <c r="T231" s="32" t="n">
        <v>-6.54</v>
      </c>
      <c r="U231" s="32" t="n">
        <v>152.04</v>
      </c>
      <c r="V231" s="32" t="n">
        <v>169.69</v>
      </c>
      <c r="W231" s="32" t="n">
        <v>24.07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IF(B232=0,"",RANK(B232,$B$2:$B$306,0))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XPROINDIA</t>
        </is>
      </c>
      <c r="D232" s="33" t="inlineStr">
        <is>
          <t>Xpro India Limited</t>
        </is>
      </c>
      <c r="E232" s="31" t="inlineStr">
        <is>
          <t>industrials</t>
        </is>
      </c>
      <c r="F232" s="31" t="inlineStr">
        <is>
          <t>packaging</t>
        </is>
      </c>
      <c r="G232" s="31" t="inlineStr">
        <is>
          <t>smallcap</t>
        </is>
      </c>
      <c r="H232" s="32" t="n">
        <v>2747.68</v>
      </c>
      <c r="I232" s="32" t="n">
        <v>1170.7</v>
      </c>
      <c r="J232" s="32" t="n">
        <v>-1.28</v>
      </c>
      <c r="K232" s="32" t="n">
        <v>35570</v>
      </c>
      <c r="L232" s="31" t="n">
        <v>18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58.11</v>
      </c>
      <c r="P232" s="32" t="n">
        <v>17.99</v>
      </c>
      <c r="Q232" s="32" t="n">
        <v>847.61</v>
      </c>
      <c r="R232" s="31" t="inlineStr">
        <is>
          <t>Volume Spike / Accumulation</t>
        </is>
      </c>
      <c r="S232" s="31" t="inlineStr">
        <is>
          <t>Nifty 50</t>
        </is>
      </c>
      <c r="T232" s="32" t="n">
        <v>-6.54</v>
      </c>
      <c r="U232" s="32" t="n">
        <v>-7.71</v>
      </c>
      <c r="V232" s="32" t="n">
        <v>-1.25</v>
      </c>
      <c r="W232" s="32" t="n">
        <v>5.1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Between 1.5 to 2</t>
        </is>
      </c>
      <c r="BU232" s="31">
        <f>IF(BT232="Above 2",0,IF(BT232="Between 1.5 to 2",5,IF(BT232="Less than 1.5",10,0)))</f>
        <v/>
      </c>
      <c r="BV232" s="31" t="inlineStr">
        <is>
          <t>Less than 50%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IF(B233=0,"",RANK(B233,$B$2:$B$306,0))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NSLNISP</t>
        </is>
      </c>
      <c r="D233" s="33" t="inlineStr">
        <is>
          <t>NMDC Steel Ltd</t>
        </is>
      </c>
      <c r="E233" s="31" t="inlineStr">
        <is>
          <t>metals &amp; mining</t>
        </is>
      </c>
      <c r="F233" s="31" t="inlineStr">
        <is>
          <t>steel - large</t>
        </is>
      </c>
      <c r="G233" s="31" t="inlineStr">
        <is>
          <t>midcap</t>
        </is>
      </c>
      <c r="H233" s="32" t="n">
        <v>14641.31</v>
      </c>
      <c r="I233" s="32" t="n">
        <v>49.96</v>
      </c>
      <c r="J233" s="32" t="n">
        <v>-1.5</v>
      </c>
      <c r="K233" s="32" t="n">
        <v>10292290</v>
      </c>
      <c r="L233" s="31" t="n">
        <v>44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67.93000000000001</v>
      </c>
      <c r="P233" s="32" t="n">
        <v>24.11</v>
      </c>
      <c r="Q233" s="32" t="n">
        <v>39.02</v>
      </c>
      <c r="R233" s="31" t="inlineStr">
        <is>
          <t>Volume Spike &amp; Near 52W High Breakout</t>
        </is>
      </c>
      <c r="S233" s="31" t="inlineStr">
        <is>
          <t>Nifty Metal</t>
        </is>
      </c>
      <c r="T233" s="32" t="n">
        <v>40.56</v>
      </c>
      <c r="U233" s="32" t="n">
        <v>26.71</v>
      </c>
      <c r="V233" s="32" t="n">
        <v>-9.859999999999999</v>
      </c>
      <c r="W233" s="32" t="n">
        <v>11.5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IF(B234=0,"",RANK(B234,$B$2:$B$306,0))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AEROFLEX</t>
        </is>
      </c>
      <c r="D234" s="31" t="inlineStr">
        <is>
          <t>Aeroflex Industries Ltd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midcap</t>
        </is>
      </c>
      <c r="H234" s="32" t="n">
        <v>5554.58</v>
      </c>
      <c r="I234" s="32" t="n">
        <v>419.75</v>
      </c>
      <c r="J234" s="32" t="n">
        <v>-4.47</v>
      </c>
      <c r="K234" s="32" t="n">
        <v>1658836</v>
      </c>
      <c r="L234" s="31" t="n">
        <v>94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71</v>
      </c>
      <c r="P234" s="32" t="n">
        <v>53.8</v>
      </c>
      <c r="Q234" s="32" t="n">
        <v>304.78</v>
      </c>
      <c r="R234" s="31" t="inlineStr">
        <is>
          <t>Near 52W High Breakout</t>
        </is>
      </c>
      <c r="S234" s="31" t="inlineStr">
        <is>
          <t>Nifty Metal</t>
        </is>
      </c>
      <c r="T234" s="32" t="n">
        <v>40.56</v>
      </c>
      <c r="U234" s="32" t="n">
        <v>157.88</v>
      </c>
      <c r="V234" s="32" t="n">
        <v>83.45999999999999</v>
      </c>
      <c r="W234" s="32" t="n">
        <v>42.89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Between 1.5 to 2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IF(B235=0,"",RANK(B235,$B$2:$B$306,0))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ZYDUSLIFE</t>
        </is>
      </c>
      <c r="D235" s="31" t="inlineStr">
        <is>
          <t>Zydus Lifesciences Ltd</t>
        </is>
      </c>
      <c r="E235" s="31" t="inlineStr">
        <is>
          <t>healthcare</t>
        </is>
      </c>
      <c r="F235" s="31" t="inlineStr">
        <is>
          <t>pharmaceuticals - indian - bulk drugs &amp; formln</t>
        </is>
      </c>
      <c r="G235" s="31" t="inlineStr">
        <is>
          <t>largecap</t>
        </is>
      </c>
      <c r="H235" s="32" t="n">
        <v>109578.88</v>
      </c>
      <c r="I235" s="32" t="n">
        <v>1089</v>
      </c>
      <c r="J235" s="32" t="n">
        <v>0.41</v>
      </c>
      <c r="K235" s="32" t="n">
        <v>919205</v>
      </c>
      <c r="L235" s="31" t="n">
        <v>27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70.77</v>
      </c>
      <c r="P235" s="32" t="n">
        <v>17.24</v>
      </c>
      <c r="Q235" s="32" t="n">
        <v>921.25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11.82</v>
      </c>
      <c r="U235" s="32" t="n">
        <v>14.72</v>
      </c>
      <c r="V235" s="32" t="n">
        <v>2.59</v>
      </c>
      <c r="W235" s="32" t="n">
        <v>7.05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Less than 50%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IF(B236=0,"",RANK(B236,$B$2:$B$306,0))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TVSSCS</t>
        </is>
      </c>
      <c r="D236" s="31" t="inlineStr">
        <is>
          <t>TVS Supply Chain Solutions Ltd</t>
        </is>
      </c>
      <c r="E236" s="31" t="inlineStr">
        <is>
          <t>transportation</t>
        </is>
      </c>
      <c r="F236" s="31" t="inlineStr">
        <is>
          <t>miscellaneous</t>
        </is>
      </c>
      <c r="G236" s="31" t="inlineStr">
        <is>
          <t>midcap</t>
        </is>
      </c>
      <c r="H236" s="32" t="n">
        <v>5720.78</v>
      </c>
      <c r="I236" s="32" t="n">
        <v>129.67</v>
      </c>
      <c r="J236" s="32" t="n">
        <v>5.72</v>
      </c>
      <c r="K236" s="32" t="n">
        <v>3370879</v>
      </c>
      <c r="L236" s="31" t="n">
        <v>11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58.18</v>
      </c>
      <c r="P236" s="32" t="n">
        <v>10.42</v>
      </c>
      <c r="Q236" s="32" t="n">
        <v>95.33</v>
      </c>
      <c r="R236" s="31" t="inlineStr">
        <is>
          <t>Volume Spike &amp; Near 52W High Breakout</t>
        </is>
      </c>
      <c r="S236" s="31" t="inlineStr">
        <is>
          <t>Nifty 50</t>
        </is>
      </c>
      <c r="T236" s="32" t="n">
        <v>-6.54</v>
      </c>
      <c r="U236" s="32" t="n">
        <v>-1.18</v>
      </c>
      <c r="V236" s="32" t="n">
        <v>5.74</v>
      </c>
      <c r="W236" s="32" t="n">
        <v>3.71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IF(B237=0,"",RANK(B237,$B$2:$B$306,0))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DEEDEV</t>
        </is>
      </c>
      <c r="D237" s="31" t="inlineStr">
        <is>
          <t>DEE Development Engineers Ltd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smallcap</t>
        </is>
      </c>
      <c r="H237" s="32" t="n">
        <v>4648.61</v>
      </c>
      <c r="I237" s="32" t="n">
        <v>671.15</v>
      </c>
      <c r="J237" s="32" t="n">
        <v>5</v>
      </c>
      <c r="K237" s="32" t="n">
        <v>185836</v>
      </c>
      <c r="L237" s="31" t="n">
        <v>96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87.45</v>
      </c>
      <c r="P237" s="32" t="n">
        <v>58.41</v>
      </c>
      <c r="Q237" s="32" t="n">
        <v>518.7</v>
      </c>
      <c r="R237" s="31" t="inlineStr">
        <is>
          <t>Near 52W High Breakout</t>
        </is>
      </c>
      <c r="S237" s="31" t="inlineStr">
        <is>
          <t>Nifty Metal</t>
        </is>
      </c>
      <c r="T237" s="32" t="n">
        <v>40.56</v>
      </c>
      <c r="U237" s="32" t="n">
        <v>142.69</v>
      </c>
      <c r="V237" s="32" t="n">
        <v>72.66</v>
      </c>
      <c r="W237" s="32" t="n">
        <v>57.67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IF(B238=0,"",RANK(B238,$B$2:$B$306,0))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ASIANENE</t>
        </is>
      </c>
      <c r="D238" s="31" t="inlineStr">
        <is>
          <t>Asian Energy Services Ltd</t>
        </is>
      </c>
      <c r="E238" s="31" t="inlineStr">
        <is>
          <t>energy</t>
        </is>
      </c>
      <c r="F238" s="31" t="inlineStr">
        <is>
          <t>oil drilling / allied services</t>
        </is>
      </c>
      <c r="G238" s="31" t="inlineStr">
        <is>
          <t>smallcap</t>
        </is>
      </c>
      <c r="H238" s="32" t="n">
        <v>1857.43</v>
      </c>
      <c r="I238" s="32" t="n">
        <v>382.1</v>
      </c>
      <c r="J238" s="32" t="n">
        <v>3.49</v>
      </c>
      <c r="K238" s="32" t="n">
        <v>579691</v>
      </c>
      <c r="L238" s="31" t="n">
        <v>51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65.98999999999999</v>
      </c>
      <c r="P238" s="32" t="n">
        <v>12.49</v>
      </c>
      <c r="Q238" s="32" t="n">
        <v>273.48</v>
      </c>
      <c r="R238" s="31" t="inlineStr">
        <is>
          <t>Volume Spike &amp; Near 52W High Breakout</t>
        </is>
      </c>
      <c r="S238" s="31" t="inlineStr">
        <is>
          <t>Nifty Energy</t>
        </is>
      </c>
      <c r="T238" s="32" t="n">
        <v>12.31</v>
      </c>
      <c r="U238" s="32" t="n">
        <v>23.83</v>
      </c>
      <c r="V238" s="32" t="n">
        <v>10.26</v>
      </c>
      <c r="W238" s="32" t="n">
        <v>13.36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Oligopoly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IF(B239=0,"",RANK(B239,$B$2:$B$306,0))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HARSHA</t>
        </is>
      </c>
      <c r="D239" s="33" t="inlineStr">
        <is>
          <t>Harsha Engineers International Ltd</t>
        </is>
      </c>
      <c r="E239" s="31" t="inlineStr">
        <is>
          <t>industrials</t>
        </is>
      </c>
      <c r="F239" s="31" t="inlineStr">
        <is>
          <t>engineering</t>
        </is>
      </c>
      <c r="G239" s="31" t="inlineStr">
        <is>
          <t>smallcap</t>
        </is>
      </c>
      <c r="H239" s="32" t="n">
        <v>3685.92</v>
      </c>
      <c r="I239" s="32" t="n">
        <v>404.85</v>
      </c>
      <c r="J239" s="32" t="n">
        <v>2.85</v>
      </c>
      <c r="K239" s="32" t="n">
        <v>510135</v>
      </c>
      <c r="L239" s="31" t="n">
        <v>3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55.62</v>
      </c>
      <c r="P239" s="32" t="n">
        <v>25.45</v>
      </c>
      <c r="Q239" s="32" t="n">
        <v>330.82</v>
      </c>
      <c r="R239" s="31" t="inlineStr">
        <is>
          <t>Volume Spike &amp; Near 52W High Breakout</t>
        </is>
      </c>
      <c r="S239" s="31" t="inlineStr">
        <is>
          <t>Nifty 50</t>
        </is>
      </c>
      <c r="T239" s="32" t="n">
        <v>-6.54</v>
      </c>
      <c r="U239" s="32" t="n">
        <v>-7.22</v>
      </c>
      <c r="V239" s="32" t="n">
        <v>-0.72</v>
      </c>
      <c r="W239" s="32" t="n">
        <v>1.12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Less than 50%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IF(B240=0,"",RANK(B240,$B$2:$B$306,0))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ADANIENT</t>
        </is>
      </c>
      <c r="D240" s="31" t="inlineStr">
        <is>
          <t>Adani Enterprises Limited</t>
        </is>
      </c>
      <c r="E240" s="31" t="inlineStr">
        <is>
          <t>services</t>
        </is>
      </c>
      <c r="F240" s="31" t="inlineStr">
        <is>
          <t>trading</t>
        </is>
      </c>
      <c r="G240" s="31" t="inlineStr">
        <is>
          <t>largecap</t>
        </is>
      </c>
      <c r="H240" s="32" t="n">
        <v>394035.45</v>
      </c>
      <c r="I240" s="32" t="n">
        <v>3048.2</v>
      </c>
      <c r="J240" s="32" t="n">
        <v>2.54</v>
      </c>
      <c r="K240" s="32" t="n">
        <v>5617327</v>
      </c>
      <c r="L240" s="31" t="n">
        <v>60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75.14</v>
      </c>
      <c r="P240" s="32" t="n">
        <v>31.12</v>
      </c>
      <c r="Q240" s="32" t="n">
        <v>2501.19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-6.54</v>
      </c>
      <c r="U240" s="32" t="n">
        <v>20.34</v>
      </c>
      <c r="V240" s="32" t="n">
        <v>28.77</v>
      </c>
      <c r="W240" s="32" t="n">
        <v>15.65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Above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 and Borrowings are increasing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IF(B241=0,"",RANK(B241,$B$2:$B$306,0))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ATGL</t>
        </is>
      </c>
      <c r="D241" s="33" t="inlineStr">
        <is>
          <t>Adani Total Gas Ltd</t>
        </is>
      </c>
      <c r="E241" s="31" t="inlineStr">
        <is>
          <t>energy</t>
        </is>
      </c>
      <c r="F241" s="31" t="inlineStr">
        <is>
          <t>miscellaneous</t>
        </is>
      </c>
      <c r="G241" s="31" t="inlineStr">
        <is>
          <t>largecap</t>
        </is>
      </c>
      <c r="H241" s="32" t="n">
        <v>83833.02</v>
      </c>
      <c r="I241" s="32" t="n">
        <v>762.25</v>
      </c>
      <c r="J241" s="32" t="n">
        <v>2.45</v>
      </c>
      <c r="K241" s="32" t="n">
        <v>10074052</v>
      </c>
      <c r="L241" s="31" t="n">
        <v>63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70.95</v>
      </c>
      <c r="P241" s="32" t="n">
        <v>44.85</v>
      </c>
      <c r="Q241" s="32" t="n">
        <v>567.89</v>
      </c>
      <c r="R241" s="31" t="inlineStr">
        <is>
          <t>Volume Spike &amp; Near 52W High Breakout</t>
        </is>
      </c>
      <c r="S241" s="31" t="inlineStr">
        <is>
          <t>Nifty Energy</t>
        </is>
      </c>
      <c r="T241" s="32" t="n">
        <v>12.31</v>
      </c>
      <c r="U241" s="32" t="n">
        <v>12.15</v>
      </c>
      <c r="V241" s="32" t="n">
        <v>-0.15</v>
      </c>
      <c r="W241" s="32" t="n">
        <v>16.91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Above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IF(B242=0,"",RANK(B242,$B$2:$B$306,0))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LLOYDSENGG</t>
        </is>
      </c>
      <c r="D242" s="31" t="inlineStr">
        <is>
          <t>Lloyds Engineering Works Ltd</t>
        </is>
      </c>
      <c r="E242" s="31" t="inlineStr">
        <is>
          <t>industrials</t>
        </is>
      </c>
      <c r="F242" s="31" t="inlineStr">
        <is>
          <t>engineering</t>
        </is>
      </c>
      <c r="G242" s="31" t="inlineStr">
        <is>
          <t>midcap</t>
        </is>
      </c>
      <c r="H242" s="32" t="n">
        <v>10758.72</v>
      </c>
      <c r="I242" s="32" t="n">
        <v>72.69</v>
      </c>
      <c r="J242" s="32" t="n">
        <v>1.65</v>
      </c>
      <c r="K242" s="32" t="n">
        <v>10584987</v>
      </c>
      <c r="L242" s="31" t="n">
        <v>71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68.72</v>
      </c>
      <c r="P242" s="32" t="n">
        <v>27.93</v>
      </c>
      <c r="Q242" s="32" t="n">
        <v>54.62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-6.54</v>
      </c>
      <c r="U242" s="32" t="n">
        <v>22.33</v>
      </c>
      <c r="V242" s="32" t="n">
        <v>30.9</v>
      </c>
      <c r="W242" s="32" t="n">
        <v>19.97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IF(B243=0,"",RANK(B243,$B$2:$B$306,0))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ROSSTECH</t>
        </is>
      </c>
      <c r="D243" s="31" t="inlineStr">
        <is>
          <t>Rossell Techsys Ltd</t>
        </is>
      </c>
      <c r="E243" s="31" t="inlineStr">
        <is>
          <t>aerospace &amp; defence</t>
        </is>
      </c>
      <c r="F243" s="31" t="inlineStr">
        <is>
          <t>engineering</t>
        </is>
      </c>
      <c r="G243" s="31" t="inlineStr">
        <is>
          <t>smallcap</t>
        </is>
      </c>
      <c r="H243" s="32" t="n">
        <v>3966.42</v>
      </c>
      <c r="I243" s="32" t="n">
        <v>1052.2</v>
      </c>
      <c r="J243" s="32" t="n">
        <v>-0.28</v>
      </c>
      <c r="K243" s="32" t="n">
        <v>63314</v>
      </c>
      <c r="L243" s="31" t="n">
        <v>92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68.06999999999999</v>
      </c>
      <c r="P243" s="32" t="n">
        <v>36.9</v>
      </c>
      <c r="Q243" s="32" t="n">
        <v>719.62</v>
      </c>
      <c r="R243" s="31" t="inlineStr">
        <is>
          <t>Near 52W High Breakout</t>
        </is>
      </c>
      <c r="S243" s="31" t="inlineStr">
        <is>
          <t>Nifty Infra</t>
        </is>
      </c>
      <c r="T243" s="32" t="n">
        <v>1.11</v>
      </c>
      <c r="U243" s="32" t="n">
        <v>191.51</v>
      </c>
      <c r="V243" s="32" t="n">
        <v>188.3</v>
      </c>
      <c r="W243" s="32" t="n">
        <v>37.93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Negative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IF(B244=0,"",RANK(B244,$B$2:$B$306,0))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GALAPREC</t>
        </is>
      </c>
      <c r="D244" s="31" t="inlineStr">
        <is>
          <t>Gala Precision Engineering Ltd</t>
        </is>
      </c>
      <c r="E244" s="31" t="inlineStr">
        <is>
          <t>industrials</t>
        </is>
      </c>
      <c r="F244" s="31" t="inlineStr">
        <is>
          <t>fasteners</t>
        </is>
      </c>
      <c r="G244" s="31" t="inlineStr">
        <is>
          <t>smallcap</t>
        </is>
      </c>
      <c r="H244" s="32" t="n">
        <v>1160.79</v>
      </c>
      <c r="I244" s="32" t="n">
        <v>910.4</v>
      </c>
      <c r="J244" s="32" t="n">
        <v>-0.44</v>
      </c>
      <c r="K244" s="32" t="n">
        <v>15720</v>
      </c>
      <c r="L244" s="31" t="n">
        <v>22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63.87</v>
      </c>
      <c r="P244" s="32" t="n">
        <v>18.52</v>
      </c>
      <c r="Q244" s="32" t="n">
        <v>694.76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-6.54</v>
      </c>
      <c r="U244" s="32" t="n">
        <v>-3.58</v>
      </c>
      <c r="V244" s="32" t="n">
        <v>3.17</v>
      </c>
      <c r="W244" s="32" t="n">
        <v>5.9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IF(B245=0,"",RANK(B245,$B$2:$B$306,0))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TATACOMM</t>
        </is>
      </c>
      <c r="D245" s="31" t="inlineStr">
        <is>
          <t>Tata Communications Limited</t>
        </is>
      </c>
      <c r="E245" s="31" t="inlineStr">
        <is>
          <t>telecom-service</t>
        </is>
      </c>
      <c r="F245" s="31" t="inlineStr">
        <is>
          <t>telecommunications - service provider</t>
        </is>
      </c>
      <c r="G245" s="31" t="inlineStr">
        <is>
          <t>largecap</t>
        </is>
      </c>
      <c r="H245" s="32" t="n">
        <v>56221.95</v>
      </c>
      <c r="I245" s="32" t="n">
        <v>1972.7</v>
      </c>
      <c r="J245" s="32" t="n">
        <v>-0.66</v>
      </c>
      <c r="K245" s="32" t="n">
        <v>951148</v>
      </c>
      <c r="L245" s="31" t="n">
        <v>46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69.22</v>
      </c>
      <c r="P245" s="32" t="n">
        <v>27.67</v>
      </c>
      <c r="Q245" s="32" t="n">
        <v>1560.21</v>
      </c>
      <c r="R245" s="31" t="inlineStr">
        <is>
          <t>Near 52W High Breakout</t>
        </is>
      </c>
      <c r="S245" s="31" t="inlineStr">
        <is>
          <t>Nifty 500</t>
        </is>
      </c>
      <c r="T245" s="32" t="n">
        <v>-3.02</v>
      </c>
      <c r="U245" s="32" t="n">
        <v>16.87</v>
      </c>
      <c r="V245" s="32" t="n">
        <v>20.51</v>
      </c>
      <c r="W245" s="32" t="n">
        <v>12.1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Oligopoly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IF(B246=0,"",RANK(B246,$B$2:$B$306,0))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LMW</t>
        </is>
      </c>
      <c r="D246" s="33" t="inlineStr">
        <is>
          <t>LMW Ltd</t>
        </is>
      </c>
      <c r="E246" s="31" t="inlineStr">
        <is>
          <t>industrials</t>
        </is>
      </c>
      <c r="F246" s="31" t="inlineStr">
        <is>
          <t>textile machinery</t>
        </is>
      </c>
      <c r="G246" s="31" t="inlineStr">
        <is>
          <t>midcap</t>
        </is>
      </c>
      <c r="H246" s="32" t="n">
        <v>16749.88</v>
      </c>
      <c r="I246" s="32" t="n">
        <v>15679</v>
      </c>
      <c r="J246" s="32" t="n">
        <v>-0.76</v>
      </c>
      <c r="K246" s="32" t="n">
        <v>1716</v>
      </c>
      <c r="L246" s="31" t="n">
        <v>3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58.04</v>
      </c>
      <c r="P246" s="32" t="n">
        <v>16.39</v>
      </c>
      <c r="Q246" s="32" t="n">
        <v>12585.55</v>
      </c>
      <c r="R246" s="31" t="inlineStr">
        <is>
          <t>Earnings / Momentum Support</t>
        </is>
      </c>
      <c r="S246" s="31" t="inlineStr">
        <is>
          <t>Nifty Infra</t>
        </is>
      </c>
      <c r="T246" s="32" t="n">
        <v>1.11</v>
      </c>
      <c r="U246" s="32" t="n">
        <v>-3.12</v>
      </c>
      <c r="V246" s="32" t="n">
        <v>-4.19</v>
      </c>
      <c r="W246" s="32" t="n">
        <v>0.74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IF(B247=0,"",RANK(B247,$B$2:$B$306,0))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PTCIL</t>
        </is>
      </c>
      <c r="D247" s="31" t="inlineStr">
        <is>
          <t>PTC Industries Ltd</t>
        </is>
      </c>
      <c r="E247" s="31" t="inlineStr">
        <is>
          <t>industrials</t>
        </is>
      </c>
      <c r="F247" s="31" t="inlineStr">
        <is>
          <t>castings &amp; forgings</t>
        </is>
      </c>
      <c r="G247" s="31" t="inlineStr">
        <is>
          <t>largecap</t>
        </is>
      </c>
      <c r="H247" s="32" t="n">
        <v>27770.7</v>
      </c>
      <c r="I247" s="32" t="n">
        <v>18523</v>
      </c>
      <c r="J247" s="32" t="n">
        <v>-0.88</v>
      </c>
      <c r="K247" s="32" t="n">
        <v>37505</v>
      </c>
      <c r="L247" s="31" t="n">
        <v>27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60.49</v>
      </c>
      <c r="P247" s="32" t="n">
        <v>12.32</v>
      </c>
      <c r="Q247" s="32" t="n">
        <v>14397.78</v>
      </c>
      <c r="R247" s="31" t="inlineStr">
        <is>
          <t>Volume Spike &amp; Near 52W High Breakout</t>
        </is>
      </c>
      <c r="S247" s="31" t="inlineStr">
        <is>
          <t>Nifty 50</t>
        </is>
      </c>
      <c r="T247" s="32" t="n">
        <v>-6.54</v>
      </c>
      <c r="U247" s="32" t="n">
        <v>26.84</v>
      </c>
      <c r="V247" s="32" t="n">
        <v>35.72</v>
      </c>
      <c r="W247" s="32" t="n">
        <v>6.92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1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IF(B248=0,"",RANK(B248,$B$2:$B$306,0))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TRITURBINE</t>
        </is>
      </c>
      <c r="D248" s="31" t="inlineStr">
        <is>
          <t>Triveni Turbine Limited</t>
        </is>
      </c>
      <c r="E248" s="31" t="inlineStr">
        <is>
          <t>industrials</t>
        </is>
      </c>
      <c r="F248" s="31" t="inlineStr">
        <is>
          <t>electric equipment</t>
        </is>
      </c>
      <c r="G248" s="31" t="inlineStr">
        <is>
          <t>largecap</t>
        </is>
      </c>
      <c r="H248" s="32" t="n">
        <v>21836.21</v>
      </c>
      <c r="I248" s="32" t="n">
        <v>686.9</v>
      </c>
      <c r="J248" s="32" t="n">
        <v>-0.9399999999999999</v>
      </c>
      <c r="K248" s="32" t="n">
        <v>664837</v>
      </c>
      <c r="L248" s="31" t="n">
        <v>54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68.92</v>
      </c>
      <c r="P248" s="32" t="n">
        <v>30.79</v>
      </c>
      <c r="Q248" s="32" t="n">
        <v>567.23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-6.54</v>
      </c>
      <c r="U248" s="32" t="n">
        <v>17.05</v>
      </c>
      <c r="V248" s="32" t="n">
        <v>25.25</v>
      </c>
      <c r="W248" s="32" t="n">
        <v>14.31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Less than 50%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IF(B249=0,"",RANK(B249,$B$2:$B$306,0))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SILVERTUC</t>
        </is>
      </c>
      <c r="D249" s="33" t="inlineStr">
        <is>
          <t>Silver Touch Technologies Ltd</t>
        </is>
      </c>
      <c r="E249" s="31" t="inlineStr">
        <is>
          <t>i.t</t>
        </is>
      </c>
      <c r="F249" s="31" t="inlineStr">
        <is>
          <t>computers - software - medium / small</t>
        </is>
      </c>
      <c r="G249" s="31" t="inlineStr">
        <is>
          <t>smallcap</t>
        </is>
      </c>
      <c r="H249" s="32" t="n">
        <v>2267.74</v>
      </c>
      <c r="I249" s="32" t="n">
        <v>178.83</v>
      </c>
      <c r="J249" s="32" t="n">
        <v>3.32</v>
      </c>
      <c r="K249" s="32" t="n">
        <v>697573</v>
      </c>
      <c r="L249" s="31" t="n">
        <v>1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38.03</v>
      </c>
      <c r="P249" s="32" t="n">
        <v>45.38</v>
      </c>
      <c r="Q249" s="32" t="n">
        <v>53.83</v>
      </c>
      <c r="R249" s="31" t="inlineStr">
        <is>
          <t>Volume Spike / Accumulation</t>
        </is>
      </c>
      <c r="S249" s="31" t="inlineStr">
        <is>
          <t>Nifty IT</t>
        </is>
      </c>
      <c r="T249" s="32" t="n">
        <v>-22.21</v>
      </c>
      <c r="U249" s="32" t="n">
        <v>-76.77</v>
      </c>
      <c r="V249" s="32" t="n">
        <v>-70.13</v>
      </c>
      <c r="W249" s="32" t="n">
        <v>-6.25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Below 45</t>
        </is>
      </c>
      <c r="BA249" s="31">
        <f>IF(AZ249="Between 50 to 75",10,IF(AZ249="Above 75",0,0))</f>
        <v/>
      </c>
      <c r="BB249" s="31" t="inlineStr">
        <is>
          <t>Stage 4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Less than 50%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IF(B250=0,"",RANK(B250,$B$2:$B$306,0))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MANORAMA</t>
        </is>
      </c>
      <c r="D250" s="31" t="inlineStr">
        <is>
          <t>Manorama Industries Ltd</t>
        </is>
      </c>
      <c r="E250" s="31" t="inlineStr">
        <is>
          <t>fmcg</t>
        </is>
      </c>
      <c r="F250" s="31" t="inlineStr">
        <is>
          <t>food - processing - indian</t>
        </is>
      </c>
      <c r="G250" s="31" t="inlineStr">
        <is>
          <t>midcap</t>
        </is>
      </c>
      <c r="H250" s="32" t="n">
        <v>8813.58</v>
      </c>
      <c r="I250" s="32" t="n">
        <v>1476.1</v>
      </c>
      <c r="J250" s="32" t="n">
        <v>1.07</v>
      </c>
      <c r="K250" s="32" t="n">
        <v>101240</v>
      </c>
      <c r="L250" s="31" t="n">
        <v>9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55.62</v>
      </c>
      <c r="P250" s="32" t="n">
        <v>14.33</v>
      </c>
      <c r="Q250" s="32" t="n">
        <v>1178.6</v>
      </c>
      <c r="R250" s="31" t="inlineStr">
        <is>
          <t>Earnings / Momentum Support</t>
        </is>
      </c>
      <c r="S250" s="31" t="inlineStr">
        <is>
          <t>Nifty FMCG</t>
        </is>
      </c>
      <c r="T250" s="32" t="n">
        <v>-13.44</v>
      </c>
      <c r="U250" s="32" t="n">
        <v>6.67</v>
      </c>
      <c r="V250" s="32" t="n">
        <v>23.23</v>
      </c>
      <c r="W250" s="32" t="n">
        <v>3.21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B2C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IF(B251=0,"",RANK(B251,$B$2:$B$306,0))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VSTIND</t>
        </is>
      </c>
      <c r="D251" s="31" t="inlineStr">
        <is>
          <t>Vst Industries Limited</t>
        </is>
      </c>
      <c r="E251" s="31" t="inlineStr">
        <is>
          <t>fmcg</t>
        </is>
      </c>
      <c r="F251" s="31" t="inlineStr">
        <is>
          <t>cigarettes</t>
        </is>
      </c>
      <c r="G251" s="31" t="inlineStr">
        <is>
          <t>smallcap</t>
        </is>
      </c>
      <c r="H251" s="32" t="n">
        <v>4383.27</v>
      </c>
      <c r="I251" s="32" t="n">
        <v>258.05</v>
      </c>
      <c r="J251" s="32" t="n">
        <v>1.04</v>
      </c>
      <c r="K251" s="32" t="n">
        <v>229053</v>
      </c>
      <c r="L251" s="31" t="n">
        <v>7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55.94</v>
      </c>
      <c r="P251" s="32" t="n">
        <v>32.19</v>
      </c>
      <c r="Q251" s="32" t="n">
        <v>220.71</v>
      </c>
      <c r="R251" s="31" t="inlineStr">
        <is>
          <t>Earnings / Momentum Support</t>
        </is>
      </c>
      <c r="S251" s="31" t="inlineStr">
        <is>
          <t>Nifty FMCG</t>
        </is>
      </c>
      <c r="T251" s="32" t="n">
        <v>-13.44</v>
      </c>
      <c r="U251" s="32" t="n">
        <v>-5.13</v>
      </c>
      <c r="V251" s="32" t="n">
        <v>9.6</v>
      </c>
      <c r="W251" s="32" t="n">
        <v>2.61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B2C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IF(B252=0,"",RANK(B252,$B$2:$B$306,0))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CIPLA</t>
        </is>
      </c>
      <c r="D252" s="33" t="inlineStr">
        <is>
          <t>Cipla Limited</t>
        </is>
      </c>
      <c r="E252" s="31" t="inlineStr">
        <is>
          <t>healthcare</t>
        </is>
      </c>
      <c r="F252" s="31" t="inlineStr">
        <is>
          <t>pharmaceuticals - indian - bulk drugs &amp; formln</t>
        </is>
      </c>
      <c r="G252" s="31" t="inlineStr">
        <is>
          <t>largecap</t>
        </is>
      </c>
      <c r="H252" s="32" t="n">
        <v>113194.58</v>
      </c>
      <c r="I252" s="32" t="n">
        <v>1401.3</v>
      </c>
      <c r="J252" s="32" t="n">
        <v>0.19</v>
      </c>
      <c r="K252" s="32" t="n">
        <v>1050391</v>
      </c>
      <c r="L252" s="31" t="n">
        <v>2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55.9</v>
      </c>
      <c r="P252" s="32" t="n">
        <v>28.91</v>
      </c>
      <c r="Q252" s="32" t="n">
        <v>1224.48</v>
      </c>
      <c r="R252" s="31" t="inlineStr">
        <is>
          <t>Earnings / Momentum Support</t>
        </is>
      </c>
      <c r="S252" s="31" t="inlineStr">
        <is>
          <t>Nifty Pharma</t>
        </is>
      </c>
      <c r="T252" s="32" t="n">
        <v>11.82</v>
      </c>
      <c r="U252" s="32" t="n">
        <v>-4.96</v>
      </c>
      <c r="V252" s="32" t="n">
        <v>-15.01</v>
      </c>
      <c r="W252" s="32" t="n">
        <v>0.65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IF(B253=0,"",RANK(B253,$B$2:$B$306,0))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BHAGERIA</t>
        </is>
      </c>
      <c r="D253" s="31" t="inlineStr">
        <is>
          <t>Bhageria Industries Limited</t>
        </is>
      </c>
      <c r="E253" s="31" t="inlineStr">
        <is>
          <t>chemicals</t>
        </is>
      </c>
      <c r="F253" s="31" t="inlineStr">
        <is>
          <t>dyes and pigments</t>
        </is>
      </c>
      <c r="G253" s="31" t="inlineStr">
        <is>
          <t>smallcap</t>
        </is>
      </c>
      <c r="H253" s="32" t="n">
        <v>912.5599999999999</v>
      </c>
      <c r="I253" s="32" t="n">
        <v>209.09</v>
      </c>
      <c r="J253" s="32" t="n">
        <v>15.83</v>
      </c>
      <c r="K253" s="32" t="n">
        <v>2265151</v>
      </c>
      <c r="L253" s="31" t="n">
        <v>43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64.56</v>
      </c>
      <c r="P253" s="32" t="n">
        <v>13.19</v>
      </c>
      <c r="Q253" s="32" t="n">
        <v>154.02</v>
      </c>
      <c r="R253" s="31" t="inlineStr">
        <is>
          <t>Volume Spike / Accumulation</t>
        </is>
      </c>
      <c r="S253" s="31" t="inlineStr">
        <is>
          <t>Nifty IT</t>
        </is>
      </c>
      <c r="T253" s="32" t="n">
        <v>-22.21</v>
      </c>
      <c r="U253" s="32" t="n">
        <v>11.22</v>
      </c>
      <c r="V253" s="32" t="n">
        <v>42.98</v>
      </c>
      <c r="W253" s="32" t="n">
        <v>11.08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1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IF(B254=0,"",RANK(B254,$B$2:$B$306,0))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HINDOILEXP</t>
        </is>
      </c>
      <c r="D254" s="33" t="inlineStr">
        <is>
          <t>Hindustan Oil Exploration Company Limited</t>
        </is>
      </c>
      <c r="E254" s="31" t="inlineStr">
        <is>
          <t>energy</t>
        </is>
      </c>
      <c r="F254" s="31" t="inlineStr">
        <is>
          <t>oil drilling / allied services</t>
        </is>
      </c>
      <c r="G254" s="31" t="inlineStr">
        <is>
          <t>smallcap</t>
        </is>
      </c>
      <c r="H254" s="32" t="n">
        <v>2309.76</v>
      </c>
      <c r="I254" s="32" t="n">
        <v>174.66</v>
      </c>
      <c r="J254" s="32" t="n">
        <v>4.31</v>
      </c>
      <c r="K254" s="32" t="n">
        <v>1131670</v>
      </c>
      <c r="L254" s="31" t="n">
        <v>9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59.46</v>
      </c>
      <c r="P254" s="32" t="n">
        <v>23.64</v>
      </c>
      <c r="Q254" s="32" t="n">
        <v>129.04</v>
      </c>
      <c r="R254" s="31" t="inlineStr">
        <is>
          <t>Near 52W High Breakout</t>
        </is>
      </c>
      <c r="S254" s="31" t="inlineStr">
        <is>
          <t>Nifty Energy</t>
        </is>
      </c>
      <c r="T254" s="32" t="n">
        <v>12.31</v>
      </c>
      <c r="U254" s="32" t="n">
        <v>2.69</v>
      </c>
      <c r="V254" s="32" t="n">
        <v>-8.57</v>
      </c>
      <c r="W254" s="32" t="n">
        <v>3.15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IF(B255=0,"",RANK(B255,$B$2:$B$306,0))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AVL</t>
        </is>
      </c>
      <c r="D255" s="31" t="inlineStr">
        <is>
          <t>Aditya Vision Ltd</t>
        </is>
      </c>
      <c r="E255" s="31" t="inlineStr">
        <is>
          <t>consumer discretionary</t>
        </is>
      </c>
      <c r="F255" s="31" t="inlineStr">
        <is>
          <t>trading</t>
        </is>
      </c>
      <c r="G255" s="31" t="inlineStr">
        <is>
          <t>midcap</t>
        </is>
      </c>
      <c r="H255" s="32" t="n">
        <v>7118.09</v>
      </c>
      <c r="I255" s="32" t="n">
        <v>551.2</v>
      </c>
      <c r="J255" s="32" t="n">
        <v>2.69</v>
      </c>
      <c r="K255" s="32" t="n">
        <v>196519</v>
      </c>
      <c r="L255" s="31" t="n">
        <v>47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59.49</v>
      </c>
      <c r="P255" s="32" t="n">
        <v>21.91</v>
      </c>
      <c r="Q255" s="32" t="n">
        <v>433.82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-6.54</v>
      </c>
      <c r="U255" s="32" t="n">
        <v>43.48</v>
      </c>
      <c r="V255" s="32" t="n">
        <v>53.53</v>
      </c>
      <c r="W255" s="32" t="n">
        <v>12.21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Between 1.5 to 2</t>
        </is>
      </c>
      <c r="BU255" s="31">
        <f>IF(BT255="Above 2",0,IF(BT255="Between 1.5 to 2",5,IF(BT255="Less than 1.5",10,0)))</f>
        <v/>
      </c>
      <c r="BV255" s="31" t="inlineStr">
        <is>
          <t>Less than 50%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IF(B256=0,"",RANK(B256,$B$2:$B$306,0))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NEOGEN</t>
        </is>
      </c>
      <c r="D256" s="31" t="inlineStr">
        <is>
          <t>Neogen Chemicals Ltd</t>
        </is>
      </c>
      <c r="E256" s="31" t="inlineStr">
        <is>
          <t>chemicals</t>
        </is>
      </c>
      <c r="F256" s="31" t="inlineStr">
        <is>
          <t>chemicals</t>
        </is>
      </c>
      <c r="G256" s="31" t="inlineStr">
        <is>
          <t>midcap</t>
        </is>
      </c>
      <c r="H256" s="32" t="n">
        <v>5212.38</v>
      </c>
      <c r="I256" s="32" t="n">
        <v>1903.6</v>
      </c>
      <c r="J256" s="32" t="n">
        <v>1.1</v>
      </c>
      <c r="K256" s="32" t="n">
        <v>89441</v>
      </c>
      <c r="L256" s="31" t="n">
        <v>55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68.2</v>
      </c>
      <c r="P256" s="32" t="n">
        <v>30.84</v>
      </c>
      <c r="Q256" s="32" t="n">
        <v>1395.35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-6.54</v>
      </c>
      <c r="U256" s="32" t="n">
        <v>15.32</v>
      </c>
      <c r="V256" s="32" t="n">
        <v>23.4</v>
      </c>
      <c r="W256" s="32" t="n">
        <v>14.66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Negative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IF(B257=0,"",RANK(B257,$B$2:$B$306,0))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DEEPAKFERT</t>
        </is>
      </c>
      <c r="D257" s="33" t="inlineStr">
        <is>
          <t>Deepak Fertilizers And Petrochemicals Corporation Limited</t>
        </is>
      </c>
      <c r="E257" s="31" t="inlineStr">
        <is>
          <t>chemicals</t>
        </is>
      </c>
      <c r="F257" s="31" t="inlineStr">
        <is>
          <t>chemicals</t>
        </is>
      </c>
      <c r="G257" s="31" t="inlineStr">
        <is>
          <t>midcap</t>
        </is>
      </c>
      <c r="H257" s="32" t="n">
        <v>17998.99</v>
      </c>
      <c r="I257" s="32" t="n">
        <v>1425.8</v>
      </c>
      <c r="J257" s="32" t="n">
        <v>0.37</v>
      </c>
      <c r="K257" s="32" t="n">
        <v>112062</v>
      </c>
      <c r="L257" s="31" t="n">
        <v>41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63.66</v>
      </c>
      <c r="P257" s="32" t="n">
        <v>30.8</v>
      </c>
      <c r="Q257" s="32" t="n">
        <v>1116.19</v>
      </c>
      <c r="R257" s="31" t="inlineStr">
        <is>
          <t>Earnings / Momentum Support</t>
        </is>
      </c>
      <c r="S257" s="31" t="inlineStr">
        <is>
          <t>Nifty 50</t>
        </is>
      </c>
      <c r="T257" s="32" t="n">
        <v>-6.54</v>
      </c>
      <c r="U257" s="32" t="n">
        <v>-7.03</v>
      </c>
      <c r="V257" s="32" t="n">
        <v>-0.52</v>
      </c>
      <c r="W257" s="32" t="n">
        <v>10.86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Less than 50%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IF(B258=0,"",RANK(B258,$B$2:$B$306,0))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PTL</t>
        </is>
      </c>
      <c r="D258" s="31" t="inlineStr">
        <is>
          <t>Ptl Enterprises Limited</t>
        </is>
      </c>
      <c r="E258" s="31" t="inlineStr">
        <is>
          <t>miscellaneous</t>
        </is>
      </c>
      <c r="F258" s="31" t="inlineStr">
        <is>
          <t>miscellaneous</t>
        </is>
      </c>
      <c r="G258" s="31" t="inlineStr">
        <is>
          <t>smallcap</t>
        </is>
      </c>
      <c r="H258" s="32" t="n">
        <v>529.38</v>
      </c>
      <c r="I258" s="32" t="n">
        <v>39.99</v>
      </c>
      <c r="J258" s="32" t="n">
        <v>0.28</v>
      </c>
      <c r="K258" s="32" t="n">
        <v>27103</v>
      </c>
      <c r="L258" s="31" t="n">
        <v>4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56.24</v>
      </c>
      <c r="P258" s="32" t="n">
        <v>12.05</v>
      </c>
      <c r="Q258" s="32" t="n">
        <v>34.79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-6.54</v>
      </c>
      <c r="U258" s="32" t="n">
        <v>4.52</v>
      </c>
      <c r="V258" s="32" t="n">
        <v>11.84</v>
      </c>
      <c r="W258" s="32" t="n">
        <v>1.89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IF(B259=0,"",RANK(B259,$B$2:$B$306,0))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YASHO</t>
        </is>
      </c>
      <c r="D259" s="31" t="inlineStr">
        <is>
          <t>Yasho Industries Ltd</t>
        </is>
      </c>
      <c r="E259" s="31" t="inlineStr">
        <is>
          <t>chemicals</t>
        </is>
      </c>
      <c r="F259" s="31" t="inlineStr">
        <is>
          <t>chemicals</t>
        </is>
      </c>
      <c r="G259" s="31" t="inlineStr">
        <is>
          <t>smallcap</t>
        </is>
      </c>
      <c r="H259" s="32" t="n">
        <v>2978.22</v>
      </c>
      <c r="I259" s="32" t="n">
        <v>2470.1</v>
      </c>
      <c r="J259" s="32" t="n">
        <v>-0.21</v>
      </c>
      <c r="K259" s="32" t="n">
        <v>70384</v>
      </c>
      <c r="L259" s="31" t="n">
        <v>66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78.95999999999999</v>
      </c>
      <c r="P259" s="32" t="n">
        <v>18.25</v>
      </c>
      <c r="Q259" s="32" t="n">
        <v>1843.59</v>
      </c>
      <c r="R259" s="31" t="inlineStr">
        <is>
          <t>Volume Spike &amp; Near 52W High Breakout</t>
        </is>
      </c>
      <c r="S259" s="31" t="inlineStr">
        <is>
          <t>Nifty 50</t>
        </is>
      </c>
      <c r="T259" s="32" t="n">
        <v>-6.54</v>
      </c>
      <c r="U259" s="32" t="n">
        <v>20.83</v>
      </c>
      <c r="V259" s="32" t="n">
        <v>29.29</v>
      </c>
      <c r="W259" s="32" t="n">
        <v>18.13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More than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IF(B260=0,"",RANK(B260,$B$2:$B$306,0))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VARROC</t>
        </is>
      </c>
      <c r="D260" s="33" t="inlineStr">
        <is>
          <t>Varroc Engineering Ltd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midcap</t>
        </is>
      </c>
      <c r="H260" s="32" t="n">
        <v>8957.870000000001</v>
      </c>
      <c r="I260" s="32" t="n">
        <v>586.3</v>
      </c>
      <c r="J260" s="32" t="n">
        <v>-2.54</v>
      </c>
      <c r="K260" s="32" t="n">
        <v>176278</v>
      </c>
      <c r="L260" s="31" t="n">
        <v>16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58.2</v>
      </c>
      <c r="P260" s="32" t="n">
        <v>13.25</v>
      </c>
      <c r="Q260" s="32" t="n">
        <v>462.36</v>
      </c>
      <c r="R260" s="31" t="inlineStr">
        <is>
          <t>Earnings / Momentum Support</t>
        </is>
      </c>
      <c r="S260" s="31" t="inlineStr">
        <is>
          <t>Nifty Auto</t>
        </is>
      </c>
      <c r="T260" s="32" t="n">
        <v>10.59</v>
      </c>
      <c r="U260" s="32" t="n">
        <v>6.79</v>
      </c>
      <c r="V260" s="32" t="n">
        <v>-3.43</v>
      </c>
      <c r="W260" s="32" t="n">
        <v>4.83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Between 50% to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IF(B261=0,"",RANK(B261,$B$2:$B$306,0))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NEULANDLAB</t>
        </is>
      </c>
      <c r="D261" s="31" t="inlineStr">
        <is>
          <t>Neuland Laboratories Limited</t>
        </is>
      </c>
      <c r="E261" s="31" t="inlineStr">
        <is>
          <t>healthcare</t>
        </is>
      </c>
      <c r="F261" s="31" t="inlineStr">
        <is>
          <t>pharmaceuticals - indian - bulk drugs</t>
        </is>
      </c>
      <c r="G261" s="31" t="inlineStr">
        <is>
          <t>largecap</t>
        </is>
      </c>
      <c r="H261" s="32" t="n">
        <v>21568.33</v>
      </c>
      <c r="I261" s="32" t="n">
        <v>16811</v>
      </c>
      <c r="J261" s="32" t="n">
        <v>-0.29</v>
      </c>
      <c r="K261" s="32" t="n">
        <v>13332</v>
      </c>
      <c r="L261" s="31" t="n">
        <v>48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60.53</v>
      </c>
      <c r="P261" s="32" t="n">
        <v>29.47</v>
      </c>
      <c r="Q261" s="32" t="n">
        <v>13749.62</v>
      </c>
      <c r="R261" s="31" t="inlineStr">
        <is>
          <t>Earnings / Momentum Support</t>
        </is>
      </c>
      <c r="S261" s="31" t="inlineStr">
        <is>
          <t>Nifty Pharma</t>
        </is>
      </c>
      <c r="T261" s="32" t="n">
        <v>11.82</v>
      </c>
      <c r="U261" s="32" t="n">
        <v>29.12</v>
      </c>
      <c r="V261" s="32" t="n">
        <v>15.47</v>
      </c>
      <c r="W261" s="32" t="n">
        <v>12.6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IF(B262=0,"",RANK(B262,$B$2:$B$306,0))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INNOVACAP</t>
        </is>
      </c>
      <c r="D262" s="33" t="inlineStr">
        <is>
          <t>Innova Captab Ltd</t>
        </is>
      </c>
      <c r="E262" s="31" t="inlineStr">
        <is>
          <t>healthcare</t>
        </is>
      </c>
      <c r="F262" s="31" t="inlineStr">
        <is>
          <t>pharmaceuticals - indian - bulk drugs &amp; formln</t>
        </is>
      </c>
      <c r="G262" s="31" t="inlineStr">
        <is>
          <t>smallcap</t>
        </is>
      </c>
      <c r="H262" s="32" t="n">
        <v>4964.26</v>
      </c>
      <c r="I262" s="32" t="n">
        <v>867.5</v>
      </c>
      <c r="J262" s="32" t="n">
        <v>-0.58</v>
      </c>
      <c r="K262" s="32" t="n">
        <v>24354</v>
      </c>
      <c r="L262" s="31" t="n">
        <v>23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64.98999999999999</v>
      </c>
      <c r="P262" s="32" t="n">
        <v>24.21</v>
      </c>
      <c r="Q262" s="32" t="n">
        <v>682.8</v>
      </c>
      <c r="R262" s="31" t="inlineStr">
        <is>
          <t>Earnings / Momentum Support</t>
        </is>
      </c>
      <c r="S262" s="31" t="inlineStr">
        <is>
          <t>Nifty Pharma</t>
        </is>
      </c>
      <c r="T262" s="32" t="n">
        <v>11.82</v>
      </c>
      <c r="U262" s="32" t="n">
        <v>-2.14</v>
      </c>
      <c r="V262" s="32" t="n">
        <v>-12.49</v>
      </c>
      <c r="W262" s="32" t="n">
        <v>6.32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Less than 50%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IF(B263=0,"",RANK(B263,$B$2:$B$306,0))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ACMESOLAR</t>
        </is>
      </c>
      <c r="D263" s="31" t="inlineStr">
        <is>
          <t>ACME Solar Holdings Ltd</t>
        </is>
      </c>
      <c r="E263" s="31" t="inlineStr">
        <is>
          <t>realty</t>
        </is>
      </c>
      <c r="F263" s="31" t="inlineStr">
        <is>
          <t>engineering - turnkey services</t>
        </is>
      </c>
      <c r="G263" s="31" t="inlineStr">
        <is>
          <t>largecap</t>
        </is>
      </c>
      <c r="H263" s="32" t="n">
        <v>21611.98</v>
      </c>
      <c r="I263" s="32" t="n">
        <v>356.65</v>
      </c>
      <c r="J263" s="32" t="n">
        <v>3.12</v>
      </c>
      <c r="K263" s="32" t="n">
        <v>6661042</v>
      </c>
      <c r="L263" s="31" t="n">
        <v>74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71.98</v>
      </c>
      <c r="P263" s="32" t="n">
        <v>18.73</v>
      </c>
      <c r="Q263" s="32" t="n">
        <v>275.33</v>
      </c>
      <c r="R263" s="31" t="inlineStr">
        <is>
          <t>Volume Spike &amp; Near 52W High Breakout</t>
        </is>
      </c>
      <c r="S263" s="31" t="inlineStr">
        <is>
          <t>Nifty Realty</t>
        </is>
      </c>
      <c r="T263" s="32" t="n">
        <v>-26.04</v>
      </c>
      <c r="U263" s="32" t="n">
        <v>42.3</v>
      </c>
      <c r="V263" s="32" t="n">
        <v>92.40000000000001</v>
      </c>
      <c r="W263" s="32" t="n">
        <v>21.94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Between 50% to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IF(B264=0,"",RANK(B264,$B$2:$B$306,0))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STEELXIND</t>
        </is>
      </c>
      <c r="D264" s="31" t="inlineStr">
        <is>
          <t>Steel Exchange India Ltd</t>
        </is>
      </c>
      <c r="E264" s="31" t="inlineStr">
        <is>
          <t>metals &amp; mining</t>
        </is>
      </c>
      <c r="F264" s="31" t="inlineStr">
        <is>
          <t>steel - medium / small</t>
        </is>
      </c>
      <c r="G264" s="31" t="inlineStr">
        <is>
          <t>smallcap</t>
        </is>
      </c>
      <c r="H264" s="32" t="n">
        <v>1573.99</v>
      </c>
      <c r="I264" s="32" t="n">
        <v>12.34</v>
      </c>
      <c r="J264" s="32" t="n">
        <v>1.65</v>
      </c>
      <c r="K264" s="32" t="n">
        <v>7044541</v>
      </c>
      <c r="L264" s="31" t="n">
        <v>66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69.94</v>
      </c>
      <c r="P264" s="32" t="n">
        <v>21.78</v>
      </c>
      <c r="Q264" s="32" t="n">
        <v>9.09</v>
      </c>
      <c r="R264" s="31" t="inlineStr">
        <is>
          <t>Volume Spike &amp; Near 52W High Breakout</t>
        </is>
      </c>
      <c r="S264" s="31" t="inlineStr">
        <is>
          <t>Nifty Metal</t>
        </is>
      </c>
      <c r="T264" s="32" t="n">
        <v>40.56</v>
      </c>
      <c r="U264" s="32" t="n">
        <v>47.96</v>
      </c>
      <c r="V264" s="32" t="n">
        <v>5.27</v>
      </c>
      <c r="W264" s="32" t="n">
        <v>18.46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Volatile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Negative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IF(B265=0,"",RANK(B265,$B$2:$B$306,0))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TIINDIA</t>
        </is>
      </c>
      <c r="D265" s="33" t="inlineStr">
        <is>
          <t>Tube Investments of India Ltd</t>
        </is>
      </c>
      <c r="E265" s="31" t="inlineStr">
        <is>
          <t>industrials</t>
        </is>
      </c>
      <c r="F265" s="31" t="inlineStr">
        <is>
          <t>steel - large</t>
        </is>
      </c>
      <c r="G265" s="31" t="inlineStr">
        <is>
          <t>largecap</t>
        </is>
      </c>
      <c r="H265" s="32" t="n">
        <v>60562.69</v>
      </c>
      <c r="I265" s="32" t="n">
        <v>3129</v>
      </c>
      <c r="J265" s="32" t="n">
        <v>0.99</v>
      </c>
      <c r="K265" s="32" t="n">
        <v>192369</v>
      </c>
      <c r="L265" s="31" t="n">
        <v>11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62.04</v>
      </c>
      <c r="P265" s="32" t="n">
        <v>16.51</v>
      </c>
      <c r="Q265" s="32" t="n">
        <v>2447.24</v>
      </c>
      <c r="R265" s="31" t="inlineStr">
        <is>
          <t>Earnings / Momentum Support</t>
        </is>
      </c>
      <c r="S265" s="31" t="inlineStr">
        <is>
          <t>Nifty Metal</t>
        </is>
      </c>
      <c r="T265" s="32" t="n">
        <v>40.56</v>
      </c>
      <c r="U265" s="32" t="n">
        <v>2.16</v>
      </c>
      <c r="V265" s="32" t="n">
        <v>-27.32</v>
      </c>
      <c r="W265" s="32" t="n">
        <v>3.75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IF(B266=0,"",RANK(B266,$B$2:$B$306,0))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AZAD</t>
        </is>
      </c>
      <c r="D266" s="31" t="inlineStr">
        <is>
          <t>Azad Engineering Ltd</t>
        </is>
      </c>
      <c r="E266" s="31" t="inlineStr">
        <is>
          <t>aerospace &amp; defence</t>
        </is>
      </c>
      <c r="F266" s="31" t="inlineStr">
        <is>
          <t>engineering</t>
        </is>
      </c>
      <c r="G266" s="31" t="inlineStr">
        <is>
          <t>midcap</t>
        </is>
      </c>
      <c r="H266" s="32" t="n">
        <v>14257.71</v>
      </c>
      <c r="I266" s="32" t="n">
        <v>2207.7</v>
      </c>
      <c r="J266" s="32" t="n">
        <v>0.33</v>
      </c>
      <c r="K266" s="32" t="n">
        <v>387649</v>
      </c>
      <c r="L266" s="31" t="n">
        <v>54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65.51000000000001</v>
      </c>
      <c r="P266" s="32" t="n">
        <v>23.59</v>
      </c>
      <c r="Q266" s="32" t="n">
        <v>1766.27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-6.54</v>
      </c>
      <c r="U266" s="32" t="n">
        <v>33.82</v>
      </c>
      <c r="V266" s="32" t="n">
        <v>43.2</v>
      </c>
      <c r="W266" s="32" t="n">
        <v>14.38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Negative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IF(B267=0,"",RANK(B267,$B$2:$B$306,0))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GANDHAR</t>
        </is>
      </c>
      <c r="D267" s="33" t="inlineStr">
        <is>
          <t>Gandhar Oil Refinery (India) Ltd</t>
        </is>
      </c>
      <c r="E267" s="31" t="inlineStr">
        <is>
          <t>energy</t>
        </is>
      </c>
      <c r="F267" s="31" t="inlineStr">
        <is>
          <t>refineries</t>
        </is>
      </c>
      <c r="G267" s="31" t="inlineStr">
        <is>
          <t>smallcap</t>
        </is>
      </c>
      <c r="H267" s="32" t="n">
        <v>1573.22</v>
      </c>
      <c r="I267" s="32" t="n">
        <v>160.73</v>
      </c>
      <c r="J267" s="32" t="n">
        <v>-0.6899999999999999</v>
      </c>
      <c r="K267" s="32" t="n">
        <v>709636</v>
      </c>
      <c r="L267" s="31" t="n">
        <v>8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58.46</v>
      </c>
      <c r="P267" s="32" t="n">
        <v>20.76</v>
      </c>
      <c r="Q267" s="32" t="n">
        <v>119.49</v>
      </c>
      <c r="R267" s="31" t="inlineStr">
        <is>
          <t>Earnings / Momentum Support</t>
        </is>
      </c>
      <c r="S267" s="31" t="inlineStr">
        <is>
          <t>Nifty Energy</t>
        </is>
      </c>
      <c r="T267" s="32" t="n">
        <v>12.31</v>
      </c>
      <c r="U267" s="32" t="n">
        <v>-8.710000000000001</v>
      </c>
      <c r="V267" s="32" t="n">
        <v>-18.71</v>
      </c>
      <c r="W267" s="32" t="n">
        <v>3.07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Between 50% to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IF(B268=0,"",RANK(B268,$B$2:$B$306,0))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JSWENERGY</t>
        </is>
      </c>
      <c r="D268" s="31" t="inlineStr">
        <is>
          <t>Jsw Energy Limited</t>
        </is>
      </c>
      <c r="E268" s="31" t="inlineStr">
        <is>
          <t>power &amp; utilities</t>
        </is>
      </c>
      <c r="F268" s="31" t="inlineStr">
        <is>
          <t>power generation and supply</t>
        </is>
      </c>
      <c r="G268" s="31" t="inlineStr">
        <is>
          <t>largecap</t>
        </is>
      </c>
      <c r="H268" s="32" t="n">
        <v>107112.06</v>
      </c>
      <c r="I268" s="32" t="n">
        <v>584.2</v>
      </c>
      <c r="J268" s="32" t="n">
        <v>-0.99</v>
      </c>
      <c r="K268" s="32" t="n">
        <v>1509598</v>
      </c>
      <c r="L268" s="31" t="n">
        <v>26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61.64</v>
      </c>
      <c r="P268" s="32" t="n">
        <v>14.01</v>
      </c>
      <c r="Q268" s="32" t="n">
        <v>475.73</v>
      </c>
      <c r="R268" s="31" t="inlineStr">
        <is>
          <t>Near 52W High Breakout</t>
        </is>
      </c>
      <c r="S268" s="31" t="inlineStr">
        <is>
          <t>Nifty IT</t>
        </is>
      </c>
      <c r="T268" s="32" t="n">
        <v>-22.21</v>
      </c>
      <c r="U268" s="32" t="n">
        <v>12.56</v>
      </c>
      <c r="V268" s="32" t="n">
        <v>44.7</v>
      </c>
      <c r="W268" s="32" t="n">
        <v>6.85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IF(B269=0,"",RANK(B269,$B$2:$B$306,0))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KIMS</t>
        </is>
      </c>
      <c r="D269" s="31" t="inlineStr">
        <is>
          <t>Krishna Institute of Medical Sciences Ltd</t>
        </is>
      </c>
      <c r="E269" s="31" t="inlineStr">
        <is>
          <t>healthcare</t>
        </is>
      </c>
      <c r="F269" s="31" t="inlineStr">
        <is>
          <t>healthcare</t>
        </is>
      </c>
      <c r="G269" s="31" t="inlineStr">
        <is>
          <t>largecap</t>
        </is>
      </c>
      <c r="H269" s="32" t="n">
        <v>31568.96</v>
      </c>
      <c r="I269" s="32" t="n">
        <v>788.95</v>
      </c>
      <c r="J269" s="32" t="n">
        <v>3.14</v>
      </c>
      <c r="K269" s="32" t="n">
        <v>2175866</v>
      </c>
      <c r="L269" s="31" t="n">
        <v>21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64.84999999999999</v>
      </c>
      <c r="P269" s="32" t="n">
        <v>19.53</v>
      </c>
      <c r="Q269" s="32" t="n">
        <v>629.84</v>
      </c>
      <c r="R269" s="31" t="inlineStr">
        <is>
          <t>Volume Spike &amp; Near 52W High Breakout</t>
        </is>
      </c>
      <c r="S269" s="31" t="inlineStr">
        <is>
          <t>Nifty Pharma</t>
        </is>
      </c>
      <c r="T269" s="32" t="n">
        <v>11.82</v>
      </c>
      <c r="U269" s="32" t="n">
        <v>19.47</v>
      </c>
      <c r="V269" s="32" t="n">
        <v>6.83</v>
      </c>
      <c r="W269" s="32" t="n">
        <v>5.72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IF(B270=0,"",RANK(B270,$B$2:$B$306,0))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KRN</t>
        </is>
      </c>
      <c r="D270" s="31" t="inlineStr">
        <is>
          <t>KRN Heat Exchanger and Refrigeration Ltd</t>
        </is>
      </c>
      <c r="E270" s="31" t="inlineStr">
        <is>
          <t>industrials</t>
        </is>
      </c>
      <c r="F270" s="31" t="inlineStr">
        <is>
          <t>engineering</t>
        </is>
      </c>
      <c r="G270" s="31" t="inlineStr">
        <is>
          <t>midcap</t>
        </is>
      </c>
      <c r="H270" s="32" t="n">
        <v>7563.22</v>
      </c>
      <c r="I270" s="32" t="n">
        <v>1216.8</v>
      </c>
      <c r="J270" s="32" t="n">
        <v>-0.07000000000000001</v>
      </c>
      <c r="K270" s="32" t="n">
        <v>264459</v>
      </c>
      <c r="L270" s="31" t="n">
        <v>64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63.44</v>
      </c>
      <c r="P270" s="32" t="n">
        <v>40.03</v>
      </c>
      <c r="Q270" s="32" t="n">
        <v>879.6799999999999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-6.54</v>
      </c>
      <c r="U270" s="32" t="n">
        <v>61.5</v>
      </c>
      <c r="V270" s="32" t="n">
        <v>72.81</v>
      </c>
      <c r="W270" s="32" t="n">
        <v>17.32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Between 1.5 to 2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IF(B271=0,"",RANK(B271,$B$2:$B$306,0))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TMPV</t>
        </is>
      </c>
      <c r="D271" s="33" t="inlineStr">
        <is>
          <t>Tata Motors Passenger Vehicles Ltd</t>
        </is>
      </c>
      <c r="E271" s="31" t="inlineStr">
        <is>
          <t>auto</t>
        </is>
      </c>
      <c r="F271" s="31" t="inlineStr">
        <is>
          <t>automobiles - passenger cars</t>
        </is>
      </c>
      <c r="G271" s="31" t="inlineStr">
        <is>
          <t>largecap</t>
        </is>
      </c>
      <c r="H271" s="32" t="n">
        <v>146484.98</v>
      </c>
      <c r="I271" s="32" t="n">
        <v>397.8</v>
      </c>
      <c r="J271" s="32" t="n">
        <v>-0.48</v>
      </c>
      <c r="K271" s="32" t="n">
        <v>9554051</v>
      </c>
      <c r="L271" s="31" t="n">
        <v>1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53.44</v>
      </c>
      <c r="P271" s="32" t="n">
        <v>26.16</v>
      </c>
      <c r="Q271" s="32" t="n">
        <v>311.13</v>
      </c>
      <c r="R271" s="31" t="inlineStr">
        <is>
          <t>Earnings / Momentum Support</t>
        </is>
      </c>
      <c r="S271" s="31" t="inlineStr">
        <is>
          <t>Nifty Auto</t>
        </is>
      </c>
      <c r="T271" s="32" t="n">
        <v>10.59</v>
      </c>
      <c r="U271" s="32" t="n">
        <v>-43.57</v>
      </c>
      <c r="V271" s="32" t="n">
        <v>-48.97</v>
      </c>
      <c r="W271" s="32" t="n">
        <v>-4.95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1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Less than 50%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IF(B272=0,"",RANK(B272,$B$2:$B$306,0))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VENUSPIPES</t>
        </is>
      </c>
      <c r="D272" s="33" t="inlineStr">
        <is>
          <t>Venus Pipes &amp; Tubes Ltd</t>
        </is>
      </c>
      <c r="E272" s="31" t="inlineStr">
        <is>
          <t>metals &amp; mining</t>
        </is>
      </c>
      <c r="F272" s="31" t="inlineStr">
        <is>
          <t>steel - medium / small</t>
        </is>
      </c>
      <c r="G272" s="31" t="inlineStr">
        <is>
          <t>smallcap</t>
        </is>
      </c>
      <c r="H272" s="32" t="n">
        <v>3001.76</v>
      </c>
      <c r="I272" s="32" t="n">
        <v>1449</v>
      </c>
      <c r="J272" s="32" t="n">
        <v>-1.28</v>
      </c>
      <c r="K272" s="32" t="n">
        <v>54780</v>
      </c>
      <c r="L272" s="31" t="n">
        <v>39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62.71</v>
      </c>
      <c r="P272" s="32" t="n">
        <v>21.42</v>
      </c>
      <c r="Q272" s="32" t="n">
        <v>1055.23</v>
      </c>
      <c r="R272" s="31" t="inlineStr">
        <is>
          <t>Earnings / Momentum Support</t>
        </is>
      </c>
      <c r="S272" s="31" t="inlineStr">
        <is>
          <t>Nifty Metal</t>
        </is>
      </c>
      <c r="T272" s="32" t="n">
        <v>40.56</v>
      </c>
      <c r="U272" s="32" t="n">
        <v>1.46</v>
      </c>
      <c r="V272" s="32" t="n">
        <v>-27.82</v>
      </c>
      <c r="W272" s="32" t="n">
        <v>10.54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IF(B273=0,"",RANK(B273,$B$2:$B$306,0))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SPAL</t>
        </is>
      </c>
      <c r="D273" s="31" t="inlineStr">
        <is>
          <t>S. P. Apparels Limited</t>
        </is>
      </c>
      <c r="E273" s="31" t="inlineStr">
        <is>
          <t>textiles</t>
        </is>
      </c>
      <c r="F273" s="31" t="inlineStr">
        <is>
          <t>textiles - products</t>
        </is>
      </c>
      <c r="G273" s="31" t="inlineStr">
        <is>
          <t>smallcap</t>
        </is>
      </c>
      <c r="H273" s="32" t="n">
        <v>2041.78</v>
      </c>
      <c r="I273" s="32" t="n">
        <v>812.2</v>
      </c>
      <c r="J273" s="32" t="n">
        <v>-2.25</v>
      </c>
      <c r="K273" s="32" t="n">
        <v>18047</v>
      </c>
      <c r="L273" s="31" t="n">
        <v>12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60.41</v>
      </c>
      <c r="P273" s="32" t="n">
        <v>18.18</v>
      </c>
      <c r="Q273" s="32" t="n">
        <v>616.75</v>
      </c>
      <c r="R273" s="31" t="inlineStr">
        <is>
          <t>Near 52W High Breakout</t>
        </is>
      </c>
      <c r="S273" s="31" t="inlineStr">
        <is>
          <t>Nifty 50</t>
        </is>
      </c>
      <c r="T273" s="32" t="n">
        <v>-6.54</v>
      </c>
      <c r="U273" s="32" t="n">
        <v>-2.37</v>
      </c>
      <c r="V273" s="32" t="n">
        <v>4.47</v>
      </c>
      <c r="W273" s="32" t="n">
        <v>3.77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IF(B274=0,"",RANK(B274,$B$2:$B$306,0))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INDOTECH</t>
        </is>
      </c>
      <c r="D274" s="31" t="inlineStr">
        <is>
          <t>Indo Tech Transformers Limited</t>
        </is>
      </c>
      <c r="E274" s="31" t="inlineStr">
        <is>
          <t>industrials</t>
        </is>
      </c>
      <c r="F274" s="31" t="inlineStr">
        <is>
          <t>electric equipment</t>
        </is>
      </c>
      <c r="G274" s="31" t="inlineStr">
        <is>
          <t>smallcap</t>
        </is>
      </c>
      <c r="H274" s="32" t="n">
        <v>2822.37</v>
      </c>
      <c r="I274" s="32" t="n">
        <v>2657.6</v>
      </c>
      <c r="J274" s="32" t="n">
        <v>-4.5</v>
      </c>
      <c r="K274" s="32" t="n">
        <v>46926</v>
      </c>
      <c r="L274" s="31" t="n">
        <v>85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66.08</v>
      </c>
      <c r="P274" s="32" t="n">
        <v>32.11</v>
      </c>
      <c r="Q274" s="32" t="n">
        <v>1923.03</v>
      </c>
      <c r="R274" s="31" t="inlineStr">
        <is>
          <t>Earnings / Momentum Support</t>
        </is>
      </c>
      <c r="S274" s="31" t="inlineStr">
        <is>
          <t>Nifty Infra</t>
        </is>
      </c>
      <c r="T274" s="32" t="n">
        <v>1.11</v>
      </c>
      <c r="U274" s="32" t="n">
        <v>27.54</v>
      </c>
      <c r="V274" s="32" t="n">
        <v>26.13</v>
      </c>
      <c r="W274" s="32" t="n">
        <v>29.37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Between 12 to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Less than 50%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IF(B275=0,"",RANK(B275,$B$2:$B$306,0))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SKYGOLD</t>
        </is>
      </c>
      <c r="D275" s="31" t="inlineStr">
        <is>
          <t>Sky Gold Ltd</t>
        </is>
      </c>
      <c r="E275" s="31" t="inlineStr">
        <is>
          <t>consumer discretionary</t>
        </is>
      </c>
      <c r="F275" s="31" t="inlineStr">
        <is>
          <t>diamond cutting / jewellery</t>
        </is>
      </c>
      <c r="G275" s="31" t="inlineStr">
        <is>
          <t>midcap</t>
        </is>
      </c>
      <c r="H275" s="32" t="n">
        <v>8184.31</v>
      </c>
      <c r="I275" s="32" t="n">
        <v>528.45</v>
      </c>
      <c r="J275" s="32" t="n">
        <v>-7.52</v>
      </c>
      <c r="K275" s="32" t="n">
        <v>2897297</v>
      </c>
      <c r="L275" s="31" t="n">
        <v>73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67.04000000000001</v>
      </c>
      <c r="P275" s="32" t="n">
        <v>31.29</v>
      </c>
      <c r="Q275" s="32" t="n">
        <v>384.35</v>
      </c>
      <c r="R275" s="31" t="inlineStr">
        <is>
          <t>Volume Spike &amp; Near 52W High Breakout</t>
        </is>
      </c>
      <c r="S275" s="31" t="inlineStr">
        <is>
          <t>Nifty 50</t>
        </is>
      </c>
      <c r="T275" s="32" t="n">
        <v>-6.54</v>
      </c>
      <c r="U275" s="32" t="n">
        <v>40.02</v>
      </c>
      <c r="V275" s="32" t="n">
        <v>49.83</v>
      </c>
      <c r="W275" s="32" t="n">
        <v>21.43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Negative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IF(B276=0,"",RANK(B276,$B$2:$B$306,0))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AKUMS</t>
        </is>
      </c>
      <c r="D276" s="33" t="inlineStr">
        <is>
          <t>Akums Drugs &amp; Pharmaceuticals Ltd</t>
        </is>
      </c>
      <c r="E276" s="31" t="inlineStr">
        <is>
          <t>healthcare</t>
        </is>
      </c>
      <c r="F276" s="31" t="inlineStr">
        <is>
          <t>pharmaceuticals - indian - bulk drugs &amp; formln</t>
        </is>
      </c>
      <c r="G276" s="31" t="inlineStr">
        <is>
          <t>midcap</t>
        </is>
      </c>
      <c r="H276" s="32" t="n">
        <v>8716.48</v>
      </c>
      <c r="I276" s="32" t="n">
        <v>553.8</v>
      </c>
      <c r="J276" s="32" t="n">
        <v>-0.31</v>
      </c>
      <c r="K276" s="32" t="n">
        <v>96120</v>
      </c>
      <c r="L276" s="31" t="n">
        <v>12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62.92</v>
      </c>
      <c r="P276" s="32" t="n">
        <v>34.35</v>
      </c>
      <c r="Q276" s="32" t="n">
        <v>443.91</v>
      </c>
      <c r="R276" s="31" t="inlineStr">
        <is>
          <t>Earnings / Momentum Support</t>
        </is>
      </c>
      <c r="S276" s="31" t="inlineStr">
        <is>
          <t>Nifty Pharma</t>
        </is>
      </c>
      <c r="T276" s="32" t="n">
        <v>11.82</v>
      </c>
      <c r="U276" s="32" t="n">
        <v>-1.83</v>
      </c>
      <c r="V276" s="32" t="n">
        <v>-12.21</v>
      </c>
      <c r="W276" s="32" t="n">
        <v>3.86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IF(B277=0,"",RANK(B277,$B$2:$B$306,0))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SVLL</t>
        </is>
      </c>
      <c r="D277" s="31" t="inlineStr">
        <is>
          <t>Shree Vasu Logistics Ltd</t>
        </is>
      </c>
      <c r="E277" s="31" t="inlineStr">
        <is>
          <t>transportation</t>
        </is>
      </c>
      <c r="F277" s="31" t="inlineStr">
        <is>
          <t>miscellaneous</t>
        </is>
      </c>
      <c r="G277" s="31" t="inlineStr">
        <is>
          <t>smallcap</t>
        </is>
      </c>
      <c r="H277" s="32" t="n">
        <v>859.61</v>
      </c>
      <c r="I277" s="32" t="n">
        <v>747.9</v>
      </c>
      <c r="J277" s="32" t="n">
        <v>5.2</v>
      </c>
      <c r="K277" s="32" t="n">
        <v>2832</v>
      </c>
      <c r="L277" s="31" t="n">
        <v>30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64.28</v>
      </c>
      <c r="P277" s="32" t="n">
        <v>30.6</v>
      </c>
      <c r="Q277" s="32" t="n">
        <v>493.42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-6.54</v>
      </c>
      <c r="U277" s="32" t="n">
        <v>-3.91</v>
      </c>
      <c r="V277" s="32" t="n">
        <v>2.82</v>
      </c>
      <c r="W277" s="32" t="n">
        <v>7.62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1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IF(B278=0,"",RANK(B278,$B$2:$B$306,0))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ASAHIINDIA</t>
        </is>
      </c>
      <c r="D278" s="31" t="inlineStr">
        <is>
          <t>Asahi India Glass Limited</t>
        </is>
      </c>
      <c r="E278" s="31" t="inlineStr">
        <is>
          <t>building materials</t>
        </is>
      </c>
      <c r="F278" s="31" t="inlineStr">
        <is>
          <t>glass &amp; glass products</t>
        </is>
      </c>
      <c r="G278" s="31" t="inlineStr">
        <is>
          <t>largecap</t>
        </is>
      </c>
      <c r="H278" s="32" t="n">
        <v>22991.88</v>
      </c>
      <c r="I278" s="32" t="n">
        <v>901.9</v>
      </c>
      <c r="J278" s="32" t="n">
        <v>1.18</v>
      </c>
      <c r="K278" s="32" t="n">
        <v>64779</v>
      </c>
      <c r="L278" s="31" t="n">
        <v>26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54.45</v>
      </c>
      <c r="P278" s="32" t="n">
        <v>11.5</v>
      </c>
      <c r="Q278" s="32" t="n">
        <v>700.5700000000001</v>
      </c>
      <c r="R278" s="31" t="inlineStr">
        <is>
          <t>Earnings / Momentum Support</t>
        </is>
      </c>
      <c r="S278" s="31" t="inlineStr">
        <is>
          <t>Nifty Infra</t>
        </is>
      </c>
      <c r="T278" s="32" t="n">
        <v>1.11</v>
      </c>
      <c r="U278" s="32" t="n">
        <v>21.76</v>
      </c>
      <c r="V278" s="32" t="n">
        <v>20.42</v>
      </c>
      <c r="W278" s="32" t="n">
        <v>6.9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1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Between 1.5 to 2</t>
        </is>
      </c>
      <c r="BU278" s="31">
        <f>IF(BT278="Above 2",0,IF(BT278="Between 1.5 to 2",5,IF(BT278="Less than 1.5",10,0)))</f>
        <v/>
      </c>
      <c r="BV278" s="31" t="inlineStr">
        <is>
          <t>Between 50% to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IF(B279=0,"",RANK(B279,$B$2:$B$306,0))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LLOYDSME</t>
        </is>
      </c>
      <c r="D279" s="33" t="inlineStr">
        <is>
          <t>Lloyds Metals &amp; Energy Ltd</t>
        </is>
      </c>
      <c r="E279" s="31" t="inlineStr">
        <is>
          <t>metals &amp; mining</t>
        </is>
      </c>
      <c r="F279" s="31" t="inlineStr">
        <is>
          <t>mining / minerals / metals</t>
        </is>
      </c>
      <c r="G279" s="31" t="inlineStr">
        <is>
          <t>largecap</t>
        </is>
      </c>
      <c r="H279" s="32" t="n">
        <v>100096.96</v>
      </c>
      <c r="I279" s="32" t="n">
        <v>1778.6</v>
      </c>
      <c r="J279" s="32" t="n">
        <v>0.17</v>
      </c>
      <c r="K279" s="32" t="n">
        <v>486178</v>
      </c>
      <c r="L279" s="31" t="n">
        <v>61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70.45</v>
      </c>
      <c r="P279" s="32" t="n">
        <v>35.52</v>
      </c>
      <c r="Q279" s="32" t="n">
        <v>1448.97</v>
      </c>
      <c r="R279" s="31" t="inlineStr">
        <is>
          <t>Near 52W High Breakout</t>
        </is>
      </c>
      <c r="S279" s="31" t="inlineStr">
        <is>
          <t>Nifty Metal</t>
        </is>
      </c>
      <c r="T279" s="32" t="n">
        <v>40.56</v>
      </c>
      <c r="U279" s="32" t="n">
        <v>21.91</v>
      </c>
      <c r="V279" s="32" t="n">
        <v>-13.27</v>
      </c>
      <c r="W279" s="32" t="n">
        <v>16.09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Less than 50% and Borrowings are increasing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More than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IF(B280=0,"",RANK(B280,$B$2:$B$306,0))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TVSSRICHAK</t>
        </is>
      </c>
      <c r="D280" s="31" t="inlineStr">
        <is>
          <t>Tvs Srichakra Limited</t>
        </is>
      </c>
      <c r="E280" s="31" t="inlineStr">
        <is>
          <t>auto</t>
        </is>
      </c>
      <c r="F280" s="31" t="inlineStr">
        <is>
          <t>tyres</t>
        </is>
      </c>
      <c r="G280" s="31" t="inlineStr">
        <is>
          <t>smallcap</t>
        </is>
      </c>
      <c r="H280" s="32" t="n">
        <v>3095.67</v>
      </c>
      <c r="I280" s="32" t="n">
        <v>4042.9</v>
      </c>
      <c r="J280" s="32" t="n">
        <v>-0.59</v>
      </c>
      <c r="K280" s="32" t="n">
        <v>3008</v>
      </c>
      <c r="L280" s="31" t="n">
        <v>43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55.52</v>
      </c>
      <c r="P280" s="32" t="n">
        <v>9.58</v>
      </c>
      <c r="Q280" s="32" t="n">
        <v>3049.62</v>
      </c>
      <c r="R280" s="31" t="inlineStr">
        <is>
          <t>Earnings / Momentum Support</t>
        </is>
      </c>
      <c r="S280" s="31" t="inlineStr">
        <is>
          <t>Nifty Auto</t>
        </is>
      </c>
      <c r="T280" s="32" t="n">
        <v>10.59</v>
      </c>
      <c r="U280" s="32" t="n">
        <v>37.52</v>
      </c>
      <c r="V280" s="32" t="n">
        <v>24.36</v>
      </c>
      <c r="W280" s="32" t="n">
        <v>11.28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1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IF(B281=0,"",RANK(B281,$B$2:$B$306,0))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PANAMAPET</t>
        </is>
      </c>
      <c r="D281" s="33" t="inlineStr">
        <is>
          <t>Panama Petrochem Limited</t>
        </is>
      </c>
      <c r="E281" s="31" t="inlineStr">
        <is>
          <t>energy</t>
        </is>
      </c>
      <c r="F281" s="31" t="inlineStr">
        <is>
          <t>petrochemicals</t>
        </is>
      </c>
      <c r="G281" s="31" t="inlineStr">
        <is>
          <t>smallcap</t>
        </is>
      </c>
      <c r="H281" s="32" t="n">
        <v>2085.52</v>
      </c>
      <c r="I281" s="32" t="n">
        <v>344.75</v>
      </c>
      <c r="J281" s="32" t="n">
        <v>-1.39</v>
      </c>
      <c r="K281" s="32" t="n">
        <v>104404</v>
      </c>
      <c r="L281" s="31" t="n">
        <v>17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64.67</v>
      </c>
      <c r="P281" s="32" t="n">
        <v>18.32</v>
      </c>
      <c r="Q281" s="32" t="n">
        <v>256.79</v>
      </c>
      <c r="R281" s="31" t="inlineStr">
        <is>
          <t>Volume Spike &amp; Near 52W High Breakout</t>
        </is>
      </c>
      <c r="S281" s="31" t="inlineStr">
        <is>
          <t>Nifty Energy</t>
        </is>
      </c>
      <c r="T281" s="32" t="n">
        <v>12.31</v>
      </c>
      <c r="U281" s="32" t="n">
        <v>-4.75</v>
      </c>
      <c r="V281" s="32" t="n">
        <v>-15.19</v>
      </c>
      <c r="W281" s="32" t="n">
        <v>4.98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IF(B282=0,"",RANK(B282,$B$2:$B$306,0))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PVP</t>
        </is>
      </c>
      <c r="D282" s="31" t="inlineStr">
        <is>
          <t>Pvp Ventures Limited</t>
        </is>
      </c>
      <c r="E282" s="31" t="inlineStr">
        <is>
          <t>realty</t>
        </is>
      </c>
      <c r="F282" s="31" t="inlineStr">
        <is>
          <t>construction</t>
        </is>
      </c>
      <c r="G282" s="31" t="inlineStr">
        <is>
          <t>smallcap</t>
        </is>
      </c>
      <c r="H282" s="32" t="n">
        <v>846.83</v>
      </c>
      <c r="I282" s="32" t="n">
        <v>32.52</v>
      </c>
      <c r="J282" s="32" t="n">
        <v>2.1</v>
      </c>
      <c r="K282" s="32" t="n">
        <v>809026</v>
      </c>
      <c r="L282" s="31" t="n">
        <v>44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55.97</v>
      </c>
      <c r="P282" s="32" t="n">
        <v>17.97</v>
      </c>
      <c r="Q282" s="32" t="n">
        <v>20.98</v>
      </c>
      <c r="R282" s="31" t="inlineStr">
        <is>
          <t>Earnings / Momentum Support</t>
        </is>
      </c>
      <c r="S282" s="31" t="inlineStr">
        <is>
          <t>Nifty Realty</t>
        </is>
      </c>
      <c r="T282" s="32" t="n">
        <v>-26.04</v>
      </c>
      <c r="U282" s="32" t="n">
        <v>36.98</v>
      </c>
      <c r="V282" s="32" t="n">
        <v>85.20999999999999</v>
      </c>
      <c r="W282" s="32" t="n">
        <v>11.65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1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Negative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IF(B283=0,"",RANK(B283,$B$2:$B$306,0))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JINDRILL</t>
        </is>
      </c>
      <c r="D283" s="33" t="inlineStr">
        <is>
          <t>Jindal Drilling And Industries Limited</t>
        </is>
      </c>
      <c r="E283" s="31" t="inlineStr">
        <is>
          <t>energy</t>
        </is>
      </c>
      <c r="F283" s="31" t="inlineStr">
        <is>
          <t>oil drilling / allied services</t>
        </is>
      </c>
      <c r="G283" s="31" t="inlineStr">
        <is>
          <t>smallcap</t>
        </is>
      </c>
      <c r="H283" s="32" t="n">
        <v>1829.29</v>
      </c>
      <c r="I283" s="32" t="n">
        <v>631.2</v>
      </c>
      <c r="J283" s="32" t="n">
        <v>0.02</v>
      </c>
      <c r="K283" s="32" t="n">
        <v>460846</v>
      </c>
      <c r="L283" s="31" t="n">
        <v>13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59.73</v>
      </c>
      <c r="P283" s="32" t="n">
        <v>37.84</v>
      </c>
      <c r="Q283" s="32" t="n">
        <v>470.18</v>
      </c>
      <c r="R283" s="31" t="inlineStr">
        <is>
          <t>Earnings / Momentum Support</t>
        </is>
      </c>
      <c r="S283" s="31" t="inlineStr">
        <is>
          <t>Nifty Energy</t>
        </is>
      </c>
      <c r="T283" s="32" t="n">
        <v>12.31</v>
      </c>
      <c r="U283" s="32" t="n">
        <v>1.22</v>
      </c>
      <c r="V283" s="32" t="n">
        <v>-9.869999999999999</v>
      </c>
      <c r="W283" s="32" t="n">
        <v>3.92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IF(B284=0,"",RANK(B284,$B$2:$B$306,0))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VINCOFE</t>
        </is>
      </c>
      <c r="D284" s="31" t="inlineStr">
        <is>
          <t>Vintage Coffee &amp; Beverages Ltd</t>
        </is>
      </c>
      <c r="E284" s="31" t="inlineStr">
        <is>
          <t>consumer discretionary</t>
        </is>
      </c>
      <c r="F284" s="31" t="inlineStr">
        <is>
          <t>trading</t>
        </is>
      </c>
      <c r="G284" s="31" t="inlineStr">
        <is>
          <t>smallcap</t>
        </is>
      </c>
      <c r="H284" s="32" t="n">
        <v>2171.78</v>
      </c>
      <c r="I284" s="32" t="n">
        <v>149.07</v>
      </c>
      <c r="J284" s="32" t="n">
        <v>-0.84</v>
      </c>
      <c r="K284" s="32" t="n">
        <v>1110416</v>
      </c>
      <c r="L284" s="31" t="n">
        <v>30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55.35</v>
      </c>
      <c r="P284" s="32" t="n">
        <v>10.57</v>
      </c>
      <c r="Q284" s="32" t="n">
        <v>110.35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-6.54</v>
      </c>
      <c r="U284" s="32" t="n">
        <v>24.15</v>
      </c>
      <c r="V284" s="32" t="n">
        <v>32.85</v>
      </c>
      <c r="W284" s="32" t="n">
        <v>7.6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1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Between 12 to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Between 1.5 to 2</t>
        </is>
      </c>
      <c r="BU284" s="31">
        <f>IF(BT284="Above 2",0,IF(BT284="Between 1.5 to 2",5,IF(BT284="Less than 1.5",10,0)))</f>
        <v/>
      </c>
      <c r="BV284" s="31" t="inlineStr">
        <is>
          <t>Less than 50%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IF(B285=0,"",RANK(B285,$B$2:$B$306,0))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TEGA</t>
        </is>
      </c>
      <c r="D285" s="31" t="inlineStr">
        <is>
          <t>Tega Industries Ltd</t>
        </is>
      </c>
      <c r="E285" s="31" t="inlineStr">
        <is>
          <t>industrials</t>
        </is>
      </c>
      <c r="F285" s="31" t="inlineStr">
        <is>
          <t>engineering</t>
        </is>
      </c>
      <c r="G285" s="31" t="inlineStr">
        <is>
          <t>midcap</t>
        </is>
      </c>
      <c r="H285" s="32" t="n">
        <v>13881.34</v>
      </c>
      <c r="I285" s="32" t="n">
        <v>1847.7</v>
      </c>
      <c r="J285" s="32" t="n">
        <v>-1.31</v>
      </c>
      <c r="K285" s="32" t="n">
        <v>75661</v>
      </c>
      <c r="L285" s="31" t="n">
        <v>17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57.12</v>
      </c>
      <c r="P285" s="32" t="n">
        <v>8.75</v>
      </c>
      <c r="Q285" s="32" t="n">
        <v>1441.15</v>
      </c>
      <c r="R285" s="31" t="inlineStr">
        <is>
          <t>Volume Spike / Accumulation</t>
        </is>
      </c>
      <c r="S285" s="31" t="inlineStr">
        <is>
          <t>Nifty 50</t>
        </is>
      </c>
      <c r="T285" s="32" t="n">
        <v>-6.54</v>
      </c>
      <c r="U285" s="32" t="n">
        <v>15.64</v>
      </c>
      <c r="V285" s="32" t="n">
        <v>23.73</v>
      </c>
      <c r="W285" s="32" t="n">
        <v>4.98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1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IF(B286=0,"",RANK(B286,$B$2:$B$306,0))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TITAGARH</t>
        </is>
      </c>
      <c r="D286" s="33" t="inlineStr">
        <is>
          <t>Titagarh Rail Systems Ltd</t>
        </is>
      </c>
      <c r="E286" s="31" t="inlineStr">
        <is>
          <t>industrials</t>
        </is>
      </c>
      <c r="F286" s="31" t="inlineStr">
        <is>
          <t>engineering</t>
        </is>
      </c>
      <c r="G286" s="31" t="inlineStr">
        <is>
          <t>midcap</t>
        </is>
      </c>
      <c r="H286" s="32" t="n">
        <v>11284.32</v>
      </c>
      <c r="I286" s="32" t="n">
        <v>837.9</v>
      </c>
      <c r="J286" s="32" t="n">
        <v>-3.02</v>
      </c>
      <c r="K286" s="32" t="n">
        <v>698650</v>
      </c>
      <c r="L286" s="31" t="n">
        <v>9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57.49</v>
      </c>
      <c r="P286" s="32" t="n">
        <v>21.58</v>
      </c>
      <c r="Q286" s="32" t="n">
        <v>634.72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-6.54</v>
      </c>
      <c r="U286" s="32" t="n">
        <v>-10.84</v>
      </c>
      <c r="V286" s="32" t="n">
        <v>-4.6</v>
      </c>
      <c r="W286" s="32" t="n">
        <v>3.17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IF(B287=0,"",RANK(B287,$B$2:$B$306,0))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MSTCLTD</t>
        </is>
      </c>
      <c r="D287" s="31" t="inlineStr">
        <is>
          <t>MSTC Ltd</t>
        </is>
      </c>
      <c r="E287" s="31" t="inlineStr">
        <is>
          <t>i.t</t>
        </is>
      </c>
      <c r="F287" s="31" t="inlineStr">
        <is>
          <t>trading</t>
        </is>
      </c>
      <c r="G287" s="31" t="inlineStr">
        <is>
          <t>smallcap</t>
        </is>
      </c>
      <c r="H287" s="32" t="n">
        <v>3606.94</v>
      </c>
      <c r="I287" s="32" t="n">
        <v>512.35</v>
      </c>
      <c r="J287" s="32" t="n">
        <v>-3.67</v>
      </c>
      <c r="K287" s="32" t="n">
        <v>3416610</v>
      </c>
      <c r="L287" s="31" t="n">
        <v>5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59.74</v>
      </c>
      <c r="P287" s="32" t="n">
        <v>16.82</v>
      </c>
      <c r="Q287" s="32" t="n">
        <v>389.82</v>
      </c>
      <c r="R287" s="31" t="inlineStr">
        <is>
          <t>Volume Spike / Accumulation</t>
        </is>
      </c>
      <c r="S287" s="31" t="inlineStr">
        <is>
          <t>Nifty IT</t>
        </is>
      </c>
      <c r="T287" s="32" t="n">
        <v>-22.21</v>
      </c>
      <c r="U287" s="32" t="n">
        <v>-6.75</v>
      </c>
      <c r="V287" s="32" t="n">
        <v>19.88</v>
      </c>
      <c r="W287" s="32" t="n">
        <v>2.23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1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Negative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IF(B288=0,"",RANK(B288,$B$2:$B$306,0))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INDGN</t>
        </is>
      </c>
      <c r="D288" s="33" t="inlineStr">
        <is>
          <t>Indegene Ltd</t>
        </is>
      </c>
      <c r="E288" s="31" t="inlineStr">
        <is>
          <t>healthcare</t>
        </is>
      </c>
      <c r="F288" s="31" t="inlineStr">
        <is>
          <t>miscellaneous</t>
        </is>
      </c>
      <c r="G288" s="31" t="inlineStr">
        <is>
          <t>midcap</t>
        </is>
      </c>
      <c r="H288" s="32" t="n">
        <v>12568.59</v>
      </c>
      <c r="I288" s="32" t="n">
        <v>523</v>
      </c>
      <c r="J288" s="32" t="n">
        <v>0.96</v>
      </c>
      <c r="K288" s="32" t="n">
        <v>248735</v>
      </c>
      <c r="L288" s="31" t="n">
        <v>3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55.78</v>
      </c>
      <c r="P288" s="32" t="n">
        <v>25.85</v>
      </c>
      <c r="Q288" s="32" t="n">
        <v>430.63</v>
      </c>
      <c r="R288" s="31" t="inlineStr">
        <is>
          <t>Earnings / Momentum Support</t>
        </is>
      </c>
      <c r="S288" s="31" t="inlineStr">
        <is>
          <t>Nifty Pharma</t>
        </is>
      </c>
      <c r="T288" s="32" t="n">
        <v>11.82</v>
      </c>
      <c r="U288" s="32" t="n">
        <v>-9.77</v>
      </c>
      <c r="V288" s="32" t="n">
        <v>-19.31</v>
      </c>
      <c r="W288" s="32" t="n">
        <v>1.15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Annuity, Lower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IF(B289=0,"",RANK(B289,$B$2:$B$306,0))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BBL</t>
        </is>
      </c>
      <c r="D289" s="33" t="inlineStr">
        <is>
          <t>Bharat Bijlee Limited</t>
        </is>
      </c>
      <c r="E289" s="31" t="inlineStr">
        <is>
          <t>industrials</t>
        </is>
      </c>
      <c r="F289" s="31" t="inlineStr">
        <is>
          <t>electric equipment</t>
        </is>
      </c>
      <c r="G289" s="31" t="inlineStr">
        <is>
          <t>smallcap</t>
        </is>
      </c>
      <c r="H289" s="32" t="n">
        <v>3211.22</v>
      </c>
      <c r="I289" s="32" t="n">
        <v>2841</v>
      </c>
      <c r="J289" s="32" t="n">
        <v>1.44</v>
      </c>
      <c r="K289" s="32" t="n">
        <v>29817</v>
      </c>
      <c r="L289" s="31" t="n">
        <v>14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53.46</v>
      </c>
      <c r="P289" s="32" t="n">
        <v>21.55</v>
      </c>
      <c r="Q289" s="32" t="n">
        <v>2363.39</v>
      </c>
      <c r="R289" s="31" t="inlineStr">
        <is>
          <t>Earnings / Momentum Support</t>
        </is>
      </c>
      <c r="S289" s="31" t="inlineStr">
        <is>
          <t>Nifty Infra</t>
        </is>
      </c>
      <c r="T289" s="32" t="n">
        <v>1.11</v>
      </c>
      <c r="U289" s="32" t="n">
        <v>-3.79</v>
      </c>
      <c r="V289" s="32" t="n">
        <v>-4.85</v>
      </c>
      <c r="W289" s="32" t="n">
        <v>4.41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1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IF(B290=0,"",RANK(B290,$B$2:$B$306,0))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AEROENTER</t>
        </is>
      </c>
      <c r="D290" s="33" t="inlineStr">
        <is>
          <t>Aeroflex Enterprises Ltd</t>
        </is>
      </c>
      <c r="E290" s="31" t="inlineStr">
        <is>
          <t>metals &amp; mining</t>
        </is>
      </c>
      <c r="F290" s="31" t="inlineStr">
        <is>
          <t>steel - medium / small</t>
        </is>
      </c>
      <c r="G290" s="31" t="inlineStr">
        <is>
          <t>smallcap</t>
        </is>
      </c>
      <c r="H290" s="32" t="n">
        <v>1140.24</v>
      </c>
      <c r="I290" s="32" t="n">
        <v>100.83</v>
      </c>
      <c r="J290" s="32" t="n">
        <v>-0.3</v>
      </c>
      <c r="K290" s="32" t="n">
        <v>470133</v>
      </c>
      <c r="L290" s="31" t="n">
        <v>41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60.09</v>
      </c>
      <c r="P290" s="32" t="n">
        <v>28.86</v>
      </c>
      <c r="Q290" s="32" t="n">
        <v>80.77</v>
      </c>
      <c r="R290" s="31" t="inlineStr">
        <is>
          <t>Earnings / Momentum Support</t>
        </is>
      </c>
      <c r="S290" s="31" t="inlineStr">
        <is>
          <t>Nifty Metal</t>
        </is>
      </c>
      <c r="T290" s="32" t="n">
        <v>40.56</v>
      </c>
      <c r="U290" s="32" t="n">
        <v>13.38</v>
      </c>
      <c r="V290" s="32" t="n">
        <v>-19.34</v>
      </c>
      <c r="W290" s="32" t="n">
        <v>10.92</v>
      </c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Less than 50%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IF(B291=0,"",RANK(B291,$B$2:$B$306,0))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RITCO</t>
        </is>
      </c>
      <c r="D291" s="33" t="inlineStr">
        <is>
          <t>Ritco Logistics Ltd</t>
        </is>
      </c>
      <c r="E291" s="31" t="inlineStr">
        <is>
          <t>transportation</t>
        </is>
      </c>
      <c r="F291" s="31" t="inlineStr">
        <is>
          <t>miscellaneous</t>
        </is>
      </c>
      <c r="G291" s="31" t="inlineStr">
        <is>
          <t>smallcap</t>
        </is>
      </c>
      <c r="H291" s="32" t="n">
        <v>742.47</v>
      </c>
      <c r="I291" s="32" t="n">
        <v>259.4</v>
      </c>
      <c r="J291" s="32" t="n">
        <v>0.14</v>
      </c>
      <c r="K291" s="32" t="n">
        <v>109176</v>
      </c>
      <c r="L291" s="31" t="n">
        <v>24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56.44</v>
      </c>
      <c r="P291" s="32" t="n">
        <v>27.1</v>
      </c>
      <c r="Q291" s="32" t="n">
        <v>192.93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-6.54</v>
      </c>
      <c r="U291" s="32" t="n">
        <v>-12.45</v>
      </c>
      <c r="V291" s="32" t="n">
        <v>-6.32</v>
      </c>
      <c r="W291" s="32" t="n">
        <v>6.49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IF(B292=0,"",RANK(B292,$B$2:$B$306,0))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ARVINDFASN</t>
        </is>
      </c>
      <c r="D292" s="31" t="inlineStr">
        <is>
          <t>Arvind Fashions Ltd</t>
        </is>
      </c>
      <c r="E292" s="31" t="inlineStr">
        <is>
          <t>consumer discretionary</t>
        </is>
      </c>
      <c r="F292" s="31" t="inlineStr">
        <is>
          <t>trading</t>
        </is>
      </c>
      <c r="G292" s="31" t="inlineStr">
        <is>
          <t>midcap</t>
        </is>
      </c>
      <c r="H292" s="32" t="n">
        <v>6272.43</v>
      </c>
      <c r="I292" s="32" t="n">
        <v>469.3</v>
      </c>
      <c r="J292" s="32" t="n">
        <v>-0.38</v>
      </c>
      <c r="K292" s="32" t="n">
        <v>131097</v>
      </c>
      <c r="L292" s="31" t="n">
        <v>10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52.15</v>
      </c>
      <c r="P292" s="32" t="n">
        <v>12.1</v>
      </c>
      <c r="Q292" s="32" t="n">
        <v>360.2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-6.54</v>
      </c>
      <c r="U292" s="32" t="n">
        <v>4.1</v>
      </c>
      <c r="V292" s="32" t="n">
        <v>11.39</v>
      </c>
      <c r="W292" s="32" t="n">
        <v>3.47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1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IF(B293=0,"",RANK(B293,$B$2:$B$306,0))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RML</t>
        </is>
      </c>
      <c r="D293" s="33" t="inlineStr">
        <is>
          <t>Rane (madras) Limited</t>
        </is>
      </c>
      <c r="E293" s="31" t="inlineStr">
        <is>
          <t>auto</t>
        </is>
      </c>
      <c r="F293" s="31" t="inlineStr">
        <is>
          <t>auto ancillaries</t>
        </is>
      </c>
      <c r="G293" s="31" t="inlineStr">
        <is>
          <t>smallcap</t>
        </is>
      </c>
      <c r="H293" s="32" t="n">
        <v>2491.35</v>
      </c>
      <c r="I293" s="32" t="n">
        <v>901.45</v>
      </c>
      <c r="J293" s="32" t="n">
        <v>-1.3</v>
      </c>
      <c r="K293" s="32" t="n">
        <v>8995</v>
      </c>
      <c r="L293" s="31" t="n">
        <v>5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59.54</v>
      </c>
      <c r="P293" s="32" t="n">
        <v>18.82</v>
      </c>
      <c r="Q293" s="32" t="n">
        <v>719.86</v>
      </c>
      <c r="R293" s="31" t="inlineStr">
        <is>
          <t>Near 52W High Breakout</t>
        </is>
      </c>
      <c r="S293" s="31" t="inlineStr">
        <is>
          <t>Nifty Auto</t>
        </is>
      </c>
      <c r="T293" s="32" t="n">
        <v>10.59</v>
      </c>
      <c r="U293" s="32" t="n">
        <v>0.72</v>
      </c>
      <c r="V293" s="32" t="n">
        <v>-8.92</v>
      </c>
      <c r="W293" s="32" t="n">
        <v>2.09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Between 50% to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Between 0.7 to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IF(B294=0,"",RANK(B294,$B$2:$B$306,0))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JBMA</t>
        </is>
      </c>
      <c r="D294" s="33" t="inlineStr">
        <is>
          <t>Jbm Auto Limited</t>
        </is>
      </c>
      <c r="E294" s="31" t="inlineStr">
        <is>
          <t>auto</t>
        </is>
      </c>
      <c r="F294" s="31" t="inlineStr">
        <is>
          <t>auto ancillaries</t>
        </is>
      </c>
      <c r="G294" s="31" t="inlineStr">
        <is>
          <t>midcap</t>
        </is>
      </c>
      <c r="H294" s="32" t="n">
        <v>16074.52</v>
      </c>
      <c r="I294" s="32" t="n">
        <v>679.7</v>
      </c>
      <c r="J294" s="32" t="n">
        <v>-1.89</v>
      </c>
      <c r="K294" s="32" t="n">
        <v>1113860</v>
      </c>
      <c r="L294" s="31" t="n">
        <v>23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60.66</v>
      </c>
      <c r="P294" s="32" t="n">
        <v>15.71</v>
      </c>
      <c r="Q294" s="32" t="n">
        <v>506.73</v>
      </c>
      <c r="R294" s="31" t="inlineStr">
        <is>
          <t>Volume Spike / Accumulation</t>
        </is>
      </c>
      <c r="S294" s="31" t="inlineStr">
        <is>
          <t>Nifty Auto</t>
        </is>
      </c>
      <c r="T294" s="32" t="n">
        <v>10.59</v>
      </c>
      <c r="U294" s="32" t="n">
        <v>-3.83</v>
      </c>
      <c r="V294" s="32" t="n">
        <v>-13.04</v>
      </c>
      <c r="W294" s="32" t="n">
        <v>6.38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IF(B295=0,"",RANK(B295,$B$2:$B$306,0))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ABDL</t>
        </is>
      </c>
      <c r="D295" s="31" t="inlineStr">
        <is>
          <t>Allied Blenders &amp; Distillers Ltd</t>
        </is>
      </c>
      <c r="E295" s="31" t="inlineStr">
        <is>
          <t>fmcg</t>
        </is>
      </c>
      <c r="F295" s="31" t="inlineStr">
        <is>
          <t>breweries &amp; distilleries</t>
        </is>
      </c>
      <c r="G295" s="31" t="inlineStr">
        <is>
          <t>midcap</t>
        </is>
      </c>
      <c r="H295" s="32" t="n">
        <v>16242.77</v>
      </c>
      <c r="I295" s="32" t="n">
        <v>580.7</v>
      </c>
      <c r="J295" s="32" t="n">
        <v>1.55</v>
      </c>
      <c r="K295" s="32" t="n">
        <v>301894</v>
      </c>
      <c r="L295" s="31" t="n">
        <v>49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57.08</v>
      </c>
      <c r="P295" s="32" t="n">
        <v>18.86</v>
      </c>
      <c r="Q295" s="32" t="n">
        <v>439.87</v>
      </c>
      <c r="R295" s="31" t="inlineStr">
        <is>
          <t>Earnings / Momentum Support</t>
        </is>
      </c>
      <c r="S295" s="31" t="inlineStr">
        <is>
          <t>Nifty FMCG</t>
        </is>
      </c>
      <c r="T295" s="32" t="n">
        <v>-13.44</v>
      </c>
      <c r="U295" s="32" t="n">
        <v>36.67</v>
      </c>
      <c r="V295" s="32" t="n">
        <v>57.89</v>
      </c>
      <c r="W295" s="32" t="n">
        <v>12.72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B2C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IF(B296=0,"",RANK(B296,$B$2:$B$306,0))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ITI</t>
        </is>
      </c>
      <c r="D296" s="33" t="inlineStr">
        <is>
          <t>Iti Limited</t>
        </is>
      </c>
      <c r="E296" s="31" t="inlineStr">
        <is>
          <t>aerospace &amp; defence</t>
        </is>
      </c>
      <c r="F296" s="31" t="inlineStr">
        <is>
          <t>telecommunications - equipment</t>
        </is>
      </c>
      <c r="G296" s="31" t="inlineStr">
        <is>
          <t>largecap</t>
        </is>
      </c>
      <c r="H296" s="32" t="n">
        <v>29078.13</v>
      </c>
      <c r="I296" s="32" t="n">
        <v>302</v>
      </c>
      <c r="J296" s="32" t="n">
        <v>0.07000000000000001</v>
      </c>
      <c r="K296" s="32" t="n">
        <v>777791</v>
      </c>
      <c r="L296" s="31" t="n">
        <v>6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54.69</v>
      </c>
      <c r="P296" s="32" t="n">
        <v>17.91</v>
      </c>
      <c r="Q296" s="32" t="n">
        <v>228.98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-6.54</v>
      </c>
      <c r="U296" s="32" t="n">
        <v>-7.16</v>
      </c>
      <c r="V296" s="32" t="n">
        <v>-0.66</v>
      </c>
      <c r="W296" s="32" t="n">
        <v>2.32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Between 0.7 to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IF(B297=0,"",RANK(B297,$B$2:$B$306,0))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SGIL</t>
        </is>
      </c>
      <c r="D297" s="31" t="inlineStr">
        <is>
          <t>Synergy Green Industries Ltd</t>
        </is>
      </c>
      <c r="E297" s="31" t="inlineStr">
        <is>
          <t>industrials</t>
        </is>
      </c>
      <c r="F297" s="31" t="inlineStr">
        <is>
          <t>castings &amp; forgings</t>
        </is>
      </c>
      <c r="G297" s="31" t="inlineStr">
        <is>
          <t>smallcap</t>
        </is>
      </c>
      <c r="H297" s="32" t="n">
        <v>887.97</v>
      </c>
      <c r="I297" s="32" t="n">
        <v>571.3</v>
      </c>
      <c r="J297" s="32" t="n">
        <v>-3.81</v>
      </c>
      <c r="K297" s="32" t="n">
        <v>10882</v>
      </c>
      <c r="L297" s="31" t="n">
        <v>16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58.42</v>
      </c>
      <c r="P297" s="32" t="n">
        <v>21.4</v>
      </c>
      <c r="Q297" s="32" t="n">
        <v>427.93</v>
      </c>
      <c r="R297" s="31" t="inlineStr">
        <is>
          <t>Volume Spike &amp; Near 52W High Breakout</t>
        </is>
      </c>
      <c r="S297" s="31" t="inlineStr">
        <is>
          <t>Nifty Infra</t>
        </is>
      </c>
      <c r="T297" s="32" t="n">
        <v>1.11</v>
      </c>
      <c r="U297" s="32" t="n">
        <v>10.04</v>
      </c>
      <c r="V297" s="32" t="n">
        <v>8.83</v>
      </c>
      <c r="W297" s="32" t="n">
        <v>4.81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Blue sky scenario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Less than 50% and Borrowings are increasing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IF(B298=0,"",RANK(B298,$B$2:$B$306,0))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SENCO</t>
        </is>
      </c>
      <c r="D298" s="31" t="inlineStr">
        <is>
          <t>Senco Gold Ltd</t>
        </is>
      </c>
      <c r="E298" s="31" t="inlineStr">
        <is>
          <t>consumer discretionary</t>
        </is>
      </c>
      <c r="F298" s="31" t="inlineStr">
        <is>
          <t>diamond cutting / jewellery</t>
        </is>
      </c>
      <c r="G298" s="31" t="inlineStr">
        <is>
          <t>midcap</t>
        </is>
      </c>
      <c r="H298" s="32" t="n">
        <v>5745.52</v>
      </c>
      <c r="I298" s="32" t="n">
        <v>350.75</v>
      </c>
      <c r="J298" s="32" t="n">
        <v>1.81</v>
      </c>
      <c r="K298" s="32" t="n">
        <v>590460</v>
      </c>
      <c r="L298" s="31" t="n">
        <v>8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55.85</v>
      </c>
      <c r="P298" s="32" t="n">
        <v>18.74</v>
      </c>
      <c r="Q298" s="32" t="n">
        <v>275.53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-6.54</v>
      </c>
      <c r="U298" s="32" t="n">
        <v>-4.31</v>
      </c>
      <c r="V298" s="32" t="n">
        <v>2.39</v>
      </c>
      <c r="W298" s="32" t="n">
        <v>3.08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Negative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IF(B299=0,"",RANK(B299,$B$2:$B$306,0))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MSPL</t>
        </is>
      </c>
      <c r="D299" s="31" t="inlineStr">
        <is>
          <t>Msp Steel &amp; Power Limited</t>
        </is>
      </c>
      <c r="E299" s="31" t="inlineStr">
        <is>
          <t>metals &amp; mining</t>
        </is>
      </c>
      <c r="F299" s="31" t="inlineStr">
        <is>
          <t>steel - medium / small</t>
        </is>
      </c>
      <c r="G299" s="31" t="inlineStr">
        <is>
          <t>smallcap</t>
        </is>
      </c>
      <c r="H299" s="32" t="n">
        <v>2329.53</v>
      </c>
      <c r="I299" s="32" t="n">
        <v>41.1</v>
      </c>
      <c r="J299" s="32" t="n">
        <v>0.39</v>
      </c>
      <c r="K299" s="32" t="n">
        <v>4700435</v>
      </c>
      <c r="L299" s="31" t="n">
        <v>62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62.53</v>
      </c>
      <c r="P299" s="32" t="n">
        <v>19.59</v>
      </c>
      <c r="Q299" s="32" t="n">
        <v>32.04</v>
      </c>
      <c r="R299" s="31" t="inlineStr">
        <is>
          <t>Volume Spike &amp; Near 52W High Breakout</t>
        </is>
      </c>
      <c r="S299" s="31" t="inlineStr">
        <is>
          <t>Nifty Metal</t>
        </is>
      </c>
      <c r="T299" s="32" t="n">
        <v>40.56</v>
      </c>
      <c r="U299" s="32" t="n">
        <v>55.56</v>
      </c>
      <c r="V299" s="32" t="n">
        <v>10.67</v>
      </c>
      <c r="W299" s="32" t="n">
        <v>16.68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Cyclical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IF(B300=0,"",RANK(B300,$B$2:$B$306,0))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BALAMINES</t>
        </is>
      </c>
      <c r="D300" s="31" t="inlineStr">
        <is>
          <t>Balaji Amines Limited</t>
        </is>
      </c>
      <c r="E300" s="31" t="inlineStr">
        <is>
          <t>chemicals</t>
        </is>
      </c>
      <c r="F300" s="31" t="inlineStr">
        <is>
          <t>chemicals</t>
        </is>
      </c>
      <c r="G300" s="31" t="inlineStr">
        <is>
          <t>midcap</t>
        </is>
      </c>
      <c r="H300" s="32" t="n">
        <v>6620.5</v>
      </c>
      <c r="I300" s="32" t="n">
        <v>2043.3</v>
      </c>
      <c r="J300" s="32" t="n">
        <v>-2.7</v>
      </c>
      <c r="K300" s="32" t="n">
        <v>528900</v>
      </c>
      <c r="L300" s="31" t="n">
        <v>88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81.09</v>
      </c>
      <c r="P300" s="32" t="n">
        <v>34.39</v>
      </c>
      <c r="Q300" s="32" t="n">
        <v>1526.39</v>
      </c>
      <c r="R300" s="31" t="inlineStr">
        <is>
          <t>Volume Spike &amp; Near 52W High Breakout</t>
        </is>
      </c>
      <c r="S300" s="31" t="inlineStr">
        <is>
          <t>Nifty 50</t>
        </is>
      </c>
      <c r="T300" s="32" t="n">
        <v>-6.54</v>
      </c>
      <c r="U300" s="32" t="n">
        <v>38.92</v>
      </c>
      <c r="V300" s="32" t="n">
        <v>48.64</v>
      </c>
      <c r="W300" s="32" t="n">
        <v>32.17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Duopoly That Cooperate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Shallow Cyclical (2 to 3 Years Growth)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4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Downtrend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Overhead supply in last 2 years in last 2 years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No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IF(B301=0,"",RANK(B301,$B$2:$B$306,0))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IRISDOREME</t>
        </is>
      </c>
      <c r="D301" s="33" t="inlineStr">
        <is>
          <t>Iris Clothings Ltd</t>
        </is>
      </c>
      <c r="E301" s="31" t="inlineStr">
        <is>
          <t>consumer discretionary</t>
        </is>
      </c>
      <c r="F301" s="31" t="inlineStr">
        <is>
          <t>textiles - products</t>
        </is>
      </c>
      <c r="G301" s="31" t="inlineStr">
        <is>
          <t>smallcap</t>
        </is>
      </c>
      <c r="H301" s="32" t="n">
        <v>699.66</v>
      </c>
      <c r="I301" s="32" t="n">
        <v>36.76</v>
      </c>
      <c r="J301" s="32" t="n">
        <v>0.8</v>
      </c>
      <c r="K301" s="32" t="n">
        <v>291849</v>
      </c>
      <c r="L301" s="31" t="n">
        <v>1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56.43</v>
      </c>
      <c r="P301" s="32" t="n">
        <v>15.87</v>
      </c>
      <c r="Q301" s="32" t="n">
        <v>26.32</v>
      </c>
      <c r="R301" s="31" t="inlineStr">
        <is>
          <t>Earnings / Momentum Support</t>
        </is>
      </c>
      <c r="S301" s="31" t="inlineStr">
        <is>
          <t>Nifty 50</t>
        </is>
      </c>
      <c r="T301" s="32" t="n">
        <v>-6.54</v>
      </c>
      <c r="U301" s="32" t="n">
        <v>-38.92</v>
      </c>
      <c r="V301" s="32" t="n">
        <v>-34.64</v>
      </c>
      <c r="W301" s="32" t="n">
        <v>-2.61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Negative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IF(B302=0,"",RANK(B302,$B$2:$B$306,0))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GUJTHEM</t>
        </is>
      </c>
      <c r="D302" s="31" t="inlineStr">
        <is>
          <t>Gujarat Themis Biosyn Ltd</t>
        </is>
      </c>
      <c r="E302" s="31" t="inlineStr">
        <is>
          <t>healthcare</t>
        </is>
      </c>
      <c r="F302" s="31" t="inlineStr">
        <is>
          <t>pharmaceuticals - indian - bulk drugs</t>
        </is>
      </c>
      <c r="G302" s="31" t="inlineStr">
        <is>
          <t>smallcap</t>
        </is>
      </c>
      <c r="H302" s="32" t="n">
        <v>4502.44</v>
      </c>
      <c r="I302" s="32" t="n">
        <v>413.2</v>
      </c>
      <c r="J302" s="32" t="n">
        <v>0.38</v>
      </c>
      <c r="K302" s="32" t="n">
        <v>137723</v>
      </c>
      <c r="L302" s="31" t="n">
        <v>56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62.15</v>
      </c>
      <c r="P302" s="32" t="n">
        <v>24.75</v>
      </c>
      <c r="Q302" s="32" t="n">
        <v>286.42</v>
      </c>
      <c r="R302" s="31" t="inlineStr">
        <is>
          <t>Earnings / Momentum Support</t>
        </is>
      </c>
      <c r="S302" s="31" t="inlineStr">
        <is>
          <t>Nifty Pharma</t>
        </is>
      </c>
      <c r="T302" s="32" t="n">
        <v>11.82</v>
      </c>
      <c r="U302" s="32" t="n">
        <v>28.32</v>
      </c>
      <c r="V302" s="32" t="n">
        <v>14.76</v>
      </c>
      <c r="W302" s="32" t="n">
        <v>14.76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Shallow Cyclical (2 to 3 Years Growth)</t>
        </is>
      </c>
      <c r="AG302" s="31">
        <f>IF(AF302="Structural (10 Years Consistency)",10,IF(AF302="Shallow Cyclical (2 to 3 years growth)",5,0))</f>
        <v/>
      </c>
      <c r="AH302" s="31" t="inlineStr">
        <is>
          <t>Yes due to Product Mix change or Operating Leverage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Allocated capital in Non-core Areas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Sideways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Overhead supply in last 2 years in last 2 years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More than 15%</t>
        </is>
      </c>
      <c r="CC302" s="31">
        <f>IF(CB302="More than 15%",-10,IF(CB302="Less than 15%",10,0))</f>
        <v/>
      </c>
      <c r="CD302" s="31" t="inlineStr">
        <is>
          <t>Yes Upto 10%</t>
        </is>
      </c>
      <c r="CE302" s="31">
        <f>IF(CD302="Yes, more than 10%",-10,IF(CD302="No",10,0))</f>
        <v/>
      </c>
    </row>
    <row r="303">
      <c r="A303" s="31">
        <f>IF(B303=0,"",RANK(B303,$B$2:$B$306,0))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GAIL</t>
        </is>
      </c>
      <c r="D303" s="33" t="inlineStr">
        <is>
          <t>Gail (india) Limited</t>
        </is>
      </c>
      <c r="E303" s="31" t="inlineStr">
        <is>
          <t>energy</t>
        </is>
      </c>
      <c r="F303" s="31" t="inlineStr">
        <is>
          <t>miscellaneous</t>
        </is>
      </c>
      <c r="G303" s="31" t="inlineStr">
        <is>
          <t>largecap</t>
        </is>
      </c>
      <c r="H303" s="32" t="n">
        <v>110067.17</v>
      </c>
      <c r="I303" s="32" t="n">
        <v>167.4</v>
      </c>
      <c r="J303" s="32" t="n">
        <v>-0.09</v>
      </c>
      <c r="K303" s="32" t="n">
        <v>8047086</v>
      </c>
      <c r="L303" s="31" t="n">
        <v>1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55.09</v>
      </c>
      <c r="P303" s="32" t="n">
        <v>14.71</v>
      </c>
      <c r="Q303" s="32" t="n">
        <v>139.65</v>
      </c>
      <c r="R303" s="31" t="inlineStr">
        <is>
          <t>Earnings / Momentum Support</t>
        </is>
      </c>
      <c r="S303" s="31" t="inlineStr">
        <is>
          <t>Nifty Energy</t>
        </is>
      </c>
      <c r="T303" s="32" t="n">
        <v>12.31</v>
      </c>
      <c r="U303" s="32" t="n">
        <v>-9.17</v>
      </c>
      <c r="V303" s="32" t="n">
        <v>-19.13</v>
      </c>
      <c r="W303" s="32" t="n">
        <v>-0.26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Oligopoly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Cyclical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1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IF(B304=0,"",RANK(B304,$B$2:$B$306,0))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TITAN</t>
        </is>
      </c>
      <c r="D304" s="31" t="inlineStr">
        <is>
          <t>Titan Company Limited</t>
        </is>
      </c>
      <c r="E304" s="31" t="inlineStr">
        <is>
          <t>consumer discretionary</t>
        </is>
      </c>
      <c r="F304" s="31" t="inlineStr">
        <is>
          <t>diamond cutting / jewellery</t>
        </is>
      </c>
      <c r="G304" s="31" t="inlineStr">
        <is>
          <t>largecap</t>
        </is>
      </c>
      <c r="H304" s="32" t="n">
        <v>378214.66</v>
      </c>
      <c r="I304" s="32" t="n">
        <v>4260.2</v>
      </c>
      <c r="J304" s="32" t="n">
        <v>0.6899999999999999</v>
      </c>
      <c r="K304" s="32" t="n">
        <v>1390200</v>
      </c>
      <c r="L304" s="31" t="n">
        <v>13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54.43</v>
      </c>
      <c r="P304" s="32" t="n">
        <v>12.87</v>
      </c>
      <c r="Q304" s="32" t="n">
        <v>3854.87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-6.54</v>
      </c>
      <c r="U304" s="32" t="n">
        <v>20.03</v>
      </c>
      <c r="V304" s="32" t="n">
        <v>28.44</v>
      </c>
      <c r="W304" s="32" t="n">
        <v>3.87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1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Between 50% to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IF(B305=0,"",RANK(B305,$B$2:$B$306,0))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KOVAI</t>
        </is>
      </c>
      <c r="D305" s="33" t="inlineStr">
        <is>
          <t>Kovai Medical Center &amp; Hospital Ltd</t>
        </is>
      </c>
      <c r="E305" s="31" t="inlineStr">
        <is>
          <t>healthcare</t>
        </is>
      </c>
      <c r="F305" s="31" t="inlineStr">
        <is>
          <t>healthcare</t>
        </is>
      </c>
      <c r="G305" s="31" t="inlineStr">
        <is>
          <t>midcap</t>
        </is>
      </c>
      <c r="H305" s="32" t="n">
        <v>5906.63</v>
      </c>
      <c r="I305" s="32" t="n">
        <v>5398</v>
      </c>
      <c r="J305" s="32" t="n">
        <v>0.17</v>
      </c>
      <c r="K305" s="32" t="n">
        <v>2202</v>
      </c>
      <c r="L305" s="31" t="n">
        <v>1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43.76</v>
      </c>
      <c r="P305" s="32" t="n">
        <v>19.97</v>
      </c>
      <c r="Q305" s="32" t="n">
        <v>4759.27</v>
      </c>
      <c r="R305" s="31" t="inlineStr">
        <is>
          <t>Earnings / Momentum Support</t>
        </is>
      </c>
      <c r="S305" s="31" t="inlineStr">
        <is>
          <t>Nifty Pharma</t>
        </is>
      </c>
      <c r="T305" s="32" t="n">
        <v>11.82</v>
      </c>
      <c r="U305" s="32" t="n">
        <v>-11.82</v>
      </c>
      <c r="V305" s="32" t="n">
        <v>-21.14</v>
      </c>
      <c r="W305" s="32" t="n">
        <v>-1.95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Annuity, Lower One Time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Below 45</t>
        </is>
      </c>
      <c r="BA305" s="31">
        <f>IF(AZ305="Between 50 to 75",10,IF(AZ305="Above 75",0,0))</f>
        <v/>
      </c>
      <c r="BB305" s="31" t="inlineStr">
        <is>
          <t>Stage 4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Between 12 to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Between 1.5 to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IF(B306=0,"",RANK(B306,$B$2:$B$306,0))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RAJRATAN</t>
        </is>
      </c>
      <c r="D306" s="33" t="inlineStr">
        <is>
          <t>Rajratan Global Wire Ltd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smallcap</t>
        </is>
      </c>
      <c r="H306" s="32" t="n">
        <v>2194.07</v>
      </c>
      <c r="I306" s="32" t="n">
        <v>432.15</v>
      </c>
      <c r="J306" s="32" t="n">
        <v>0.93</v>
      </c>
      <c r="K306" s="32" t="n">
        <v>81406</v>
      </c>
      <c r="L306" s="31" t="n">
        <v>11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53.06</v>
      </c>
      <c r="P306" s="32" t="n">
        <v>7.42</v>
      </c>
      <c r="Q306" s="32" t="n">
        <v>318.6</v>
      </c>
      <c r="R306" s="31" t="inlineStr">
        <is>
          <t>Earnings / Momentum Support</t>
        </is>
      </c>
      <c r="S306" s="31" t="inlineStr">
        <is>
          <t>Nifty Metal</t>
        </is>
      </c>
      <c r="T306" s="32" t="n">
        <v>40.56</v>
      </c>
      <c r="U306" s="32" t="n">
        <v>-0.4</v>
      </c>
      <c r="V306" s="32" t="n">
        <v>-29.14</v>
      </c>
      <c r="W306" s="32" t="n">
        <v>3.58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1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</sheetData>
  <autoFilter ref="A1:CE306"/>
  <conditionalFormatting sqref="B2:B30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6">
    <cfRule type="cellIs" priority="36" operator="equal" dxfId="3" stopIfTrue="1">
      <formula>"Underperforming"</formula>
    </cfRule>
  </conditionalFormatting>
  <conditionalFormatting sqref="N2:N306">
    <cfRule type="cellIs" priority="37" operator="equal" dxfId="3" stopIfTrue="1">
      <formula>-5</formula>
    </cfRule>
  </conditionalFormatting>
  <conditionalFormatting sqref="Q2:Q306">
    <cfRule type="expression" priority="38" dxfId="0" stopIfTrue="1">
      <formula>=AND(Q2&lt;&gt;"",Q2&gt;0,I2&gt;=Q2)</formula>
    </cfRule>
    <cfRule type="expression" priority="39" dxfId="3" stopIfTrue="1">
      <formula>=AND(Q2&lt;&gt;"",Q2&gt;0,I2&lt;Q2)</formula>
    </cfRule>
  </conditionalFormatting>
  <dataValidations count="30">
    <dataValidation sqref="X2:X306" showDropDown="0" showInputMessage="0" showErrorMessage="0" allowBlank="1" type="list">
      <formula1>"Growing Industry,Stagnant Industry,Cyclical in an Upturn"</formula1>
    </dataValidation>
    <dataValidation sqref="Z2:Z30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6" showDropDown="0" showInputMessage="0" showErrorMessage="0" allowBlank="1" type="list">
      <formula1>"Yes,No"</formula1>
    </dataValidation>
    <dataValidation sqref="AD2:AD306" showDropDown="0" showInputMessage="0" showErrorMessage="0" allowBlank="1" type="list">
      <formula1>"Tailwind,Headwind"</formula1>
    </dataValidation>
    <dataValidation sqref="AF2:AF306" showDropDown="0" showInputMessage="0" showErrorMessage="0" allowBlank="1" type="list">
      <formula1>"Structural (10 Years Consistency),Shallow Cyclical (2 to 3 Years Growth),Cyclical"</formula1>
    </dataValidation>
    <dataValidation sqref="AH2:AH306" showDropDown="0" showInputMessage="0" showErrorMessage="0" allowBlank="1" type="list">
      <formula1>"Yes due to Product Mix change or Operating Leverage,Yes, these are peak margins,No"</formula1>
    </dataValidation>
    <dataValidation sqref="AJ2:AJ306" showDropDown="0" showInputMessage="0" showErrorMessage="0" allowBlank="1" type="list">
      <formula1>"Stable,Volatile"</formula1>
    </dataValidation>
    <dataValidation sqref="AL2:AL306" showDropDown="0" showInputMessage="0" showErrorMessage="0" allowBlank="1" type="list">
      <formula1>"Yes,No"</formula1>
    </dataValidation>
    <dataValidation sqref="AN2:AN306" showDropDown="0" showInputMessage="0" showErrorMessage="0" allowBlank="1" type="list">
      <formula1>"B2C,B2B,B2G"</formula1>
    </dataValidation>
    <dataValidation sqref="AP2:AP306" showDropDown="0" showInputMessage="0" showErrorMessage="0" allowBlank="1" type="list">
      <formula1>"Yes,No"</formula1>
    </dataValidation>
    <dataValidation sqref="AR2:AR306" showDropDown="0" showInputMessage="0" showErrorMessage="0" allowBlank="1" type="list">
      <formula1>"Fully Annuity,Higher Annuity, Lower One time,Higher One Time, Lower Annuity,Fully One Time"</formula1>
    </dataValidation>
    <dataValidation sqref="AT2:AT306" showDropDown="0" showInputMessage="0" showErrorMessage="0" allowBlank="1" type="list">
      <formula1>"Good,Allocated capital in Non-core Areas"</formula1>
    </dataValidation>
    <dataValidation sqref="AV2:AV306" showDropDown="0" showInputMessage="0" showErrorMessage="0" allowBlank="1" type="list">
      <formula1>"Yes for more than 2 years,Yes only for next 1 to 2 years,No"</formula1>
    </dataValidation>
    <dataValidation sqref="AX2:AX306" showDropDown="0" showInputMessage="0" showErrorMessage="0" allowBlank="1" type="list">
      <formula1>"Above 40,20 to 40,0 to 20"</formula1>
    </dataValidation>
    <dataValidation sqref="AZ2:AZ306" showDropDown="0" showInputMessage="0" showErrorMessage="0" allowBlank="1" type="list">
      <formula1>"Between 50 to 75,Above 75,Below 45"</formula1>
    </dataValidation>
    <dataValidation sqref="BB2:BB306" showDropDown="0" showInputMessage="0" showErrorMessage="0" allowBlank="1" type="list">
      <formula1>"Stage 1,Stage 2,Stage 3,Stage 4"</formula1>
    </dataValidation>
    <dataValidation sqref="BD2:BD306" showDropDown="0" showInputMessage="0" showErrorMessage="0" allowBlank="1" type="list">
      <formula1>"Positive Trend,Negative Trend"</formula1>
    </dataValidation>
    <dataValidation sqref="BF2:BF306" showDropDown="0" showInputMessage="0" showErrorMessage="0" allowBlank="1" type="list">
      <formula1>"Uptrend,Sideways,Downtrend"</formula1>
    </dataValidation>
    <dataValidation sqref="BH2:BH306" showDropDown="0" showInputMessage="0" showErrorMessage="0" allowBlank="1" type="list">
      <formula1>"Uptrend,Sideways,Downtrend"</formula1>
    </dataValidation>
    <dataValidation sqref="BJ2:BJ30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6" showDropDown="0" showInputMessage="0" showErrorMessage="0" allowBlank="1" type="list">
      <formula1>"Yes,No"</formula1>
    </dataValidation>
    <dataValidation sqref="BN2:BN306" showDropDown="0" showInputMessage="0" showErrorMessage="0" allowBlank="1" type="list">
      <formula1>"More than 20%,Between 12 to 20%,Less than 12%"</formula1>
    </dataValidation>
    <dataValidation sqref="BP2:BP306" showDropDown="0" showInputMessage="0" showErrorMessage="0" allowBlank="1" type="list">
      <formula1>"Yes,No"</formula1>
    </dataValidation>
    <dataValidation sqref="BR2:BR306" showDropDown="0" showInputMessage="0" showErrorMessage="0" allowBlank="1" type="list">
      <formula1>"Yes,No"</formula1>
    </dataValidation>
    <dataValidation sqref="BT2:BT306" showDropDown="0" showInputMessage="0" showErrorMessage="0" allowBlank="1" type="list">
      <formula1>"Above 2,Between 1.5 to 2,Less than 1.5"</formula1>
    </dataValidation>
    <dataValidation sqref="BV2:BV306" showDropDown="0" showInputMessage="0" showErrorMessage="0" allowBlank="1" type="list">
      <formula1>"Above 70%,Between 50% to 70%,Less than 50%,Less than 50% and Borrowings are increasing,Negative"</formula1>
    </dataValidation>
    <dataValidation sqref="BX2:BX306" showDropDown="0" showInputMessage="0" showErrorMessage="0" allowBlank="1" type="list">
      <formula1>"More than 1.2,Between 0.7 to 1.2,Less than 0.7"</formula1>
    </dataValidation>
    <dataValidation sqref="BZ2:BZ306" showDropDown="0" showInputMessage="0" showErrorMessage="0" allowBlank="1" type="list">
      <formula1>"Yes,No"</formula1>
    </dataValidation>
    <dataValidation sqref="CB2:CB306" showDropDown="0" showInputMessage="0" showErrorMessage="0" allowBlank="1" type="list">
      <formula1>"More than 15%,Less than 15%"</formula1>
    </dataValidation>
    <dataValidation sqref="CD2:CD30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NORTHARC</t>
        </is>
      </c>
      <c r="D2" s="31" t="inlineStr">
        <is>
          <t>Northern ARC Capital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4796.26</v>
      </c>
      <c r="I2" s="32" t="n">
        <v>296.85</v>
      </c>
      <c r="J2" s="32" t="n">
        <v>2.26</v>
      </c>
      <c r="K2" s="32" t="n">
        <v>1273858</v>
      </c>
      <c r="L2" s="31" t="n">
        <v>45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65.29000000000001</v>
      </c>
      <c r="P2" s="32" t="n">
        <v>29.43</v>
      </c>
      <c r="Q2" s="32" t="n">
        <v>227.62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-3.68</v>
      </c>
      <c r="U2" s="32" t="n">
        <v>36.69</v>
      </c>
      <c r="V2" s="32" t="n">
        <v>41.91</v>
      </c>
      <c r="W2" s="32" t="n">
        <v>11.69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11811.44</v>
      </c>
      <c r="I3" s="32" t="n">
        <v>745.9</v>
      </c>
      <c r="J3" s="32" t="n">
        <v>-0.29</v>
      </c>
      <c r="K3" s="32" t="n">
        <v>163724</v>
      </c>
      <c r="L3" s="31" t="n">
        <v>58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66.17</v>
      </c>
      <c r="P3" s="32" t="n">
        <v>29.63</v>
      </c>
      <c r="Q3" s="32" t="n">
        <v>587.11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-3.68</v>
      </c>
      <c r="U3" s="32" t="n">
        <v>67.62</v>
      </c>
      <c r="V3" s="32" t="n">
        <v>74.03</v>
      </c>
      <c r="W3" s="32" t="n">
        <v>15.2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RBLBANK</t>
        </is>
      </c>
      <c r="D4" s="31" t="inlineStr">
        <is>
          <t>Rbl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21717.34</v>
      </c>
      <c r="I4" s="32" t="n">
        <v>351.35</v>
      </c>
      <c r="J4" s="32" t="n">
        <v>-0.68</v>
      </c>
      <c r="K4" s="32" t="n">
        <v>4035165</v>
      </c>
      <c r="L4" s="31" t="n">
        <v>52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65.39</v>
      </c>
      <c r="P4" s="32" t="n">
        <v>27.24</v>
      </c>
      <c r="Q4" s="32" t="n">
        <v>289.75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-3.68</v>
      </c>
      <c r="U4" s="32" t="n">
        <v>62.03</v>
      </c>
      <c r="V4" s="32" t="n">
        <v>68.22</v>
      </c>
      <c r="W4" s="32" t="n">
        <v>13.73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FEDFINA</t>
        </is>
      </c>
      <c r="D5" s="31" t="inlineStr">
        <is>
          <t>Fedbank Financial Services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6009</v>
      </c>
      <c r="I5" s="32" t="n">
        <v>160.58</v>
      </c>
      <c r="J5" s="32" t="n">
        <v>-0.91</v>
      </c>
      <c r="K5" s="32" t="n">
        <v>790024</v>
      </c>
      <c r="L5" s="31" t="n">
        <v>59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64.55</v>
      </c>
      <c r="P5" s="32" t="n">
        <v>21.35</v>
      </c>
      <c r="Q5" s="32" t="n">
        <v>124.39</v>
      </c>
      <c r="R5" s="31" t="inlineStr">
        <is>
          <t>Near 52W High Breakout</t>
        </is>
      </c>
      <c r="S5" s="31" t="inlineStr">
        <is>
          <t>Nifty Bank</t>
        </is>
      </c>
      <c r="T5" s="32" t="n">
        <v>-3.68</v>
      </c>
      <c r="U5" s="32" t="n">
        <v>54.27</v>
      </c>
      <c r="V5" s="32" t="n">
        <v>60.16</v>
      </c>
      <c r="W5" s="32" t="n">
        <v>15.63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WELINV</t>
        </is>
      </c>
      <c r="D6" s="31" t="inlineStr">
        <is>
          <t>Welspun Investments And Commercials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650.5</v>
      </c>
      <c r="I6" s="32" t="n">
        <v>1780</v>
      </c>
      <c r="J6" s="32" t="n">
        <v>0.35</v>
      </c>
      <c r="K6" s="32" t="n">
        <v>105</v>
      </c>
      <c r="L6" s="31" t="n">
        <v>66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71.59</v>
      </c>
      <c r="P6" s="32" t="n">
        <v>40.7</v>
      </c>
      <c r="Q6" s="32" t="n">
        <v>1417.87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-3.68</v>
      </c>
      <c r="U6" s="32" t="n">
        <v>52.61</v>
      </c>
      <c r="V6" s="32" t="n">
        <v>58.44</v>
      </c>
      <c r="W6" s="32" t="n">
        <v>18.46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J&amp;KBANK</t>
        </is>
      </c>
      <c r="D7" s="31" t="inlineStr">
        <is>
          <t>The Jammu &amp; Kashmir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16244.64</v>
      </c>
      <c r="I7" s="32" t="n">
        <v>147.52</v>
      </c>
      <c r="J7" s="32" t="n">
        <v>-0.11</v>
      </c>
      <c r="K7" s="32" t="n">
        <v>2304188</v>
      </c>
      <c r="L7" s="31" t="n">
        <v>48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69.53</v>
      </c>
      <c r="P7" s="32" t="n">
        <v>48.37</v>
      </c>
      <c r="Q7" s="32" t="n">
        <v>116.65</v>
      </c>
      <c r="R7" s="31" t="inlineStr">
        <is>
          <t>Near 52W High Breakout</t>
        </is>
      </c>
      <c r="S7" s="31" t="inlineStr">
        <is>
          <t>Nifty Bank</t>
        </is>
      </c>
      <c r="T7" s="32" t="n">
        <v>-3.68</v>
      </c>
      <c r="U7" s="32" t="n">
        <v>40.9</v>
      </c>
      <c r="V7" s="32" t="n">
        <v>46.28</v>
      </c>
      <c r="W7" s="32" t="n">
        <v>12.46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SATIN</t>
        </is>
      </c>
      <c r="D8" s="31" t="inlineStr">
        <is>
          <t>Satin Creditcare Network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2666.66</v>
      </c>
      <c r="I8" s="32" t="n">
        <v>241.39</v>
      </c>
      <c r="J8" s="32" t="n">
        <v>-0.22</v>
      </c>
      <c r="K8" s="32" t="n">
        <v>706024</v>
      </c>
      <c r="L8" s="31" t="n">
        <v>76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77.16</v>
      </c>
      <c r="P8" s="32" t="n">
        <v>37.11</v>
      </c>
      <c r="Q8" s="32" t="n">
        <v>189.41</v>
      </c>
      <c r="R8" s="31" t="inlineStr">
        <is>
          <t>Near 52W High Breakout</t>
        </is>
      </c>
      <c r="S8" s="31" t="inlineStr">
        <is>
          <t>Nifty Bank</t>
        </is>
      </c>
      <c r="T8" s="32" t="n">
        <v>-3.68</v>
      </c>
      <c r="U8" s="32" t="n">
        <v>52.87</v>
      </c>
      <c r="V8" s="32" t="n">
        <v>58.71</v>
      </c>
      <c r="W8" s="32" t="n">
        <v>23.12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ANGELONE</t>
        </is>
      </c>
      <c r="D9" s="31" t="inlineStr">
        <is>
          <t>Angel One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largecap</t>
        </is>
      </c>
      <c r="H9" s="32" t="n">
        <v>30295.18</v>
      </c>
      <c r="I9" s="32" t="n">
        <v>332.6</v>
      </c>
      <c r="J9" s="32" t="n">
        <v>-1.51</v>
      </c>
      <c r="K9" s="32" t="n">
        <v>13273649</v>
      </c>
      <c r="L9" s="31" t="n">
        <v>57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63.59</v>
      </c>
      <c r="P9" s="32" t="n">
        <v>26.22</v>
      </c>
      <c r="Q9" s="32" t="n">
        <v>257.82</v>
      </c>
      <c r="R9" s="31" t="inlineStr">
        <is>
          <t>Near 52W High Breakout</t>
        </is>
      </c>
      <c r="S9" s="31" t="inlineStr">
        <is>
          <t>Nifty Bank</t>
        </is>
      </c>
      <c r="T9" s="32" t="n">
        <v>-3.68</v>
      </c>
      <c r="U9" s="32" t="n">
        <v>5.06</v>
      </c>
      <c r="V9" s="32" t="n">
        <v>9.07</v>
      </c>
      <c r="W9" s="32" t="n">
        <v>15.09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FEDERALBNK</t>
        </is>
      </c>
      <c r="D10" s="31" t="inlineStr">
        <is>
          <t>The Federal Bank 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74951.14999999999</v>
      </c>
      <c r="I10" s="32" t="n">
        <v>304.15</v>
      </c>
      <c r="J10" s="32" t="n">
        <v>1.35</v>
      </c>
      <c r="K10" s="32" t="n">
        <v>9322801</v>
      </c>
      <c r="L10" s="31" t="n">
        <v>38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64.2</v>
      </c>
      <c r="P10" s="32" t="n">
        <v>19.76</v>
      </c>
      <c r="Q10" s="32" t="n">
        <v>257.24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-3.68</v>
      </c>
      <c r="U10" s="32" t="n">
        <v>47.27</v>
      </c>
      <c r="V10" s="32" t="n">
        <v>52.89</v>
      </c>
      <c r="W10" s="32" t="n">
        <v>10.23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STARHEALTH</t>
        </is>
      </c>
      <c r="D11" s="31" t="inlineStr">
        <is>
          <t>Star Health &amp; Allied Insurance Company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30950.02</v>
      </c>
      <c r="I11" s="32" t="n">
        <v>526</v>
      </c>
      <c r="J11" s="32" t="n">
        <v>-0.05</v>
      </c>
      <c r="K11" s="32" t="n">
        <v>355643</v>
      </c>
      <c r="L11" s="31" t="n">
        <v>19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62.54</v>
      </c>
      <c r="P11" s="32" t="n">
        <v>23.71</v>
      </c>
      <c r="Q11" s="32" t="n">
        <v>434.56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-3.68</v>
      </c>
      <c r="U11" s="32" t="n">
        <v>11.91</v>
      </c>
      <c r="V11" s="32" t="n">
        <v>16.19</v>
      </c>
      <c r="W11" s="32" t="n">
        <v>5.42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CONSOFINVT</t>
        </is>
      </c>
      <c r="D12" s="31" t="inlineStr">
        <is>
          <t>Consolidated Finvest &amp; Holdings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768.37</v>
      </c>
      <c r="I12" s="32" t="n">
        <v>237.69</v>
      </c>
      <c r="J12" s="32" t="n">
        <v>-0.41</v>
      </c>
      <c r="K12" s="32" t="n">
        <v>39910</v>
      </c>
      <c r="L12" s="31" t="n">
        <v>22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65.15000000000001</v>
      </c>
      <c r="P12" s="32" t="n">
        <v>23.73</v>
      </c>
      <c r="Q12" s="32" t="n">
        <v>184.32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-3.68</v>
      </c>
      <c r="U12" s="32" t="n">
        <v>18.91</v>
      </c>
      <c r="V12" s="32" t="n">
        <v>23.45</v>
      </c>
      <c r="W12" s="32" t="n">
        <v>5.88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YESBANK</t>
        </is>
      </c>
      <c r="D13" s="31" t="inlineStr">
        <is>
          <t>Yes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73111.77</v>
      </c>
      <c r="I13" s="32" t="n">
        <v>23.3</v>
      </c>
      <c r="J13" s="32" t="n">
        <v>2.33</v>
      </c>
      <c r="K13" s="32" t="n">
        <v>148106091</v>
      </c>
      <c r="L13" s="31" t="n">
        <v>21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61.95</v>
      </c>
      <c r="P13" s="32" t="n">
        <v>20.62</v>
      </c>
      <c r="Q13" s="32" t="n">
        <v>19.27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-3.68</v>
      </c>
      <c r="U13" s="32" t="n">
        <v>11.75</v>
      </c>
      <c r="V13" s="32" t="n">
        <v>16.02</v>
      </c>
      <c r="W13" s="32" t="n">
        <v>5.85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HEALTHX</t>
        </is>
      </c>
      <c r="D14" s="31" t="inlineStr">
        <is>
          <t>Health X Platform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970.22</v>
      </c>
      <c r="I14" s="32" t="n">
        <v>305</v>
      </c>
      <c r="J14" s="32" t="n">
        <v>0.66</v>
      </c>
      <c r="K14" s="32" t="n">
        <v>5958</v>
      </c>
      <c r="L14" s="31" t="n">
        <v>13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57.1</v>
      </c>
      <c r="P14" s="32" t="n">
        <v>14.77</v>
      </c>
      <c r="Q14" s="32" t="n">
        <v>232.96</v>
      </c>
      <c r="R14" s="31" t="inlineStr">
        <is>
          <t>Volume Spike / Accumulation</t>
        </is>
      </c>
      <c r="S14" s="31" t="inlineStr">
        <is>
          <t>Nifty Bank</t>
        </is>
      </c>
      <c r="T14" s="32" t="n">
        <v>-3.68</v>
      </c>
      <c r="U14" s="32" t="n">
        <v>9.75</v>
      </c>
      <c r="V14" s="32" t="n">
        <v>13.95</v>
      </c>
      <c r="W14" s="32" t="n">
        <v>3.87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IF(B15=0,"",RANK(B15,$B$2:$B$34,0))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RANEHOLDIN</t>
        </is>
      </c>
      <c r="D15" s="33" t="inlineStr">
        <is>
          <t>Rane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2064.86</v>
      </c>
      <c r="I15" s="32" t="n">
        <v>1446.2</v>
      </c>
      <c r="J15" s="32" t="n">
        <v>-0.9</v>
      </c>
      <c r="K15" s="32" t="n">
        <v>9054</v>
      </c>
      <c r="L15" s="31" t="n">
        <v>10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61.02</v>
      </c>
      <c r="P15" s="32" t="n">
        <v>24.35</v>
      </c>
      <c r="Q15" s="32" t="n">
        <v>1057.62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-3.68</v>
      </c>
      <c r="U15" s="32" t="n">
        <v>-4.73</v>
      </c>
      <c r="V15" s="32" t="n">
        <v>-1.09</v>
      </c>
      <c r="W15" s="32" t="n">
        <v>3.48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MONARCH</t>
        </is>
      </c>
      <c r="D16" s="31" t="inlineStr">
        <is>
          <t>Monarch Networth Capital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2686.4</v>
      </c>
      <c r="I16" s="32" t="n">
        <v>338.9</v>
      </c>
      <c r="J16" s="32" t="n">
        <v>-0.07000000000000001</v>
      </c>
      <c r="K16" s="32" t="n">
        <v>73443</v>
      </c>
      <c r="L16" s="31" t="n">
        <v>32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62.93</v>
      </c>
      <c r="P16" s="32" t="n">
        <v>20.83</v>
      </c>
      <c r="Q16" s="32" t="n">
        <v>267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-3.68</v>
      </c>
      <c r="U16" s="32" t="n">
        <v>5.06</v>
      </c>
      <c r="V16" s="32" t="n">
        <v>9.07</v>
      </c>
      <c r="W16" s="32" t="n">
        <v>8.27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NAM-INDIA</t>
        </is>
      </c>
      <c r="D17" s="31" t="inlineStr">
        <is>
          <t>Nippon Life India Asset Management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71028.69</v>
      </c>
      <c r="I17" s="32" t="n">
        <v>1113.1</v>
      </c>
      <c r="J17" s="32" t="n">
        <v>-1.42</v>
      </c>
      <c r="K17" s="32" t="n">
        <v>765915</v>
      </c>
      <c r="L17" s="31" t="n">
        <v>53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68.22</v>
      </c>
      <c r="P17" s="32" t="n">
        <v>25.17</v>
      </c>
      <c r="Q17" s="32" t="n">
        <v>870.6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-3.68</v>
      </c>
      <c r="U17" s="32" t="n">
        <v>44.05</v>
      </c>
      <c r="V17" s="32" t="n">
        <v>49.56</v>
      </c>
      <c r="W17" s="32" t="n">
        <v>13.95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OFSS</t>
        </is>
      </c>
      <c r="D18" s="31" t="inlineStr">
        <is>
          <t>Oracle Financial Services Software Limited</t>
        </is>
      </c>
      <c r="E18" s="31" t="inlineStr">
        <is>
          <t>i.t</t>
        </is>
      </c>
      <c r="F18" s="31" t="inlineStr">
        <is>
          <t>computers - software - large</t>
        </is>
      </c>
      <c r="G18" s="31" t="inlineStr">
        <is>
          <t>largecap</t>
        </is>
      </c>
      <c r="H18" s="32" t="n">
        <v>86482.46000000001</v>
      </c>
      <c r="I18" s="32" t="n">
        <v>9936.5</v>
      </c>
      <c r="J18" s="32" t="n">
        <v>-1.6</v>
      </c>
      <c r="K18" s="32" t="n">
        <v>197221</v>
      </c>
      <c r="L18" s="31" t="n">
        <v>61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71.5</v>
      </c>
      <c r="P18" s="32" t="n">
        <v>36.84</v>
      </c>
      <c r="Q18" s="32" t="n">
        <v>7994.63</v>
      </c>
      <c r="R18" s="31" t="inlineStr">
        <is>
          <t>Near 52W High Breakout</t>
        </is>
      </c>
      <c r="S18" s="31" t="inlineStr">
        <is>
          <t>Nifty IT</t>
        </is>
      </c>
      <c r="T18" s="32" t="n">
        <v>-22.21</v>
      </c>
      <c r="U18" s="32" t="n">
        <v>18.14</v>
      </c>
      <c r="V18" s="32" t="n">
        <v>51.88</v>
      </c>
      <c r="W18" s="32" t="n">
        <v>16.21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EQUITASBNK</t>
        </is>
      </c>
      <c r="D19" s="31" t="inlineStr">
        <is>
          <t>Equitas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midcap</t>
        </is>
      </c>
      <c r="H19" s="32" t="n">
        <v>8438.01</v>
      </c>
      <c r="I19" s="32" t="n">
        <v>73.95</v>
      </c>
      <c r="J19" s="32" t="n">
        <v>2.28</v>
      </c>
      <c r="K19" s="32" t="n">
        <v>15166973</v>
      </c>
      <c r="L19" s="31" t="n">
        <v>31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62.32</v>
      </c>
      <c r="P19" s="32" t="n">
        <v>19.6</v>
      </c>
      <c r="Q19" s="32" t="n">
        <v>58.38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-3.68</v>
      </c>
      <c r="U19" s="32" t="n">
        <v>10.95</v>
      </c>
      <c r="V19" s="32" t="n">
        <v>15.19</v>
      </c>
      <c r="W19" s="32" t="n">
        <v>8.09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Cyclical in an Uptick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inlineStr">
        <is>
          <t>Yes</t>
        </is>
      </c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No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No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SAMMAANCAP</t>
        </is>
      </c>
      <c r="D20" s="31" t="inlineStr">
        <is>
          <t>Sammaan Capital Ltd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21407.51</v>
      </c>
      <c r="I20" s="32" t="n">
        <v>184.28</v>
      </c>
      <c r="J20" s="32" t="n">
        <v>0.63</v>
      </c>
      <c r="K20" s="32" t="n">
        <v>25603657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67.39</v>
      </c>
      <c r="P20" s="32" t="n">
        <v>16.24</v>
      </c>
      <c r="Q20" s="32" t="n">
        <v>142.77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-3.68</v>
      </c>
      <c r="U20" s="32" t="n">
        <v>45.63</v>
      </c>
      <c r="V20" s="32" t="n">
        <v>51.19</v>
      </c>
      <c r="W20" s="32" t="n">
        <v>14.27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BANDHANBNK</t>
        </is>
      </c>
      <c r="D21" s="31" t="inlineStr">
        <is>
          <t>Bandhan Bank Ltd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33165.09</v>
      </c>
      <c r="I21" s="32" t="n">
        <v>205.87</v>
      </c>
      <c r="J21" s="32" t="n">
        <v>0.21</v>
      </c>
      <c r="K21" s="32" t="n">
        <v>6152884</v>
      </c>
      <c r="L21" s="31" t="n">
        <v>28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64.90000000000001</v>
      </c>
      <c r="P21" s="32" t="n">
        <v>28.23</v>
      </c>
      <c r="Q21" s="32" t="n">
        <v>167.52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-3.68</v>
      </c>
      <c r="U21" s="32" t="n">
        <v>19.71</v>
      </c>
      <c r="V21" s="32" t="n">
        <v>24.28</v>
      </c>
      <c r="W21" s="32" t="n">
        <v>7.27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19509.6</v>
      </c>
      <c r="I22" s="32" t="n">
        <v>202.77</v>
      </c>
      <c r="J22" s="32" t="n">
        <v>0.12</v>
      </c>
      <c r="K22" s="32" t="n">
        <v>3384453</v>
      </c>
      <c r="L22" s="31" t="n">
        <v>46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63.03</v>
      </c>
      <c r="P22" s="32" t="n">
        <v>17.37</v>
      </c>
      <c r="Q22" s="32" t="n">
        <v>162.25</v>
      </c>
      <c r="R22" s="31" t="inlineStr">
        <is>
          <t>Volume Spike &amp; Near 52W High Breakout</t>
        </is>
      </c>
      <c r="S22" s="31" t="inlineStr">
        <is>
          <t>Nifty Bank</t>
        </is>
      </c>
      <c r="T22" s="32" t="n">
        <v>-3.68</v>
      </c>
      <c r="U22" s="32" t="n">
        <v>33.51</v>
      </c>
      <c r="V22" s="32" t="n">
        <v>38.61</v>
      </c>
      <c r="W22" s="32" t="n">
        <v>12.14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IF(B23=0,"",RANK(B23,$B$2:$B$34,0))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GEECEE</t>
        </is>
      </c>
      <c r="D23" s="33" t="inlineStr">
        <is>
          <t>Geecee Ventures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689.98</v>
      </c>
      <c r="I23" s="32" t="n">
        <v>329.95</v>
      </c>
      <c r="J23" s="32" t="n">
        <v>-0.08</v>
      </c>
      <c r="K23" s="32" t="n">
        <v>6000</v>
      </c>
      <c r="L23" s="31" t="n">
        <v>4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56.25</v>
      </c>
      <c r="P23" s="32" t="n">
        <v>26.26</v>
      </c>
      <c r="Q23" s="32" t="n">
        <v>243.91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-3.68</v>
      </c>
      <c r="U23" s="32" t="n">
        <v>-14.33</v>
      </c>
      <c r="V23" s="32" t="n">
        <v>-11.06</v>
      </c>
      <c r="W23" s="32" t="n">
        <v>1.67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SOUTHBANK</t>
        </is>
      </c>
      <c r="D24" s="31" t="inlineStr">
        <is>
          <t>The South Indian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midcap</t>
        </is>
      </c>
      <c r="H24" s="32" t="n">
        <v>11517.3</v>
      </c>
      <c r="I24" s="32" t="n">
        <v>44</v>
      </c>
      <c r="J24" s="32" t="n">
        <v>-1.37</v>
      </c>
      <c r="K24" s="32" t="n">
        <v>15745980</v>
      </c>
      <c r="L24" s="31" t="n">
        <v>45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63.37</v>
      </c>
      <c r="P24" s="32" t="n">
        <v>11.39</v>
      </c>
      <c r="Q24" s="32" t="n">
        <v>34.44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-3.68</v>
      </c>
      <c r="U24" s="32" t="n">
        <v>52.99</v>
      </c>
      <c r="V24" s="32" t="n">
        <v>58.84</v>
      </c>
      <c r="W24" s="32" t="n">
        <v>11.92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IF(B25=0,"",RANK(B25,$B$2:$B$34,0))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IFCI</t>
        </is>
      </c>
      <c r="D25" s="31" t="inlineStr">
        <is>
          <t>Ifci Limited</t>
        </is>
      </c>
      <c r="E25" s="31" t="inlineStr">
        <is>
          <t>financials</t>
        </is>
      </c>
      <c r="F25" s="31" t="inlineStr">
        <is>
          <t>finance - term-lending institutions</t>
        </is>
      </c>
      <c r="G25" s="31" t="inlineStr">
        <is>
          <t>largecap</t>
        </is>
      </c>
      <c r="H25" s="32" t="n">
        <v>21446.74</v>
      </c>
      <c r="I25" s="32" t="n">
        <v>79.59999999999999</v>
      </c>
      <c r="J25" s="32" t="n">
        <v>-2.9</v>
      </c>
      <c r="K25" s="32" t="n">
        <v>69288318</v>
      </c>
      <c r="L25" s="31" t="n">
        <v>57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70.06999999999999</v>
      </c>
      <c r="P25" s="32" t="n">
        <v>19.97</v>
      </c>
      <c r="Q25" s="32" t="n">
        <v>59.03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-3.68</v>
      </c>
      <c r="U25" s="32" t="n">
        <v>20.55</v>
      </c>
      <c r="V25" s="32" t="n">
        <v>25.16</v>
      </c>
      <c r="W25" s="32" t="n">
        <v>15.15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IF(B26=0,"",RANK(B26,$B$2:$B$34,0))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PAISALO</t>
        </is>
      </c>
      <c r="D26" s="31" t="inlineStr">
        <is>
          <t>Paisalo Digital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midcap</t>
        </is>
      </c>
      <c r="H26" s="32" t="n">
        <v>5263.4</v>
      </c>
      <c r="I26" s="32" t="n">
        <v>57.87</v>
      </c>
      <c r="J26" s="32" t="n">
        <v>4.52</v>
      </c>
      <c r="K26" s="32" t="n">
        <v>17932750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76.33</v>
      </c>
      <c r="P26" s="32" t="n">
        <v>29.13</v>
      </c>
      <c r="Q26" s="32" t="n">
        <v>45.1</v>
      </c>
      <c r="R26" s="31" t="inlineStr">
        <is>
          <t>Volume Spike &amp; Near 52W High Breakout</t>
        </is>
      </c>
      <c r="S26" s="31" t="inlineStr">
        <is>
          <t>Nifty Bank</t>
        </is>
      </c>
      <c r="T26" s="32" t="n">
        <v>-3.68</v>
      </c>
      <c r="U26" s="32" t="n">
        <v>82.79000000000001</v>
      </c>
      <c r="V26" s="32" t="n">
        <v>89.78</v>
      </c>
      <c r="W26" s="32" t="n">
        <v>30.55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Above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IF(B27=0,"",RANK(B27,$B$2:$B$34,0))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SURYODAY</t>
        </is>
      </c>
      <c r="D27" s="31" t="inlineStr">
        <is>
          <t>Suryoday Small Finance Bank Ltd</t>
        </is>
      </c>
      <c r="E27" s="31" t="inlineStr">
        <is>
          <t>bank</t>
        </is>
      </c>
      <c r="F27" s="31" t="inlineStr">
        <is>
          <t>banks - private sector</t>
        </is>
      </c>
      <c r="G27" s="31" t="inlineStr">
        <is>
          <t>smallcap</t>
        </is>
      </c>
      <c r="H27" s="32" t="n">
        <v>1826.38</v>
      </c>
      <c r="I27" s="32" t="n">
        <v>171.83</v>
      </c>
      <c r="J27" s="32" t="n">
        <v>0.26</v>
      </c>
      <c r="K27" s="32" t="n">
        <v>265733</v>
      </c>
      <c r="L27" s="31" t="n">
        <v>43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63.87</v>
      </c>
      <c r="P27" s="32" t="n">
        <v>27.71</v>
      </c>
      <c r="Q27" s="32" t="n">
        <v>138.24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-3.68</v>
      </c>
      <c r="U27" s="32" t="n">
        <v>18.54</v>
      </c>
      <c r="V27" s="32" t="n">
        <v>23.07</v>
      </c>
      <c r="W27" s="32" t="n">
        <v>11.32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IF(B28=0,"",RANK(B28,$B$2:$B$34,0))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MUFIN</t>
        </is>
      </c>
      <c r="D28" s="31" t="inlineStr">
        <is>
          <t>Mufin Green Finance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2427.49</v>
      </c>
      <c r="I28" s="32" t="n">
        <v>122.5</v>
      </c>
      <c r="J28" s="32" t="n">
        <v>0.37</v>
      </c>
      <c r="K28" s="32" t="n">
        <v>1450926</v>
      </c>
      <c r="L28" s="31" t="n">
        <v>48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61.82</v>
      </c>
      <c r="P28" s="32" t="n">
        <v>15.5</v>
      </c>
      <c r="Q28" s="32" t="n">
        <v>97.33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-3.68</v>
      </c>
      <c r="U28" s="32" t="n">
        <v>54.71</v>
      </c>
      <c r="V28" s="32" t="n">
        <v>60.62</v>
      </c>
      <c r="W28" s="32" t="n">
        <v>12.4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IF(B29=0,"",RANK(B29,$B$2:$B$34,0))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PRIMESECU</t>
        </is>
      </c>
      <c r="D29" s="31" t="inlineStr">
        <is>
          <t>Prime Securities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1020.06</v>
      </c>
      <c r="I29" s="32" t="n">
        <v>300.9</v>
      </c>
      <c r="J29" s="32" t="n">
        <v>6.87</v>
      </c>
      <c r="K29" s="32" t="n">
        <v>205529</v>
      </c>
      <c r="L29" s="31" t="n">
        <v>19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59.55</v>
      </c>
      <c r="P29" s="32" t="n">
        <v>13.09</v>
      </c>
      <c r="Q29" s="32" t="n">
        <v>237.61</v>
      </c>
      <c r="R29" s="31" t="inlineStr">
        <is>
          <t>Volume Spike &amp; Near 52W High Breakout</t>
        </is>
      </c>
      <c r="S29" s="31" t="inlineStr">
        <is>
          <t>Nifty Bank</t>
        </is>
      </c>
      <c r="T29" s="32" t="n">
        <v>-3.68</v>
      </c>
      <c r="U29" s="32" t="n">
        <v>18.09</v>
      </c>
      <c r="V29" s="32" t="n">
        <v>22.6</v>
      </c>
      <c r="W29" s="32" t="n">
        <v>5.41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1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IF(B30=0,"",RANK(B30,$B$2:$B$34,0))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GEOJITFSL</t>
        </is>
      </c>
      <c r="D30" s="33" t="inlineStr">
        <is>
          <t>Geojit Financial Services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2144.22</v>
      </c>
      <c r="I30" s="32" t="n">
        <v>76.81999999999999</v>
      </c>
      <c r="J30" s="32" t="n">
        <v>2.54</v>
      </c>
      <c r="K30" s="32" t="n">
        <v>850052</v>
      </c>
      <c r="L30" s="31" t="n">
        <v>15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60.43</v>
      </c>
      <c r="P30" s="32" t="n">
        <v>18.5</v>
      </c>
      <c r="Q30" s="32" t="n">
        <v>58.27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-3.68</v>
      </c>
      <c r="U30" s="32" t="n">
        <v>-8.779999999999999</v>
      </c>
      <c r="V30" s="32" t="n">
        <v>-5.29</v>
      </c>
      <c r="W30" s="32" t="n">
        <v>4.48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IF(B31=0,"",RANK(B31,$B$2:$B$34,0))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NUVAMA</t>
        </is>
      </c>
      <c r="D31" s="31" t="inlineStr">
        <is>
          <t>Nuvama Wealth Management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28660.62</v>
      </c>
      <c r="I31" s="32" t="n">
        <v>1574.4</v>
      </c>
      <c r="J31" s="32" t="n">
        <v>0.5</v>
      </c>
      <c r="K31" s="32" t="n">
        <v>335047</v>
      </c>
      <c r="L31" s="31" t="n">
        <v>35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60.36</v>
      </c>
      <c r="P31" s="32" t="n">
        <v>28.92</v>
      </c>
      <c r="Q31" s="32" t="n">
        <v>1259.72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-3.68</v>
      </c>
      <c r="U31" s="32" t="n">
        <v>9.949999999999999</v>
      </c>
      <c r="V31" s="32" t="n">
        <v>14.16</v>
      </c>
      <c r="W31" s="32" t="n">
        <v>9.07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IF(B32=0,"",RANK(B32,$B$2:$B$34,0))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CANBK</t>
        </is>
      </c>
      <c r="D32" s="31" t="inlineStr">
        <is>
          <t>Canara Bank Ltd</t>
        </is>
      </c>
      <c r="E32" s="31" t="inlineStr">
        <is>
          <t>bank</t>
        </is>
      </c>
      <c r="F32" s="31" t="inlineStr">
        <is>
          <t>banks - public sector</t>
        </is>
      </c>
      <c r="G32" s="31" t="inlineStr">
        <is>
          <t>largecap</t>
        </is>
      </c>
      <c r="H32" s="32" t="n">
        <v>123188.51</v>
      </c>
      <c r="I32" s="32" t="n">
        <v>135.81</v>
      </c>
      <c r="J32" s="32" t="n">
        <v>2.02</v>
      </c>
      <c r="K32" s="32" t="n">
        <v>47139920</v>
      </c>
      <c r="L32" s="31" t="n">
        <v>12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49.75</v>
      </c>
      <c r="P32" s="32" t="n">
        <v>9.68</v>
      </c>
      <c r="Q32" s="32" t="n">
        <v>117.92</v>
      </c>
      <c r="R32" s="31" t="inlineStr">
        <is>
          <t>Volume Spike / Accumulation</t>
        </is>
      </c>
      <c r="S32" s="31" t="inlineStr">
        <is>
          <t>Nifty Bank</t>
        </is>
      </c>
      <c r="T32" s="32" t="n">
        <v>-3.68</v>
      </c>
      <c r="U32" s="32" t="n">
        <v>21.58</v>
      </c>
      <c r="V32" s="32" t="n">
        <v>26.22</v>
      </c>
      <c r="W32" s="32" t="n">
        <v>3.79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Below 45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IF(B33=0,"",RANK(B33,$B$2:$B$34,0))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BFINVEST</t>
        </is>
      </c>
      <c r="D33" s="33" t="inlineStr">
        <is>
          <t>Bf Investment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1646.45</v>
      </c>
      <c r="I33" s="32" t="n">
        <v>437.1</v>
      </c>
      <c r="J33" s="32" t="n">
        <v>-2.49</v>
      </c>
      <c r="K33" s="32" t="n">
        <v>38932</v>
      </c>
      <c r="L33" s="31" t="n">
        <v>2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55.45</v>
      </c>
      <c r="P33" s="32" t="n">
        <v>19.14</v>
      </c>
      <c r="Q33" s="32" t="n">
        <v>337.54</v>
      </c>
      <c r="R33" s="31" t="inlineStr">
        <is>
          <t>Volume Spike / Accumulation</t>
        </is>
      </c>
      <c r="S33" s="31" t="inlineStr">
        <is>
          <t>Nifty Bank</t>
        </is>
      </c>
      <c r="T33" s="32" t="n">
        <v>-3.68</v>
      </c>
      <c r="U33" s="32" t="n">
        <v>-14.69</v>
      </c>
      <c r="V33" s="32" t="n">
        <v>-11.43</v>
      </c>
      <c r="W33" s="32" t="n">
        <v>-0.01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1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IF(B34=0,"",RANK(B34,$B$2:$B$34,0))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IIFLCAPS</t>
        </is>
      </c>
      <c r="D34" s="31" t="inlineStr">
        <is>
          <t>IIFL Capital Services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midcap</t>
        </is>
      </c>
      <c r="H34" s="32" t="n">
        <v>10674.42</v>
      </c>
      <c r="I34" s="32" t="n">
        <v>342.75</v>
      </c>
      <c r="J34" s="32" t="n">
        <v>1.3</v>
      </c>
      <c r="K34" s="32" t="n">
        <v>1117367</v>
      </c>
      <c r="L34" s="31" t="n">
        <v>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56.78</v>
      </c>
      <c r="P34" s="32" t="n">
        <v>19.38</v>
      </c>
      <c r="Q34" s="32" t="n">
        <v>269.53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-3.68</v>
      </c>
      <c r="U34" s="32" t="n">
        <v>1.09</v>
      </c>
      <c r="V34" s="32" t="n">
        <v>4.96</v>
      </c>
      <c r="W34" s="32" t="n">
        <v>2.77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expression" priority="36" dxfId="0" stopIfTrue="1">
      <formula>=AND(Q2&lt;&gt;"",Q2&gt;0,I2&gt;=Q2)</formula>
    </cfRule>
    <cfRule type="expression" priority="37" dxfId="3" stopIfTrue="1">
      <formula>=AND(Q2&lt;&gt;"",Q2&gt;0,I2&lt;Q2)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30</v>
      </c>
      <c r="H2" s="31" t="inlineStr">
        <is>
          <t>VENUSREM</t>
        </is>
      </c>
      <c r="I2" s="31" t="inlineStr">
        <is>
          <t>Venus Remedies Limited</t>
        </is>
      </c>
      <c r="J2" s="31" t="inlineStr">
        <is>
          <t>healthcare</t>
        </is>
      </c>
      <c r="K2" s="31" t="inlineStr">
        <is>
          <t>pharmaceuticals - indian - formulations</t>
        </is>
      </c>
      <c r="L2" s="31" t="inlineStr">
        <is>
          <t>smallcap</t>
        </is>
      </c>
      <c r="M2" s="32" t="n">
        <v>2183.5</v>
      </c>
      <c r="N2" s="32" t="n">
        <v>1633.5</v>
      </c>
      <c r="O2" s="32" t="n">
        <v>4.99</v>
      </c>
      <c r="P2" s="32" t="n">
        <v>177144</v>
      </c>
      <c r="Q2" s="31" t="n">
        <v>98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80.33</v>
      </c>
      <c r="U2" s="32" t="n">
        <v>45.77</v>
      </c>
      <c r="V2" s="32" t="n">
        <v>1234.27</v>
      </c>
      <c r="W2" s="31" t="inlineStr">
        <is>
          <t>Volume Spike &amp; Near 52W High Breakout</t>
        </is>
      </c>
      <c r="X2" s="31" t="inlineStr">
        <is>
          <t>Nifty Pharma</t>
        </is>
      </c>
      <c r="Y2" s="32" t="n">
        <v>11.82</v>
      </c>
      <c r="Z2" s="32" t="n">
        <v>279.88</v>
      </c>
      <c r="AA2" s="32" t="n">
        <v>239.72</v>
      </c>
      <c r="AB2" s="32" t="n">
        <v>65.43000000000001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139.1</v>
      </c>
      <c r="E3" s="32" t="inlineStr">
        <is>
          <t>5%</t>
        </is>
      </c>
      <c r="F3" s="32" t="n">
        <v>50000</v>
      </c>
      <c r="G3" s="32" t="n">
        <v>136</v>
      </c>
      <c r="H3" s="31" t="inlineStr">
        <is>
          <t>INDOBORAX</t>
        </is>
      </c>
      <c r="I3" s="31" t="inlineStr">
        <is>
          <t>Indo Borax &amp; Chemicals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1178.99</v>
      </c>
      <c r="N3" s="32" t="n">
        <v>367.4</v>
      </c>
      <c r="O3" s="32" t="n">
        <v>2.43</v>
      </c>
      <c r="P3" s="32" t="n">
        <v>113924</v>
      </c>
      <c r="Q3" s="31" t="n">
        <v>79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81.72</v>
      </c>
      <c r="U3" s="32" t="n">
        <v>45.82</v>
      </c>
      <c r="V3" s="32" t="n">
        <v>291.76</v>
      </c>
      <c r="W3" s="31" t="inlineStr">
        <is>
          <t>Near 52W High Breakout</t>
        </is>
      </c>
      <c r="X3" s="31" t="inlineStr">
        <is>
          <t>Nifty 50</t>
        </is>
      </c>
      <c r="Y3" s="32" t="n">
        <v>-6.54</v>
      </c>
      <c r="Z3" s="32" t="n">
        <v>88.01000000000001</v>
      </c>
      <c r="AA3" s="32" t="n">
        <v>101.18</v>
      </c>
      <c r="AB3" s="32" t="n">
        <v>24.83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138.7</v>
      </c>
      <c r="E4" s="32" t="inlineStr">
        <is>
          <t>5%</t>
        </is>
      </c>
      <c r="F4" s="32" t="n">
        <v>50000</v>
      </c>
      <c r="G4" s="32" t="n">
        <v>48</v>
      </c>
      <c r="H4" s="31" t="inlineStr">
        <is>
          <t>ATHERENERG</t>
        </is>
      </c>
      <c r="I4" s="31" t="inlineStr">
        <is>
          <t>Ather Energy Ltd</t>
        </is>
      </c>
      <c r="J4" s="31" t="inlineStr">
        <is>
          <t>auto</t>
        </is>
      </c>
      <c r="K4" s="31" t="inlineStr">
        <is>
          <t>automobiles - scooters and 3 - wheelers</t>
        </is>
      </c>
      <c r="L4" s="31" t="inlineStr">
        <is>
          <t>largecap</t>
        </is>
      </c>
      <c r="M4" s="32" t="n">
        <v>39553.1</v>
      </c>
      <c r="N4" s="32" t="n">
        <v>1033.6</v>
      </c>
      <c r="O4" s="32" t="n">
        <v>4.6</v>
      </c>
      <c r="P4" s="32" t="n">
        <v>4325836</v>
      </c>
      <c r="Q4" s="31" t="n">
        <v>93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73.7</v>
      </c>
      <c r="U4" s="32" t="n">
        <v>45.08</v>
      </c>
      <c r="V4" s="32" t="n">
        <v>780.66</v>
      </c>
      <c r="W4" s="31" t="inlineStr">
        <is>
          <t>Near 52W High Breakout</t>
        </is>
      </c>
      <c r="X4" s="31" t="inlineStr">
        <is>
          <t>Nifty Auto</t>
        </is>
      </c>
      <c r="Y4" s="32" t="n">
        <v>10.59</v>
      </c>
      <c r="Z4" s="32" t="n">
        <v>234.5</v>
      </c>
      <c r="AA4" s="32" t="n">
        <v>202.48</v>
      </c>
      <c r="AB4" s="32" t="n">
        <v>40.67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Negative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137.9</v>
      </c>
      <c r="E5" s="32" t="inlineStr">
        <is>
          <t>5%</t>
        </is>
      </c>
      <c r="F5" s="32" t="n">
        <v>50000</v>
      </c>
      <c r="G5" s="32" t="n">
        <v>16</v>
      </c>
      <c r="H5" s="31" t="inlineStr">
        <is>
          <t>STYLAMIND</t>
        </is>
      </c>
      <c r="I5" s="31" t="inlineStr">
        <is>
          <t>Stylam Industries Ltd</t>
        </is>
      </c>
      <c r="J5" s="31" t="inlineStr">
        <is>
          <t>building materials</t>
        </is>
      </c>
      <c r="K5" s="31" t="inlineStr">
        <is>
          <t>miscellaneous</t>
        </is>
      </c>
      <c r="L5" s="31" t="inlineStr">
        <is>
          <t>midcap</t>
        </is>
      </c>
      <c r="M5" s="32" t="n">
        <v>5175.09</v>
      </c>
      <c r="N5" s="32" t="n">
        <v>3053.5</v>
      </c>
      <c r="O5" s="32" t="n">
        <v>0.54</v>
      </c>
      <c r="P5" s="32" t="n">
        <v>19378</v>
      </c>
      <c r="Q5" s="31" t="n">
        <v>72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88.92</v>
      </c>
      <c r="U5" s="32" t="n">
        <v>54.35</v>
      </c>
      <c r="V5" s="32" t="n">
        <v>2599.24</v>
      </c>
      <c r="W5" s="31" t="inlineStr">
        <is>
          <t>Near 52W High Breakout</t>
        </is>
      </c>
      <c r="X5" s="31" t="inlineStr">
        <is>
          <t>Nifty Infra</t>
        </is>
      </c>
      <c r="Y5" s="32" t="n">
        <v>1.11</v>
      </c>
      <c r="Z5" s="32" t="n">
        <v>80.39</v>
      </c>
      <c r="AA5" s="32" t="n">
        <v>78.41</v>
      </c>
      <c r="AB5" s="32" t="n">
        <v>21.07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364</v>
      </c>
      <c r="H6" s="31" t="inlineStr">
        <is>
          <t>CUPID</t>
        </is>
      </c>
      <c r="I6" s="31" t="inlineStr">
        <is>
          <t>Cupid Limited</t>
        </is>
      </c>
      <c r="J6" s="31" t="inlineStr">
        <is>
          <t>fmcg</t>
        </is>
      </c>
      <c r="K6" s="31" t="inlineStr">
        <is>
          <t>personal care - indian</t>
        </is>
      </c>
      <c r="L6" s="31" t="inlineStr">
        <is>
          <t>midcap</t>
        </is>
      </c>
      <c r="M6" s="32" t="n">
        <v>18435.3</v>
      </c>
      <c r="N6" s="32" t="n">
        <v>137.1</v>
      </c>
      <c r="O6" s="32" t="n">
        <v>3.01</v>
      </c>
      <c r="P6" s="32" t="n">
        <v>15150953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76.19</v>
      </c>
      <c r="U6" s="32" t="n">
        <v>40.67</v>
      </c>
      <c r="V6" s="32" t="n">
        <v>104.14</v>
      </c>
      <c r="W6" s="31" t="inlineStr">
        <is>
          <t>Near 52W High Breakout</t>
        </is>
      </c>
      <c r="X6" s="31" t="inlineStr">
        <is>
          <t>Nifty FMCG</t>
        </is>
      </c>
      <c r="Y6" s="32" t="n">
        <v>-13.44</v>
      </c>
      <c r="Z6" s="32" t="n">
        <v>534.72</v>
      </c>
      <c r="AA6" s="32" t="n">
        <v>633.28</v>
      </c>
      <c r="AB6" s="32" t="n">
        <v>64.33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139.4</v>
      </c>
      <c r="E7" s="32" t="inlineStr">
        <is>
          <t>5%</t>
        </is>
      </c>
      <c r="F7" s="32" t="n">
        <v>50000</v>
      </c>
      <c r="G7" s="32" t="n">
        <v>40</v>
      </c>
      <c r="H7" s="31" t="inlineStr">
        <is>
          <t>SYRMA</t>
        </is>
      </c>
      <c r="I7" s="31" t="inlineStr">
        <is>
          <t>Syrma SGS Technology Ltd</t>
        </is>
      </c>
      <c r="J7" s="31" t="inlineStr">
        <is>
          <t>consumer discretionary</t>
        </is>
      </c>
      <c r="K7" s="31" t="inlineStr">
        <is>
          <t>electronics - components</t>
        </is>
      </c>
      <c r="L7" s="31" t="inlineStr">
        <is>
          <t>largecap</t>
        </is>
      </c>
      <c r="M7" s="32" t="n">
        <v>23656.44</v>
      </c>
      <c r="N7" s="32" t="n">
        <v>1226.8</v>
      </c>
      <c r="O7" s="32" t="n">
        <v>0.43</v>
      </c>
      <c r="P7" s="32" t="n">
        <v>737121</v>
      </c>
      <c r="Q7" s="31" t="n">
        <v>90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73.01000000000001</v>
      </c>
      <c r="U7" s="32" t="n">
        <v>29.35</v>
      </c>
      <c r="V7" s="32" t="n">
        <v>942.45</v>
      </c>
      <c r="W7" s="31" t="inlineStr">
        <is>
          <t>Near 52W High Breakout</t>
        </is>
      </c>
      <c r="X7" s="31" t="inlineStr">
        <is>
          <t>Nifty 50</t>
        </is>
      </c>
      <c r="Y7" s="32" t="n">
        <v>-6.54</v>
      </c>
      <c r="Z7" s="32" t="n">
        <v>129.78</v>
      </c>
      <c r="AA7" s="32" t="n">
        <v>145.87</v>
      </c>
      <c r="AB7" s="32" t="n">
        <v>33.93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137</v>
      </c>
      <c r="H8" s="31" t="inlineStr">
        <is>
          <t>MODISONLTD</t>
        </is>
      </c>
      <c r="I8" s="31" t="inlineStr">
        <is>
          <t>Modison Ltd</t>
        </is>
      </c>
      <c r="J8" s="31" t="inlineStr">
        <is>
          <t>industrials</t>
        </is>
      </c>
      <c r="K8" s="31" t="inlineStr">
        <is>
          <t>electric equipment</t>
        </is>
      </c>
      <c r="L8" s="31" t="inlineStr">
        <is>
          <t>smallcap</t>
        </is>
      </c>
      <c r="M8" s="32" t="n">
        <v>1176.96</v>
      </c>
      <c r="N8" s="32" t="n">
        <v>362.7</v>
      </c>
      <c r="O8" s="32" t="n">
        <v>4.99</v>
      </c>
      <c r="P8" s="32" t="n">
        <v>224859</v>
      </c>
      <c r="Q8" s="31" t="n">
        <v>98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87.36</v>
      </c>
      <c r="U8" s="32" t="n">
        <v>29.03</v>
      </c>
      <c r="V8" s="32" t="n">
        <v>279.43</v>
      </c>
      <c r="W8" s="31" t="inlineStr">
        <is>
          <t>Near 52W High Breakout</t>
        </is>
      </c>
      <c r="X8" s="31" t="inlineStr">
        <is>
          <t>Nifty 50</t>
        </is>
      </c>
      <c r="Y8" s="32" t="n">
        <v>-6.54</v>
      </c>
      <c r="Z8" s="32" t="n">
        <v>129.78</v>
      </c>
      <c r="AA8" s="32" t="n">
        <v>145.87</v>
      </c>
      <c r="AB8" s="32" t="n">
        <v>67.47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139.4</v>
      </c>
      <c r="E9" s="32" t="inlineStr">
        <is>
          <t>5%</t>
        </is>
      </c>
      <c r="F9" s="32" t="n">
        <v>50000</v>
      </c>
      <c r="G9" s="32" t="n">
        <v>15</v>
      </c>
      <c r="H9" s="31" t="inlineStr">
        <is>
          <t>ACUTAAS</t>
        </is>
      </c>
      <c r="I9" s="31" t="inlineStr">
        <is>
          <t>Acutaas Chemicals Ltd</t>
        </is>
      </c>
      <c r="J9" s="31" t="inlineStr">
        <is>
          <t>healthcare</t>
        </is>
      </c>
      <c r="K9" s="31" t="inlineStr">
        <is>
          <t>pharmaceuticals - indian - bulk drugs</t>
        </is>
      </c>
      <c r="L9" s="31" t="inlineStr">
        <is>
          <t>largecap</t>
        </is>
      </c>
      <c r="M9" s="32" t="n">
        <v>27249.17</v>
      </c>
      <c r="N9" s="32" t="n">
        <v>3328.3</v>
      </c>
      <c r="O9" s="32" t="n">
        <v>5.17</v>
      </c>
      <c r="P9" s="32" t="n">
        <v>1067585</v>
      </c>
      <c r="Q9" s="31" t="n">
        <v>90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79.45</v>
      </c>
      <c r="U9" s="32" t="n">
        <v>64.38</v>
      </c>
      <c r="V9" s="32" t="n">
        <v>2603.5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11.82</v>
      </c>
      <c r="Z9" s="32" t="n">
        <v>192.13</v>
      </c>
      <c r="AA9" s="32" t="n">
        <v>161.24</v>
      </c>
      <c r="AB9" s="32" t="n">
        <v>34.55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139.1</v>
      </c>
      <c r="E10" s="32" t="inlineStr">
        <is>
          <t>5%</t>
        </is>
      </c>
      <c r="F10" s="32" t="n">
        <v>50000</v>
      </c>
      <c r="G10" s="32" t="n">
        <v>45</v>
      </c>
      <c r="H10" s="31" t="inlineStr">
        <is>
          <t>RPEL</t>
        </is>
      </c>
      <c r="I10" s="31" t="inlineStr">
        <is>
          <t>Raghav Productivity Enhancers Ltd</t>
        </is>
      </c>
      <c r="J10" s="31" t="inlineStr">
        <is>
          <t>building materials</t>
        </is>
      </c>
      <c r="K10" s="31" t="inlineStr">
        <is>
          <t>refractories / intermediates</t>
        </is>
      </c>
      <c r="L10" s="31" t="inlineStr">
        <is>
          <t>midcap</t>
        </is>
      </c>
      <c r="M10" s="32" t="n">
        <v>5096.92</v>
      </c>
      <c r="N10" s="32" t="n">
        <v>1110.15</v>
      </c>
      <c r="O10" s="32" t="n">
        <v>9.890000000000001</v>
      </c>
      <c r="P10" s="32" t="n">
        <v>594955</v>
      </c>
      <c r="Q10" s="31" t="n">
        <v>83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74.29000000000001</v>
      </c>
      <c r="U10" s="32" t="n">
        <v>28.7</v>
      </c>
      <c r="V10" s="32" t="n">
        <v>838.27</v>
      </c>
      <c r="W10" s="31" t="inlineStr">
        <is>
          <t>Volume Spike &amp; Near 52W High Breakout</t>
        </is>
      </c>
      <c r="X10" s="31" t="inlineStr">
        <is>
          <t>Nifty Infra</t>
        </is>
      </c>
      <c r="Y10" s="32" t="n">
        <v>1.11</v>
      </c>
      <c r="Z10" s="32" t="n">
        <v>56.18</v>
      </c>
      <c r="AA10" s="32" t="n">
        <v>54.46</v>
      </c>
      <c r="AB10" s="32" t="n">
        <v>27.34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EMA Crossover</t>
        </is>
      </c>
      <c r="D11" s="32" t="n">
        <v>143.2</v>
      </c>
      <c r="E11" s="32" t="inlineStr">
        <is>
          <t>7%</t>
        </is>
      </c>
      <c r="F11" s="32" t="n">
        <v>70000</v>
      </c>
      <c r="G11" s="32" t="n">
        <v>2680</v>
      </c>
      <c r="H11" s="31" t="inlineStr">
        <is>
          <t>PRIMO</t>
        </is>
      </c>
      <c r="I11" s="31" t="inlineStr">
        <is>
          <t>Primo Chemicals Ltd</t>
        </is>
      </c>
      <c r="J11" s="31" t="inlineStr">
        <is>
          <t>chemicals</t>
        </is>
      </c>
      <c r="K11" s="31" t="inlineStr">
        <is>
          <t>chlor alkali / soda ash</t>
        </is>
      </c>
      <c r="L11" s="31" t="inlineStr">
        <is>
          <t>smallcap</t>
        </is>
      </c>
      <c r="M11" s="32" t="n">
        <v>632.76</v>
      </c>
      <c r="N11" s="32" t="n">
        <v>26.11</v>
      </c>
      <c r="O11" s="32" t="n">
        <v>18.84</v>
      </c>
      <c r="P11" s="32" t="n">
        <v>2989541</v>
      </c>
      <c r="Q11" s="31" t="n">
        <v>47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58.37</v>
      </c>
      <c r="U11" s="32" t="n">
        <v>20.31</v>
      </c>
      <c r="V11" s="32" t="n">
        <v>17.28</v>
      </c>
      <c r="W11" s="31" t="inlineStr">
        <is>
          <t>Volume Spike / Accumulation</t>
        </is>
      </c>
      <c r="X11" s="31" t="inlineStr">
        <is>
          <t>Nifty 50</t>
        </is>
      </c>
      <c r="Y11" s="32" t="n">
        <v>-6.54</v>
      </c>
      <c r="Z11" s="32" t="n">
        <v>6.1</v>
      </c>
      <c r="AA11" s="32" t="n">
        <v>13.52</v>
      </c>
      <c r="AB11" s="32" t="n">
        <v>12.23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138.1</v>
      </c>
      <c r="E12" s="32" t="inlineStr">
        <is>
          <t>5%</t>
        </is>
      </c>
      <c r="F12" s="32" t="n">
        <v>50000</v>
      </c>
      <c r="G12" s="32" t="n">
        <v>72</v>
      </c>
      <c r="H12" s="31" t="inlineStr">
        <is>
          <t>HSCL</t>
        </is>
      </c>
      <c r="I12" s="31" t="inlineStr">
        <is>
          <t>Himadri Speciality Chemical Limited</t>
        </is>
      </c>
      <c r="J12" s="31" t="inlineStr">
        <is>
          <t>chemicals</t>
        </is>
      </c>
      <c r="K12" s="31" t="inlineStr">
        <is>
          <t>chemicals</t>
        </is>
      </c>
      <c r="L12" s="31" t="inlineStr">
        <is>
          <t>largecap</t>
        </is>
      </c>
      <c r="M12" s="32" t="n">
        <v>34563.62</v>
      </c>
      <c r="N12" s="32" t="n">
        <v>685.05</v>
      </c>
      <c r="O12" s="32" t="n">
        <v>6.71</v>
      </c>
      <c r="P12" s="32" t="n">
        <v>24445679</v>
      </c>
      <c r="Q12" s="31" t="n">
        <v>69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73.98999999999999</v>
      </c>
      <c r="U12" s="32" t="n">
        <v>27.87</v>
      </c>
      <c r="V12" s="32" t="n">
        <v>526.01</v>
      </c>
      <c r="W12" s="31" t="inlineStr">
        <is>
          <t>Volume Spike &amp; Near 52W High Breakout</t>
        </is>
      </c>
      <c r="X12" s="31" t="inlineStr">
        <is>
          <t>Nifty 50</t>
        </is>
      </c>
      <c r="Y12" s="32" t="n">
        <v>-6.54</v>
      </c>
      <c r="Z12" s="32" t="n">
        <v>38.19</v>
      </c>
      <c r="AA12" s="32" t="n">
        <v>47.87</v>
      </c>
      <c r="AB12" s="32" t="n">
        <v>19.02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Between 1.5 to 2</t>
        </is>
      </c>
      <c r="BZ12" s="31">
        <f>IF(BY12="Above 2",0,IF(BY12="Between 1.5 to 2",5,IF(BY12="Less than 1.5",10,0)))</f>
        <v/>
      </c>
      <c r="CA12" s="31" t="inlineStr">
        <is>
          <t>Less than 50%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139.7</v>
      </c>
      <c r="E13" s="32" t="inlineStr">
        <is>
          <t>5%</t>
        </is>
      </c>
      <c r="F13" s="32" t="n">
        <v>50000</v>
      </c>
      <c r="G13" s="32" t="n">
        <v>42</v>
      </c>
      <c r="H13" s="31" t="inlineStr">
        <is>
          <t>SAILIFE</t>
        </is>
      </c>
      <c r="I13" s="31" t="inlineStr">
        <is>
          <t>Sai Life Sciences Ltd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25125.49</v>
      </c>
      <c r="N13" s="32" t="n">
        <v>1186.4</v>
      </c>
      <c r="O13" s="32" t="n">
        <v>2.34</v>
      </c>
      <c r="P13" s="32" t="n">
        <v>749906</v>
      </c>
      <c r="Q13" s="31" t="n">
        <v>50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70.11</v>
      </c>
      <c r="U13" s="32" t="n">
        <v>30.3</v>
      </c>
      <c r="V13" s="32" t="n">
        <v>938.2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11.82</v>
      </c>
      <c r="Z13" s="32" t="n">
        <v>60.93</v>
      </c>
      <c r="AA13" s="32" t="n">
        <v>43.92</v>
      </c>
      <c r="AB13" s="32" t="n">
        <v>13.14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139.8</v>
      </c>
      <c r="E14" s="32" t="inlineStr">
        <is>
          <t>5%</t>
        </is>
      </c>
      <c r="F14" s="32" t="n">
        <v>50000</v>
      </c>
      <c r="G14" s="32" t="n">
        <v>34</v>
      </c>
      <c r="H14" s="31" t="inlineStr">
        <is>
          <t>LAURUSLABS</t>
        </is>
      </c>
      <c r="I14" s="31" t="inlineStr">
        <is>
          <t>Laurus Labs Limited</t>
        </is>
      </c>
      <c r="J14" s="31" t="inlineStr">
        <is>
          <t>healthcare</t>
        </is>
      </c>
      <c r="K14" s="31" t="inlineStr">
        <is>
          <t>pharmaceuticals - indian - bulk drugs &amp; formln</t>
        </is>
      </c>
      <c r="L14" s="31" t="inlineStr">
        <is>
          <t>largecap</t>
        </is>
      </c>
      <c r="M14" s="32" t="n">
        <v>78106.45</v>
      </c>
      <c r="N14" s="32" t="n">
        <v>1446.8</v>
      </c>
      <c r="O14" s="32" t="n">
        <v>1.37</v>
      </c>
      <c r="P14" s="32" t="n">
        <v>1515580</v>
      </c>
      <c r="Q14" s="31" t="n">
        <v>83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79.90000000000001</v>
      </c>
      <c r="U14" s="32" t="n">
        <v>29.97</v>
      </c>
      <c r="V14" s="32" t="n">
        <v>1224.52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11.82</v>
      </c>
      <c r="Z14" s="32" t="n">
        <v>125.75</v>
      </c>
      <c r="AA14" s="32" t="n">
        <v>101.88</v>
      </c>
      <c r="AB14" s="32" t="n">
        <v>27.21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139.1</v>
      </c>
      <c r="E15" s="32" t="inlineStr">
        <is>
          <t>5%</t>
        </is>
      </c>
      <c r="F15" s="32" t="n">
        <v>50000</v>
      </c>
      <c r="G15" s="32" t="n">
        <v>92</v>
      </c>
      <c r="H15" s="31" t="inlineStr">
        <is>
          <t>SHILPAMED</t>
        </is>
      </c>
      <c r="I15" s="31" t="inlineStr">
        <is>
          <t>Shilpa Medicare Limited</t>
        </is>
      </c>
      <c r="J15" s="31" t="inlineStr">
        <is>
          <t>healthcare</t>
        </is>
      </c>
      <c r="K15" s="31" t="inlineStr">
        <is>
          <t>pharmaceuticals - indian - formulations</t>
        </is>
      </c>
      <c r="L15" s="31" t="inlineStr">
        <is>
          <t>midcap</t>
        </is>
      </c>
      <c r="M15" s="32" t="n">
        <v>10523.28</v>
      </c>
      <c r="N15" s="32" t="n">
        <v>538.05</v>
      </c>
      <c r="O15" s="32" t="n">
        <v>2.33</v>
      </c>
      <c r="P15" s="32" t="n">
        <v>1777281</v>
      </c>
      <c r="Q15" s="31" t="n">
        <v>68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78.78</v>
      </c>
      <c r="U15" s="32" t="n">
        <v>39.68</v>
      </c>
      <c r="V15" s="32" t="n">
        <v>418.43</v>
      </c>
      <c r="W15" s="31" t="inlineStr">
        <is>
          <t>Volume Spike &amp; Near 52W High Breakout</t>
        </is>
      </c>
      <c r="X15" s="31" t="inlineStr">
        <is>
          <t>Nifty Pharma</t>
        </is>
      </c>
      <c r="Y15" s="32" t="n">
        <v>11.82</v>
      </c>
      <c r="Z15" s="32" t="n">
        <v>17.82</v>
      </c>
      <c r="AA15" s="32" t="n">
        <v>5.36</v>
      </c>
      <c r="AB15" s="32" t="n">
        <v>18.9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140</v>
      </c>
      <c r="E16" s="32" t="inlineStr">
        <is>
          <t>5%</t>
        </is>
      </c>
      <c r="F16" s="32" t="n">
        <v>50000</v>
      </c>
      <c r="G16" s="32" t="n">
        <v>52</v>
      </c>
      <c r="H16" s="31" t="inlineStr">
        <is>
          <t>IDEAFORGE</t>
        </is>
      </c>
      <c r="I16" s="31" t="inlineStr">
        <is>
          <t>Ideaforge Technology Ltd</t>
        </is>
      </c>
      <c r="J16" s="31" t="inlineStr">
        <is>
          <t>aerospace &amp; defence</t>
        </is>
      </c>
      <c r="K16" s="31" t="inlineStr">
        <is>
          <t>engineering</t>
        </is>
      </c>
      <c r="L16" s="31" t="inlineStr">
        <is>
          <t>smallcap</t>
        </is>
      </c>
      <c r="M16" s="32" t="n">
        <v>4089.58</v>
      </c>
      <c r="N16" s="32" t="n">
        <v>945</v>
      </c>
      <c r="O16" s="32" t="n">
        <v>5</v>
      </c>
      <c r="P16" s="32" t="n">
        <v>221612</v>
      </c>
      <c r="Q16" s="31" t="n">
        <v>92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80.69</v>
      </c>
      <c r="U16" s="32" t="n">
        <v>37.87</v>
      </c>
      <c r="V16" s="32" t="n">
        <v>682.3</v>
      </c>
      <c r="W16" s="31" t="inlineStr">
        <is>
          <t>Near 52W High Breakout</t>
        </is>
      </c>
      <c r="X16" s="31" t="inlineStr">
        <is>
          <t>Nifty 50</t>
        </is>
      </c>
      <c r="Y16" s="32" t="n">
        <v>-6.54</v>
      </c>
      <c r="Z16" s="32" t="n">
        <v>59.8</v>
      </c>
      <c r="AA16" s="32" t="n">
        <v>70.98999999999999</v>
      </c>
      <c r="AB16" s="32" t="n">
        <v>40.21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Negative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139.3</v>
      </c>
      <c r="E17" s="32" t="inlineStr">
        <is>
          <t>5%</t>
        </is>
      </c>
      <c r="F17" s="32" t="n">
        <v>50000</v>
      </c>
      <c r="G17" s="32" t="n">
        <v>22</v>
      </c>
      <c r="H17" s="31" t="inlineStr">
        <is>
          <t>RRKABEL</t>
        </is>
      </c>
      <c r="I17" s="31" t="inlineStr">
        <is>
          <t>R R Kabel Ltd</t>
        </is>
      </c>
      <c r="J17" s="31" t="inlineStr">
        <is>
          <t>industrials</t>
        </is>
      </c>
      <c r="K17" s="31" t="inlineStr">
        <is>
          <t>cables - power</t>
        </is>
      </c>
      <c r="L17" s="31" t="inlineStr">
        <is>
          <t>largecap</t>
        </is>
      </c>
      <c r="M17" s="32" t="n">
        <v>25147.88</v>
      </c>
      <c r="N17" s="32" t="n">
        <v>2223.4</v>
      </c>
      <c r="O17" s="32" t="n">
        <v>0.02</v>
      </c>
      <c r="P17" s="32" t="n">
        <v>564015</v>
      </c>
      <c r="Q17" s="31" t="n">
        <v>71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78.59</v>
      </c>
      <c r="U17" s="32" t="n">
        <v>32.21</v>
      </c>
      <c r="V17" s="32" t="n">
        <v>1758.31</v>
      </c>
      <c r="W17" s="31" t="inlineStr">
        <is>
          <t>Volume Spike &amp; Near 52W High Breakout</t>
        </is>
      </c>
      <c r="X17" s="31" t="inlineStr">
        <is>
          <t>Nifty Energy</t>
        </is>
      </c>
      <c r="Y17" s="32" t="n">
        <v>12.31</v>
      </c>
      <c r="Z17" s="32" t="n">
        <v>58.13</v>
      </c>
      <c r="AA17" s="32" t="n">
        <v>40.8</v>
      </c>
      <c r="AB17" s="32" t="n">
        <v>20.39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Between 1.5 to 2</t>
        </is>
      </c>
      <c r="BZ17" s="31">
        <f>IF(BY17="Above 2",0,IF(BY17="Between 1.5 to 2",5,IF(BY17="Less than 1.5",10,0)))</f>
        <v/>
      </c>
      <c r="CA17" s="31" t="inlineStr">
        <is>
          <t>Less than 50%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137.9</v>
      </c>
      <c r="E18" s="32" t="inlineStr">
        <is>
          <t>5%</t>
        </is>
      </c>
      <c r="F18" s="32" t="n">
        <v>50000</v>
      </c>
      <c r="G18" s="32" t="n">
        <v>3</v>
      </c>
      <c r="H18" s="31" t="inlineStr">
        <is>
          <t>APARINDS</t>
        </is>
      </c>
      <c r="I18" s="31" t="inlineStr">
        <is>
          <t>Apar Industries Limited</t>
        </is>
      </c>
      <c r="J18" s="31" t="inlineStr">
        <is>
          <t>industrials</t>
        </is>
      </c>
      <c r="K18" s="31" t="inlineStr">
        <is>
          <t>electric equipment</t>
        </is>
      </c>
      <c r="L18" s="31" t="inlineStr">
        <is>
          <t>largecap</t>
        </is>
      </c>
      <c r="M18" s="32" t="n">
        <v>55745.59</v>
      </c>
      <c r="N18" s="32" t="n">
        <v>13878</v>
      </c>
      <c r="O18" s="32" t="n">
        <v>1.23</v>
      </c>
      <c r="P18" s="32" t="n">
        <v>100710</v>
      </c>
      <c r="Q18" s="31" t="n">
        <v>68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72.16</v>
      </c>
      <c r="U18" s="32" t="n">
        <v>37.25</v>
      </c>
      <c r="V18" s="32" t="n">
        <v>10681.09</v>
      </c>
      <c r="W18" s="31" t="inlineStr">
        <is>
          <t>Near 52W High Breakout</t>
        </is>
      </c>
      <c r="X18" s="31" t="inlineStr">
        <is>
          <t>Nifty 500</t>
        </is>
      </c>
      <c r="Y18" s="32" t="n">
        <v>-3.02</v>
      </c>
      <c r="Z18" s="32" t="n">
        <v>72.26000000000001</v>
      </c>
      <c r="AA18" s="32" t="n">
        <v>77.63</v>
      </c>
      <c r="AB18" s="32" t="n">
        <v>18.96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137.9</v>
      </c>
      <c r="E19" s="32" t="inlineStr">
        <is>
          <t>5%</t>
        </is>
      </c>
      <c r="F19" s="32" t="n">
        <v>50000</v>
      </c>
      <c r="G19" s="32" t="n">
        <v>147</v>
      </c>
      <c r="H19" s="31" t="inlineStr">
        <is>
          <t>RUBYMILLS</t>
        </is>
      </c>
      <c r="I19" s="31" t="inlineStr">
        <is>
          <t>The Ruby Mills Limited</t>
        </is>
      </c>
      <c r="J19" s="31" t="inlineStr">
        <is>
          <t>textiles</t>
        </is>
      </c>
      <c r="K19" s="31" t="inlineStr">
        <is>
          <t>textiles - composite</t>
        </is>
      </c>
      <c r="L19" s="31" t="inlineStr">
        <is>
          <t>smallcap</t>
        </is>
      </c>
      <c r="M19" s="32" t="n">
        <v>1129.77</v>
      </c>
      <c r="N19" s="32" t="n">
        <v>337.85</v>
      </c>
      <c r="O19" s="32" t="n">
        <v>0.49</v>
      </c>
      <c r="P19" s="32" t="n">
        <v>127037</v>
      </c>
      <c r="Q19" s="31" t="n">
        <v>75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76.73999999999999</v>
      </c>
      <c r="U19" s="32" t="n">
        <v>34.89</v>
      </c>
      <c r="V19" s="32" t="n">
        <v>254.42</v>
      </c>
      <c r="W19" s="31" t="inlineStr">
        <is>
          <t>Volume Spike &amp; Near 52W High Breakout</t>
        </is>
      </c>
      <c r="X19" s="31" t="inlineStr">
        <is>
          <t>Nifty 50</t>
        </is>
      </c>
      <c r="Y19" s="32" t="n">
        <v>-6.54</v>
      </c>
      <c r="Z19" s="32" t="n">
        <v>56.28</v>
      </c>
      <c r="AA19" s="32" t="n">
        <v>67.22</v>
      </c>
      <c r="AB19" s="32" t="n">
        <v>22.85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139.2</v>
      </c>
      <c r="E20" s="32" t="inlineStr">
        <is>
          <t>5%</t>
        </is>
      </c>
      <c r="F20" s="32" t="n">
        <v>50000</v>
      </c>
      <c r="G20" s="32" t="n">
        <v>31</v>
      </c>
      <c r="H20" s="31" t="inlineStr">
        <is>
          <t>ADANIENSOL</t>
        </is>
      </c>
      <c r="I20" s="31" t="inlineStr">
        <is>
          <t>Adani Energy Solutions Ltd</t>
        </is>
      </c>
      <c r="J20" s="31" t="inlineStr">
        <is>
          <t>power &amp; utilities</t>
        </is>
      </c>
      <c r="K20" s="31" t="inlineStr">
        <is>
          <t>power generation and supply</t>
        </is>
      </c>
      <c r="L20" s="31" t="inlineStr">
        <is>
          <t>largecap</t>
        </is>
      </c>
      <c r="M20" s="32" t="n">
        <v>189682.53</v>
      </c>
      <c r="N20" s="32" t="n">
        <v>1579</v>
      </c>
      <c r="O20" s="32" t="n">
        <v>3.88</v>
      </c>
      <c r="P20" s="32" t="n">
        <v>5528998</v>
      </c>
      <c r="Q20" s="31" t="n">
        <v>82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75.11</v>
      </c>
      <c r="U20" s="32" t="n">
        <v>30.8</v>
      </c>
      <c r="V20" s="32" t="n">
        <v>1228.19</v>
      </c>
      <c r="W20" s="31" t="inlineStr">
        <is>
          <t>Near 52W High Breakout</t>
        </is>
      </c>
      <c r="X20" s="31" t="inlineStr">
        <is>
          <t>Nifty IT</t>
        </is>
      </c>
      <c r="Y20" s="32" t="n">
        <v>-22.21</v>
      </c>
      <c r="Z20" s="32" t="n">
        <v>78.59999999999999</v>
      </c>
      <c r="AA20" s="32" t="n">
        <v>129.6</v>
      </c>
      <c r="AB20" s="32" t="n">
        <v>26.91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138.5</v>
      </c>
      <c r="E21" s="32" t="inlineStr">
        <is>
          <t>5%</t>
        </is>
      </c>
      <c r="F21" s="32" t="n">
        <v>50000</v>
      </c>
      <c r="G21" s="32" t="n">
        <v>74</v>
      </c>
      <c r="H21" s="31" t="inlineStr">
        <is>
          <t>DEEDEV</t>
        </is>
      </c>
      <c r="I21" s="31" t="inlineStr">
        <is>
          <t>DEE Development Engineers Ltd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4648.61</v>
      </c>
      <c r="N21" s="32" t="n">
        <v>671.15</v>
      </c>
      <c r="O21" s="32" t="n">
        <v>5</v>
      </c>
      <c r="P21" s="32" t="n">
        <v>185836</v>
      </c>
      <c r="Q21" s="31" t="n">
        <v>96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87.45</v>
      </c>
      <c r="U21" s="32" t="n">
        <v>58.41</v>
      </c>
      <c r="V21" s="32" t="n">
        <v>518.7</v>
      </c>
      <c r="W21" s="31" t="inlineStr">
        <is>
          <t>Near 52W High Breakout</t>
        </is>
      </c>
      <c r="X21" s="31" t="inlineStr">
        <is>
          <t>Nifty Metal</t>
        </is>
      </c>
      <c r="Y21" s="32" t="n">
        <v>40.56</v>
      </c>
      <c r="Z21" s="32" t="n">
        <v>142.69</v>
      </c>
      <c r="AA21" s="32" t="n">
        <v>72.66</v>
      </c>
      <c r="AB21" s="32" t="n">
        <v>57.67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Less than 50%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139.1</v>
      </c>
      <c r="E22" s="32" t="inlineStr">
        <is>
          <t>5%</t>
        </is>
      </c>
      <c r="F22" s="32" t="n">
        <v>50000</v>
      </c>
      <c r="G22" s="32" t="n">
        <v>140</v>
      </c>
      <c r="H22" s="31" t="inlineStr">
        <is>
          <t>ACMESOLAR</t>
        </is>
      </c>
      <c r="I22" s="31" t="inlineStr">
        <is>
          <t>ACME Solar Holdings Ltd</t>
        </is>
      </c>
      <c r="J22" s="31" t="inlineStr">
        <is>
          <t>realty</t>
        </is>
      </c>
      <c r="K22" s="31" t="inlineStr">
        <is>
          <t>engineering - turnkey services</t>
        </is>
      </c>
      <c r="L22" s="31" t="inlineStr">
        <is>
          <t>largecap</t>
        </is>
      </c>
      <c r="M22" s="32" t="n">
        <v>21611.98</v>
      </c>
      <c r="N22" s="32" t="n">
        <v>356.65</v>
      </c>
      <c r="O22" s="32" t="n">
        <v>3.12</v>
      </c>
      <c r="P22" s="32" t="n">
        <v>6661042</v>
      </c>
      <c r="Q22" s="31" t="n">
        <v>74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71.98</v>
      </c>
      <c r="U22" s="32" t="n">
        <v>18.73</v>
      </c>
      <c r="V22" s="32" t="n">
        <v>275.33</v>
      </c>
      <c r="W22" s="31" t="inlineStr">
        <is>
          <t>Volume Spike &amp; Near 52W High Breakout</t>
        </is>
      </c>
      <c r="X22" s="31" t="inlineStr">
        <is>
          <t>Nifty Realty</t>
        </is>
      </c>
      <c r="Y22" s="32" t="n">
        <v>-26.04</v>
      </c>
      <c r="Z22" s="32" t="n">
        <v>42.3</v>
      </c>
      <c r="AA22" s="32" t="n">
        <v>92.40000000000001</v>
      </c>
      <c r="AB22" s="32" t="n">
        <v>21.94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Between 50% to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expression" priority="38" dxfId="0" stopIfTrue="1">
      <formula>=AND(V2&lt;&gt;"",V2&gt;0,N2&gt;=V2)</formula>
    </cfRule>
    <cfRule type="expression" priority="39" dxfId="3" stopIfTrue="1">
      <formula>=AND(V2&lt;&gt;"",V2&gt;0,N2&lt;V2)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164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74951.14999999999</v>
      </c>
      <c r="N2" s="32" t="n">
        <v>304.15</v>
      </c>
      <c r="O2" s="32" t="n">
        <v>1.35</v>
      </c>
      <c r="P2" s="32" t="n">
        <v>9322801</v>
      </c>
      <c r="Q2" s="31" t="n">
        <v>38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64.2</v>
      </c>
      <c r="U2" s="32" t="n">
        <v>19.76</v>
      </c>
      <c r="V2" s="32" t="n">
        <v>257.24</v>
      </c>
      <c r="W2" s="31" t="inlineStr">
        <is>
          <t>Near 52W High Breakout</t>
        </is>
      </c>
      <c r="X2" s="31" t="inlineStr">
        <is>
          <t>Nifty Bank</t>
        </is>
      </c>
      <c r="Y2" s="32" t="n">
        <v>-3.68</v>
      </c>
      <c r="Z2" s="32" t="n">
        <v>47.27</v>
      </c>
      <c r="AA2" s="32" t="n">
        <v>52.89</v>
      </c>
      <c r="AB2" s="32" t="n">
        <v>10.23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0 to 20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expression" priority="36" dxfId="0" stopIfTrue="1">
      <formula>=AND(V2&lt;&gt;"",V2&gt;0,N2&gt;=V2)</formula>
    </cfRule>
    <cfRule type="expression" priority="37" dxfId="3" stopIfTrue="1">
      <formula>=AND(V2&lt;&gt;"",V2&gt;0,N2&lt;V2)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1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FMCG - Personal Care</t>
        </is>
      </c>
      <c r="G2" s="31" t="inlineStr">
        <is>
          <t>midcap</t>
        </is>
      </c>
      <c r="H2" s="32" t="n">
        <v>7210.78</v>
      </c>
      <c r="I2" s="32" t="n">
        <v>552.05</v>
      </c>
      <c r="J2" s="32" t="n">
        <v>-1.21</v>
      </c>
      <c r="K2" s="32" t="n">
        <v>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74.25</v>
      </c>
      <c r="P2" s="32" t="n">
        <v>51.77</v>
      </c>
      <c r="Q2" s="32" t="n">
        <v>440.61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-13.44</v>
      </c>
      <c r="U2" s="32" t="n">
        <v>217.18</v>
      </c>
      <c r="V2" s="32" t="n">
        <v>266.43</v>
      </c>
      <c r="W2" s="32" t="n">
        <v>36.8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5401.86</v>
      </c>
      <c r="I3" s="32" t="n">
        <v>23.24</v>
      </c>
      <c r="J3" s="32" t="n">
        <v>-1.44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71.62</v>
      </c>
      <c r="P3" s="32" t="n">
        <v>35.91</v>
      </c>
      <c r="Q3" s="32" t="n">
        <v>16.2</v>
      </c>
      <c r="R3" s="31" t="inlineStr">
        <is>
          <t>Near 52W High Breakout</t>
        </is>
      </c>
      <c r="S3" s="31" t="inlineStr">
        <is>
          <t>Nifty 50</t>
        </is>
      </c>
      <c r="T3" s="32" t="n">
        <v>-6.54</v>
      </c>
      <c r="U3" s="32" t="n">
        <v>47.74</v>
      </c>
      <c r="V3" s="32" t="n">
        <v>58.09</v>
      </c>
      <c r="W3" s="32" t="n">
        <v>51.77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VMARCIND</t>
        </is>
      </c>
      <c r="D4" s="31" t="inlineStr">
        <is>
          <t>V-Marc India Ltd</t>
        </is>
      </c>
      <c r="E4" s="31" t="inlineStr">
        <is>
          <t>unknown</t>
        </is>
      </c>
      <c r="F4" s="31" t="inlineStr">
        <is>
          <t>Cables - Power</t>
        </is>
      </c>
      <c r="G4" s="31" t="inlineStr">
        <is>
          <t>smallcap</t>
        </is>
      </c>
      <c r="H4" s="32" t="n">
        <v>3697.17</v>
      </c>
      <c r="I4" s="32" t="n">
        <v>1513.95</v>
      </c>
      <c r="J4" s="32" t="n">
        <v>-0.63</v>
      </c>
      <c r="K4" s="32" t="n">
        <v>0</v>
      </c>
      <c r="L4" s="31" t="n">
        <v>98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87.84</v>
      </c>
      <c r="P4" s="32" t="n">
        <v>37.03</v>
      </c>
      <c r="Q4" s="32" t="n">
        <v>1131.26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-6.54</v>
      </c>
      <c r="U4" s="32" t="n">
        <v>374.59</v>
      </c>
      <c r="V4" s="32" t="n">
        <v>407.83</v>
      </c>
      <c r="W4" s="32" t="n">
        <v>65.17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ACCENTMIC</t>
        </is>
      </c>
      <c r="D5" s="34" t="inlineStr">
        <is>
          <t>Accent Microcell Ltd</t>
        </is>
      </c>
      <c r="E5" s="31" t="inlineStr">
        <is>
          <t>unknown</t>
        </is>
      </c>
      <c r="F5" s="31" t="inlineStr">
        <is>
          <t>Pharma - Formulators</t>
        </is>
      </c>
      <c r="G5" s="31" t="inlineStr">
        <is>
          <t>smallcap</t>
        </is>
      </c>
      <c r="H5" s="32" t="n">
        <v>1145.24</v>
      </c>
      <c r="I5" s="32" t="n">
        <v>477.4</v>
      </c>
      <c r="J5" s="32" t="n">
        <v>1.11</v>
      </c>
      <c r="K5" s="32" t="n">
        <v>0</v>
      </c>
      <c r="L5" s="31" t="n">
        <v>78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72.94</v>
      </c>
      <c r="P5" s="32" t="n">
        <v>49.66</v>
      </c>
      <c r="Q5" s="32" t="n">
        <v>368.61</v>
      </c>
      <c r="R5" s="31" t="inlineStr">
        <is>
          <t>Near 52W High Breakout</t>
        </is>
      </c>
      <c r="S5" s="31" t="inlineStr">
        <is>
          <t>Nifty 50</t>
        </is>
      </c>
      <c r="T5" s="32" t="n">
        <v>-6.54</v>
      </c>
      <c r="U5" s="32" t="n">
        <v>108.55</v>
      </c>
      <c r="V5" s="32" t="n">
        <v>123.16</v>
      </c>
      <c r="W5" s="32" t="n">
        <v>24.52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VENUSREM</t>
        </is>
      </c>
      <c r="D6" s="31" t="inlineStr">
        <is>
          <t>Venus Remedies Ltd</t>
        </is>
      </c>
      <c r="E6" s="31" t="inlineStr">
        <is>
          <t>healthcare</t>
        </is>
      </c>
      <c r="F6" s="31" t="inlineStr">
        <is>
          <t>Pharmaceuticals - I V Fluids</t>
        </is>
      </c>
      <c r="G6" s="31" t="inlineStr">
        <is>
          <t>smallcap</t>
        </is>
      </c>
      <c r="H6" s="32" t="n">
        <v>2183.5</v>
      </c>
      <c r="I6" s="32" t="n">
        <v>1633.5</v>
      </c>
      <c r="J6" s="32" t="n">
        <v>4.99</v>
      </c>
      <c r="K6" s="32" t="n">
        <v>0</v>
      </c>
      <c r="L6" s="31" t="n">
        <v>98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80.33</v>
      </c>
      <c r="P6" s="32" t="n">
        <v>45.77</v>
      </c>
      <c r="Q6" s="32" t="n">
        <v>1234.27</v>
      </c>
      <c r="R6" s="31" t="inlineStr">
        <is>
          <t>Volume Spike &amp; Near 52W High Breakout</t>
        </is>
      </c>
      <c r="S6" s="31" t="inlineStr">
        <is>
          <t>Nifty Pharma</t>
        </is>
      </c>
      <c r="T6" s="32" t="n">
        <v>11.82</v>
      </c>
      <c r="U6" s="32" t="n">
        <v>279.88</v>
      </c>
      <c r="V6" s="32" t="n">
        <v>239.72</v>
      </c>
      <c r="W6" s="32" t="n">
        <v>65.43000000000001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27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BLISSGVS</t>
        </is>
      </c>
      <c r="D7" s="31" t="inlineStr">
        <is>
          <t>Bliss GVS Pharma Ltd</t>
        </is>
      </c>
      <c r="E7" s="31" t="inlineStr">
        <is>
          <t>healthcare</t>
        </is>
      </c>
      <c r="F7" s="31" t="inlineStr">
        <is>
          <t>Pharma - Formulators</t>
        </is>
      </c>
      <c r="G7" s="31" t="inlineStr">
        <is>
          <t>smallcap</t>
        </is>
      </c>
      <c r="H7" s="32" t="n">
        <v>4637.26</v>
      </c>
      <c r="I7" s="32" t="n">
        <v>438.35</v>
      </c>
      <c r="J7" s="32" t="n">
        <v>-3.91</v>
      </c>
      <c r="K7" s="32" t="n">
        <v>0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88.44</v>
      </c>
      <c r="P7" s="32" t="n">
        <v>57.32</v>
      </c>
      <c r="Q7" s="32" t="n">
        <v>334.23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11.82</v>
      </c>
      <c r="U7" s="32" t="n">
        <v>222.91</v>
      </c>
      <c r="V7" s="32" t="n">
        <v>188.77</v>
      </c>
      <c r="W7" s="32" t="n">
        <v>51.9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25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ATHERENERG</t>
        </is>
      </c>
      <c r="D8" s="34" t="inlineStr">
        <is>
          <t>Ather Energy Ltd</t>
        </is>
      </c>
      <c r="E8" s="31" t="inlineStr">
        <is>
          <t>auto</t>
        </is>
      </c>
      <c r="F8" s="31" t="inlineStr">
        <is>
          <t>Auto - 2 &amp; 3 Wheelers</t>
        </is>
      </c>
      <c r="G8" s="31" t="inlineStr">
        <is>
          <t>largecap</t>
        </is>
      </c>
      <c r="H8" s="32" t="n">
        <v>39599.38</v>
      </c>
      <c r="I8" s="32" t="n">
        <v>1033.6</v>
      </c>
      <c r="J8" s="32" t="n">
        <v>4.6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73.7</v>
      </c>
      <c r="P8" s="32" t="n">
        <v>45.08</v>
      </c>
      <c r="Q8" s="32" t="n">
        <v>780.66</v>
      </c>
      <c r="R8" s="31" t="inlineStr">
        <is>
          <t>Near 52W High Breakout</t>
        </is>
      </c>
      <c r="S8" s="31" t="inlineStr">
        <is>
          <t>Nifty Auto</t>
        </is>
      </c>
      <c r="T8" s="32" t="n">
        <v>10.59</v>
      </c>
      <c r="U8" s="32" t="n">
        <v>234.5</v>
      </c>
      <c r="V8" s="32" t="n">
        <v>202.48</v>
      </c>
      <c r="W8" s="32" t="n">
        <v>40.67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Negative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NETWEB</t>
        </is>
      </c>
      <c r="D9" s="31" t="inlineStr">
        <is>
          <t>Netweb Technologies India Ltd</t>
        </is>
      </c>
      <c r="E9" s="31" t="inlineStr">
        <is>
          <t>i.t</t>
        </is>
      </c>
      <c r="F9" s="31" t="inlineStr">
        <is>
          <t>Data Centre</t>
        </is>
      </c>
      <c r="G9" s="31" t="inlineStr">
        <is>
          <t>largecap</t>
        </is>
      </c>
      <c r="H9" s="32" t="n">
        <v>26568.52</v>
      </c>
      <c r="I9" s="32" t="n">
        <v>4666</v>
      </c>
      <c r="J9" s="32" t="n">
        <v>-5.44</v>
      </c>
      <c r="K9" s="32" t="n">
        <v>0</v>
      </c>
      <c r="L9" s="31" t="n">
        <v>85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66.13</v>
      </c>
      <c r="P9" s="32" t="n">
        <v>43.6</v>
      </c>
      <c r="Q9" s="32" t="n">
        <v>3260.08</v>
      </c>
      <c r="R9" s="31" t="inlineStr">
        <is>
          <t>Volume Spike &amp; Near 52W High Breakout</t>
        </is>
      </c>
      <c r="S9" s="31" t="inlineStr">
        <is>
          <t>Nifty IT</t>
        </is>
      </c>
      <c r="T9" s="32" t="n">
        <v>-22.21</v>
      </c>
      <c r="U9" s="32" t="n">
        <v>136.35</v>
      </c>
      <c r="V9" s="32" t="n">
        <v>203.84</v>
      </c>
      <c r="W9" s="32" t="n">
        <v>30.05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GVT&amp;D</t>
        </is>
      </c>
      <c r="D10" s="31" t="inlineStr">
        <is>
          <t>GE Vernova T&amp;D India Ltd</t>
        </is>
      </c>
      <c r="E10" s="31" t="inlineStr">
        <is>
          <t>industrials</t>
        </is>
      </c>
      <c r="F10" s="31" t="inlineStr">
        <is>
          <t>Electrical Equipments/HVDC</t>
        </is>
      </c>
      <c r="G10" s="31" t="inlineStr">
        <is>
          <t>largecap</t>
        </is>
      </c>
      <c r="H10" s="32" t="n">
        <v>129738.78</v>
      </c>
      <c r="I10" s="32" t="n">
        <v>5067</v>
      </c>
      <c r="J10" s="32" t="n">
        <v>-0.38</v>
      </c>
      <c r="K10" s="32" t="n">
        <v>0</v>
      </c>
      <c r="L10" s="31" t="n">
        <v>78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72.90000000000001</v>
      </c>
      <c r="P10" s="32" t="n">
        <v>49.15</v>
      </c>
      <c r="Q10" s="32" t="n">
        <v>3909.27</v>
      </c>
      <c r="R10" s="31" t="inlineStr">
        <is>
          <t>Volume Spike &amp; Near 52W High Breakout</t>
        </is>
      </c>
      <c r="S10" s="31" t="inlineStr">
        <is>
          <t>Nifty 500</t>
        </is>
      </c>
      <c r="T10" s="32" t="n">
        <v>-3.02</v>
      </c>
      <c r="U10" s="32" t="n">
        <v>119.21</v>
      </c>
      <c r="V10" s="32" t="n">
        <v>126.04</v>
      </c>
      <c r="W10" s="32" t="n">
        <v>24.26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21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INDOBORAX</t>
        </is>
      </c>
      <c r="D11" s="31" t="inlineStr">
        <is>
          <t>Indo Borax &amp; Chemicals Ltd</t>
        </is>
      </c>
      <c r="E11" s="31" t="inlineStr">
        <is>
          <t>chemicals</t>
        </is>
      </c>
      <c r="F11" s="31" t="inlineStr">
        <is>
          <t>Chemicals - Inorganic</t>
        </is>
      </c>
      <c r="G11" s="31" t="inlineStr">
        <is>
          <t>smallcap</t>
        </is>
      </c>
      <c r="H11" s="32" t="n">
        <v>1178.99</v>
      </c>
      <c r="I11" s="32" t="n">
        <v>367.4</v>
      </c>
      <c r="J11" s="32" t="n">
        <v>2.43</v>
      </c>
      <c r="K11" s="32" t="n">
        <v>0</v>
      </c>
      <c r="L11" s="31" t="n">
        <v>79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81.72</v>
      </c>
      <c r="P11" s="32" t="n">
        <v>45.82</v>
      </c>
      <c r="Q11" s="32" t="n">
        <v>291.76</v>
      </c>
      <c r="R11" s="31" t="inlineStr">
        <is>
          <t>Near 52W High Breakout</t>
        </is>
      </c>
      <c r="S11" s="31" t="inlineStr">
        <is>
          <t>Nifty 50</t>
        </is>
      </c>
      <c r="T11" s="32" t="n">
        <v>-6.54</v>
      </c>
      <c r="U11" s="32" t="n">
        <v>88.01000000000001</v>
      </c>
      <c r="V11" s="32" t="n">
        <v>101.18</v>
      </c>
      <c r="W11" s="32" t="n">
        <v>24.83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KPL</t>
        </is>
      </c>
      <c r="D12" s="31" t="inlineStr">
        <is>
          <t>Kwality Pharmaceuticals Ltd</t>
        </is>
      </c>
      <c r="E12" s="31" t="inlineStr">
        <is>
          <t>Healthcare</t>
        </is>
      </c>
      <c r="F12" s="31" t="inlineStr">
        <is>
          <t>Pharma - Formulators</t>
        </is>
      </c>
      <c r="G12" s="31" t="inlineStr">
        <is>
          <t>smallcap</t>
        </is>
      </c>
      <c r="H12" s="32" t="n">
        <v>2457.76</v>
      </c>
      <c r="I12" s="32" t="n">
        <v>2368.65</v>
      </c>
      <c r="J12" s="32" t="n">
        <v>-0.6</v>
      </c>
      <c r="K12" s="32" t="n">
        <v>0</v>
      </c>
      <c r="L12" s="31" t="n">
        <v>92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78.28</v>
      </c>
      <c r="P12" s="32" t="n">
        <v>52.25</v>
      </c>
      <c r="Q12" s="32" t="n">
        <v>1720.13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11.82</v>
      </c>
      <c r="U12" s="32" t="n">
        <v>155.52</v>
      </c>
      <c r="V12" s="32" t="n">
        <v>128.5</v>
      </c>
      <c r="W12" s="32" t="n">
        <v>37.04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27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NGLFINE</t>
        </is>
      </c>
      <c r="D13" s="31" t="inlineStr">
        <is>
          <t>NGL Fine Chem Ltd</t>
        </is>
      </c>
      <c r="E13" s="31" t="inlineStr">
        <is>
          <t>healthcare</t>
        </is>
      </c>
      <c r="F13" s="31" t="inlineStr">
        <is>
          <t>Pharma - Animal</t>
        </is>
      </c>
      <c r="G13" s="31" t="inlineStr">
        <is>
          <t>smallcap</t>
        </is>
      </c>
      <c r="H13" s="32" t="n">
        <v>1694.38</v>
      </c>
      <c r="I13" s="32" t="n">
        <v>2742.6</v>
      </c>
      <c r="J13" s="32" t="n">
        <v>6.23</v>
      </c>
      <c r="K13" s="32" t="n">
        <v>0</v>
      </c>
      <c r="L13" s="31" t="n">
        <v>84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74.54000000000001</v>
      </c>
      <c r="P13" s="32" t="n">
        <v>66.68000000000001</v>
      </c>
      <c r="Q13" s="32" t="n">
        <v>1819.57</v>
      </c>
      <c r="R13" s="31" t="inlineStr">
        <is>
          <t>Volume Spike &amp; Near 52W High Breakout</t>
        </is>
      </c>
      <c r="S13" s="31" t="inlineStr">
        <is>
          <t>Nifty Pharma</t>
        </is>
      </c>
      <c r="T13" s="32" t="n">
        <v>11.82</v>
      </c>
      <c r="U13" s="32" t="n">
        <v>159.16</v>
      </c>
      <c r="V13" s="32" t="n">
        <v>131.76</v>
      </c>
      <c r="W13" s="32" t="n">
        <v>28.33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CUPID</t>
        </is>
      </c>
      <c r="D14" s="31" t="inlineStr">
        <is>
          <t>Cupid Ltd</t>
        </is>
      </c>
      <c r="E14" s="31" t="inlineStr">
        <is>
          <t>fmcg</t>
        </is>
      </c>
      <c r="F14" s="31" t="inlineStr">
        <is>
          <t>Contraceptives/Protectives</t>
        </is>
      </c>
      <c r="G14" s="31" t="inlineStr">
        <is>
          <t>midcap</t>
        </is>
      </c>
      <c r="H14" s="32" t="n">
        <v>18435.3</v>
      </c>
      <c r="I14" s="32" t="n">
        <v>137.1</v>
      </c>
      <c r="J14" s="32" t="n">
        <v>3.01</v>
      </c>
      <c r="K14" s="32" t="n">
        <v>0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76.19</v>
      </c>
      <c r="P14" s="32" t="n">
        <v>40.67</v>
      </c>
      <c r="Q14" s="32" t="n">
        <v>104.14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-13.44</v>
      </c>
      <c r="U14" s="32" t="n">
        <v>534.72</v>
      </c>
      <c r="V14" s="32" t="n">
        <v>633.28</v>
      </c>
      <c r="W14" s="32" t="n">
        <v>64.33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PGHL</t>
        </is>
      </c>
      <c r="D15" s="31" t="inlineStr">
        <is>
          <t>Procter &amp; Gamble Health Ltd</t>
        </is>
      </c>
      <c r="E15" s="31" t="inlineStr">
        <is>
          <t>healthcare</t>
        </is>
      </c>
      <c r="F15" s="31" t="inlineStr">
        <is>
          <t>Pharma - MNC bulk Drugs</t>
        </is>
      </c>
      <c r="G15" s="31" t="inlineStr">
        <is>
          <t>midcap</t>
        </is>
      </c>
      <c r="H15" s="32" t="n">
        <v>10291.62</v>
      </c>
      <c r="I15" s="32" t="n">
        <v>6200</v>
      </c>
      <c r="J15" s="32" t="n">
        <v>-0.02</v>
      </c>
      <c r="K15" s="32" t="n">
        <v>0</v>
      </c>
      <c r="L15" s="31" t="n">
        <v>36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74.12</v>
      </c>
      <c r="P15" s="32" t="n">
        <v>29.9</v>
      </c>
      <c r="Q15" s="32" t="n">
        <v>5206.24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11.82</v>
      </c>
      <c r="U15" s="32" t="n">
        <v>15.67</v>
      </c>
      <c r="V15" s="32" t="n">
        <v>3.44</v>
      </c>
      <c r="W15" s="32" t="n">
        <v>9.460000000000001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TIMEX</t>
        </is>
      </c>
      <c r="D16" s="31" t="inlineStr">
        <is>
          <t>Timex Group India Ltd</t>
        </is>
      </c>
      <c r="E16" s="31" t="inlineStr">
        <is>
          <t>Consumer Cyclical</t>
        </is>
      </c>
      <c r="F16" s="31" t="inlineStr">
        <is>
          <t>Watches</t>
        </is>
      </c>
      <c r="G16" s="31" t="inlineStr">
        <is>
          <t>smallcap</t>
        </is>
      </c>
      <c r="H16" s="32" t="n">
        <v>4418.58</v>
      </c>
      <c r="I16" s="32" t="n">
        <v>437.7</v>
      </c>
      <c r="J16" s="32" t="n">
        <v>0.44</v>
      </c>
      <c r="K16" s="32" t="n">
        <v>0</v>
      </c>
      <c r="L16" s="31" t="n">
        <v>81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69.34999999999999</v>
      </c>
      <c r="P16" s="32" t="n">
        <v>25.86</v>
      </c>
      <c r="Q16" s="32" t="n">
        <v>334.28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-6.54</v>
      </c>
      <c r="U16" s="32" t="n">
        <v>61.66</v>
      </c>
      <c r="V16" s="32" t="n">
        <v>72.98</v>
      </c>
      <c r="W16" s="32" t="n">
        <v>25.4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SYRMA</t>
        </is>
      </c>
      <c r="D17" s="31" t="inlineStr">
        <is>
          <t>Syrma SGS Technology Ltd</t>
        </is>
      </c>
      <c r="E17" s="31" t="inlineStr">
        <is>
          <t>consumer discretionary</t>
        </is>
      </c>
      <c r="F17" s="31" t="inlineStr">
        <is>
          <t>Consumer Electronics - EMS</t>
        </is>
      </c>
      <c r="G17" s="31" t="inlineStr">
        <is>
          <t>largecap</t>
        </is>
      </c>
      <c r="H17" s="32" t="n">
        <v>23656.44</v>
      </c>
      <c r="I17" s="32" t="n">
        <v>1226.8</v>
      </c>
      <c r="J17" s="32" t="n">
        <v>0.43</v>
      </c>
      <c r="K17" s="32" t="n">
        <v>0</v>
      </c>
      <c r="L17" s="31" t="n">
        <v>90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73.01000000000001</v>
      </c>
      <c r="P17" s="32" t="n">
        <v>29.35</v>
      </c>
      <c r="Q17" s="32" t="n">
        <v>942.45</v>
      </c>
      <c r="R17" s="31" t="inlineStr">
        <is>
          <t>Near 52W High Breakout</t>
        </is>
      </c>
      <c r="S17" s="31" t="inlineStr">
        <is>
          <t>Nifty 50</t>
        </is>
      </c>
      <c r="T17" s="32" t="n">
        <v>-6.54</v>
      </c>
      <c r="U17" s="32" t="n">
        <v>129.78</v>
      </c>
      <c r="V17" s="32" t="n">
        <v>145.87</v>
      </c>
      <c r="W17" s="32" t="n">
        <v>33.93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POWERINDIA</t>
        </is>
      </c>
      <c r="D18" s="31" t="inlineStr">
        <is>
          <t>Hitachi Energy India Ltd</t>
        </is>
      </c>
      <c r="E18" s="31" t="inlineStr">
        <is>
          <t>industrials</t>
        </is>
      </c>
      <c r="F18" s="31" t="inlineStr">
        <is>
          <t>Electrical Equipments/HVDC</t>
        </is>
      </c>
      <c r="G18" s="31" t="inlineStr">
        <is>
          <t>largecap</t>
        </is>
      </c>
      <c r="H18" s="32" t="n">
        <v>164338.3</v>
      </c>
      <c r="I18" s="32" t="n">
        <v>36870</v>
      </c>
      <c r="J18" s="32" t="n">
        <v>0.9399999999999999</v>
      </c>
      <c r="K18" s="32" t="n">
        <v>0</v>
      </c>
      <c r="L18" s="31" t="n">
        <v>80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74.52</v>
      </c>
      <c r="P18" s="32" t="n">
        <v>59.34</v>
      </c>
      <c r="Q18" s="32" t="n">
        <v>30708.13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-6.54</v>
      </c>
      <c r="U18" s="32" t="n">
        <v>102.61</v>
      </c>
      <c r="V18" s="32" t="n">
        <v>116.8</v>
      </c>
      <c r="W18" s="32" t="n">
        <v>25.02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SEAMECLTD</t>
        </is>
      </c>
      <c r="D19" s="31" t="inlineStr">
        <is>
          <t>SEAMEC Ltd</t>
        </is>
      </c>
      <c r="E19" s="31" t="inlineStr">
        <is>
          <t>Industrials</t>
        </is>
      </c>
      <c r="F19" s="31" t="inlineStr">
        <is>
          <t>Shipping</t>
        </is>
      </c>
      <c r="G19" s="31" t="inlineStr">
        <is>
          <t>smallcap</t>
        </is>
      </c>
      <c r="H19" s="32" t="n">
        <v>4032.66</v>
      </c>
      <c r="I19" s="32" t="n">
        <v>1586.1</v>
      </c>
      <c r="J19" s="32" t="n">
        <v>-2.94</v>
      </c>
      <c r="K19" s="32" t="n">
        <v>0</v>
      </c>
      <c r="L19" s="31" t="n">
        <v>62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69.69</v>
      </c>
      <c r="P19" s="32" t="n">
        <v>55.53</v>
      </c>
      <c r="Q19" s="32" t="n">
        <v>1242.21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-6.54</v>
      </c>
      <c r="U19" s="32" t="n">
        <v>80.54000000000001</v>
      </c>
      <c r="V19" s="32" t="n">
        <v>93.18000000000001</v>
      </c>
      <c r="W19" s="32" t="n">
        <v>16.68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GVPIL</t>
        </is>
      </c>
      <c r="D20" s="31" t="inlineStr">
        <is>
          <t>GE Power India Ltd</t>
        </is>
      </c>
      <c r="E20" s="31" t="inlineStr">
        <is>
          <t>realty</t>
        </is>
      </c>
      <c r="F20" s="31" t="inlineStr">
        <is>
          <t>Infra - General</t>
        </is>
      </c>
      <c r="G20" s="31" t="inlineStr">
        <is>
          <t>midcap</t>
        </is>
      </c>
      <c r="H20" s="32" t="n">
        <v>5943.58</v>
      </c>
      <c r="I20" s="32" t="n">
        <v>884.1</v>
      </c>
      <c r="J20" s="32" t="n">
        <v>-2.58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87.09999999999999</v>
      </c>
      <c r="P20" s="32" t="n">
        <v>53.92</v>
      </c>
      <c r="Q20" s="32" t="n">
        <v>668.48</v>
      </c>
      <c r="R20" s="31" t="inlineStr">
        <is>
          <t>Volume Spike &amp; Near 52W High Breakout</t>
        </is>
      </c>
      <c r="S20" s="31" t="inlineStr">
        <is>
          <t>Nifty Realty</t>
        </is>
      </c>
      <c r="T20" s="32" t="n">
        <v>-26.04</v>
      </c>
      <c r="U20" s="32" t="n">
        <v>224.26</v>
      </c>
      <c r="V20" s="32" t="n">
        <v>338.42</v>
      </c>
      <c r="W20" s="32" t="n">
        <v>50.6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Duopoly That Cooperate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Shallow Cyclical (2 to 3 Years Growth)</t>
        </is>
      </c>
      <c r="AG20" s="31">
        <f>IF(AF20="Structural (10 Years Consistency)",10,IF(AF20="Shallow Cyclical (2 to 3 years growth)",5,0))</f>
        <v/>
      </c>
      <c r="AH20" s="31" t="inlineStr">
        <is>
          <t>Yes due to Product Mix change or Operating Leverage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Fully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only for next 1 to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GLAND</t>
        </is>
      </c>
      <c r="D21" s="31" t="inlineStr">
        <is>
          <t>Gland Pharma Ltd</t>
        </is>
      </c>
      <c r="E21" s="31" t="inlineStr">
        <is>
          <t>healthcare</t>
        </is>
      </c>
      <c r="F21" s="31" t="inlineStr">
        <is>
          <t>Pharma - API &amp; CRAMS</t>
        </is>
      </c>
      <c r="G21" s="31" t="inlineStr">
        <is>
          <t>largecap</t>
        </is>
      </c>
      <c r="H21" s="32" t="n">
        <v>37495.34</v>
      </c>
      <c r="I21" s="32" t="n">
        <v>2273</v>
      </c>
      <c r="J21" s="32" t="n">
        <v>2.41</v>
      </c>
      <c r="K21" s="32" t="n">
        <v>0</v>
      </c>
      <c r="L21" s="31" t="n">
        <v>58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69.06</v>
      </c>
      <c r="P21" s="32" t="n">
        <v>25.77</v>
      </c>
      <c r="Q21" s="32" t="n">
        <v>1879.64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11.82</v>
      </c>
      <c r="U21" s="32" t="n">
        <v>39.72</v>
      </c>
      <c r="V21" s="32" t="n">
        <v>24.95</v>
      </c>
      <c r="W21" s="32" t="n">
        <v>15.31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IOLCP</t>
        </is>
      </c>
      <c r="D22" s="31" t="inlineStr">
        <is>
          <t>IOL Chemicals &amp; Pharmaceuticals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smallcap</t>
        </is>
      </c>
      <c r="H22" s="32" t="n">
        <v>3865.17</v>
      </c>
      <c r="I22" s="32" t="n">
        <v>131.68</v>
      </c>
      <c r="J22" s="32" t="n">
        <v>-3.29</v>
      </c>
      <c r="K22" s="32" t="n">
        <v>0</v>
      </c>
      <c r="L22" s="31" t="n">
        <v>84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80.23999999999999</v>
      </c>
      <c r="P22" s="32" t="n">
        <v>35.4</v>
      </c>
      <c r="Q22" s="32" t="n">
        <v>98.84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11.82</v>
      </c>
      <c r="U22" s="32" t="n">
        <v>50.4</v>
      </c>
      <c r="V22" s="32" t="n">
        <v>34.5</v>
      </c>
      <c r="W22" s="32" t="n">
        <v>28.23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MODISONLTD</t>
        </is>
      </c>
      <c r="D23" s="31" t="inlineStr">
        <is>
          <t>Modison Ltd</t>
        </is>
      </c>
      <c r="E23" s="31" t="inlineStr">
        <is>
          <t>industrials</t>
        </is>
      </c>
      <c r="F23" s="31" t="inlineStr">
        <is>
          <t>Capital Goods - Electric General</t>
        </is>
      </c>
      <c r="G23" s="31" t="inlineStr">
        <is>
          <t>smallcap</t>
        </is>
      </c>
      <c r="H23" s="32" t="n">
        <v>1176.96</v>
      </c>
      <c r="I23" s="32" t="n">
        <v>362.7</v>
      </c>
      <c r="J23" s="32" t="n">
        <v>4.99</v>
      </c>
      <c r="K23" s="32" t="n">
        <v>0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87.36</v>
      </c>
      <c r="P23" s="32" t="n">
        <v>29.03</v>
      </c>
      <c r="Q23" s="32" t="n">
        <v>279.43</v>
      </c>
      <c r="R23" s="31" t="inlineStr">
        <is>
          <t>Near 52W High Breakout</t>
        </is>
      </c>
      <c r="S23" s="31" t="inlineStr">
        <is>
          <t>Nifty 50</t>
        </is>
      </c>
      <c r="T23" s="32" t="n">
        <v>-6.54</v>
      </c>
      <c r="U23" s="32" t="n">
        <v>129.78</v>
      </c>
      <c r="V23" s="32" t="n">
        <v>145.87</v>
      </c>
      <c r="W23" s="32" t="n">
        <v>67.47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31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CEMPRO</t>
        </is>
      </c>
      <c r="D24" s="31" t="inlineStr">
        <is>
          <t>Cemindia Projects Ltd</t>
        </is>
      </c>
      <c r="E24" s="31" t="inlineStr">
        <is>
          <t>realty</t>
        </is>
      </c>
      <c r="F24" s="31" t="inlineStr">
        <is>
          <t>Infra - Construction &amp; Contracting</t>
        </is>
      </c>
      <c r="G24" s="31" t="inlineStr">
        <is>
          <t>midcap</t>
        </is>
      </c>
      <c r="H24" s="32" t="n">
        <v>19116.52</v>
      </c>
      <c r="I24" s="32" t="n">
        <v>1112.8</v>
      </c>
      <c r="J24" s="32" t="n">
        <v>-1.29</v>
      </c>
      <c r="K24" s="32" t="n">
        <v>0</v>
      </c>
      <c r="L24" s="31" t="n">
        <v>90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74.84</v>
      </c>
      <c r="P24" s="32" t="n">
        <v>35.37</v>
      </c>
      <c r="Q24" s="32" t="n">
        <v>841.63</v>
      </c>
      <c r="R24" s="31" t="inlineStr">
        <is>
          <t>Near 52W High Breakout</t>
        </is>
      </c>
      <c r="S24" s="31" t="inlineStr">
        <is>
          <t>Nifty Realty</t>
        </is>
      </c>
      <c r="T24" s="32" t="n">
        <v>-26.04</v>
      </c>
      <c r="U24" s="32" t="n">
        <v>49.18</v>
      </c>
      <c r="V24" s="32" t="n">
        <v>101.7</v>
      </c>
      <c r="W24" s="32" t="n">
        <v>34.56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AVALON</t>
        </is>
      </c>
      <c r="D25" s="31" t="inlineStr">
        <is>
          <t>Avalon Technologies Ltd</t>
        </is>
      </c>
      <c r="E25" s="31" t="inlineStr">
        <is>
          <t>consumer discretionary</t>
        </is>
      </c>
      <c r="F25" s="31" t="inlineStr">
        <is>
          <t>Consumer Electronics - EMS</t>
        </is>
      </c>
      <c r="G25" s="31" t="inlineStr">
        <is>
          <t>midcap</t>
        </is>
      </c>
      <c r="H25" s="32" t="n">
        <v>10738.79</v>
      </c>
      <c r="I25" s="32" t="n">
        <v>1607.9</v>
      </c>
      <c r="J25" s="32" t="n">
        <v>-1.82</v>
      </c>
      <c r="K25" s="32" t="n">
        <v>0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74.42</v>
      </c>
      <c r="P25" s="32" t="n">
        <v>28.34</v>
      </c>
      <c r="Q25" s="32" t="n">
        <v>1155.27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-6.54</v>
      </c>
      <c r="U25" s="32" t="n">
        <v>85.59</v>
      </c>
      <c r="V25" s="32" t="n">
        <v>98.59</v>
      </c>
      <c r="W25" s="32" t="n">
        <v>30.7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RPTECH</t>
        </is>
      </c>
      <c r="D26" s="31" t="inlineStr">
        <is>
          <t>Rashi Peripherals Ltd</t>
        </is>
      </c>
      <c r="E26" s="31" t="inlineStr">
        <is>
          <t>services</t>
        </is>
      </c>
      <c r="F26" s="31" t="inlineStr">
        <is>
          <t>Trading</t>
        </is>
      </c>
      <c r="G26" s="31" t="inlineStr">
        <is>
          <t>smallcap</t>
        </is>
      </c>
      <c r="H26" s="32" t="n">
        <v>3599.77</v>
      </c>
      <c r="I26" s="32" t="n">
        <v>546.25</v>
      </c>
      <c r="J26" s="32" t="n">
        <v>1.3</v>
      </c>
      <c r="K26" s="32" t="n">
        <v>0</v>
      </c>
      <c r="L26" s="31" t="n">
        <v>79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77.29000000000001</v>
      </c>
      <c r="P26" s="32" t="n">
        <v>45.85</v>
      </c>
      <c r="Q26" s="32" t="n">
        <v>420.2</v>
      </c>
      <c r="R26" s="31" t="inlineStr">
        <is>
          <t>Near 52W High Breakout</t>
        </is>
      </c>
      <c r="S26" s="31" t="inlineStr">
        <is>
          <t>Nifty 50</t>
        </is>
      </c>
      <c r="T26" s="32" t="n">
        <v>-6.54</v>
      </c>
      <c r="U26" s="32" t="n">
        <v>74.02</v>
      </c>
      <c r="V26" s="32" t="n">
        <v>86.20999999999999</v>
      </c>
      <c r="W26" s="32" t="n">
        <v>24.61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TIPSMUSIC</t>
        </is>
      </c>
      <c r="D27" s="34" t="inlineStr">
        <is>
          <t>Tips Music Ltd</t>
        </is>
      </c>
      <c r="E27" s="31" t="inlineStr">
        <is>
          <t>media</t>
        </is>
      </c>
      <c r="F27" s="31" t="inlineStr">
        <is>
          <t>Music Licensing</t>
        </is>
      </c>
      <c r="G27" s="31" t="inlineStr">
        <is>
          <t>midcap</t>
        </is>
      </c>
      <c r="H27" s="32" t="n">
        <v>8832.52</v>
      </c>
      <c r="I27" s="32" t="n">
        <v>690.95</v>
      </c>
      <c r="J27" s="32" t="n">
        <v>2.8</v>
      </c>
      <c r="K27" s="32" t="n">
        <v>0</v>
      </c>
      <c r="L27" s="31" t="n">
        <v>35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67.37</v>
      </c>
      <c r="P27" s="32" t="n">
        <v>23.62</v>
      </c>
      <c r="Q27" s="32" t="n">
        <v>533.15</v>
      </c>
      <c r="R27" s="31" t="inlineStr">
        <is>
          <t>Volume Spike &amp; Near 52W High Breakout</t>
        </is>
      </c>
      <c r="S27" s="31" t="inlineStr">
        <is>
          <t>Nifty IT</t>
        </is>
      </c>
      <c r="T27" s="32" t="n">
        <v>-22.21</v>
      </c>
      <c r="U27" s="32" t="n">
        <v>3.32</v>
      </c>
      <c r="V27" s="32" t="n">
        <v>32.83</v>
      </c>
      <c r="W27" s="32" t="n">
        <v>9.07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ACUTAAS</t>
        </is>
      </c>
      <c r="D28" s="31" t="inlineStr">
        <is>
          <t>Acutaas Chemicals Ltd</t>
        </is>
      </c>
      <c r="E28" s="31" t="inlineStr">
        <is>
          <t>healthcare</t>
        </is>
      </c>
      <c r="F28" s="31" t="inlineStr">
        <is>
          <t>Pharma - API &amp; CRAMS</t>
        </is>
      </c>
      <c r="G28" s="31" t="inlineStr">
        <is>
          <t>largecap</t>
        </is>
      </c>
      <c r="H28" s="32" t="n">
        <v>27249.17</v>
      </c>
      <c r="I28" s="32" t="n">
        <v>3328.3</v>
      </c>
      <c r="J28" s="32" t="n">
        <v>5.17</v>
      </c>
      <c r="K28" s="32" t="n">
        <v>0</v>
      </c>
      <c r="L28" s="31" t="n">
        <v>90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79.45</v>
      </c>
      <c r="P28" s="32" t="n">
        <v>64.38</v>
      </c>
      <c r="Q28" s="32" t="n">
        <v>2603.5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11.82</v>
      </c>
      <c r="U28" s="32" t="n">
        <v>192.13</v>
      </c>
      <c r="V28" s="32" t="n">
        <v>161.24</v>
      </c>
      <c r="W28" s="32" t="n">
        <v>34.55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28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KMCSHIL</t>
        </is>
      </c>
      <c r="D29" s="31" t="inlineStr">
        <is>
          <t>KMC Speciality Hospitals (India) Ltd</t>
        </is>
      </c>
      <c r="E29" s="31" t="inlineStr">
        <is>
          <t>Healthcare</t>
        </is>
      </c>
      <c r="F29" s="31" t="inlineStr">
        <is>
          <t>Hospitals</t>
        </is>
      </c>
      <c r="G29" s="31" t="inlineStr">
        <is>
          <t>smallcap</t>
        </is>
      </c>
      <c r="H29" s="32" t="n">
        <v>1867.32</v>
      </c>
      <c r="I29" s="32" t="n">
        <v>114.5</v>
      </c>
      <c r="J29" s="32" t="n">
        <v>-2.76</v>
      </c>
      <c r="K29" s="32" t="n">
        <v>0</v>
      </c>
      <c r="L29" s="31" t="n">
        <v>70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82.19</v>
      </c>
      <c r="P29" s="32" t="n">
        <v>49.48</v>
      </c>
      <c r="Q29" s="32" t="n">
        <v>90.54000000000001</v>
      </c>
      <c r="R29" s="31" t="inlineStr">
        <is>
          <t>Volume Spike &amp; Near 52W High Breakout</t>
        </is>
      </c>
      <c r="S29" s="31" t="inlineStr">
        <is>
          <t>Nifty Pharma</t>
        </is>
      </c>
      <c r="T29" s="32" t="n">
        <v>11.82</v>
      </c>
      <c r="U29" s="32" t="n">
        <v>71.05</v>
      </c>
      <c r="V29" s="32" t="n">
        <v>52.96</v>
      </c>
      <c r="W29" s="32" t="n">
        <v>19.69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27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THANGAMAYL</t>
        </is>
      </c>
      <c r="D30" s="31" t="inlineStr">
        <is>
          <t>Thangamayil Jewellery Ltd</t>
        </is>
      </c>
      <c r="E30" s="31" t="inlineStr">
        <is>
          <t>consumer discretionary</t>
        </is>
      </c>
      <c r="F30" s="31" t="inlineStr">
        <is>
          <t>Diamond, Gems &amp; Jewellery</t>
        </is>
      </c>
      <c r="G30" s="31" t="inlineStr">
        <is>
          <t>midcap</t>
        </is>
      </c>
      <c r="H30" s="32" t="n">
        <v>16634.79</v>
      </c>
      <c r="I30" s="32" t="n">
        <v>5351.9</v>
      </c>
      <c r="J30" s="32" t="n">
        <v>-3.06</v>
      </c>
      <c r="K30" s="32" t="n">
        <v>0</v>
      </c>
      <c r="L30" s="31" t="n">
        <v>89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70.3</v>
      </c>
      <c r="P30" s="32" t="n">
        <v>39.59</v>
      </c>
      <c r="Q30" s="32" t="n">
        <v>3840.56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-6.54</v>
      </c>
      <c r="U30" s="32" t="n">
        <v>181.48</v>
      </c>
      <c r="V30" s="32" t="n">
        <v>201.19</v>
      </c>
      <c r="W30" s="32" t="n">
        <v>33.32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31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UNIPARTS</t>
        </is>
      </c>
      <c r="D31" s="31" t="inlineStr">
        <is>
          <t>Uniparts India Ltd</t>
        </is>
      </c>
      <c r="E31" s="31" t="inlineStr">
        <is>
          <t>industrials</t>
        </is>
      </c>
      <c r="F31" s="31" t="inlineStr">
        <is>
          <t>Castings, Forgings &amp; Fastners</t>
        </is>
      </c>
      <c r="G31" s="31" t="inlineStr">
        <is>
          <t>smallcap</t>
        </is>
      </c>
      <c r="H31" s="32" t="n">
        <v>2861.85</v>
      </c>
      <c r="I31" s="32" t="n">
        <v>633.95</v>
      </c>
      <c r="J31" s="32" t="n">
        <v>1.4</v>
      </c>
      <c r="K31" s="32" t="n">
        <v>0</v>
      </c>
      <c r="L31" s="31" t="n">
        <v>73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71.69</v>
      </c>
      <c r="P31" s="32" t="n">
        <v>30.78</v>
      </c>
      <c r="Q31" s="32" t="n">
        <v>486.31</v>
      </c>
      <c r="R31" s="31" t="inlineStr">
        <is>
          <t>Near 52W High Breakout</t>
        </is>
      </c>
      <c r="S31" s="31" t="inlineStr">
        <is>
          <t>Nifty 50</t>
        </is>
      </c>
      <c r="T31" s="32" t="n">
        <v>-6.54</v>
      </c>
      <c r="U31" s="32" t="n">
        <v>82.54000000000001</v>
      </c>
      <c r="V31" s="32" t="n">
        <v>95.31999999999999</v>
      </c>
      <c r="W31" s="32" t="n">
        <v>21.4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29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SEKURITIND</t>
        </is>
      </c>
      <c r="D32" s="31" t="inlineStr">
        <is>
          <t>Saint-Gobain Sekurit India Ltd</t>
        </is>
      </c>
      <c r="E32" s="31" t="inlineStr">
        <is>
          <t>Consumer Cyclical</t>
        </is>
      </c>
      <c r="F32" s="31" t="inlineStr">
        <is>
          <t>Glass &amp; Glass Products</t>
        </is>
      </c>
      <c r="G32" s="31" t="inlineStr">
        <is>
          <t>smallcap</t>
        </is>
      </c>
      <c r="H32" s="32" t="n">
        <v>1211.25</v>
      </c>
      <c r="I32" s="32" t="n">
        <v>132.95</v>
      </c>
      <c r="J32" s="32" t="n">
        <v>5.14</v>
      </c>
      <c r="K32" s="32" t="n">
        <v>0</v>
      </c>
      <c r="L32" s="31" t="n">
        <v>51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75.93000000000001</v>
      </c>
      <c r="P32" s="32" t="n">
        <v>29.41</v>
      </c>
      <c r="Q32" s="32" t="n">
        <v>107.61</v>
      </c>
      <c r="R32" s="31" t="inlineStr">
        <is>
          <t>Volume Spike &amp; Near 52W High Breakout</t>
        </is>
      </c>
      <c r="S32" s="31" t="inlineStr">
        <is>
          <t>Nifty Auto</t>
        </is>
      </c>
      <c r="T32" s="32" t="n">
        <v>10.59</v>
      </c>
      <c r="U32" s="32" t="n">
        <v>23.41</v>
      </c>
      <c r="V32" s="32" t="n">
        <v>11.6</v>
      </c>
      <c r="W32" s="32" t="n">
        <v>13.19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RATEGAIN</t>
        </is>
      </c>
      <c r="D33" s="31" t="inlineStr">
        <is>
          <t>Rategain Travel Technologies Ltd</t>
        </is>
      </c>
      <c r="E33" s="31" t="inlineStr">
        <is>
          <t>i.t</t>
        </is>
      </c>
      <c r="F33" s="31" t="inlineStr">
        <is>
          <t>IT Product Companies</t>
        </is>
      </c>
      <c r="G33" s="31" t="inlineStr">
        <is>
          <t>midcap</t>
        </is>
      </c>
      <c r="H33" s="32" t="n">
        <v>8965.209999999999</v>
      </c>
      <c r="I33" s="32" t="n">
        <v>758.7</v>
      </c>
      <c r="J33" s="32" t="n">
        <v>-1.6</v>
      </c>
      <c r="K33" s="32" t="n">
        <v>0</v>
      </c>
      <c r="L33" s="31" t="n">
        <v>82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70.48999999999999</v>
      </c>
      <c r="P33" s="32" t="n">
        <v>25.5</v>
      </c>
      <c r="Q33" s="32" t="n">
        <v>575.59</v>
      </c>
      <c r="R33" s="31" t="inlineStr">
        <is>
          <t>Near 52W High Breakout</t>
        </is>
      </c>
      <c r="S33" s="31" t="inlineStr">
        <is>
          <t>Nifty IT</t>
        </is>
      </c>
      <c r="T33" s="32" t="n">
        <v>-22.21</v>
      </c>
      <c r="U33" s="32" t="n">
        <v>70.48999999999999</v>
      </c>
      <c r="V33" s="32" t="n">
        <v>119.18</v>
      </c>
      <c r="W33" s="32" t="n">
        <v>26.96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Between 1.5 to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MTARTECH</t>
        </is>
      </c>
      <c r="D34" s="31" t="inlineStr">
        <is>
          <t>MTAR Technologies Ltd</t>
        </is>
      </c>
      <c r="E34" s="31" t="inlineStr">
        <is>
          <t>aerospace &amp; defence</t>
        </is>
      </c>
      <c r="F34" s="31" t="inlineStr">
        <is>
          <t>Aerospace &amp; Defence - Equipments</t>
        </is>
      </c>
      <c r="G34" s="31" t="inlineStr">
        <is>
          <t>largecap</t>
        </is>
      </c>
      <c r="H34" s="32" t="n">
        <v>23178.89</v>
      </c>
      <c r="I34" s="32" t="n">
        <v>7535.5</v>
      </c>
      <c r="J34" s="32" t="n">
        <v>-2.84</v>
      </c>
      <c r="K34" s="32" t="n">
        <v>0</v>
      </c>
      <c r="L34" s="31" t="n">
        <v>97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81.87</v>
      </c>
      <c r="P34" s="32" t="n">
        <v>64.09999999999999</v>
      </c>
      <c r="Q34" s="32" t="n">
        <v>5930.69</v>
      </c>
      <c r="R34" s="31" t="inlineStr">
        <is>
          <t>Earnings / Momentum Support</t>
        </is>
      </c>
      <c r="S34" s="31" t="inlineStr">
        <is>
          <t>Nifty 50</t>
        </is>
      </c>
      <c r="T34" s="32" t="n">
        <v>-6.54</v>
      </c>
      <c r="U34" s="32" t="n">
        <v>325.57</v>
      </c>
      <c r="V34" s="32" t="n">
        <v>355.37</v>
      </c>
      <c r="W34" s="32" t="n">
        <v>61.19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RPEL</t>
        </is>
      </c>
      <c r="D35" s="34" t="inlineStr">
        <is>
          <t>Raghav Productivity Enhancers Ltd</t>
        </is>
      </c>
      <c r="E35" s="31" t="inlineStr">
        <is>
          <t>building materials</t>
        </is>
      </c>
      <c r="F35" s="31" t="inlineStr">
        <is>
          <t>Steel Products</t>
        </is>
      </c>
      <c r="G35" s="31" t="inlineStr">
        <is>
          <t>midcap</t>
        </is>
      </c>
      <c r="H35" s="32" t="n">
        <v>5091.83</v>
      </c>
      <c r="I35" s="32" t="n">
        <v>1108.8</v>
      </c>
      <c r="J35" s="32" t="n">
        <v>9.949999999999999</v>
      </c>
      <c r="K35" s="32" t="n">
        <v>0</v>
      </c>
      <c r="L35" s="31" t="n">
        <v>83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74.29000000000001</v>
      </c>
      <c r="P35" s="32" t="n">
        <v>28.7</v>
      </c>
      <c r="Q35" s="32" t="n">
        <v>838.27</v>
      </c>
      <c r="R35" s="31" t="inlineStr">
        <is>
          <t>Volume Spike &amp; Near 52W High Breakout</t>
        </is>
      </c>
      <c r="S35" s="31" t="inlineStr">
        <is>
          <t>Nifty Infra</t>
        </is>
      </c>
      <c r="T35" s="32" t="n">
        <v>1.11</v>
      </c>
      <c r="U35" s="32" t="n">
        <v>56.18</v>
      </c>
      <c r="V35" s="32" t="n">
        <v>54.46</v>
      </c>
      <c r="W35" s="32" t="n">
        <v>27.34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20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GOCLCORP</t>
        </is>
      </c>
      <c r="D36" s="31" t="inlineStr">
        <is>
          <t>GOCL Corporation Ltd</t>
        </is>
      </c>
      <c r="E36" s="31" t="inlineStr">
        <is>
          <t>miscellaneous</t>
        </is>
      </c>
      <c r="F36" s="31" t="inlineStr">
        <is>
          <t>Lubricants</t>
        </is>
      </c>
      <c r="G36" s="31" t="inlineStr">
        <is>
          <t>smallcap</t>
        </is>
      </c>
      <c r="H36" s="32" t="n">
        <v>2036.69</v>
      </c>
      <c r="I36" s="32" t="n">
        <v>410.85</v>
      </c>
      <c r="J36" s="32" t="n">
        <v>-2.28</v>
      </c>
      <c r="K36" s="32" t="n">
        <v>0</v>
      </c>
      <c r="L36" s="31" t="n">
        <v>75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71.59999999999999</v>
      </c>
      <c r="P36" s="32" t="n">
        <v>25.3</v>
      </c>
      <c r="Q36" s="32" t="n">
        <v>300.25</v>
      </c>
      <c r="R36" s="31" t="inlineStr">
        <is>
          <t>Volume Spike &amp; Near 52W High Breakout</t>
        </is>
      </c>
      <c r="S36" s="31" t="inlineStr">
        <is>
          <t>Nifty IT</t>
        </is>
      </c>
      <c r="T36" s="32" t="n">
        <v>-22.21</v>
      </c>
      <c r="U36" s="32" t="n">
        <v>33.33</v>
      </c>
      <c r="V36" s="32" t="n">
        <v>71.41</v>
      </c>
      <c r="W36" s="32" t="n">
        <v>22.71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SPARC</t>
        </is>
      </c>
      <c r="D37" s="31" t="inlineStr">
        <is>
          <t>Sun Pharma Advanced Research Company Ltd</t>
        </is>
      </c>
      <c r="E37" s="31" t="inlineStr">
        <is>
          <t>healthcare</t>
        </is>
      </c>
      <c r="F37" s="31" t="inlineStr">
        <is>
          <t>Pharma - Others</t>
        </is>
      </c>
      <c r="G37" s="31" t="inlineStr">
        <is>
          <t>midcap</t>
        </is>
      </c>
      <c r="H37" s="32" t="n">
        <v>6906.47</v>
      </c>
      <c r="I37" s="32" t="n">
        <v>212.82</v>
      </c>
      <c r="J37" s="32" t="n">
        <v>-0.07000000000000001</v>
      </c>
      <c r="K37" s="32" t="n">
        <v>0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74.19</v>
      </c>
      <c r="P37" s="32" t="n">
        <v>43.38</v>
      </c>
      <c r="Q37" s="32" t="n">
        <v>145.34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11.82</v>
      </c>
      <c r="U37" s="32" t="n">
        <v>28.55</v>
      </c>
      <c r="V37" s="32" t="n">
        <v>14.96</v>
      </c>
      <c r="W37" s="32" t="n">
        <v>23.5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Negative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24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SUPRIYA</t>
        </is>
      </c>
      <c r="D38" s="31" t="inlineStr">
        <is>
          <t>Supriya Lifescience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midcap</t>
        </is>
      </c>
      <c r="H38" s="32" t="n">
        <v>7629.37</v>
      </c>
      <c r="I38" s="32" t="n">
        <v>947.95</v>
      </c>
      <c r="J38" s="32" t="n">
        <v>-0.44</v>
      </c>
      <c r="K38" s="32" t="n">
        <v>0</v>
      </c>
      <c r="L38" s="31" t="n">
        <v>69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75.63</v>
      </c>
      <c r="P38" s="32" t="n">
        <v>31.75</v>
      </c>
      <c r="Q38" s="32" t="n">
        <v>735.54</v>
      </c>
      <c r="R38" s="31" t="inlineStr">
        <is>
          <t>Volume Spike &amp; Near 52W High Breakout</t>
        </is>
      </c>
      <c r="S38" s="31" t="inlineStr">
        <is>
          <t>Nifty Pharma</t>
        </is>
      </c>
      <c r="T38" s="32" t="n">
        <v>11.82</v>
      </c>
      <c r="U38" s="32" t="n">
        <v>37.48</v>
      </c>
      <c r="V38" s="32" t="n">
        <v>22.95</v>
      </c>
      <c r="W38" s="32" t="n">
        <v>19.02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23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VIJAYA</t>
        </is>
      </c>
      <c r="D39" s="34" t="inlineStr">
        <is>
          <t>Vijaya Diagnostic Centre Ltd</t>
        </is>
      </c>
      <c r="E39" s="31" t="inlineStr">
        <is>
          <t>healthcare</t>
        </is>
      </c>
      <c r="F39" s="31" t="inlineStr">
        <is>
          <t>Diagnostics</t>
        </is>
      </c>
      <c r="G39" s="31" t="inlineStr">
        <is>
          <t>midcap</t>
        </is>
      </c>
      <c r="H39" s="32" t="n">
        <v>14121.55</v>
      </c>
      <c r="I39" s="32" t="n">
        <v>1372.4</v>
      </c>
      <c r="J39" s="32" t="n">
        <v>0.96</v>
      </c>
      <c r="K39" s="32" t="n">
        <v>0</v>
      </c>
      <c r="L39" s="31" t="n">
        <v>64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71.25</v>
      </c>
      <c r="P39" s="32" t="n">
        <v>28.66</v>
      </c>
      <c r="Q39" s="32" t="n">
        <v>1088.22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11.82</v>
      </c>
      <c r="U39" s="32" t="n">
        <v>41.04</v>
      </c>
      <c r="V39" s="32" t="n">
        <v>26.13</v>
      </c>
      <c r="W39" s="32" t="n">
        <v>17.33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SKIPPER</t>
        </is>
      </c>
      <c r="D40" s="31" t="inlineStr">
        <is>
          <t>Skipper Ltd</t>
        </is>
      </c>
      <c r="E40" s="31" t="inlineStr">
        <is>
          <t>industrials</t>
        </is>
      </c>
      <c r="F40" s="31" t="inlineStr">
        <is>
          <t>Electrical Equipments/HVDC</t>
        </is>
      </c>
      <c r="G40" s="31" t="inlineStr">
        <is>
          <t>midcap</t>
        </is>
      </c>
      <c r="H40" s="32" t="n">
        <v>6286.09</v>
      </c>
      <c r="I40" s="32" t="n">
        <v>556.6</v>
      </c>
      <c r="J40" s="32" t="n">
        <v>-3.14</v>
      </c>
      <c r="K40" s="32" t="n">
        <v>0</v>
      </c>
      <c r="L40" s="31" t="n">
        <v>68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70.95</v>
      </c>
      <c r="P40" s="32" t="n">
        <v>32.76</v>
      </c>
      <c r="Q40" s="32" t="n">
        <v>414.08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-6.54</v>
      </c>
      <c r="U40" s="32" t="n">
        <v>14.37</v>
      </c>
      <c r="V40" s="32" t="n">
        <v>22.38</v>
      </c>
      <c r="W40" s="32" t="n">
        <v>18.9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29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PARAS</t>
        </is>
      </c>
      <c r="D41" s="34" t="inlineStr">
        <is>
          <t>Paras Defence and Space Technologies Ltd</t>
        </is>
      </c>
      <c r="E41" s="31" t="inlineStr">
        <is>
          <t>aerospace &amp; defence</t>
        </is>
      </c>
      <c r="F41" s="31" t="inlineStr">
        <is>
          <t>Aerospace &amp; Defence - Equipments</t>
        </is>
      </c>
      <c r="G41" s="31" t="inlineStr">
        <is>
          <t>midcap</t>
        </is>
      </c>
      <c r="H41" s="32" t="n">
        <v>7737.59</v>
      </c>
      <c r="I41" s="32" t="n">
        <v>960.15</v>
      </c>
      <c r="J41" s="32" t="n">
        <v>7.42</v>
      </c>
      <c r="K41" s="32" t="n">
        <v>0</v>
      </c>
      <c r="L41" s="31" t="n">
        <v>37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67.20999999999999</v>
      </c>
      <c r="P41" s="32" t="n">
        <v>35.77</v>
      </c>
      <c r="Q41" s="32" t="n">
        <v>694.17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-6.54</v>
      </c>
      <c r="U41" s="32" t="n">
        <v>16.68</v>
      </c>
      <c r="V41" s="32" t="n">
        <v>24.85</v>
      </c>
      <c r="W41" s="32" t="n">
        <v>9.92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23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COCKERILL</t>
        </is>
      </c>
      <c r="D42" s="34" t="inlineStr">
        <is>
          <t>John Cockerill India Ltd</t>
        </is>
      </c>
      <c r="E42" s="31" t="inlineStr">
        <is>
          <t>Industrials</t>
        </is>
      </c>
      <c r="F42" s="31" t="inlineStr">
        <is>
          <t>Capital Goods - Engineering Heavy</t>
        </is>
      </c>
      <c r="G42" s="31" t="inlineStr">
        <is>
          <t>smallcap</t>
        </is>
      </c>
      <c r="H42" s="32" t="n">
        <v>4524.32</v>
      </c>
      <c r="I42" s="32" t="n">
        <v>9162.6</v>
      </c>
      <c r="J42" s="32" t="n">
        <v>-1.58</v>
      </c>
      <c r="K42" s="32" t="n">
        <v>0</v>
      </c>
      <c r="L42" s="31" t="n">
        <v>93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81.36</v>
      </c>
      <c r="P42" s="32" t="n">
        <v>27.94</v>
      </c>
      <c r="Q42" s="32" t="n">
        <v>7007.39</v>
      </c>
      <c r="R42" s="31" t="inlineStr">
        <is>
          <t>Volume Spike &amp; Near 52W High Breakout</t>
        </is>
      </c>
      <c r="S42" s="31" t="inlineStr">
        <is>
          <t>Nifty Metal</t>
        </is>
      </c>
      <c r="T42" s="32" t="n">
        <v>40.56</v>
      </c>
      <c r="U42" s="32" t="n">
        <v>144.97</v>
      </c>
      <c r="V42" s="32" t="n">
        <v>74.29000000000001</v>
      </c>
      <c r="W42" s="32" t="n">
        <v>41.34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22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WHEELS</t>
        </is>
      </c>
      <c r="D43" s="31" t="inlineStr">
        <is>
          <t>Wheels India Ltd</t>
        </is>
      </c>
      <c r="E43" s="31" t="inlineStr">
        <is>
          <t>auto</t>
        </is>
      </c>
      <c r="F43" s="31" t="inlineStr">
        <is>
          <t>Auto Ancillaries - Wheels</t>
        </is>
      </c>
      <c r="G43" s="31" t="inlineStr">
        <is>
          <t>smallcap</t>
        </is>
      </c>
      <c r="H43" s="32" t="n">
        <v>3634.9</v>
      </c>
      <c r="I43" s="32" t="n">
        <v>1487.7</v>
      </c>
      <c r="J43" s="32" t="n">
        <v>-2.68</v>
      </c>
      <c r="K43" s="32" t="n">
        <v>0</v>
      </c>
      <c r="L43" s="31" t="n">
        <v>87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69.42</v>
      </c>
      <c r="P43" s="32" t="n">
        <v>46.61</v>
      </c>
      <c r="Q43" s="32" t="n">
        <v>1300.75</v>
      </c>
      <c r="R43" s="31" t="inlineStr">
        <is>
          <t>Earnings / Momentum Support</t>
        </is>
      </c>
      <c r="S43" s="31" t="inlineStr">
        <is>
          <t>Nifty Auto</t>
        </is>
      </c>
      <c r="T43" s="32" t="n">
        <v>10.59</v>
      </c>
      <c r="U43" s="32" t="n">
        <v>102.69</v>
      </c>
      <c r="V43" s="32" t="n">
        <v>83.28</v>
      </c>
      <c r="W43" s="32" t="n">
        <v>31.44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Less than 12%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ASTRAMICRO</t>
        </is>
      </c>
      <c r="D44" s="31" t="inlineStr">
        <is>
          <t>Astra Microwave Products Ltd</t>
        </is>
      </c>
      <c r="E44" s="31" t="inlineStr">
        <is>
          <t>aerospace &amp; defence</t>
        </is>
      </c>
      <c r="F44" s="31" t="inlineStr">
        <is>
          <t>Aerospace &amp; Defence - Equipments</t>
        </is>
      </c>
      <c r="G44" s="31" t="inlineStr">
        <is>
          <t>midcap</t>
        </is>
      </c>
      <c r="H44" s="32" t="n">
        <v>13477.44</v>
      </c>
      <c r="I44" s="32" t="n">
        <v>1419.5</v>
      </c>
      <c r="J44" s="32" t="n">
        <v>3.03</v>
      </c>
      <c r="K44" s="32" t="n">
        <v>0</v>
      </c>
      <c r="L44" s="31" t="n">
        <v>51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75.45</v>
      </c>
      <c r="P44" s="32" t="n">
        <v>26.86</v>
      </c>
      <c r="Q44" s="32" t="n">
        <v>1103.55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-6.54</v>
      </c>
      <c r="U44" s="32" t="n">
        <v>25.66</v>
      </c>
      <c r="V44" s="32" t="n">
        <v>34.46</v>
      </c>
      <c r="W44" s="32" t="n">
        <v>13.42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SANSERA</t>
        </is>
      </c>
      <c r="D45" s="31" t="inlineStr">
        <is>
          <t>Sansera Engineering Ltd</t>
        </is>
      </c>
      <c r="E45" s="31" t="inlineStr">
        <is>
          <t>auto</t>
        </is>
      </c>
      <c r="F45" s="31" t="inlineStr">
        <is>
          <t>Auto Ancillaries - Diversified</t>
        </is>
      </c>
      <c r="G45" s="31" t="inlineStr">
        <is>
          <t>midcap</t>
        </is>
      </c>
      <c r="H45" s="32" t="n">
        <v>18357.41</v>
      </c>
      <c r="I45" s="32" t="n">
        <v>2945.1</v>
      </c>
      <c r="J45" s="32" t="n">
        <v>0.66</v>
      </c>
      <c r="K45" s="32" t="n">
        <v>0</v>
      </c>
      <c r="L45" s="31" t="n">
        <v>79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74.73999999999999</v>
      </c>
      <c r="P45" s="32" t="n">
        <v>39.79</v>
      </c>
      <c r="Q45" s="32" t="n">
        <v>2273.52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10.59</v>
      </c>
      <c r="U45" s="32" t="n">
        <v>118.38</v>
      </c>
      <c r="V45" s="32" t="n">
        <v>97.47</v>
      </c>
      <c r="W45" s="32" t="n">
        <v>24.66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HSCL</t>
        </is>
      </c>
      <c r="D46" s="34" t="inlineStr">
        <is>
          <t>Himadri Speciality Chemical Ltd</t>
        </is>
      </c>
      <c r="E46" s="31" t="inlineStr">
        <is>
          <t>chemicals</t>
        </is>
      </c>
      <c r="F46" s="31" t="inlineStr">
        <is>
          <t>Carbon Black</t>
        </is>
      </c>
      <c r="G46" s="31" t="inlineStr">
        <is>
          <t>largecap</t>
        </is>
      </c>
      <c r="H46" s="32" t="n">
        <v>34563.62</v>
      </c>
      <c r="I46" s="32" t="n">
        <v>685.05</v>
      </c>
      <c r="J46" s="32" t="n">
        <v>6.71</v>
      </c>
      <c r="K46" s="32" t="n">
        <v>0</v>
      </c>
      <c r="L46" s="31" t="n">
        <v>69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73.98999999999999</v>
      </c>
      <c r="P46" s="32" t="n">
        <v>27.87</v>
      </c>
      <c r="Q46" s="32" t="n">
        <v>526.01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-6.54</v>
      </c>
      <c r="U46" s="32" t="n">
        <v>38.19</v>
      </c>
      <c r="V46" s="32" t="n">
        <v>47.87</v>
      </c>
      <c r="W46" s="32" t="n">
        <v>19.02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SKMEGGPROD</t>
        </is>
      </c>
      <c r="D47" s="31" t="inlineStr">
        <is>
          <t>SKM Egg Products Export (India) Ltd</t>
        </is>
      </c>
      <c r="E47" s="31" t="inlineStr">
        <is>
          <t>fmcg</t>
        </is>
      </c>
      <c r="F47" s="31" t="inlineStr">
        <is>
          <t>FMCG - Animal/Polutry</t>
        </is>
      </c>
      <c r="G47" s="31" t="inlineStr">
        <is>
          <t>smallcap</t>
        </is>
      </c>
      <c r="H47" s="32" t="n">
        <v>1294.59</v>
      </c>
      <c r="I47" s="32" t="n">
        <v>245.84</v>
      </c>
      <c r="J47" s="32" t="n">
        <v>2.73</v>
      </c>
      <c r="K47" s="32" t="n">
        <v>0</v>
      </c>
      <c r="L47" s="31" t="n">
        <v>89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71.45</v>
      </c>
      <c r="P47" s="32" t="n">
        <v>15.93</v>
      </c>
      <c r="Q47" s="32" t="n">
        <v>170.89</v>
      </c>
      <c r="R47" s="31" t="inlineStr">
        <is>
          <t>Volume Spike &amp; Near 52W High Breakout</t>
        </is>
      </c>
      <c r="S47" s="31" t="inlineStr">
        <is>
          <t>Nifty FMCG</t>
        </is>
      </c>
      <c r="T47" s="32" t="n">
        <v>-13.44</v>
      </c>
      <c r="U47" s="32" t="n">
        <v>118.96</v>
      </c>
      <c r="V47" s="32" t="n">
        <v>152.96</v>
      </c>
      <c r="W47" s="32" t="n">
        <v>33.38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30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PANACEABIO</t>
        </is>
      </c>
      <c r="D48" s="34" t="inlineStr">
        <is>
          <t>Panacea Biotec Ltd</t>
        </is>
      </c>
      <c r="E48" s="31" t="inlineStr">
        <is>
          <t>healthcare</t>
        </is>
      </c>
      <c r="F48" s="31" t="inlineStr">
        <is>
          <t>Pharma - Others</t>
        </is>
      </c>
      <c r="G48" s="31" t="inlineStr">
        <is>
          <t>smallcap</t>
        </is>
      </c>
      <c r="H48" s="32" t="n">
        <v>3308.77</v>
      </c>
      <c r="I48" s="32" t="n">
        <v>540.2</v>
      </c>
      <c r="J48" s="32" t="n">
        <v>3.82</v>
      </c>
      <c r="K48" s="32" t="n">
        <v>0</v>
      </c>
      <c r="L48" s="31" t="n">
        <v>73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76.41</v>
      </c>
      <c r="P48" s="32" t="n">
        <v>20.61</v>
      </c>
      <c r="Q48" s="32" t="n">
        <v>387.03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11.82</v>
      </c>
      <c r="U48" s="32" t="n">
        <v>20.72</v>
      </c>
      <c r="V48" s="32" t="n">
        <v>7.95</v>
      </c>
      <c r="W48" s="32" t="n">
        <v>21.15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23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3" t="inlineStr">
        <is>
          <t>MARKSANS</t>
        </is>
      </c>
      <c r="D49" s="33" t="inlineStr">
        <is>
          <t>Marksans Pharma Ltd</t>
        </is>
      </c>
      <c r="E49" s="31" t="inlineStr">
        <is>
          <t>healthcare</t>
        </is>
      </c>
      <c r="F49" s="31" t="inlineStr">
        <is>
          <t>Pharma - Formulators</t>
        </is>
      </c>
      <c r="G49" s="31" t="inlineStr">
        <is>
          <t>midcap</t>
        </is>
      </c>
      <c r="H49" s="32" t="n">
        <v>10567.33</v>
      </c>
      <c r="I49" s="32" t="n">
        <v>233.19</v>
      </c>
      <c r="J49" s="32" t="n">
        <v>-2.49</v>
      </c>
      <c r="K49" s="32" t="n">
        <v>0</v>
      </c>
      <c r="L49" s="31" t="n">
        <v>33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67.25</v>
      </c>
      <c r="P49" s="32" t="n">
        <v>25.72</v>
      </c>
      <c r="Q49" s="32" t="n">
        <v>190.21</v>
      </c>
      <c r="R49" s="31" t="inlineStr">
        <is>
          <t>Earnings / Momentum Support</t>
        </is>
      </c>
      <c r="S49" s="31" t="inlineStr">
        <is>
          <t>Nifty Pharma</t>
        </is>
      </c>
      <c r="T49" s="32" t="n">
        <v>11.82</v>
      </c>
      <c r="U49" s="32" t="n">
        <v>-7.12</v>
      </c>
      <c r="V49" s="32" t="n">
        <v>-16.94</v>
      </c>
      <c r="W49" s="32" t="n">
        <v>8.369999999999999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SIGMAADV</t>
        </is>
      </c>
      <c r="D50" s="31" t="inlineStr">
        <is>
          <t>Sigma Advanced System Ltd</t>
        </is>
      </c>
      <c r="E50" s="31" t="inlineStr">
        <is>
          <t>aerospace &amp; defence</t>
        </is>
      </c>
      <c r="F50" s="31" t="inlineStr">
        <is>
          <t>Aerospace &amp; Defence - Equipments</t>
        </is>
      </c>
      <c r="G50" s="31" t="inlineStr">
        <is>
          <t>midcap</t>
        </is>
      </c>
      <c r="H50" s="32" t="n">
        <v>7680.53</v>
      </c>
      <c r="I50" s="32" t="n">
        <v>435.8</v>
      </c>
      <c r="J50" s="32" t="n">
        <v>-4.99</v>
      </c>
      <c r="K50" s="32" t="n">
        <v>0</v>
      </c>
      <c r="L50" s="31" t="n">
        <v>99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83.98</v>
      </c>
      <c r="P50" s="32" t="n">
        <v>34.09</v>
      </c>
      <c r="Q50" s="32" t="n">
        <v>328.07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-6.54</v>
      </c>
      <c r="U50" s="32" t="n">
        <v>371.95</v>
      </c>
      <c r="V50" s="32" t="n">
        <v>405</v>
      </c>
      <c r="W50" s="32" t="n">
        <v>83.69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30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KERNEX</t>
        </is>
      </c>
      <c r="D51" s="31" t="inlineStr">
        <is>
          <t>Kernex Microsystems (India) Ltd</t>
        </is>
      </c>
      <c r="E51" s="31" t="inlineStr">
        <is>
          <t>consumer discretionary</t>
        </is>
      </c>
      <c r="F51" s="31" t="inlineStr">
        <is>
          <t>Railways - Kavach/Springs</t>
        </is>
      </c>
      <c r="G51" s="31" t="inlineStr">
        <is>
          <t>smallcap</t>
        </is>
      </c>
      <c r="H51" s="32" t="n">
        <v>3085.09</v>
      </c>
      <c r="I51" s="32" t="n">
        <v>1836.1</v>
      </c>
      <c r="J51" s="32" t="n">
        <v>-2.86</v>
      </c>
      <c r="K51" s="32" t="n">
        <v>0</v>
      </c>
      <c r="L51" s="31" t="n">
        <v>83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70.26000000000001</v>
      </c>
      <c r="P51" s="32" t="n">
        <v>27.28</v>
      </c>
      <c r="Q51" s="32" t="n">
        <v>1318.68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-6.54</v>
      </c>
      <c r="U51" s="32" t="n">
        <v>49.11</v>
      </c>
      <c r="V51" s="32" t="n">
        <v>59.55</v>
      </c>
      <c r="W51" s="32" t="n">
        <v>27.6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NITTAGELA</t>
        </is>
      </c>
      <c r="D52" s="31" t="inlineStr">
        <is>
          <t>Nitta Gelatin India Ltd</t>
        </is>
      </c>
      <c r="E52" s="31" t="inlineStr">
        <is>
          <t>Basic Materials</t>
        </is>
      </c>
      <c r="F52" s="31" t="inlineStr">
        <is>
          <t>Chemicals - Organic</t>
        </is>
      </c>
      <c r="G52" s="31" t="inlineStr">
        <is>
          <t>smallcap</t>
        </is>
      </c>
      <c r="H52" s="32" t="n">
        <v>1582.95</v>
      </c>
      <c r="I52" s="32" t="n">
        <v>1743.5</v>
      </c>
      <c r="J52" s="32" t="n">
        <v>-4.47</v>
      </c>
      <c r="K52" s="32" t="n">
        <v>0</v>
      </c>
      <c r="L52" s="31" t="n">
        <v>94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91.19</v>
      </c>
      <c r="P52" s="32" t="n">
        <v>39.12</v>
      </c>
      <c r="Q52" s="32" t="n">
        <v>1422.42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-6.54</v>
      </c>
      <c r="U52" s="32" t="n">
        <v>108.22</v>
      </c>
      <c r="V52" s="32" t="n">
        <v>122.81</v>
      </c>
      <c r="W52" s="32" t="n">
        <v>45.05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Cyclical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Volatile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24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Telecom Services</t>
        </is>
      </c>
      <c r="G53" s="31" t="inlineStr">
        <is>
          <t>largecap</t>
        </is>
      </c>
      <c r="H53" s="32" t="n">
        <v>28657.47</v>
      </c>
      <c r="I53" s="32" t="n">
        <v>187.23</v>
      </c>
      <c r="J53" s="32" t="n">
        <v>-5</v>
      </c>
      <c r="K53" s="32" t="n">
        <v>0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91.68000000000001</v>
      </c>
      <c r="P53" s="32" t="n">
        <v>44.02</v>
      </c>
      <c r="Q53" s="32" t="n">
        <v>143.43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1.11</v>
      </c>
      <c r="U53" s="32" t="n">
        <v>105.1</v>
      </c>
      <c r="V53" s="32" t="n">
        <v>102.84</v>
      </c>
      <c r="W53" s="32" t="n">
        <v>62.79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SPECTRUM</t>
        </is>
      </c>
      <c r="D54" s="34" t="inlineStr">
        <is>
          <t>Spectrum Electrical Industries Ltd</t>
        </is>
      </c>
      <c r="E54" s="31" t="inlineStr">
        <is>
          <t>industrials</t>
        </is>
      </c>
      <c r="F54" s="31" t="inlineStr">
        <is>
          <t>Capital Goods - Electric General</t>
        </is>
      </c>
      <c r="G54" s="31" t="inlineStr">
        <is>
          <t>smallcap</t>
        </is>
      </c>
      <c r="H54" s="32" t="n">
        <v>2779.94</v>
      </c>
      <c r="I54" s="32" t="n">
        <v>1769.1</v>
      </c>
      <c r="J54" s="32" t="n">
        <v>6.27</v>
      </c>
      <c r="K54" s="32" t="n">
        <v>0</v>
      </c>
      <c r="L54" s="31" t="n">
        <v>31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66.55</v>
      </c>
      <c r="P54" s="32" t="n">
        <v>23.69</v>
      </c>
      <c r="Q54" s="32" t="n">
        <v>1223.18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-6.54</v>
      </c>
      <c r="U54" s="32" t="n">
        <v>7.74</v>
      </c>
      <c r="V54" s="32" t="n">
        <v>15.29</v>
      </c>
      <c r="W54" s="32" t="n">
        <v>8.1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FIEMIND</t>
        </is>
      </c>
      <c r="D55" s="34" t="inlineStr">
        <is>
          <t>Fiem Industries Ltd</t>
        </is>
      </c>
      <c r="E55" s="31" t="inlineStr">
        <is>
          <t>auto</t>
        </is>
      </c>
      <c r="F55" s="31" t="inlineStr">
        <is>
          <t>Auto Ancillaries - 2&amp;3 Wheelers</t>
        </is>
      </c>
      <c r="G55" s="31" t="inlineStr">
        <is>
          <t>midcap</t>
        </is>
      </c>
      <c r="H55" s="32" t="n">
        <v>6083</v>
      </c>
      <c r="I55" s="32" t="n">
        <v>2311.2</v>
      </c>
      <c r="J55" s="32" t="n">
        <v>-0.97</v>
      </c>
      <c r="K55" s="32" t="n">
        <v>0</v>
      </c>
      <c r="L55" s="31" t="n">
        <v>26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58.87</v>
      </c>
      <c r="P55" s="32" t="n">
        <v>14.14</v>
      </c>
      <c r="Q55" s="32" t="n">
        <v>1834.14</v>
      </c>
      <c r="R55" s="31" t="inlineStr">
        <is>
          <t>Volume Spike &amp; Near 52W High Breakout</t>
        </is>
      </c>
      <c r="S55" s="31" t="inlineStr">
        <is>
          <t>Nifty Auto</t>
        </is>
      </c>
      <c r="T55" s="32" t="n">
        <v>10.59</v>
      </c>
      <c r="U55" s="32" t="n">
        <v>24.72</v>
      </c>
      <c r="V55" s="32" t="n">
        <v>12.78</v>
      </c>
      <c r="W55" s="32" t="n">
        <v>6.83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APOLLO</t>
        </is>
      </c>
      <c r="D56" s="31" t="inlineStr">
        <is>
          <t>Apollo Micro Systems Ltd</t>
        </is>
      </c>
      <c r="E56" s="31" t="inlineStr">
        <is>
          <t>aerospace &amp; defence</t>
        </is>
      </c>
      <c r="F56" s="31" t="inlineStr">
        <is>
          <t>Aerospace &amp; Defence - Equipments</t>
        </is>
      </c>
      <c r="G56" s="31" t="inlineStr">
        <is>
          <t>midcap</t>
        </is>
      </c>
      <c r="H56" s="32" t="n">
        <v>15054.52</v>
      </c>
      <c r="I56" s="32" t="n">
        <v>421.35</v>
      </c>
      <c r="J56" s="32" t="n">
        <v>0.51</v>
      </c>
      <c r="K56" s="32" t="n">
        <v>0</v>
      </c>
      <c r="L56" s="31" t="n">
        <v>93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74.81</v>
      </c>
      <c r="P56" s="32" t="n">
        <v>30.38</v>
      </c>
      <c r="Q56" s="32" t="n">
        <v>301.5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-6.54</v>
      </c>
      <c r="U56" s="32" t="n">
        <v>105.74</v>
      </c>
      <c r="V56" s="32" t="n">
        <v>120.14</v>
      </c>
      <c r="W56" s="32" t="n">
        <v>40.27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Fully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Yes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24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SHILPAMED</t>
        </is>
      </c>
      <c r="D57" s="31" t="inlineStr">
        <is>
          <t>Shilpa Medicare Ltd</t>
        </is>
      </c>
      <c r="E57" s="31" t="inlineStr">
        <is>
          <t>healthcare</t>
        </is>
      </c>
      <c r="F57" s="31" t="inlineStr">
        <is>
          <t>Pharma - API &amp; CRAMS</t>
        </is>
      </c>
      <c r="G57" s="31" t="inlineStr">
        <is>
          <t>midcap</t>
        </is>
      </c>
      <c r="H57" s="32" t="n">
        <v>10523.28</v>
      </c>
      <c r="I57" s="32" t="n">
        <v>538.05</v>
      </c>
      <c r="J57" s="32" t="n">
        <v>2.33</v>
      </c>
      <c r="K57" s="32" t="n">
        <v>0</v>
      </c>
      <c r="L57" s="31" t="n">
        <v>68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78.78</v>
      </c>
      <c r="P57" s="32" t="n">
        <v>39.68</v>
      </c>
      <c r="Q57" s="32" t="n">
        <v>418.43</v>
      </c>
      <c r="R57" s="31" t="inlineStr">
        <is>
          <t>Volume Spike &amp; Near 52W High Breakout</t>
        </is>
      </c>
      <c r="S57" s="31" t="inlineStr">
        <is>
          <t>Nifty Pharma</t>
        </is>
      </c>
      <c r="T57" s="32" t="n">
        <v>11.82</v>
      </c>
      <c r="U57" s="32" t="n">
        <v>17.82</v>
      </c>
      <c r="V57" s="32" t="n">
        <v>5.36</v>
      </c>
      <c r="W57" s="32" t="n">
        <v>18.9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22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SASKEN</t>
        </is>
      </c>
      <c r="D58" s="31" t="inlineStr">
        <is>
          <t>Sasken Technologies Ltd</t>
        </is>
      </c>
      <c r="E58" s="31" t="inlineStr">
        <is>
          <t>i.t</t>
        </is>
      </c>
      <c r="F58" s="31" t="inlineStr">
        <is>
          <t>IT - Software</t>
        </is>
      </c>
      <c r="G58" s="31" t="inlineStr">
        <is>
          <t>smallcap</t>
        </is>
      </c>
      <c r="H58" s="32" t="n">
        <v>3312.47</v>
      </c>
      <c r="I58" s="32" t="n">
        <v>2181.2</v>
      </c>
      <c r="J58" s="32" t="n">
        <v>0.93</v>
      </c>
      <c r="K58" s="32" t="n">
        <v>0</v>
      </c>
      <c r="L58" s="31" t="n">
        <v>89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74.63</v>
      </c>
      <c r="P58" s="32" t="n">
        <v>27.93</v>
      </c>
      <c r="Q58" s="32" t="n">
        <v>1692.28</v>
      </c>
      <c r="R58" s="31" t="inlineStr">
        <is>
          <t>Near 52W High Breakout</t>
        </is>
      </c>
      <c r="S58" s="31" t="inlineStr">
        <is>
          <t>Nifty IT</t>
        </is>
      </c>
      <c r="T58" s="32" t="n">
        <v>-22.21</v>
      </c>
      <c r="U58" s="32" t="n">
        <v>51.84</v>
      </c>
      <c r="V58" s="32" t="n">
        <v>95.2</v>
      </c>
      <c r="W58" s="32" t="n">
        <v>33.25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22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VIYASH</t>
        </is>
      </c>
      <c r="D59" s="31" t="inlineStr">
        <is>
          <t>Viyash Scientific Ltd</t>
        </is>
      </c>
      <c r="E59" s="31" t="inlineStr">
        <is>
          <t>healthcare</t>
        </is>
      </c>
      <c r="F59" s="31" t="inlineStr">
        <is>
          <t>Pharma - Animal</t>
        </is>
      </c>
      <c r="G59" s="31" t="inlineStr">
        <is>
          <t>midcap</t>
        </is>
      </c>
      <c r="H59" s="32" t="n">
        <v>11151.25</v>
      </c>
      <c r="I59" s="32" t="n">
        <v>255.25</v>
      </c>
      <c r="J59" s="32" t="n">
        <v>2.45</v>
      </c>
      <c r="K59" s="32" t="n">
        <v>0</v>
      </c>
      <c r="L59" s="31" t="n">
        <v>45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68.31</v>
      </c>
      <c r="P59" s="32" t="n">
        <v>28.69</v>
      </c>
      <c r="Q59" s="32" t="n">
        <v>196.17</v>
      </c>
      <c r="R59" s="31" t="inlineStr">
        <is>
          <t>Volume Spike &amp; Near 52W High Breakout</t>
        </is>
      </c>
      <c r="S59" s="31" t="inlineStr">
        <is>
          <t>Nifty Pharma</t>
        </is>
      </c>
      <c r="T59" s="32" t="n">
        <v>11.82</v>
      </c>
      <c r="U59" s="32" t="n">
        <v>35.88</v>
      </c>
      <c r="V59" s="32" t="n">
        <v>21.51</v>
      </c>
      <c r="W59" s="32" t="n">
        <v>11.94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Less than 50%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JNKINDIA</t>
        </is>
      </c>
      <c r="D60" s="31" t="inlineStr">
        <is>
          <t>JNK India Ltd</t>
        </is>
      </c>
      <c r="E60" s="31" t="inlineStr">
        <is>
          <t>realty</t>
        </is>
      </c>
      <c r="F60" s="31" t="inlineStr">
        <is>
          <t>Capital Goods - Engineering Heavy</t>
        </is>
      </c>
      <c r="G60" s="31" t="inlineStr">
        <is>
          <t>smallcap</t>
        </is>
      </c>
      <c r="H60" s="32" t="n">
        <v>2357.34</v>
      </c>
      <c r="I60" s="32" t="n">
        <v>421.3</v>
      </c>
      <c r="J60" s="32" t="n">
        <v>-0.07000000000000001</v>
      </c>
      <c r="K60" s="32" t="n">
        <v>0</v>
      </c>
      <c r="L60" s="31" t="n">
        <v>81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70.78</v>
      </c>
      <c r="P60" s="32" t="n">
        <v>25.29</v>
      </c>
      <c r="Q60" s="32" t="n">
        <v>287.51</v>
      </c>
      <c r="R60" s="31" t="inlineStr">
        <is>
          <t>Volume Spike &amp; Near 52W High Breakout</t>
        </is>
      </c>
      <c r="S60" s="31" t="inlineStr">
        <is>
          <t>Nifty Realty</t>
        </is>
      </c>
      <c r="T60" s="32" t="n">
        <v>-26.04</v>
      </c>
      <c r="U60" s="32" t="n">
        <v>21.97</v>
      </c>
      <c r="V60" s="32" t="n">
        <v>64.91</v>
      </c>
      <c r="W60" s="32" t="n">
        <v>26.03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27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MINDACORP</t>
        </is>
      </c>
      <c r="D61" s="31" t="inlineStr">
        <is>
          <t>Minda Corporation Ltd</t>
        </is>
      </c>
      <c r="E61" s="31" t="inlineStr">
        <is>
          <t>auto</t>
        </is>
      </c>
      <c r="F61" s="31" t="inlineStr">
        <is>
          <t>Auto Ancillaries - Diversified</t>
        </is>
      </c>
      <c r="G61" s="31" t="inlineStr">
        <is>
          <t>midcap</t>
        </is>
      </c>
      <c r="H61" s="32" t="n">
        <v>15382.37</v>
      </c>
      <c r="I61" s="32" t="n">
        <v>643.4</v>
      </c>
      <c r="J61" s="32" t="n">
        <v>-0.29</v>
      </c>
      <c r="K61" s="32" t="n">
        <v>0</v>
      </c>
      <c r="L61" s="31" t="n">
        <v>33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65.58</v>
      </c>
      <c r="P61" s="32" t="n">
        <v>19.59</v>
      </c>
      <c r="Q61" s="32" t="n">
        <v>510.61</v>
      </c>
      <c r="R61" s="31" t="inlineStr">
        <is>
          <t>Volume Spike &amp; Near 52W High Breakout</t>
        </is>
      </c>
      <c r="S61" s="31" t="inlineStr">
        <is>
          <t>Nifty Auto</t>
        </is>
      </c>
      <c r="T61" s="32" t="n">
        <v>10.59</v>
      </c>
      <c r="U61" s="32" t="n">
        <v>15.21</v>
      </c>
      <c r="V61" s="32" t="n">
        <v>4.18</v>
      </c>
      <c r="W61" s="32" t="n">
        <v>8.49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27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HONASA</t>
        </is>
      </c>
      <c r="D62" s="31" t="inlineStr">
        <is>
          <t>Honasa Consumer Ltd</t>
        </is>
      </c>
      <c r="E62" s="31" t="inlineStr">
        <is>
          <t>services</t>
        </is>
      </c>
      <c r="F62" s="31" t="inlineStr">
        <is>
          <t>New age - Platform - E-Retail</t>
        </is>
      </c>
      <c r="G62" s="31" t="inlineStr">
        <is>
          <t>midcap</t>
        </is>
      </c>
      <c r="H62" s="32" t="n">
        <v>13538.64</v>
      </c>
      <c r="I62" s="32" t="n">
        <v>416.1</v>
      </c>
      <c r="J62" s="32" t="n">
        <v>-0.23</v>
      </c>
      <c r="K62" s="32" t="n">
        <v>0</v>
      </c>
      <c r="L62" s="31" t="n">
        <v>58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76.38</v>
      </c>
      <c r="P62" s="32" t="n">
        <v>27.04</v>
      </c>
      <c r="Q62" s="32" t="n">
        <v>334.48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-6.54</v>
      </c>
      <c r="U62" s="32" t="n">
        <v>30.03</v>
      </c>
      <c r="V62" s="32" t="n">
        <v>39.14</v>
      </c>
      <c r="W62" s="32" t="n">
        <v>15.47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B2C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SIS</t>
        </is>
      </c>
      <c r="D63" s="31" t="inlineStr">
        <is>
          <t>SIS Ltd</t>
        </is>
      </c>
      <c r="E63" s="31" t="inlineStr">
        <is>
          <t>miscellaneous</t>
        </is>
      </c>
      <c r="F63" s="31" t="inlineStr">
        <is>
          <t>Facility Management</t>
        </is>
      </c>
      <c r="G63" s="31" t="inlineStr">
        <is>
          <t>midcap</t>
        </is>
      </c>
      <c r="H63" s="32" t="n">
        <v>5892.71</v>
      </c>
      <c r="I63" s="32" t="n">
        <v>417.05</v>
      </c>
      <c r="J63" s="32" t="n">
        <v>-1.64</v>
      </c>
      <c r="K63" s="32" t="n">
        <v>0</v>
      </c>
      <c r="L63" s="31" t="n">
        <v>47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75.38</v>
      </c>
      <c r="P63" s="32" t="n">
        <v>35.25</v>
      </c>
      <c r="Q63" s="32" t="n">
        <v>333.52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-6.54</v>
      </c>
      <c r="U63" s="32" t="n">
        <v>15.03</v>
      </c>
      <c r="V63" s="32" t="n">
        <v>23.08</v>
      </c>
      <c r="W63" s="32" t="n">
        <v>12.21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CRAFTSMAN</t>
        </is>
      </c>
      <c r="D64" s="31" t="inlineStr">
        <is>
          <t>Craftsman Automation Ltd</t>
        </is>
      </c>
      <c r="E64" s="31" t="inlineStr">
        <is>
          <t>auto</t>
        </is>
      </c>
      <c r="F64" s="31" t="inlineStr">
        <is>
          <t>Auto &amp; Auto Ancl - CV</t>
        </is>
      </c>
      <c r="G64" s="31" t="inlineStr">
        <is>
          <t>largecap</t>
        </is>
      </c>
      <c r="H64" s="32" t="n">
        <v>21625.09</v>
      </c>
      <c r="I64" s="32" t="n">
        <v>9065</v>
      </c>
      <c r="J64" s="32" t="n">
        <v>-1.19</v>
      </c>
      <c r="K64" s="32" t="n">
        <v>0</v>
      </c>
      <c r="L64" s="31" t="n">
        <v>56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66.52</v>
      </c>
      <c r="P64" s="32" t="n">
        <v>29.55</v>
      </c>
      <c r="Q64" s="32" t="n">
        <v>7021.13</v>
      </c>
      <c r="R64" s="31" t="inlineStr">
        <is>
          <t>Near 52W High Breakout</t>
        </is>
      </c>
      <c r="S64" s="31" t="inlineStr">
        <is>
          <t>Nifty Auto</t>
        </is>
      </c>
      <c r="T64" s="32" t="n">
        <v>10.59</v>
      </c>
      <c r="U64" s="32" t="n">
        <v>61.88</v>
      </c>
      <c r="V64" s="32" t="n">
        <v>46.39</v>
      </c>
      <c r="W64" s="32" t="n">
        <v>14.85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 and Borrowings are increasing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IDEAFORGE</t>
        </is>
      </c>
      <c r="D65" s="34" t="inlineStr">
        <is>
          <t>Ideaforge Technology Ltd</t>
        </is>
      </c>
      <c r="E65" s="31" t="inlineStr">
        <is>
          <t>aerospace &amp; defence</t>
        </is>
      </c>
      <c r="F65" s="31" t="inlineStr">
        <is>
          <t>Aerospace &amp; Defence - Equipments</t>
        </is>
      </c>
      <c r="G65" s="31" t="inlineStr">
        <is>
          <t>smallcap</t>
        </is>
      </c>
      <c r="H65" s="32" t="n">
        <v>4100.25</v>
      </c>
      <c r="I65" s="32" t="n">
        <v>945</v>
      </c>
      <c r="J65" s="32" t="n">
        <v>5</v>
      </c>
      <c r="K65" s="32" t="n">
        <v>0</v>
      </c>
      <c r="L65" s="31" t="n">
        <v>92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80.69</v>
      </c>
      <c r="P65" s="32" t="n">
        <v>37.87</v>
      </c>
      <c r="Q65" s="32" t="n">
        <v>682.3</v>
      </c>
      <c r="R65" s="31" t="inlineStr">
        <is>
          <t>Near 52W High Breakout</t>
        </is>
      </c>
      <c r="S65" s="31" t="inlineStr">
        <is>
          <t>Nifty 50</t>
        </is>
      </c>
      <c r="T65" s="32" t="n">
        <v>-6.54</v>
      </c>
      <c r="U65" s="32" t="n">
        <v>59.8</v>
      </c>
      <c r="V65" s="32" t="n">
        <v>70.98999999999999</v>
      </c>
      <c r="W65" s="32" t="n">
        <v>40.21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MOBAVENUE</t>
        </is>
      </c>
      <c r="D66" s="31" t="inlineStr">
        <is>
          <t>Mobavenue AI Tech Ltd</t>
        </is>
      </c>
      <c r="E66" s="31" t="inlineStr">
        <is>
          <t>Consumer Defensive</t>
        </is>
      </c>
      <c r="F66" s="31" t="inlineStr">
        <is>
          <t>Computer Education</t>
        </is>
      </c>
      <c r="G66" s="31" t="inlineStr">
        <is>
          <t>smallcap</t>
        </is>
      </c>
      <c r="H66" s="32" t="n">
        <v>2211.49</v>
      </c>
      <c r="I66" s="32" t="n">
        <v>1430.5</v>
      </c>
      <c r="J66" s="32" t="n">
        <v>2.39</v>
      </c>
      <c r="K66" s="32" t="n">
        <v>0</v>
      </c>
      <c r="L66" s="31" t="n">
        <v>78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64.51000000000001</v>
      </c>
      <c r="P66" s="32" t="n">
        <v>13.99</v>
      </c>
      <c r="Q66" s="32" t="n">
        <v>1046.07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-6.54</v>
      </c>
      <c r="U66" s="32" t="n">
        <v>110.47</v>
      </c>
      <c r="V66" s="32" t="n">
        <v>125.21</v>
      </c>
      <c r="W66" s="32" t="n">
        <v>24.07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FCL</t>
        </is>
      </c>
      <c r="D67" s="31" t="inlineStr">
        <is>
          <t>Fineotex Chemical Ltd</t>
        </is>
      </c>
      <c r="E67" s="31" t="inlineStr">
        <is>
          <t>chemicals</t>
        </is>
      </c>
      <c r="F67" s="31" t="inlineStr">
        <is>
          <t>Speciality Chemicals</t>
        </is>
      </c>
      <c r="G67" s="31" t="inlineStr">
        <is>
          <t>smallcap</t>
        </is>
      </c>
      <c r="H67" s="32" t="n">
        <v>4743.01</v>
      </c>
      <c r="I67" s="32" t="n">
        <v>40.73</v>
      </c>
      <c r="J67" s="32" t="n">
        <v>-0.73</v>
      </c>
      <c r="K67" s="32" t="n">
        <v>0</v>
      </c>
      <c r="L67" s="31" t="n">
        <v>87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76.69</v>
      </c>
      <c r="P67" s="32" t="n">
        <v>27.71</v>
      </c>
      <c r="Q67" s="32" t="n">
        <v>30.26</v>
      </c>
      <c r="R67" s="31" t="inlineStr">
        <is>
          <t>Near 52W High Breakout</t>
        </is>
      </c>
      <c r="S67" s="31" t="inlineStr">
        <is>
          <t>Nifty IT</t>
        </is>
      </c>
      <c r="T67" s="32" t="n">
        <v>-22.21</v>
      </c>
      <c r="U67" s="32" t="n">
        <v>61.05</v>
      </c>
      <c r="V67" s="32" t="n">
        <v>107.04</v>
      </c>
      <c r="W67" s="32" t="n">
        <v>31.8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25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RAIN</t>
        </is>
      </c>
      <c r="D68" s="31" t="inlineStr">
        <is>
          <t>Rain Industries Ltd</t>
        </is>
      </c>
      <c r="E68" s="31" t="inlineStr">
        <is>
          <t>miscellaneous</t>
        </is>
      </c>
      <c r="F68" s="31" t="inlineStr">
        <is>
          <t>Cement</t>
        </is>
      </c>
      <c r="G68" s="31" t="inlineStr">
        <is>
          <t>midcap</t>
        </is>
      </c>
      <c r="H68" s="32" t="n">
        <v>6629.04</v>
      </c>
      <c r="I68" s="32" t="n">
        <v>197.09</v>
      </c>
      <c r="J68" s="32" t="n">
        <v>0.8100000000000001</v>
      </c>
      <c r="K68" s="32" t="n">
        <v>0</v>
      </c>
      <c r="L68" s="31" t="n">
        <v>67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72.51000000000001</v>
      </c>
      <c r="P68" s="32" t="n">
        <v>18.85</v>
      </c>
      <c r="Q68" s="32" t="n">
        <v>147.01</v>
      </c>
      <c r="R68" s="31" t="inlineStr">
        <is>
          <t>Near 52W High Breakout</t>
        </is>
      </c>
      <c r="S68" s="31" t="inlineStr">
        <is>
          <t>Nifty 50</t>
        </is>
      </c>
      <c r="T68" s="32" t="n">
        <v>-6.54</v>
      </c>
      <c r="U68" s="32" t="n">
        <v>35.54</v>
      </c>
      <c r="V68" s="32" t="n">
        <v>45.03</v>
      </c>
      <c r="W68" s="32" t="n">
        <v>18.87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24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SANDHAR</t>
        </is>
      </c>
      <c r="D69" s="31" t="inlineStr">
        <is>
          <t>Sandhar Technologies Limited</t>
        </is>
      </c>
      <c r="E69" s="31" t="inlineStr">
        <is>
          <t>auto</t>
        </is>
      </c>
      <c r="F69" s="31" t="inlineStr">
        <is>
          <t>Auto Ancillaries - 2&amp;3 Wheelers</t>
        </is>
      </c>
      <c r="G69" s="31" t="inlineStr">
        <is>
          <t>smallcap</t>
        </is>
      </c>
      <c r="H69" s="32" t="n">
        <v>4232.01</v>
      </c>
      <c r="I69" s="32" t="n">
        <v>703.1</v>
      </c>
      <c r="J69" s="32" t="n">
        <v>-1.22</v>
      </c>
      <c r="K69" s="32" t="n">
        <v>0</v>
      </c>
      <c r="L69" s="31" t="n">
        <v>62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71.37</v>
      </c>
      <c r="P69" s="32" t="n">
        <v>15.64</v>
      </c>
      <c r="Q69" s="32" t="n">
        <v>523.08</v>
      </c>
      <c r="R69" s="31" t="inlineStr">
        <is>
          <t>Volume Spike &amp; Near 52W High Breakout</t>
        </is>
      </c>
      <c r="S69" s="31" t="inlineStr">
        <is>
          <t>Nifty Auto</t>
        </is>
      </c>
      <c r="T69" s="32" t="n">
        <v>10.59</v>
      </c>
      <c r="U69" s="32" t="n">
        <v>38.03</v>
      </c>
      <c r="V69" s="32" t="n">
        <v>24.82</v>
      </c>
      <c r="W69" s="32" t="n">
        <v>16.59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PREMIERENE</t>
        </is>
      </c>
      <c r="D70" s="31" t="inlineStr">
        <is>
          <t>Premier Energies Ltd</t>
        </is>
      </c>
      <c r="E70" s="31" t="inlineStr">
        <is>
          <t>services</t>
        </is>
      </c>
      <c r="F70" s="31" t="inlineStr">
        <is>
          <t>Capital Goods - Solar</t>
        </is>
      </c>
      <c r="G70" s="31" t="inlineStr">
        <is>
          <t>largecap</t>
        </is>
      </c>
      <c r="H70" s="32" t="n">
        <v>49031.3</v>
      </c>
      <c r="I70" s="32" t="n">
        <v>1080.1</v>
      </c>
      <c r="J70" s="32" t="n">
        <v>0.21</v>
      </c>
      <c r="K70" s="32" t="n">
        <v>0</v>
      </c>
      <c r="L70" s="31" t="n">
        <v>49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65.43000000000001</v>
      </c>
      <c r="P70" s="32" t="n">
        <v>18.7</v>
      </c>
      <c r="Q70" s="32" t="n">
        <v>849.1799999999999</v>
      </c>
      <c r="R70" s="31" t="inlineStr">
        <is>
          <t>Near 52W High Breakout</t>
        </is>
      </c>
      <c r="S70" s="31" t="inlineStr">
        <is>
          <t>Nifty 50</t>
        </is>
      </c>
      <c r="T70" s="32" t="n">
        <v>-6.54</v>
      </c>
      <c r="U70" s="32" t="n">
        <v>2.66</v>
      </c>
      <c r="V70" s="32" t="n">
        <v>9.85</v>
      </c>
      <c r="W70" s="32" t="n">
        <v>12.82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RRKABEL</t>
        </is>
      </c>
      <c r="D71" s="31" t="inlineStr">
        <is>
          <t>R R Kabel Ltd</t>
        </is>
      </c>
      <c r="E71" s="31" t="inlineStr">
        <is>
          <t>industrials</t>
        </is>
      </c>
      <c r="F71" s="31" t="inlineStr">
        <is>
          <t>Cables - Power</t>
        </is>
      </c>
      <c r="G71" s="31" t="inlineStr">
        <is>
          <t>largecap</t>
        </is>
      </c>
      <c r="H71" s="32" t="n">
        <v>25147.88</v>
      </c>
      <c r="I71" s="32" t="n">
        <v>2223.4</v>
      </c>
      <c r="J71" s="32" t="n">
        <v>0.02</v>
      </c>
      <c r="K71" s="32" t="n">
        <v>0</v>
      </c>
      <c r="L71" s="31" t="n">
        <v>71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78.59</v>
      </c>
      <c r="P71" s="32" t="n">
        <v>32.21</v>
      </c>
      <c r="Q71" s="32" t="n">
        <v>1758.31</v>
      </c>
      <c r="R71" s="31" t="inlineStr">
        <is>
          <t>Volume Spike &amp; Near 52W High Breakout</t>
        </is>
      </c>
      <c r="S71" s="31" t="inlineStr">
        <is>
          <t>Nifty Energy</t>
        </is>
      </c>
      <c r="T71" s="32" t="n">
        <v>12.31</v>
      </c>
      <c r="U71" s="32" t="n">
        <v>58.13</v>
      </c>
      <c r="V71" s="32" t="n">
        <v>40.8</v>
      </c>
      <c r="W71" s="32" t="n">
        <v>20.39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CNCRD</t>
        </is>
      </c>
      <c r="D72" s="34" t="inlineStr">
        <is>
          <t>Concord Control Systems Ltd</t>
        </is>
      </c>
      <c r="E72" s="31" t="inlineStr">
        <is>
          <t>Industrials</t>
        </is>
      </c>
      <c r="F72" s="31" t="inlineStr">
        <is>
          <t>Capital Goods - Engineering Heavy</t>
        </is>
      </c>
      <c r="G72" s="31" t="inlineStr">
        <is>
          <t>smallcap</t>
        </is>
      </c>
      <c r="H72" s="32" t="n">
        <v>3094.31</v>
      </c>
      <c r="I72" s="32" t="n">
        <v>2980.05</v>
      </c>
      <c r="J72" s="32" t="n">
        <v>-1.26</v>
      </c>
      <c r="K72" s="32" t="n">
        <v>0</v>
      </c>
      <c r="L72" s="31" t="n">
        <v>87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64.47</v>
      </c>
      <c r="P72" s="32" t="n">
        <v>25.48</v>
      </c>
      <c r="Q72" s="32" t="n">
        <v>2051.72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-6.54</v>
      </c>
      <c r="U72" s="32" t="n">
        <v>186.19</v>
      </c>
      <c r="V72" s="32" t="n">
        <v>206.23</v>
      </c>
      <c r="W72" s="32" t="n">
        <v>31.56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MMTC</t>
        </is>
      </c>
      <c r="D73" s="34" t="inlineStr">
        <is>
          <t>MMTC Ltd</t>
        </is>
      </c>
      <c r="E73" s="31" t="inlineStr">
        <is>
          <t>Industrials</t>
        </is>
      </c>
      <c r="F73" s="31" t="inlineStr">
        <is>
          <t>Trading</t>
        </is>
      </c>
      <c r="G73" s="31" t="inlineStr">
        <is>
          <t>midcap</t>
        </is>
      </c>
      <c r="H73" s="32" t="n">
        <v>10204.5</v>
      </c>
      <c r="I73" s="32" t="n">
        <v>68.03</v>
      </c>
      <c r="J73" s="32" t="n">
        <v>-0.41</v>
      </c>
      <c r="K73" s="32" t="n">
        <v>0</v>
      </c>
      <c r="L73" s="31" t="n">
        <v>8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56.09</v>
      </c>
      <c r="P73" s="32" t="n">
        <v>14.19</v>
      </c>
      <c r="Q73" s="32" t="n">
        <v>49.24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-6.54</v>
      </c>
      <c r="U73" s="32" t="n">
        <v>-7.53</v>
      </c>
      <c r="V73" s="32" t="n">
        <v>-1.05</v>
      </c>
      <c r="W73" s="32" t="n">
        <v>2.95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SENORES</t>
        </is>
      </c>
      <c r="D74" s="31" t="inlineStr">
        <is>
          <t>Senores Pharmaceuticals Ltd</t>
        </is>
      </c>
      <c r="E74" s="31" t="inlineStr">
        <is>
          <t>Healthcare</t>
        </is>
      </c>
      <c r="F74" s="31" t="inlineStr">
        <is>
          <t>Pharma - API</t>
        </is>
      </c>
      <c r="G74" s="31" t="inlineStr">
        <is>
          <t>smallcap</t>
        </is>
      </c>
      <c r="H74" s="32" t="n">
        <v>4765.16</v>
      </c>
      <c r="I74" s="32" t="n">
        <v>1034.7</v>
      </c>
      <c r="J74" s="32" t="n">
        <v>-0.93</v>
      </c>
      <c r="K74" s="32" t="n">
        <v>0</v>
      </c>
      <c r="L74" s="31" t="n">
        <v>76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65.78</v>
      </c>
      <c r="P74" s="32" t="n">
        <v>36.77</v>
      </c>
      <c r="Q74" s="32" t="n">
        <v>868.1799999999999</v>
      </c>
      <c r="R74" s="31" t="inlineStr">
        <is>
          <t>Earnings / Momentum Support</t>
        </is>
      </c>
      <c r="S74" s="31" t="inlineStr">
        <is>
          <t>Nifty Pharma</t>
        </is>
      </c>
      <c r="T74" s="32" t="n">
        <v>11.82</v>
      </c>
      <c r="U74" s="32" t="n">
        <v>94.16</v>
      </c>
      <c r="V74" s="32" t="n">
        <v>73.64</v>
      </c>
      <c r="W74" s="32" t="n">
        <v>23.03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SOTL</t>
        </is>
      </c>
      <c r="D75" s="34" t="inlineStr">
        <is>
          <t>Savita Oil Technologies Ltd</t>
        </is>
      </c>
      <c r="E75" s="31" t="inlineStr">
        <is>
          <t>energy</t>
        </is>
      </c>
      <c r="F75" s="31" t="inlineStr">
        <is>
          <t>Petrochem - Others</t>
        </is>
      </c>
      <c r="G75" s="31" t="inlineStr">
        <is>
          <t>smallcap</t>
        </is>
      </c>
      <c r="H75" s="32" t="n">
        <v>3842.81</v>
      </c>
      <c r="I75" s="32" t="n">
        <v>560.5</v>
      </c>
      <c r="J75" s="32" t="n">
        <v>-0.67</v>
      </c>
      <c r="K75" s="32" t="n">
        <v>0</v>
      </c>
      <c r="L75" s="31" t="n">
        <v>71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74.61</v>
      </c>
      <c r="P75" s="32" t="n">
        <v>23.58</v>
      </c>
      <c r="Q75" s="32" t="n">
        <v>422.23</v>
      </c>
      <c r="R75" s="31" t="inlineStr">
        <is>
          <t>Volume Spike &amp; Near 52W High Breakout</t>
        </is>
      </c>
      <c r="S75" s="31" t="inlineStr">
        <is>
          <t>Nifty Energy</t>
        </is>
      </c>
      <c r="T75" s="32" t="n">
        <v>12.31</v>
      </c>
      <c r="U75" s="32" t="n">
        <v>33.41</v>
      </c>
      <c r="V75" s="32" t="n">
        <v>18.79</v>
      </c>
      <c r="W75" s="32" t="n">
        <v>19.99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27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JAYBARMARU</t>
        </is>
      </c>
      <c r="D76" s="31" t="inlineStr">
        <is>
          <t>Jay Bharat Maruti Ltd</t>
        </is>
      </c>
      <c r="E76" s="31" t="inlineStr">
        <is>
          <t>auto</t>
        </is>
      </c>
      <c r="F76" s="31" t="inlineStr">
        <is>
          <t>Auto Ancillaries - Diversified</t>
        </is>
      </c>
      <c r="G76" s="31" t="inlineStr">
        <is>
          <t>smallcap</t>
        </is>
      </c>
      <c r="H76" s="32" t="n">
        <v>1385.28</v>
      </c>
      <c r="I76" s="32" t="n">
        <v>127.97</v>
      </c>
      <c r="J76" s="32" t="n">
        <v>1.08</v>
      </c>
      <c r="K76" s="32" t="n">
        <v>0</v>
      </c>
      <c r="L76" s="31" t="n">
        <v>67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65.44</v>
      </c>
      <c r="P76" s="32" t="n">
        <v>15.35</v>
      </c>
      <c r="Q76" s="32" t="n">
        <v>90.14</v>
      </c>
      <c r="R76" s="31" t="inlineStr">
        <is>
          <t>Volume Spike &amp; Near 52W High Breakout</t>
        </is>
      </c>
      <c r="S76" s="31" t="inlineStr">
        <is>
          <t>Nifty Auto</t>
        </is>
      </c>
      <c r="T76" s="32" t="n">
        <v>10.59</v>
      </c>
      <c r="U76" s="32" t="n">
        <v>64.98999999999999</v>
      </c>
      <c r="V76" s="32" t="n">
        <v>49.2</v>
      </c>
      <c r="W76" s="32" t="n">
        <v>18.86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BMW</t>
        </is>
      </c>
      <c r="D77" s="34" t="inlineStr">
        <is>
          <t>BMW Industries Ltd</t>
        </is>
      </c>
      <c r="E77" s="31" t="inlineStr">
        <is>
          <t>Basic Materials</t>
        </is>
      </c>
      <c r="F77" s="31" t="inlineStr">
        <is>
          <t>Steel Products</t>
        </is>
      </c>
      <c r="G77" s="31" t="inlineStr">
        <is>
          <t>smallcap</t>
        </is>
      </c>
      <c r="H77" s="32" t="n">
        <v>1354.57</v>
      </c>
      <c r="I77" s="32" t="n">
        <v>60.18</v>
      </c>
      <c r="J77" s="32" t="n">
        <v>-0.35</v>
      </c>
      <c r="K77" s="32" t="n">
        <v>0</v>
      </c>
      <c r="L77" s="31" t="n">
        <v>77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72.56999999999999</v>
      </c>
      <c r="P77" s="32" t="n">
        <v>34.16</v>
      </c>
      <c r="Q77" s="32" t="n">
        <v>43.58</v>
      </c>
      <c r="R77" s="31" t="inlineStr">
        <is>
          <t>Volume Spike &amp; Near 52W High Breakout</t>
        </is>
      </c>
      <c r="S77" s="31" t="inlineStr">
        <is>
          <t>Nifty Metal</t>
        </is>
      </c>
      <c r="T77" s="32" t="n">
        <v>40.56</v>
      </c>
      <c r="U77" s="32" t="n">
        <v>16.25</v>
      </c>
      <c r="V77" s="32" t="n">
        <v>-17.3</v>
      </c>
      <c r="W77" s="32" t="n">
        <v>24.02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23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INDNIPPON</t>
        </is>
      </c>
      <c r="D78" s="31" t="inlineStr">
        <is>
          <t>India Nippon Electricals Ltd</t>
        </is>
      </c>
      <c r="E78" s="31" t="inlineStr">
        <is>
          <t>auto</t>
        </is>
      </c>
      <c r="F78" s="31" t="inlineStr">
        <is>
          <t>Auto Ancillaries - Engine Parts</t>
        </is>
      </c>
      <c r="G78" s="31" t="inlineStr">
        <is>
          <t>smallcap</t>
        </is>
      </c>
      <c r="H78" s="32" t="n">
        <v>2049.27</v>
      </c>
      <c r="I78" s="32" t="n">
        <v>905.9</v>
      </c>
      <c r="J78" s="32" t="n">
        <v>-1.1</v>
      </c>
      <c r="K78" s="32" t="n">
        <v>0</v>
      </c>
      <c r="L78" s="31" t="n">
        <v>37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61.07</v>
      </c>
      <c r="P78" s="32" t="n">
        <v>10.62</v>
      </c>
      <c r="Q78" s="32" t="n">
        <v>713.83</v>
      </c>
      <c r="R78" s="31" t="inlineStr">
        <is>
          <t>Earnings / Momentum Support</t>
        </is>
      </c>
      <c r="S78" s="31" t="inlineStr">
        <is>
          <t>Nifty Auto</t>
        </is>
      </c>
      <c r="T78" s="32" t="n">
        <v>10.59</v>
      </c>
      <c r="U78" s="32" t="n">
        <v>33.91</v>
      </c>
      <c r="V78" s="32" t="n">
        <v>21.1</v>
      </c>
      <c r="W78" s="32" t="n">
        <v>9.66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21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KINGFA</t>
        </is>
      </c>
      <c r="D79" s="31" t="inlineStr">
        <is>
          <t>Kingfa Science &amp; Technology (India) Ltd</t>
        </is>
      </c>
      <c r="E79" s="31" t="inlineStr">
        <is>
          <t>plastic products</t>
        </is>
      </c>
      <c r="F79" s="31" t="inlineStr">
        <is>
          <t>Plastics - Plastic &amp; Plastic Products</t>
        </is>
      </c>
      <c r="G79" s="31" t="inlineStr">
        <is>
          <t>midcap</t>
        </is>
      </c>
      <c r="H79" s="32" t="n">
        <v>7273.03</v>
      </c>
      <c r="I79" s="32" t="n">
        <v>5367</v>
      </c>
      <c r="J79" s="32" t="n">
        <v>-0.06</v>
      </c>
      <c r="K79" s="32" t="n">
        <v>0</v>
      </c>
      <c r="L79" s="31" t="n">
        <v>65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64.42</v>
      </c>
      <c r="P79" s="32" t="n">
        <v>22.02</v>
      </c>
      <c r="Q79" s="32" t="n">
        <v>4205.08</v>
      </c>
      <c r="R79" s="31" t="inlineStr">
        <is>
          <t>Near 52W High Breakout</t>
        </is>
      </c>
      <c r="S79" s="31" t="inlineStr">
        <is>
          <t>Nifty 50</t>
        </is>
      </c>
      <c r="T79" s="32" t="n">
        <v>-6.54</v>
      </c>
      <c r="U79" s="32" t="n">
        <v>66.93000000000001</v>
      </c>
      <c r="V79" s="32" t="n">
        <v>78.62</v>
      </c>
      <c r="W79" s="32" t="n">
        <v>17.59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ROBU</t>
        </is>
      </c>
      <c r="D80" s="31" t="inlineStr">
        <is>
          <t>Macfos Ltd</t>
        </is>
      </c>
      <c r="E80" s="31" t="inlineStr">
        <is>
          <t>Technology</t>
        </is>
      </c>
      <c r="F80" s="31" t="inlineStr">
        <is>
          <t>E-Commerce - Platform - Utility</t>
        </is>
      </c>
      <c r="G80" s="31" t="inlineStr">
        <is>
          <t>smallcap</t>
        </is>
      </c>
      <c r="H80" s="32" t="n">
        <v>1274.98</v>
      </c>
      <c r="I80" s="32" t="n">
        <v>1230.85</v>
      </c>
      <c r="J80" s="32" t="n">
        <v>-5.34</v>
      </c>
      <c r="K80" s="32" t="n">
        <v>0</v>
      </c>
      <c r="L80" s="31" t="n">
        <v>73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80.16</v>
      </c>
      <c r="P80" s="32" t="n">
        <v>67.84999999999999</v>
      </c>
      <c r="Q80" s="32" t="n">
        <v>915.4</v>
      </c>
      <c r="R80" s="31" t="inlineStr">
        <is>
          <t>Near 52W High Breakout</t>
        </is>
      </c>
      <c r="S80" s="31" t="inlineStr">
        <is>
          <t>Nifty 50</t>
        </is>
      </c>
      <c r="T80" s="32" t="n">
        <v>-6.54</v>
      </c>
      <c r="U80" s="32" t="n">
        <v>73.92</v>
      </c>
      <c r="V80" s="32" t="n">
        <v>86.09999999999999</v>
      </c>
      <c r="W80" s="32" t="n">
        <v>21.77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V2RETAIL</t>
        </is>
      </c>
      <c r="D81" s="31" t="inlineStr">
        <is>
          <t>V2 Retail Ltd</t>
        </is>
      </c>
      <c r="E81" s="31" t="inlineStr">
        <is>
          <t>consumer discretionary</t>
        </is>
      </c>
      <c r="F81" s="31" t="inlineStr">
        <is>
          <t>Textiles - Readymade Apparel</t>
        </is>
      </c>
      <c r="G81" s="31" t="inlineStr">
        <is>
          <t>midcap</t>
        </is>
      </c>
      <c r="H81" s="32" t="n">
        <v>9042.65</v>
      </c>
      <c r="I81" s="32" t="n">
        <v>247.99</v>
      </c>
      <c r="J81" s="32" t="n">
        <v>-3.28</v>
      </c>
      <c r="K81" s="32" t="n">
        <v>0</v>
      </c>
      <c r="L81" s="31" t="n">
        <v>52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66.48</v>
      </c>
      <c r="P81" s="32" t="n">
        <v>26.15</v>
      </c>
      <c r="Q81" s="32" t="n">
        <v>182.91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-6.54</v>
      </c>
      <c r="U81" s="32" t="n">
        <v>36.2</v>
      </c>
      <c r="V81" s="32" t="n">
        <v>45.74</v>
      </c>
      <c r="W81" s="32" t="n">
        <v>13.87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25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DIACABS</t>
        </is>
      </c>
      <c r="D82" s="31" t="inlineStr">
        <is>
          <t>Diamond Power Infrastructure Ltd</t>
        </is>
      </c>
      <c r="E82" s="31" t="inlineStr">
        <is>
          <t>industrials</t>
        </is>
      </c>
      <c r="F82" s="31" t="inlineStr">
        <is>
          <t>Cables - Power</t>
        </is>
      </c>
      <c r="G82" s="31" t="inlineStr">
        <is>
          <t>midcap</t>
        </is>
      </c>
      <c r="H82" s="32" t="n">
        <v>10729.13</v>
      </c>
      <c r="I82" s="32" t="n">
        <v>203.6</v>
      </c>
      <c r="J82" s="32" t="n">
        <v>5.66</v>
      </c>
      <c r="K82" s="32" t="n">
        <v>0</v>
      </c>
      <c r="L82" s="31" t="n">
        <v>83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76.54000000000001</v>
      </c>
      <c r="P82" s="32" t="n">
        <v>29.5</v>
      </c>
      <c r="Q82" s="32" t="n">
        <v>151.68</v>
      </c>
      <c r="R82" s="31" t="inlineStr">
        <is>
          <t>Volume Spike &amp; Near 52W High Breakout</t>
        </is>
      </c>
      <c r="S82" s="31" t="inlineStr">
        <is>
          <t>Nifty Energy</t>
        </is>
      </c>
      <c r="T82" s="32" t="n">
        <v>12.31</v>
      </c>
      <c r="U82" s="32" t="n">
        <v>101.03</v>
      </c>
      <c r="V82" s="32" t="n">
        <v>78.98999999999999</v>
      </c>
      <c r="W82" s="32" t="n">
        <v>27.43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25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SHYAMMETL</t>
        </is>
      </c>
      <c r="D83" s="34" t="inlineStr">
        <is>
          <t>Shyam Metalics &amp; Energy Ltd</t>
        </is>
      </c>
      <c r="E83" s="31" t="inlineStr">
        <is>
          <t>metals &amp; mining</t>
        </is>
      </c>
      <c r="F83" s="31" t="inlineStr">
        <is>
          <t>Steel Products</t>
        </is>
      </c>
      <c r="G83" s="31" t="inlineStr">
        <is>
          <t>largecap</t>
        </is>
      </c>
      <c r="H83" s="32" t="n">
        <v>27949.47</v>
      </c>
      <c r="I83" s="32" t="n">
        <v>1001.3</v>
      </c>
      <c r="J83" s="32" t="n">
        <v>-0.07000000000000001</v>
      </c>
      <c r="K83" s="32" t="n">
        <v>0</v>
      </c>
      <c r="L83" s="31" t="n">
        <v>34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65.81</v>
      </c>
      <c r="P83" s="32" t="n">
        <v>14.17</v>
      </c>
      <c r="Q83" s="32" t="n">
        <v>806.87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40.56</v>
      </c>
      <c r="U83" s="32" t="n">
        <v>15.57</v>
      </c>
      <c r="V83" s="32" t="n">
        <v>-17.78</v>
      </c>
      <c r="W83" s="32" t="n">
        <v>8.92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23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ANTELOPUS</t>
        </is>
      </c>
      <c r="D84" s="31" t="inlineStr">
        <is>
          <t>Antelopus Selan Energy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3162.33</v>
      </c>
      <c r="I84" s="32" t="n">
        <v>899.35</v>
      </c>
      <c r="J84" s="32" t="n">
        <v>-1.75</v>
      </c>
      <c r="K84" s="32" t="n">
        <v>0</v>
      </c>
      <c r="L84" s="31" t="n">
        <v>77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71.73999999999999</v>
      </c>
      <c r="P84" s="32" t="n">
        <v>39.6</v>
      </c>
      <c r="Q84" s="32" t="n">
        <v>628.8099999999999</v>
      </c>
      <c r="R84" s="31" t="inlineStr">
        <is>
          <t>Near 52W High Breakout</t>
        </is>
      </c>
      <c r="S84" s="31" t="inlineStr">
        <is>
          <t>Nifty Energy</t>
        </is>
      </c>
      <c r="T84" s="32" t="n">
        <v>12.31</v>
      </c>
      <c r="U84" s="32" t="n">
        <v>49.28</v>
      </c>
      <c r="V84" s="32" t="n">
        <v>32.92</v>
      </c>
      <c r="W84" s="32" t="n">
        <v>24.04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CEIGALL</t>
        </is>
      </c>
      <c r="D85" s="34" t="inlineStr">
        <is>
          <t>Ceigall India Ltd</t>
        </is>
      </c>
      <c r="E85" s="31" t="inlineStr">
        <is>
          <t>realty</t>
        </is>
      </c>
      <c r="F85" s="31" t="inlineStr">
        <is>
          <t>Construction - Civil/Turnkey</t>
        </is>
      </c>
      <c r="G85" s="31" t="inlineStr">
        <is>
          <t>midcap</t>
        </is>
      </c>
      <c r="H85" s="32" t="n">
        <v>6245.24</v>
      </c>
      <c r="I85" s="32" t="n">
        <v>358.5</v>
      </c>
      <c r="J85" s="32" t="n">
        <v>0</v>
      </c>
      <c r="K85" s="32" t="n">
        <v>0</v>
      </c>
      <c r="L85" s="31" t="n">
        <v>57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68.81</v>
      </c>
      <c r="P85" s="32" t="n">
        <v>41.58</v>
      </c>
      <c r="Q85" s="32" t="n">
        <v>298.02</v>
      </c>
      <c r="R85" s="31" t="inlineStr">
        <is>
          <t>Near 52W High Breakout</t>
        </is>
      </c>
      <c r="S85" s="31" t="inlineStr">
        <is>
          <t>Nifty Realty</t>
        </is>
      </c>
      <c r="T85" s="32" t="n">
        <v>-26.04</v>
      </c>
      <c r="U85" s="32" t="n">
        <v>46.43</v>
      </c>
      <c r="V85" s="32" t="n">
        <v>97.98</v>
      </c>
      <c r="W85" s="32" t="n">
        <v>14.86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VADILALIND</t>
        </is>
      </c>
      <c r="D86" s="31" t="inlineStr">
        <is>
          <t>Vadilal Industries Ltd</t>
        </is>
      </c>
      <c r="E86" s="31" t="inlineStr">
        <is>
          <t>fmcg</t>
        </is>
      </c>
      <c r="F86" s="31" t="inlineStr">
        <is>
          <t>FMCG - Dairy Products</t>
        </is>
      </c>
      <c r="G86" s="31" t="inlineStr">
        <is>
          <t>smallcap</t>
        </is>
      </c>
      <c r="H86" s="32" t="n">
        <v>4155.07</v>
      </c>
      <c r="I86" s="32" t="n">
        <v>5780.7</v>
      </c>
      <c r="J86" s="32" t="n">
        <v>5.24</v>
      </c>
      <c r="K86" s="32" t="n">
        <v>0</v>
      </c>
      <c r="L86" s="31" t="n">
        <v>14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64.17</v>
      </c>
      <c r="P86" s="32" t="n">
        <v>11.06</v>
      </c>
      <c r="Q86" s="32" t="n">
        <v>4390.09</v>
      </c>
      <c r="R86" s="31" t="inlineStr">
        <is>
          <t>Volume Spike &amp; Near 52W High Breakout</t>
        </is>
      </c>
      <c r="S86" s="31" t="inlineStr">
        <is>
          <t>Nifty FMCG</t>
        </is>
      </c>
      <c r="T86" s="32" t="n">
        <v>-13.44</v>
      </c>
      <c r="U86" s="32" t="n">
        <v>6.54</v>
      </c>
      <c r="V86" s="32" t="n">
        <v>23.08</v>
      </c>
      <c r="W86" s="32" t="n">
        <v>4.13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1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22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NSLNISP</t>
        </is>
      </c>
      <c r="D87" s="33" t="inlineStr">
        <is>
          <t>NMDC Steel Ltd</t>
        </is>
      </c>
      <c r="E87" s="31" t="inlineStr">
        <is>
          <t>metals &amp; mining</t>
        </is>
      </c>
      <c r="F87" s="31" t="inlineStr">
        <is>
          <t>Steel</t>
        </is>
      </c>
      <c r="G87" s="31" t="inlineStr">
        <is>
          <t>midcap</t>
        </is>
      </c>
      <c r="H87" s="32" t="n">
        <v>14641.31</v>
      </c>
      <c r="I87" s="32" t="n">
        <v>49.96</v>
      </c>
      <c r="J87" s="32" t="n">
        <v>-1.5</v>
      </c>
      <c r="K87" s="32" t="n">
        <v>0</v>
      </c>
      <c r="L87" s="31" t="n">
        <v>44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67.93000000000001</v>
      </c>
      <c r="P87" s="32" t="n">
        <v>24.11</v>
      </c>
      <c r="Q87" s="32" t="n">
        <v>39.02</v>
      </c>
      <c r="R87" s="31" t="inlineStr">
        <is>
          <t>Volume Spike &amp; Near 52W High Breakout</t>
        </is>
      </c>
      <c r="S87" s="31" t="inlineStr">
        <is>
          <t>Nifty Metal</t>
        </is>
      </c>
      <c r="T87" s="32" t="n">
        <v>40.56</v>
      </c>
      <c r="U87" s="32" t="n">
        <v>26.71</v>
      </c>
      <c r="V87" s="32" t="n">
        <v>-9.859999999999999</v>
      </c>
      <c r="W87" s="32" t="n">
        <v>11.5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AEROFLEX</t>
        </is>
      </c>
      <c r="D88" s="31" t="inlineStr">
        <is>
          <t>Aeroflex Industries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midcap</t>
        </is>
      </c>
      <c r="H88" s="32" t="n">
        <v>5554.58</v>
      </c>
      <c r="I88" s="32" t="n">
        <v>419.75</v>
      </c>
      <c r="J88" s="32" t="n">
        <v>-4.47</v>
      </c>
      <c r="K88" s="32" t="n">
        <v>0</v>
      </c>
      <c r="L88" s="31" t="n">
        <v>94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</v>
      </c>
      <c r="P88" s="32" t="n">
        <v>53.8</v>
      </c>
      <c r="Q88" s="32" t="n">
        <v>304.78</v>
      </c>
      <c r="R88" s="31" t="inlineStr">
        <is>
          <t>Near 52W High Breakout</t>
        </is>
      </c>
      <c r="S88" s="31" t="inlineStr">
        <is>
          <t>Nifty Metal</t>
        </is>
      </c>
      <c r="T88" s="32" t="n">
        <v>40.56</v>
      </c>
      <c r="U88" s="32" t="n">
        <v>157.88</v>
      </c>
      <c r="V88" s="32" t="n">
        <v>83.45999999999999</v>
      </c>
      <c r="W88" s="32" t="n">
        <v>42.89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Between 1.5 to 2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20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PTCIL</t>
        </is>
      </c>
      <c r="D89" s="31" t="inlineStr">
        <is>
          <t>PTC Industries Ltd</t>
        </is>
      </c>
      <c r="E89" s="31" t="inlineStr">
        <is>
          <t>industrials</t>
        </is>
      </c>
      <c r="F89" s="31" t="inlineStr">
        <is>
          <t>Castings - Steel/Alloy</t>
        </is>
      </c>
      <c r="G89" s="31" t="inlineStr">
        <is>
          <t>largecap</t>
        </is>
      </c>
      <c r="H89" s="32" t="n">
        <v>27770.7</v>
      </c>
      <c r="I89" s="32" t="n">
        <v>18523</v>
      </c>
      <c r="J89" s="32" t="n">
        <v>-0.88</v>
      </c>
      <c r="K89" s="32" t="n">
        <v>0</v>
      </c>
      <c r="L89" s="31" t="n">
        <v>27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60.49</v>
      </c>
      <c r="P89" s="32" t="n">
        <v>12.32</v>
      </c>
      <c r="Q89" s="32" t="n">
        <v>14397.78</v>
      </c>
      <c r="R89" s="31" t="inlineStr">
        <is>
          <t>Volume Spike &amp; Near 52W High Breakout</t>
        </is>
      </c>
      <c r="S89" s="31" t="inlineStr">
        <is>
          <t>Nifty 50</t>
        </is>
      </c>
      <c r="T89" s="32" t="n">
        <v>-6.54</v>
      </c>
      <c r="U89" s="32" t="n">
        <v>26.84</v>
      </c>
      <c r="V89" s="32" t="n">
        <v>35.72</v>
      </c>
      <c r="W89" s="32" t="n">
        <v>6.92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1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24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ASIANENE</t>
        </is>
      </c>
      <c r="D90" s="34" t="inlineStr">
        <is>
          <t>Asian Energy Services Ltd</t>
        </is>
      </c>
      <c r="E90" s="31" t="inlineStr">
        <is>
          <t>energy</t>
        </is>
      </c>
      <c r="F90" s="31" t="inlineStr">
        <is>
          <t>Oil Drilling &amp; Exploration</t>
        </is>
      </c>
      <c r="G90" s="31" t="inlineStr">
        <is>
          <t>smallcap</t>
        </is>
      </c>
      <c r="H90" s="32" t="n">
        <v>1857.43</v>
      </c>
      <c r="I90" s="32" t="n">
        <v>382.1</v>
      </c>
      <c r="J90" s="32" t="n">
        <v>3.49</v>
      </c>
      <c r="K90" s="32" t="n">
        <v>0</v>
      </c>
      <c r="L90" s="31" t="n">
        <v>51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65.98999999999999</v>
      </c>
      <c r="P90" s="32" t="n">
        <v>12.49</v>
      </c>
      <c r="Q90" s="32" t="n">
        <v>273.48</v>
      </c>
      <c r="R90" s="31" t="inlineStr">
        <is>
          <t>Volume Spike &amp; Near 52W High Breakout</t>
        </is>
      </c>
      <c r="S90" s="31" t="inlineStr">
        <is>
          <t>Nifty Energy</t>
        </is>
      </c>
      <c r="T90" s="32" t="n">
        <v>12.31</v>
      </c>
      <c r="U90" s="32" t="n">
        <v>23.83</v>
      </c>
      <c r="V90" s="32" t="n">
        <v>10.26</v>
      </c>
      <c r="W90" s="32" t="n">
        <v>13.36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SILVERTUC</t>
        </is>
      </c>
      <c r="D91" s="34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2267.74</v>
      </c>
      <c r="I91" s="32" t="n">
        <v>178.83</v>
      </c>
      <c r="J91" s="32" t="n">
        <v>3.32</v>
      </c>
      <c r="K91" s="32" t="n">
        <v>0</v>
      </c>
      <c r="L91" s="31" t="n">
        <v>1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38.03</v>
      </c>
      <c r="P91" s="32" t="n">
        <v>45.38</v>
      </c>
      <c r="Q91" s="32" t="n">
        <v>53.83</v>
      </c>
      <c r="R91" s="31" t="inlineStr">
        <is>
          <t>Volume Spike / Accumulation</t>
        </is>
      </c>
      <c r="S91" s="31" t="inlineStr">
        <is>
          <t>Nifty IT</t>
        </is>
      </c>
      <c r="T91" s="32" t="n">
        <v>-22.21</v>
      </c>
      <c r="U91" s="32" t="n">
        <v>-76.77</v>
      </c>
      <c r="V91" s="32" t="n">
        <v>-70.13</v>
      </c>
      <c r="W91" s="32" t="n">
        <v>-6.25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SKYGOLD</t>
        </is>
      </c>
      <c r="D92" s="31" t="inlineStr">
        <is>
          <t>Sky Gold &amp; Diamonds Ltd</t>
        </is>
      </c>
      <c r="E92" s="31" t="inlineStr">
        <is>
          <t>consumer discretionary</t>
        </is>
      </c>
      <c r="F92" s="31" t="inlineStr">
        <is>
          <t>Diamond, Gems &amp; Jewellery</t>
        </is>
      </c>
      <c r="G92" s="31" t="inlineStr">
        <is>
          <t>midcap</t>
        </is>
      </c>
      <c r="H92" s="32" t="n">
        <v>8184.31</v>
      </c>
      <c r="I92" s="32" t="n">
        <v>528.45</v>
      </c>
      <c r="J92" s="32" t="n">
        <v>-7.52</v>
      </c>
      <c r="K92" s="32" t="n">
        <v>0</v>
      </c>
      <c r="L92" s="31" t="n">
        <v>73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67.04000000000001</v>
      </c>
      <c r="P92" s="32" t="n">
        <v>31.29</v>
      </c>
      <c r="Q92" s="32" t="n">
        <v>384.35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-6.54</v>
      </c>
      <c r="U92" s="32" t="n">
        <v>40.02</v>
      </c>
      <c r="V92" s="32" t="n">
        <v>49.83</v>
      </c>
      <c r="W92" s="32" t="n">
        <v>21.43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22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3" t="inlineStr">
        <is>
          <t>LLOYDSME</t>
        </is>
      </c>
      <c r="D93" s="33" t="inlineStr">
        <is>
          <t>Lloyds Metals &amp; Energy Ltd</t>
        </is>
      </c>
      <c r="E93" s="31" t="inlineStr">
        <is>
          <t>metals &amp; mining</t>
        </is>
      </c>
      <c r="F93" s="31" t="inlineStr">
        <is>
          <t>Mining/Minerals - Iron Ore</t>
        </is>
      </c>
      <c r="G93" s="31" t="inlineStr">
        <is>
          <t>largecap</t>
        </is>
      </c>
      <c r="H93" s="32" t="n">
        <v>100096.96</v>
      </c>
      <c r="I93" s="32" t="n">
        <v>1778.6</v>
      </c>
      <c r="J93" s="32" t="n">
        <v>0.17</v>
      </c>
      <c r="K93" s="32" t="n">
        <v>0</v>
      </c>
      <c r="L93" s="31" t="n">
        <v>61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70.45</v>
      </c>
      <c r="P93" s="32" t="n">
        <v>35.52</v>
      </c>
      <c r="Q93" s="32" t="n">
        <v>1448.97</v>
      </c>
      <c r="R93" s="31" t="inlineStr">
        <is>
          <t>Near 52W High Breakout</t>
        </is>
      </c>
      <c r="S93" s="31" t="inlineStr">
        <is>
          <t>Nifty Metal</t>
        </is>
      </c>
      <c r="T93" s="32" t="n">
        <v>40.56</v>
      </c>
      <c r="U93" s="32" t="n">
        <v>21.91</v>
      </c>
      <c r="V93" s="32" t="n">
        <v>-13.27</v>
      </c>
      <c r="W93" s="32" t="n">
        <v>16.09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Less than 50% and Borrowings are increasing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More than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21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PANAMAPET</t>
        </is>
      </c>
      <c r="D94" s="34" t="inlineStr">
        <is>
          <t>Panama Petrochem Ltd</t>
        </is>
      </c>
      <c r="E94" s="31" t="inlineStr">
        <is>
          <t>energy</t>
        </is>
      </c>
      <c r="F94" s="31" t="inlineStr">
        <is>
          <t>Speciality Chemicals</t>
        </is>
      </c>
      <c r="G94" s="31" t="inlineStr">
        <is>
          <t>smallcap</t>
        </is>
      </c>
      <c r="H94" s="32" t="n">
        <v>2085.52</v>
      </c>
      <c r="I94" s="32" t="n">
        <v>344.75</v>
      </c>
      <c r="J94" s="32" t="n">
        <v>-1.39</v>
      </c>
      <c r="K94" s="32" t="n">
        <v>0</v>
      </c>
      <c r="L94" s="31" t="n">
        <v>17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64.67</v>
      </c>
      <c r="P94" s="32" t="n">
        <v>18.32</v>
      </c>
      <c r="Q94" s="32" t="n">
        <v>256.79</v>
      </c>
      <c r="R94" s="31" t="inlineStr">
        <is>
          <t>Volume Spike &amp; Near 52W High Breakout</t>
        </is>
      </c>
      <c r="S94" s="31" t="inlineStr">
        <is>
          <t>Nifty Energy</t>
        </is>
      </c>
      <c r="T94" s="32" t="n">
        <v>12.31</v>
      </c>
      <c r="U94" s="32" t="n">
        <v>-4.75</v>
      </c>
      <c r="V94" s="32" t="n">
        <v>-15.19</v>
      </c>
      <c r="W94" s="32" t="n">
        <v>4.98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Negative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KRISHANA</t>
        </is>
      </c>
      <c r="D95" s="31" t="inlineStr">
        <is>
          <t>Krishana Phoschem Ltd</t>
        </is>
      </c>
      <c r="E95" s="31" t="inlineStr">
        <is>
          <t>Basic Materials</t>
        </is>
      </c>
      <c r="F95" s="31" t="inlineStr">
        <is>
          <t>Fertilisers</t>
        </is>
      </c>
      <c r="G95" s="31" t="inlineStr">
        <is>
          <t>smallcap</t>
        </is>
      </c>
      <c r="H95" s="32" t="n">
        <v>4037.04</v>
      </c>
      <c r="I95" s="32" t="n">
        <v>666.7</v>
      </c>
      <c r="J95" s="32" t="n">
        <v>-2.61</v>
      </c>
      <c r="K95" s="32" t="n">
        <v>0</v>
      </c>
      <c r="L95" s="31" t="n">
        <v>64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65.97</v>
      </c>
      <c r="P95" s="32" t="n">
        <v>34.03</v>
      </c>
      <c r="Q95" s="32" t="n">
        <v>536.63</v>
      </c>
      <c r="R95" s="31" t="inlineStr">
        <is>
          <t>Earnings / Momentum Support</t>
        </is>
      </c>
      <c r="S95" s="31" t="inlineStr">
        <is>
          <t>Nifty FMCG</t>
        </is>
      </c>
      <c r="T95" s="32" t="n">
        <v>-13.44</v>
      </c>
      <c r="U95" s="32" t="n">
        <v>49.83</v>
      </c>
      <c r="V95" s="32" t="n">
        <v>73.09</v>
      </c>
      <c r="W95" s="32" t="n">
        <v>17.38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Negative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19</t>
        </is>
      </c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OBSCP</t>
        </is>
      </c>
      <c r="D96" s="31" t="inlineStr">
        <is>
          <t>OBSC Perfection Ltd</t>
        </is>
      </c>
      <c r="E96" s="31" t="inlineStr">
        <is>
          <t>unknown</t>
        </is>
      </c>
      <c r="F96" s="31" t="inlineStr">
        <is>
          <t>Auto Ancillaries - Diversified</t>
        </is>
      </c>
      <c r="G96" s="31" t="inlineStr">
        <is>
          <t>smallcap</t>
        </is>
      </c>
      <c r="H96" s="32" t="n">
        <v>1257.39</v>
      </c>
      <c r="I96" s="32" t="n">
        <v>486.5</v>
      </c>
      <c r="J96" s="32" t="n">
        <v>-0.53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ASHAPURMIN</t>
        </is>
      </c>
      <c r="B102" s="37" t="inlineStr">
        <is>
          <t>ASHAPURMIN</t>
        </is>
      </c>
      <c r="C102" s="37" t="inlineStr">
        <is>
          <t>unknown</t>
        </is>
      </c>
      <c r="D102" s="38" t="inlineStr">
        <is>
          <t>2026-06-05</t>
        </is>
      </c>
    </row>
    <row r="103">
      <c r="A103" s="36" t="inlineStr">
        <is>
          <t>BALAMINES</t>
        </is>
      </c>
      <c r="B103" s="37" t="inlineStr">
        <is>
          <t>Balaji Amines Limited</t>
        </is>
      </c>
      <c r="C103" s="37" t="inlineStr">
        <is>
          <t>Basic Materials</t>
        </is>
      </c>
      <c r="D103" s="38" t="inlineStr">
        <is>
          <t>2026-06-05</t>
        </is>
      </c>
    </row>
    <row r="104">
      <c r="A104" s="36" t="inlineStr">
        <is>
          <t>BHAGYANGR</t>
        </is>
      </c>
      <c r="B104" s="37" t="inlineStr">
        <is>
          <t>Bhagyanagar India Limited</t>
        </is>
      </c>
      <c r="C104" s="37" t="inlineStr">
        <is>
          <t>Basic Materials</t>
        </is>
      </c>
      <c r="D104" s="38" t="inlineStr">
        <is>
          <t>2026-06-05</t>
        </is>
      </c>
    </row>
    <row r="105">
      <c r="A105" s="36" t="inlineStr">
        <is>
          <t>CPPLUS</t>
        </is>
      </c>
      <c r="B105" s="37" t="inlineStr">
        <is>
          <t>CPPLUS</t>
        </is>
      </c>
      <c r="C105" s="37" t="inlineStr">
        <is>
          <t>unknown</t>
        </is>
      </c>
      <c r="D105" s="38" t="inlineStr">
        <is>
          <t>2026-06-05</t>
        </is>
      </c>
    </row>
    <row r="106">
      <c r="A106" s="36" t="inlineStr">
        <is>
          <t>DIVGIITTS</t>
        </is>
      </c>
      <c r="B106" s="37" t="inlineStr">
        <is>
          <t>Divgi TorqTransfer Systems Limited</t>
        </is>
      </c>
      <c r="C106" s="37" t="inlineStr">
        <is>
          <t>Consumer Cyclical</t>
        </is>
      </c>
      <c r="D106" s="38" t="inlineStr">
        <is>
          <t>2026-06-04</t>
        </is>
      </c>
    </row>
    <row r="107">
      <c r="A107" s="36" t="inlineStr">
        <is>
          <t>FREDUN</t>
        </is>
      </c>
      <c r="B107" s="37" t="inlineStr">
        <is>
          <t>FREDUN</t>
        </is>
      </c>
      <c r="C107" s="37" t="inlineStr">
        <is>
          <t>unknown</t>
        </is>
      </c>
      <c r="D107" s="38" t="inlineStr">
        <is>
          <t>2026-06-03</t>
        </is>
      </c>
    </row>
    <row r="108">
      <c r="A108" s="36" t="inlineStr">
        <is>
          <t>HESTERBIO</t>
        </is>
      </c>
      <c r="B108" s="37" t="inlineStr">
        <is>
          <t>Hester Biosciences Limited</t>
        </is>
      </c>
      <c r="C108" s="37" t="inlineStr">
        <is>
          <t>Healthcare</t>
        </is>
      </c>
      <c r="D108" s="38" t="inlineStr">
        <is>
          <t>2026-06-03</t>
        </is>
      </c>
    </row>
    <row r="109">
      <c r="A109" s="36" t="inlineStr">
        <is>
          <t>KSHINTL</t>
        </is>
      </c>
      <c r="B109" s="37" t="inlineStr">
        <is>
          <t>KSHINTL</t>
        </is>
      </c>
      <c r="C109" s="37" t="inlineStr">
        <is>
          <t>unknown</t>
        </is>
      </c>
      <c r="D109" s="38" t="inlineStr">
        <is>
          <t>2026-06-04</t>
        </is>
      </c>
    </row>
    <row r="110">
      <c r="A110" s="36" t="inlineStr">
        <is>
          <t>MAYURUNIQ</t>
        </is>
      </c>
      <c r="B110" s="37" t="inlineStr">
        <is>
          <t>Mayur Uniquoters Limited</t>
        </is>
      </c>
      <c r="C110" s="37" t="inlineStr">
        <is>
          <t>Consumer Cyclical</t>
        </is>
      </c>
      <c r="D110" s="38" t="inlineStr">
        <is>
          <t>2026-06-04</t>
        </is>
      </c>
    </row>
    <row r="111">
      <c r="A111" s="36" t="inlineStr">
        <is>
          <t>MODINSU</t>
        </is>
      </c>
      <c r="B111" s="37" t="inlineStr">
        <is>
          <t>MODINSU</t>
        </is>
      </c>
      <c r="C111" s="37" t="inlineStr">
        <is>
          <t>unknown</t>
        </is>
      </c>
      <c r="D111" s="38" t="inlineStr">
        <is>
          <t>2026-06-05</t>
        </is>
      </c>
    </row>
    <row r="112">
      <c r="A112" s="36" t="inlineStr">
        <is>
          <t>MOTHERSON</t>
        </is>
      </c>
      <c r="B112" s="37" t="inlineStr">
        <is>
          <t>Samvardhana Motherson International Limited</t>
        </is>
      </c>
      <c r="C112" s="37" t="inlineStr">
        <is>
          <t>Consumer Cyclical</t>
        </is>
      </c>
      <c r="D112" s="38" t="inlineStr">
        <is>
          <t>2026-06-05</t>
        </is>
      </c>
    </row>
    <row r="113">
      <c r="A113" s="36" t="inlineStr">
        <is>
          <t>ONIXSOLAR</t>
        </is>
      </c>
      <c r="B113" s="37" t="inlineStr">
        <is>
          <t>ONIXSOLAR</t>
        </is>
      </c>
      <c r="C113" s="37" t="inlineStr">
        <is>
          <t>unknown</t>
        </is>
      </c>
      <c r="D113" s="38" t="inlineStr">
        <is>
          <t>2026-06-03</t>
        </is>
      </c>
    </row>
    <row r="114">
      <c r="A114" s="36" t="inlineStr">
        <is>
          <t>PRECWIRE</t>
        </is>
      </c>
      <c r="B114" s="37" t="inlineStr">
        <is>
          <t>PRECWIRE</t>
        </is>
      </c>
      <c r="C114" s="37" t="inlineStr">
        <is>
          <t>unknown</t>
        </is>
      </c>
      <c r="D114" s="38" t="inlineStr">
        <is>
          <t>2026-06-06</t>
        </is>
      </c>
    </row>
    <row r="115">
      <c r="A115" s="36" t="inlineStr">
        <is>
          <t>PSPPROJECT</t>
        </is>
      </c>
      <c r="B115" s="37" t="inlineStr">
        <is>
          <t>PSP Projects Limited</t>
        </is>
      </c>
      <c r="C115" s="37" t="inlineStr">
        <is>
          <t>Industrials</t>
        </is>
      </c>
      <c r="D115" s="38" t="inlineStr">
        <is>
          <t>2026-06-06</t>
        </is>
      </c>
    </row>
    <row r="116">
      <c r="A116" s="36" t="inlineStr">
        <is>
          <t>SAKAR</t>
        </is>
      </c>
      <c r="B116" s="37" t="inlineStr">
        <is>
          <t>Sakar Healthcare Limited</t>
        </is>
      </c>
      <c r="C116" s="37" t="inlineStr">
        <is>
          <t>Healthcare</t>
        </is>
      </c>
      <c r="D116" s="38" t="inlineStr">
        <is>
          <t>2026-06-04</t>
        </is>
      </c>
    </row>
    <row r="117">
      <c r="A117" s="36" t="inlineStr">
        <is>
          <t>SANGHVIMOV</t>
        </is>
      </c>
      <c r="B117" s="37" t="inlineStr">
        <is>
          <t>Sanghvi Movers Limited</t>
        </is>
      </c>
      <c r="C117" s="37" t="inlineStr">
        <is>
          <t>Industrials</t>
        </is>
      </c>
      <c r="D117" s="38" t="inlineStr">
        <is>
          <t>2026-06-05</t>
        </is>
      </c>
    </row>
    <row r="118">
      <c r="A118" s="36" t="inlineStr">
        <is>
          <t>SGFIN</t>
        </is>
      </c>
      <c r="B118" s="37" t="inlineStr">
        <is>
          <t>SGFIN</t>
        </is>
      </c>
      <c r="C118" s="37" t="inlineStr">
        <is>
          <t>unknown</t>
        </is>
      </c>
      <c r="D118" s="38" t="inlineStr">
        <is>
          <t>2026-06-04</t>
        </is>
      </c>
    </row>
    <row r="119">
      <c r="A119" s="36" t="inlineStr">
        <is>
          <t>STLTECH</t>
        </is>
      </c>
      <c r="B119" s="37" t="inlineStr">
        <is>
          <t>Sterlite Technologies Limited</t>
        </is>
      </c>
      <c r="C119" s="37" t="inlineStr">
        <is>
          <t>Technology</t>
        </is>
      </c>
      <c r="D119" s="38" t="inlineStr">
        <is>
          <t>2026-06-05</t>
        </is>
      </c>
    </row>
    <row r="120">
      <c r="A120" s="36" t="inlineStr">
        <is>
          <t>SUNRAKSHAK</t>
        </is>
      </c>
      <c r="B120" s="37" t="inlineStr">
        <is>
          <t>SUNRAKSHAK</t>
        </is>
      </c>
      <c r="C120" s="37" t="inlineStr">
        <is>
          <t>unknown</t>
        </is>
      </c>
      <c r="D120" s="38" t="inlineStr">
        <is>
          <t>2026-06-03</t>
        </is>
      </c>
    </row>
    <row r="121">
      <c r="A121" s="36" t="inlineStr">
        <is>
          <t>TAALTECH</t>
        </is>
      </c>
      <c r="B121" s="37" t="inlineStr">
        <is>
          <t>TAALTECH</t>
        </is>
      </c>
      <c r="C121" s="37" t="inlineStr">
        <is>
          <t>unknown</t>
        </is>
      </c>
      <c r="D121" s="38" t="inlineStr">
        <is>
          <t>2026-06-03</t>
        </is>
      </c>
    </row>
    <row r="122">
      <c r="A122" s="36" t="inlineStr">
        <is>
          <t>UNIVCABLES</t>
        </is>
      </c>
      <c r="B122" s="37" t="inlineStr">
        <is>
          <t>Universal Cables Limited</t>
        </is>
      </c>
      <c r="C122" s="37" t="inlineStr">
        <is>
          <t>Industrials</t>
        </is>
      </c>
      <c r="D122" s="38" t="inlineStr">
        <is>
          <t>2026-06-06</t>
        </is>
      </c>
    </row>
    <row r="123">
      <c r="A123" s="36" t="inlineStr">
        <is>
          <t>VALIANT</t>
        </is>
      </c>
      <c r="B123" s="37" t="inlineStr">
        <is>
          <t>VALIANT</t>
        </is>
      </c>
      <c r="C123" s="37" t="inlineStr">
        <is>
          <t>unknown</t>
        </is>
      </c>
      <c r="D123" s="38" t="inlineStr">
        <is>
          <t>2026-06-05</t>
        </is>
      </c>
    </row>
    <row r="124">
      <c r="A124" s="36" t="inlineStr">
        <is>
          <t>VEDL</t>
        </is>
      </c>
      <c r="B124" s="37" t="inlineStr">
        <is>
          <t>VEDL</t>
        </is>
      </c>
      <c r="C124" s="37" t="inlineStr">
        <is>
          <t>unknown</t>
        </is>
      </c>
      <c r="D124" s="38" t="inlineStr">
        <is>
          <t>2026-06-05</t>
        </is>
      </c>
    </row>
    <row r="125">
      <c r="A125" s="36" t="inlineStr">
        <is>
          <t>VERANDA</t>
        </is>
      </c>
      <c r="B125" s="37" t="inlineStr">
        <is>
          <t>Veranda Learning Solutions Limited</t>
        </is>
      </c>
      <c r="C125" s="37" t="inlineStr">
        <is>
          <t>Consumer Defensive</t>
        </is>
      </c>
      <c r="D125" s="38" t="inlineStr">
        <is>
          <t>2026-06-05</t>
        </is>
      </c>
    </row>
    <row r="126">
      <c r="A126" s="36" t="inlineStr">
        <is>
          <t>WOCKPHARMA</t>
        </is>
      </c>
      <c r="B126" s="37" t="inlineStr">
        <is>
          <t>WOCKPHARMA</t>
        </is>
      </c>
      <c r="C126" s="37" t="inlineStr">
        <is>
          <t>unknown</t>
        </is>
      </c>
      <c r="D126" s="38" t="inlineStr">
        <is>
          <t>2026-06-05</t>
        </is>
      </c>
    </row>
    <row r="127">
      <c r="A127" s="36" t="inlineStr">
        <is>
          <t>YASHO</t>
        </is>
      </c>
      <c r="B127" s="37" t="inlineStr">
        <is>
          <t>Yasho Industries Limited</t>
        </is>
      </c>
      <c r="C127" s="37" t="inlineStr">
        <is>
          <t>Basic Materials</t>
        </is>
      </c>
      <c r="D127" s="38" t="inlineStr">
        <is>
          <t>2026-06-04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expression" priority="39" dxfId="0" stopIfTrue="1">
      <formula>=AND(Q2&lt;&gt;"",Q2&gt;0,I2&gt;=Q2)</formula>
    </cfRule>
    <cfRule type="expression" priority="40" dxfId="3" stopIfTrue="1">
      <formula>=AND(Q2&lt;&gt;"",Q2&gt;0,I2&lt;Q2)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DHANBANK</t>
        </is>
      </c>
      <c r="D2" s="31" t="inlineStr">
        <is>
          <t>Dhanlaxmi Bank Ltd</t>
        </is>
      </c>
      <c r="E2" s="31" t="inlineStr">
        <is>
          <t>Financial Services</t>
        </is>
      </c>
      <c r="F2" s="31" t="inlineStr">
        <is>
          <t>Banks - Private</t>
        </is>
      </c>
      <c r="G2" s="31" t="inlineStr">
        <is>
          <t>smallcap</t>
        </is>
      </c>
      <c r="H2" s="32" t="n">
        <v>1297.77</v>
      </c>
      <c r="I2" s="32" t="n">
        <v>32.88</v>
      </c>
      <c r="J2" s="32" t="n">
        <v>-2.92</v>
      </c>
      <c r="K2" s="32" t="n">
        <v>0</v>
      </c>
      <c r="L2" s="31" t="n">
        <v>40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69.08</v>
      </c>
      <c r="P2" s="32" t="n">
        <v>28.77</v>
      </c>
      <c r="Q2" s="32" t="n">
        <v>25.69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-3.68</v>
      </c>
      <c r="U2" s="32" t="n">
        <v>3.69</v>
      </c>
      <c r="V2" s="32" t="n">
        <v>7.65</v>
      </c>
      <c r="W2" s="32" t="n">
        <v>10.8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SATIN</t>
        </is>
      </c>
      <c r="D3" s="31" t="inlineStr">
        <is>
          <t>Satin Creditcare Network Ltd</t>
        </is>
      </c>
      <c r="E3" s="31" t="inlineStr">
        <is>
          <t>financials</t>
        </is>
      </c>
      <c r="F3" s="31" t="inlineStr">
        <is>
          <t>Finance &amp; Investments - Microfinance</t>
        </is>
      </c>
      <c r="G3" s="31" t="inlineStr">
        <is>
          <t>smallcap</t>
        </is>
      </c>
      <c r="H3" s="32" t="n">
        <v>2666.66</v>
      </c>
      <c r="I3" s="32" t="n">
        <v>241.39</v>
      </c>
      <c r="J3" s="32" t="n">
        <v>-0.22</v>
      </c>
      <c r="K3" s="32" t="n">
        <v>0</v>
      </c>
      <c r="L3" s="31" t="n">
        <v>76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77.16</v>
      </c>
      <c r="P3" s="32" t="n">
        <v>37.11</v>
      </c>
      <c r="Q3" s="32" t="n">
        <v>189.41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-3.68</v>
      </c>
      <c r="U3" s="32" t="n">
        <v>52.87</v>
      </c>
      <c r="V3" s="32" t="n">
        <v>58.71</v>
      </c>
      <c r="W3" s="32" t="n">
        <v>23.12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25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NAM-INDIA</t>
        </is>
      </c>
      <c r="D4" s="34" t="inlineStr">
        <is>
          <t>Nippon Life India Asset Management Ltd</t>
        </is>
      </c>
      <c r="E4" s="31" t="inlineStr">
        <is>
          <t>financials</t>
        </is>
      </c>
      <c r="F4" s="31" t="inlineStr">
        <is>
          <t>Finance - AMC</t>
        </is>
      </c>
      <c r="G4" s="31" t="inlineStr">
        <is>
          <t>largecap</t>
        </is>
      </c>
      <c r="H4" s="32" t="n">
        <v>71069.53999999999</v>
      </c>
      <c r="I4" s="32" t="n">
        <v>1113.1</v>
      </c>
      <c r="J4" s="32" t="n">
        <v>-1.42</v>
      </c>
      <c r="K4" s="32" t="n">
        <v>0</v>
      </c>
      <c r="L4" s="31" t="n">
        <v>53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68.22</v>
      </c>
      <c r="P4" s="32" t="n">
        <v>25.17</v>
      </c>
      <c r="Q4" s="32" t="n">
        <v>870.6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-3.68</v>
      </c>
      <c r="U4" s="32" t="n">
        <v>44.05</v>
      </c>
      <c r="V4" s="32" t="n">
        <v>49.56</v>
      </c>
      <c r="W4" s="32" t="n">
        <v>13.95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midcap</t>
        </is>
      </c>
      <c r="H5" s="32" t="n">
        <v>19509.6</v>
      </c>
      <c r="I5" s="32" t="n">
        <v>202.77</v>
      </c>
      <c r="J5" s="32" t="n">
        <v>0.12</v>
      </c>
      <c r="K5" s="32" t="n">
        <v>0</v>
      </c>
      <c r="L5" s="31" t="n">
        <v>46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63.03</v>
      </c>
      <c r="P5" s="32" t="n">
        <v>17.37</v>
      </c>
      <c r="Q5" s="32" t="n">
        <v>162.25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-3.68</v>
      </c>
      <c r="U5" s="32" t="n">
        <v>33.51</v>
      </c>
      <c r="V5" s="32" t="n">
        <v>38.61</v>
      </c>
      <c r="W5" s="32" t="n">
        <v>12.14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0 to 20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midcap</t>
        </is>
      </c>
      <c r="H6" s="32" t="n">
        <v>5263.4</v>
      </c>
      <c r="I6" s="32" t="n">
        <v>57.87</v>
      </c>
      <c r="J6" s="32" t="n">
        <v>4.52</v>
      </c>
      <c r="K6" s="32" t="n">
        <v>0</v>
      </c>
      <c r="L6" s="31" t="n">
        <v>86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76.33</v>
      </c>
      <c r="P6" s="32" t="n">
        <v>29.13</v>
      </c>
      <c r="Q6" s="32" t="n">
        <v>45.1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-3.68</v>
      </c>
      <c r="U6" s="32" t="n">
        <v>82.79000000000001</v>
      </c>
      <c r="V6" s="32" t="n">
        <v>89.78</v>
      </c>
      <c r="W6" s="32" t="n">
        <v>30.55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less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24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  <row r="12">
      <c r="A12" s="36" t="inlineStr">
        <is>
          <t>ANGELONE</t>
        </is>
      </c>
      <c r="B12" s="37" t="inlineStr">
        <is>
          <t>Angel One Limited</t>
        </is>
      </c>
      <c r="C12" s="37" t="inlineStr">
        <is>
          <t>Financial Services</t>
        </is>
      </c>
      <c r="D12" s="38" t="inlineStr">
        <is>
          <t>2026-06-05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expression" priority="37" dxfId="0" stopIfTrue="1">
      <formula>=AND(Q2&lt;&gt;"",Q2&gt;0,I2&gt;=Q2)</formula>
    </cfRule>
    <cfRule type="expression" priority="38" dxfId="3" stopIfTrue="1">
      <formula>=AND(Q2&lt;&gt;"",Q2&gt;0,I2&lt;Q2)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 Name</t>
        </is>
      </c>
      <c r="E1" s="30" t="inlineStr">
        <is>
          <t>Industry</t>
        </is>
      </c>
      <c r="F1" s="30" t="inlineStr">
        <is>
          <t>Common Count</t>
        </is>
      </c>
      <c r="G1" s="30" t="inlineStr">
        <is>
          <t>Scanner Signal</t>
        </is>
      </c>
      <c r="H1" s="30" t="inlineStr">
        <is>
          <t>Chartink Universe</t>
        </is>
      </c>
      <c r="I1" s="30" t="inlineStr">
        <is>
          <t>Scan Matches Count</t>
        </is>
      </c>
      <c r="J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MATCH(C2, 'Monit Non Financial'!$C$2:$C$400, 0)), IFERROR(INDEX('Monit Banks NBFC'!$B$2:$B$100, MATCH(C2, 'Monit Banks NBFC'!$C$2:$C$100, 0)), 0))</f>
        <v/>
      </c>
      <c r="C2" s="31" t="inlineStr">
        <is>
          <t>VENUSREM</t>
        </is>
      </c>
      <c r="D2" s="31" t="inlineStr">
        <is>
          <t>Venus Remedies Limited</t>
        </is>
      </c>
      <c r="E2" s="31" t="inlineStr">
        <is>
          <t>Pharmaceuticals - I V Fluids</t>
        </is>
      </c>
      <c r="F2" s="31" t="n">
        <v>3</v>
      </c>
      <c r="G2" s="31" t="inlineStr">
        <is>
          <t>52W Breakout</t>
        </is>
      </c>
      <c r="H2" s="31" t="inlineStr">
        <is>
          <t>Yes</t>
        </is>
      </c>
      <c r="I2" s="31" t="n">
        <v>27</v>
      </c>
      <c r="J2" s="31" t="n">
        <v>19</v>
      </c>
    </row>
    <row r="3">
      <c r="A3" s="31">
        <f>IF(B3=0,"",ROW()-1)</f>
        <v/>
      </c>
      <c r="B3" s="32">
        <f>IFERROR(INDEX('Monit Non Financial'!$B$2:$B$400, MATCH(C3, 'Monit Non Financial'!$C$2:$C$400, 0)), IFERROR(INDEX('Monit Banks NBFC'!$B$2:$B$100, MATCH(C3, 'Monit Banks NBFC'!$C$2:$C$100, 0)), 0))</f>
        <v/>
      </c>
      <c r="C3" s="31" t="inlineStr">
        <is>
          <t>ATHERENERG</t>
        </is>
      </c>
      <c r="D3" s="31" t="inlineStr">
        <is>
          <t>Ather Energy Ltd</t>
        </is>
      </c>
      <c r="E3" s="31" t="inlineStr">
        <is>
          <t>Auto - 2 &amp; 3 Wheelers</t>
        </is>
      </c>
      <c r="F3" s="31" t="n">
        <v>3</v>
      </c>
      <c r="G3" s="31" t="inlineStr">
        <is>
          <t>52W Breakout</t>
        </is>
      </c>
      <c r="H3" s="31" t="inlineStr">
        <is>
          <t>Yes</t>
        </is>
      </c>
      <c r="I3" s="31" t="n">
        <v>21</v>
      </c>
      <c r="J3" s="31" t="n">
        <v>18</v>
      </c>
    </row>
    <row r="4">
      <c r="A4" s="31">
        <f>IF(B4=0,"",ROW()-1)</f>
        <v/>
      </c>
      <c r="B4" s="32">
        <f>IFERROR(INDEX('Monit Non Financial'!$B$2:$B$400, MATCH(C4, 'Monit Non Financial'!$C$2:$C$400, 0)), IFERROR(INDEX('Monit Banks NBFC'!$B$2:$B$100, MATCH(C4, 'Monit Banks NBFC'!$C$2:$C$100, 0)), 0))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 - Inorganic</t>
        </is>
      </c>
      <c r="F4" s="31" t="n">
        <v>3</v>
      </c>
      <c r="G4" s="31" t="inlineStr">
        <is>
          <t>52W Breakout</t>
        </is>
      </c>
      <c r="H4" s="31" t="inlineStr">
        <is>
          <t>Yes</t>
        </is>
      </c>
      <c r="I4" s="31" t="n">
        <v>20</v>
      </c>
      <c r="J4" s="31" t="n">
        <v>30</v>
      </c>
    </row>
    <row r="5">
      <c r="A5" s="31">
        <f>IF(B5=0,"",ROW()-1)</f>
        <v/>
      </c>
      <c r="B5" s="32">
        <f>IFERROR(INDEX('Monit Non Financial'!$B$2:$B$400, MATCH(C5, 'Monit Non Financial'!$C$2:$C$400, 0)), IFERROR(INDEX('Monit Banks NBFC'!$B$2:$B$100, MATCH(C5, 'Monit Banks NBFC'!$C$2:$C$100, 0)), 0))</f>
        <v/>
      </c>
      <c r="C5" s="31" t="inlineStr">
        <is>
          <t>CUPID</t>
        </is>
      </c>
      <c r="D5" s="31" t="inlineStr">
        <is>
          <t>Cupid Limited</t>
        </is>
      </c>
      <c r="E5" s="31" t="inlineStr">
        <is>
          <t>Contraceptives/Protectives</t>
        </is>
      </c>
      <c r="F5" s="31" t="n">
        <v>3</v>
      </c>
      <c r="G5" s="31" t="inlineStr">
        <is>
          <t>52W Breakout</t>
        </is>
      </c>
      <c r="H5" s="31" t="inlineStr">
        <is>
          <t>Yes</t>
        </is>
      </c>
      <c r="I5" s="31" t="n">
        <v>21</v>
      </c>
      <c r="J5" s="31" t="n">
        <v>29</v>
      </c>
    </row>
    <row r="6">
      <c r="A6" s="31">
        <f>IF(B6=0,"",ROW()-1)</f>
        <v/>
      </c>
      <c r="B6" s="32">
        <f>IFERROR(INDEX('Monit Non Financial'!$B$2:$B$400, MATCH(C6, 'Monit Non Financial'!$C$2:$C$400, 0)), IFERROR(INDEX('Monit Banks NBFC'!$B$2:$B$100, MATCH(C6, 'Monit Banks NBFC'!$C$2:$C$100, 0)), 0))</f>
        <v/>
      </c>
      <c r="C6" s="31" t="inlineStr">
        <is>
          <t>SYRMA</t>
        </is>
      </c>
      <c r="D6" s="31" t="inlineStr">
        <is>
          <t>Syrma SGS Technology Ltd</t>
        </is>
      </c>
      <c r="E6" s="31" t="inlineStr">
        <is>
          <t>Consumer Electronics - EMS</t>
        </is>
      </c>
      <c r="F6" s="31" t="n">
        <v>3</v>
      </c>
      <c r="G6" s="31" t="inlineStr">
        <is>
          <t>52W Breakout</t>
        </is>
      </c>
      <c r="H6" s="31" t="inlineStr">
        <is>
          <t>Yes</t>
        </is>
      </c>
      <c r="I6" s="31" t="n">
        <v>22</v>
      </c>
      <c r="J6" s="31" t="n">
        <v>27</v>
      </c>
    </row>
    <row r="7">
      <c r="A7" s="31">
        <f>IF(B7=0,"",ROW()-1)</f>
        <v/>
      </c>
      <c r="B7" s="32">
        <f>IFERROR(INDEX('Monit Non Financial'!$B$2:$B$400, MATCH(C7, 'Monit Non Financial'!$C$2:$C$400, 0)), IFERROR(INDEX('Monit Banks NBFC'!$B$2:$B$100, MATCH(C7, 'Monit Banks NBFC'!$C$2:$C$100, 0)), 0))</f>
        <v/>
      </c>
      <c r="C7" s="31" t="inlineStr">
        <is>
          <t>MODISONLTD</t>
        </is>
      </c>
      <c r="D7" s="31" t="inlineStr">
        <is>
          <t>Modison Ltd</t>
        </is>
      </c>
      <c r="E7" s="31" t="inlineStr">
        <is>
          <t>Capital Goods - Electric General</t>
        </is>
      </c>
      <c r="F7" s="31" t="n">
        <v>3</v>
      </c>
      <c r="G7" s="31" t="inlineStr">
        <is>
          <t>52W Breakout</t>
        </is>
      </c>
      <c r="H7" s="31" t="inlineStr">
        <is>
          <t>Yes</t>
        </is>
      </c>
      <c r="I7" s="31" t="n">
        <v>31</v>
      </c>
      <c r="J7" s="31" t="n">
        <v>29</v>
      </c>
    </row>
    <row r="8">
      <c r="A8" s="31">
        <f>IF(B8=0,"",ROW()-1)</f>
        <v/>
      </c>
      <c r="B8" s="32">
        <f>IFERROR(INDEX('Monit Non Financial'!$B$2:$B$400, MATCH(C8, 'Monit Non Financial'!$C$2:$C$400, 0)), IFERROR(INDEX('Monit Banks NBFC'!$B$2:$B$100, MATCH(C8, 'Monit Banks NBFC'!$C$2:$C$100, 0)), 0))</f>
        <v/>
      </c>
      <c r="C8" s="31" t="inlineStr">
        <is>
          <t>ACUTAAS</t>
        </is>
      </c>
      <c r="D8" s="31" t="inlineStr">
        <is>
          <t>Acutaas Chemicals Ltd</t>
        </is>
      </c>
      <c r="E8" s="31" t="inlineStr">
        <is>
          <t>Pharma - API &amp; CRAMS</t>
        </is>
      </c>
      <c r="F8" s="31" t="n">
        <v>3</v>
      </c>
      <c r="G8" s="31" t="inlineStr">
        <is>
          <t>52W Breakout</t>
        </is>
      </c>
      <c r="H8" s="31" t="inlineStr">
        <is>
          <t>Yes</t>
        </is>
      </c>
      <c r="I8" s="31" t="n">
        <v>28</v>
      </c>
      <c r="J8" s="31" t="n">
        <v>30</v>
      </c>
    </row>
    <row r="9">
      <c r="A9" s="31">
        <f>IF(B9=0,"",ROW()-1)</f>
        <v/>
      </c>
      <c r="B9" s="32">
        <f>IFERROR(INDEX('Monit Non Financial'!$B$2:$B$400, MATCH(C9, 'Monit Non Financial'!$C$2:$C$400, 0)), IFERROR(INDEX('Monit Banks NBFC'!$B$2:$B$100, MATCH(C9, 'Monit Banks NBFC'!$C$2:$C$100, 0)), 0))</f>
        <v/>
      </c>
      <c r="C9" s="31" t="inlineStr">
        <is>
          <t>RPEL</t>
        </is>
      </c>
      <c r="D9" s="31" t="inlineStr">
        <is>
          <t>Raghav Productivity Enhancers Ltd</t>
        </is>
      </c>
      <c r="E9" s="31" t="inlineStr">
        <is>
          <t>Steel Products</t>
        </is>
      </c>
      <c r="F9" s="31" t="n">
        <v>3</v>
      </c>
      <c r="G9" s="31" t="inlineStr">
        <is>
          <t>52W Breakout</t>
        </is>
      </c>
      <c r="H9" s="31" t="inlineStr">
        <is>
          <t>Yes</t>
        </is>
      </c>
      <c r="I9" s="31" t="n">
        <v>20</v>
      </c>
      <c r="J9" s="31" t="n">
        <v>18</v>
      </c>
    </row>
    <row r="10">
      <c r="A10" s="31">
        <f>IF(B10=0,"",ROW()-1)</f>
        <v/>
      </c>
      <c r="B10" s="32">
        <f>IFERROR(INDEX('Monit Non Financial'!$B$2:$B$400, MATCH(C10, 'Monit Non Financial'!$C$2:$C$400, 0)), IFERROR(INDEX('Monit Banks NBFC'!$B$2:$B$100, MATCH(C10, 'Monit Banks NBFC'!$C$2:$C$100, 0)), 0))</f>
        <v/>
      </c>
      <c r="C10" s="31" t="inlineStr">
        <is>
          <t>HSCL</t>
        </is>
      </c>
      <c r="D10" s="31" t="inlineStr">
        <is>
          <t>Himadri Speciality Chemical Limited</t>
        </is>
      </c>
      <c r="E10" s="31" t="inlineStr">
        <is>
          <t>Carbon Black</t>
        </is>
      </c>
      <c r="F10" s="31" t="n">
        <v>3</v>
      </c>
      <c r="G10" s="31" t="inlineStr">
        <is>
          <t>52W Breakout</t>
        </is>
      </c>
      <c r="H10" s="31" t="inlineStr">
        <is>
          <t>Yes</t>
        </is>
      </c>
      <c r="I10" s="31" t="n">
        <v>19</v>
      </c>
      <c r="J10" s="31" t="n">
        <v>27</v>
      </c>
    </row>
    <row r="11">
      <c r="A11" s="31">
        <f>IF(B11=0,"",ROW()-1)</f>
        <v/>
      </c>
      <c r="B11" s="32">
        <f>IFERROR(INDEX('Monit Non Financial'!$B$2:$B$400, MATCH(C11, 'Monit Non Financial'!$C$2:$C$400, 0)), IFERROR(INDEX('Monit Banks NBFC'!$B$2:$B$100, MATCH(C11, 'Monit Banks NBFC'!$C$2:$C$100, 0)), 0))</f>
        <v/>
      </c>
      <c r="C11" s="31" t="inlineStr">
        <is>
          <t>SHILPAMED</t>
        </is>
      </c>
      <c r="D11" s="31" t="inlineStr">
        <is>
          <t>Shilpa Medicare Limited</t>
        </is>
      </c>
      <c r="E11" s="31" t="inlineStr">
        <is>
          <t>Pharma - API &amp; CRAMS</t>
        </is>
      </c>
      <c r="F11" s="31" t="n">
        <v>3</v>
      </c>
      <c r="G11" s="31" t="inlineStr">
        <is>
          <t>52W Breakout</t>
        </is>
      </c>
      <c r="H11" s="31" t="inlineStr">
        <is>
          <t>Yes</t>
        </is>
      </c>
      <c r="I11" s="31" t="n">
        <v>22</v>
      </c>
      <c r="J11" s="31" t="n">
        <v>30</v>
      </c>
    </row>
    <row r="12">
      <c r="A12" s="31">
        <f>IF(B12=0,"",ROW()-1)</f>
        <v/>
      </c>
      <c r="B12" s="32">
        <f>IFERROR(INDEX('Monit Non Financial'!$B$2:$B$400, MATCH(C12, 'Monit Non Financial'!$C$2:$C$400, 0)), IFERROR(INDEX('Monit Banks NBFC'!$B$2:$B$100, MATCH(C12, 'Monit Banks NBFC'!$C$2:$C$100, 0)), 0))</f>
        <v/>
      </c>
      <c r="C12" s="31" t="inlineStr">
        <is>
          <t>IDEAFORGE</t>
        </is>
      </c>
      <c r="D12" s="31" t="inlineStr">
        <is>
          <t>Ideaforge Technology Ltd</t>
        </is>
      </c>
      <c r="E12" s="31" t="inlineStr">
        <is>
          <t>Aerospace &amp; Defence - Equipments</t>
        </is>
      </c>
      <c r="F12" s="31" t="n">
        <v>3</v>
      </c>
      <c r="G12" s="31" t="inlineStr">
        <is>
          <t>52W Breakout</t>
        </is>
      </c>
      <c r="H12" s="31" t="inlineStr">
        <is>
          <t>Yes</t>
        </is>
      </c>
      <c r="I12" s="31" t="n">
        <v>19</v>
      </c>
      <c r="J12" s="31" t="n">
        <v>30</v>
      </c>
    </row>
    <row r="13">
      <c r="A13" s="31">
        <f>IF(B13=0,"",ROW()-1)</f>
        <v/>
      </c>
      <c r="B13" s="32">
        <f>IFERROR(INDEX('Monit Non Financial'!$B$2:$B$400, MATCH(C13, 'Monit Non Financial'!$C$2:$C$400, 0)), IFERROR(INDEX('Monit Banks NBFC'!$B$2:$B$100, MATCH(C13, 'Monit Banks NBFC'!$C$2:$C$100, 0)), 0))</f>
        <v/>
      </c>
      <c r="C13" s="31" t="inlineStr">
        <is>
          <t>RRKABEL</t>
        </is>
      </c>
      <c r="D13" s="31" t="inlineStr">
        <is>
          <t>R R Kabel Ltd</t>
        </is>
      </c>
      <c r="E13" s="31" t="inlineStr">
        <is>
          <t>Cables - Power</t>
        </is>
      </c>
      <c r="F13" s="31" t="n">
        <v>3</v>
      </c>
      <c r="G13" s="31" t="inlineStr">
        <is>
          <t>52W Breakout</t>
        </is>
      </c>
      <c r="H13" s="31" t="inlineStr">
        <is>
          <t>Yes</t>
        </is>
      </c>
      <c r="I13" s="31" t="n">
        <v>21</v>
      </c>
      <c r="J13" s="31" t="n">
        <v>30</v>
      </c>
    </row>
    <row r="14">
      <c r="A14" s="31">
        <f>IF(B14=0,"",ROW()-1)</f>
        <v/>
      </c>
      <c r="B14" s="32">
        <f>IFERROR(INDEX('Monit Non Financial'!$B$2:$B$400, MATCH(C14, 'Monit Non Financial'!$C$2:$C$400, 0)), IFERROR(INDEX('Monit Banks NBFC'!$B$2:$B$100, MATCH(C14, 'Monit Banks NBFC'!$C$2:$C$100, 0)), 0))</f>
        <v/>
      </c>
      <c r="C14" s="31" t="inlineStr">
        <is>
          <t>BAJAJCON</t>
        </is>
      </c>
      <c r="D14" s="31" t="inlineStr">
        <is>
          <t>Bajaj Consumer Care Ltd</t>
        </is>
      </c>
      <c r="E14" s="31" t="inlineStr">
        <is>
          <t>FMCG - Personal Care</t>
        </is>
      </c>
      <c r="F14" s="31" t="n">
        <v>2</v>
      </c>
      <c r="G14" s="31" t="inlineStr">
        <is>
          <t>No</t>
        </is>
      </c>
      <c r="H14" s="31" t="inlineStr">
        <is>
          <t>Yes</t>
        </is>
      </c>
      <c r="I14" s="31" t="n">
        <v>25</v>
      </c>
      <c r="J14" s="31" t="n">
        <v>30</v>
      </c>
    </row>
    <row r="15">
      <c r="A15" s="31">
        <f>IF(B15=0,"",ROW()-1)</f>
        <v/>
      </c>
      <c r="B15" s="32">
        <f>IFERROR(INDEX('Monit Non Financial'!$B$2:$B$400, MATCH(C15, 'Monit Non Financial'!$C$2:$C$400, 0)), IFERROR(INDEX('Monit Banks NBFC'!$B$2:$B$100, MATCH(C15, 'Monit Banks NBFC'!$C$2:$C$100, 0)), 0))</f>
        <v/>
      </c>
      <c r="C15" s="31" t="inlineStr">
        <is>
          <t>IBULLSLTD</t>
        </is>
      </c>
      <c r="D15" s="31" t="inlineStr">
        <is>
          <t>Indiabulls Limited</t>
        </is>
      </c>
      <c r="E15" s="31" t="inlineStr">
        <is>
          <t>Diversified</t>
        </is>
      </c>
      <c r="F15" s="31" t="n">
        <v>2</v>
      </c>
      <c r="G15" s="31" t="inlineStr">
        <is>
          <t>No</t>
        </is>
      </c>
      <c r="H15" s="31" t="inlineStr">
        <is>
          <t>Yes</t>
        </is>
      </c>
      <c r="I15" s="31" t="n">
        <v>21</v>
      </c>
      <c r="J15" s="31" t="n">
        <v>26</v>
      </c>
    </row>
    <row r="16">
      <c r="A16" s="31">
        <f>IF(B16=0,"",ROW()-1)</f>
        <v/>
      </c>
      <c r="B16" s="32">
        <f>IFERROR(INDEX('Monit Non Financial'!$B$2:$B$400, MATCH(C16, 'Monit Non Financial'!$C$2:$C$400, 0)), IFERROR(INDEX('Monit Banks NBFC'!$B$2:$B$100, MATCH(C16, 'Monit Banks NBFC'!$C$2:$C$100, 0)), 0))</f>
        <v/>
      </c>
      <c r="C16" s="31" t="inlineStr">
        <is>
          <t>BLISSGVS</t>
        </is>
      </c>
      <c r="D16" s="31" t="inlineStr">
        <is>
          <t>Bliss Gvs Pharma Limited</t>
        </is>
      </c>
      <c r="E16" s="31" t="inlineStr">
        <is>
          <t>Pharma - Formulators</t>
        </is>
      </c>
      <c r="F16" s="31" t="n">
        <v>2</v>
      </c>
      <c r="G16" s="31" t="inlineStr">
        <is>
          <t>No</t>
        </is>
      </c>
      <c r="H16" s="31" t="inlineStr">
        <is>
          <t>Yes</t>
        </is>
      </c>
      <c r="I16" s="31" t="n">
        <v>25</v>
      </c>
      <c r="J16" s="31" t="n">
        <v>30</v>
      </c>
    </row>
    <row r="17">
      <c r="A17" s="31">
        <f>IF(B17=0,"",ROW()-1)</f>
        <v/>
      </c>
      <c r="B17" s="32">
        <f>IFERROR(INDEX('Monit Non Financial'!$B$2:$B$400, MATCH(C17, 'Monit Non Financial'!$C$2:$C$400, 0)), IFERROR(INDEX('Monit Banks NBFC'!$B$2:$B$100, MATCH(C17, 'Monit Banks NBFC'!$C$2:$C$100, 0)), 0))</f>
        <v/>
      </c>
      <c r="C17" s="31" t="inlineStr">
        <is>
          <t>GVT&amp;D</t>
        </is>
      </c>
      <c r="D17" s="31" t="inlineStr">
        <is>
          <t>GE Vernova T&amp;D India Ltd</t>
        </is>
      </c>
      <c r="E17" s="31" t="inlineStr">
        <is>
          <t>Electrical Equipments/HVDC</t>
        </is>
      </c>
      <c r="F17" s="31" t="n">
        <v>2</v>
      </c>
      <c r="G17" s="31" t="inlineStr">
        <is>
          <t>No</t>
        </is>
      </c>
      <c r="H17" s="31" t="inlineStr">
        <is>
          <t>Yes</t>
        </is>
      </c>
      <c r="I17" s="31" t="n">
        <v>21</v>
      </c>
      <c r="J17" s="31" t="n">
        <v>25</v>
      </c>
    </row>
    <row r="18">
      <c r="A18" s="31">
        <f>IF(B18=0,"",ROW()-1)</f>
        <v/>
      </c>
      <c r="B18" s="32">
        <f>IFERROR(INDEX('Monit Non Financial'!$B$2:$B$400, MATCH(C18, 'Monit Non Financial'!$C$2:$C$400, 0)), IFERROR(INDEX('Monit Banks NBFC'!$B$2:$B$100, MATCH(C18, 'Monit Banks NBFC'!$C$2:$C$100, 0)), 0))</f>
        <v/>
      </c>
      <c r="C18" s="31" t="inlineStr">
        <is>
          <t>NETWEB</t>
        </is>
      </c>
      <c r="D18" s="31" t="inlineStr">
        <is>
          <t>Netweb Technologies India Ltd</t>
        </is>
      </c>
      <c r="E18" s="31" t="inlineStr">
        <is>
          <t>Data Centre</t>
        </is>
      </c>
      <c r="F18" s="31" t="n">
        <v>2</v>
      </c>
      <c r="G18" s="31" t="inlineStr">
        <is>
          <t>No</t>
        </is>
      </c>
      <c r="H18" s="31" t="inlineStr">
        <is>
          <t>Yes</t>
        </is>
      </c>
      <c r="I18" s="31" t="n">
        <v>21</v>
      </c>
      <c r="J18" s="31" t="n">
        <v>19</v>
      </c>
    </row>
    <row r="19">
      <c r="A19" s="31">
        <f>IF(B19=0,"",ROW()-1)</f>
        <v/>
      </c>
      <c r="B19" s="32">
        <f>IFERROR(INDEX('Monit Non Financial'!$B$2:$B$400, MATCH(C19, 'Monit Non Financial'!$C$2:$C$400, 0)), IFERROR(INDEX('Monit Banks NBFC'!$B$2:$B$100, MATCH(C19, 'Monit Banks NBFC'!$C$2:$C$100, 0)), 0))</f>
        <v/>
      </c>
      <c r="C19" s="31" t="inlineStr">
        <is>
          <t>STYLAMIND</t>
        </is>
      </c>
      <c r="D19" s="31" t="inlineStr">
        <is>
          <t>Stylam Industries Ltd</t>
        </is>
      </c>
      <c r="E19" s="31" t="inlineStr">
        <is>
          <t>Plywood Boards/Laminates</t>
        </is>
      </c>
      <c r="F19" s="31" t="n">
        <v>2</v>
      </c>
      <c r="G19" s="31" t="inlineStr">
        <is>
          <t>52W Breakout</t>
        </is>
      </c>
      <c r="H19" s="31" t="inlineStr">
        <is>
          <t>Yes</t>
        </is>
      </c>
      <c r="I19" s="31" t="n">
        <v>13</v>
      </c>
      <c r="J19" s="31" t="n">
        <v>30</v>
      </c>
    </row>
    <row r="20">
      <c r="A20" s="31">
        <f>IF(B20=0,"",ROW()-1)</f>
        <v/>
      </c>
      <c r="B20" s="32">
        <f>IFERROR(INDEX('Monit Non Financial'!$B$2:$B$400, MATCH(C20, 'Monit Non Financial'!$C$2:$C$400, 0)), IFERROR(INDEX('Monit Banks NBFC'!$B$2:$B$100, MATCH(C20, 'Monit Banks NBFC'!$C$2:$C$100, 0)), 0))</f>
        <v/>
      </c>
      <c r="C20" s="31" t="inlineStr">
        <is>
          <t>NGLFINE</t>
        </is>
      </c>
      <c r="D20" s="31" t="inlineStr">
        <is>
          <t>NGL Fine Chem Ltd</t>
        </is>
      </c>
      <c r="E20" s="31" t="inlineStr">
        <is>
          <t>Pharma - Animal</t>
        </is>
      </c>
      <c r="F20" s="31" t="n">
        <v>2</v>
      </c>
      <c r="G20" s="31" t="inlineStr">
        <is>
          <t>No</t>
        </is>
      </c>
      <c r="H20" s="31" t="inlineStr">
        <is>
          <t>Yes</t>
        </is>
      </c>
      <c r="I20" s="31" t="n">
        <v>23</v>
      </c>
      <c r="J20" s="31" t="n">
        <v>18</v>
      </c>
    </row>
    <row r="21">
      <c r="A21" s="31">
        <f>IF(B21=0,"",ROW()-1)</f>
        <v/>
      </c>
      <c r="B21" s="32">
        <f>IFERROR(INDEX('Monit Non Financial'!$B$2:$B$400, MATCH(C21, 'Monit Non Financial'!$C$2:$C$400, 0)), IFERROR(INDEX('Monit Banks NBFC'!$B$2:$B$100, MATCH(C21, 'Monit Banks NBFC'!$C$2:$C$100, 0)), 0))</f>
        <v/>
      </c>
      <c r="C21" s="31" t="inlineStr">
        <is>
          <t>PGHL</t>
        </is>
      </c>
      <c r="D21" s="31" t="inlineStr">
        <is>
          <t>Procter &amp; Gamble Health Ltd</t>
        </is>
      </c>
      <c r="E21" s="31" t="inlineStr">
        <is>
          <t>Pharma - MNC bulk Drugs</t>
        </is>
      </c>
      <c r="F21" s="31" t="n">
        <v>2</v>
      </c>
      <c r="G21" s="31" t="inlineStr">
        <is>
          <t>No</t>
        </is>
      </c>
      <c r="H21" s="31" t="inlineStr">
        <is>
          <t>Yes</t>
        </is>
      </c>
      <c r="I21" s="31" t="n">
        <v>19</v>
      </c>
      <c r="J21" s="31" t="n">
        <v>15</v>
      </c>
    </row>
    <row r="22">
      <c r="A22" s="31">
        <f>IF(B22=0,"",ROW()-1)</f>
        <v/>
      </c>
      <c r="B22" s="32">
        <f>IFERROR(INDEX('Monit Non Financial'!$B$2:$B$400, MATCH(C22, 'Monit Non Financial'!$C$2:$C$400, 0)), IFERROR(INDEX('Monit Banks NBFC'!$B$2:$B$100, MATCH(C22, 'Monit Banks NBFC'!$C$2:$C$100, 0)), 0))</f>
        <v/>
      </c>
      <c r="C22" s="31" t="inlineStr">
        <is>
          <t>SATIN</t>
        </is>
      </c>
      <c r="D22" s="31" t="inlineStr">
        <is>
          <t>Satin Creditcare Network Limited</t>
        </is>
      </c>
      <c r="E22" s="31" t="inlineStr">
        <is>
          <t>Finance &amp; Investments - Microfinance</t>
        </is>
      </c>
      <c r="F22" s="31" t="n">
        <v>2</v>
      </c>
      <c r="G22" s="31" t="inlineStr">
        <is>
          <t>No</t>
        </is>
      </c>
      <c r="H22" s="31" t="inlineStr">
        <is>
          <t>Yes</t>
        </is>
      </c>
      <c r="I22" s="31" t="n">
        <v>25</v>
      </c>
      <c r="J22" s="31" t="n">
        <v>30</v>
      </c>
    </row>
    <row r="23">
      <c r="A23" s="31">
        <f>IF(B23=0,"",ROW()-1)</f>
        <v/>
      </c>
      <c r="B23" s="32">
        <f>IFERROR(INDEX('Monit Non Financial'!$B$2:$B$400, MATCH(C23, 'Monit Non Financial'!$C$2:$C$400, 0)), IFERROR(INDEX('Monit Banks NBFC'!$B$2:$B$100, MATCH(C23, 'Monit Banks NBFC'!$C$2:$C$100, 0)), 0))</f>
        <v/>
      </c>
      <c r="C23" s="31" t="inlineStr">
        <is>
          <t>POWERINDIA</t>
        </is>
      </c>
      <c r="D23" s="31" t="inlineStr">
        <is>
          <t>Hitachi Energy India Ltd</t>
        </is>
      </c>
      <c r="E23" s="31" t="inlineStr">
        <is>
          <t>Electrical Equipments/HVDC</t>
        </is>
      </c>
      <c r="F23" s="31" t="n">
        <v>2</v>
      </c>
      <c r="G23" s="31" t="inlineStr">
        <is>
          <t>No</t>
        </is>
      </c>
      <c r="H23" s="31" t="inlineStr">
        <is>
          <t>Yes</t>
        </is>
      </c>
      <c r="I23" s="31" t="n">
        <v>20</v>
      </c>
      <c r="J23" s="31" t="n">
        <v>30</v>
      </c>
    </row>
    <row r="24">
      <c r="A24" s="31">
        <f>IF(B24=0,"",ROW()-1)</f>
        <v/>
      </c>
      <c r="B24" s="32">
        <f>IFERROR(INDEX('Monit Non Financial'!$B$2:$B$400, MATCH(C24, 'Monit Non Financial'!$C$2:$C$400, 0)), IFERROR(INDEX('Monit Banks NBFC'!$B$2:$B$100, MATCH(C24, 'Monit Banks NBFC'!$C$2:$C$100, 0)), 0))</f>
        <v/>
      </c>
      <c r="C24" s="31" t="inlineStr">
        <is>
          <t>IOLCP</t>
        </is>
      </c>
      <c r="D24" s="31" t="inlineStr">
        <is>
          <t>Iol Chemicals And Pharmaceuticals Limited</t>
        </is>
      </c>
      <c r="E24" s="31" t="inlineStr">
        <is>
          <t>Pharma - API &amp; CRAMS</t>
        </is>
      </c>
      <c r="F24" s="31" t="n">
        <v>2</v>
      </c>
      <c r="G24" s="31" t="inlineStr">
        <is>
          <t>No</t>
        </is>
      </c>
      <c r="H24" s="31" t="inlineStr">
        <is>
          <t>Yes</t>
        </is>
      </c>
      <c r="I24" s="31" t="n">
        <v>19</v>
      </c>
      <c r="J24" s="31" t="n">
        <v>23</v>
      </c>
    </row>
    <row r="25">
      <c r="A25" s="31">
        <f>IF(B25=0,"",ROW()-1)</f>
        <v/>
      </c>
      <c r="B25" s="32">
        <f>IFERROR(INDEX('Monit Non Financial'!$B$2:$B$400, MATCH(C25, 'Monit Non Financial'!$C$2:$C$400, 0)), IFERROR(INDEX('Monit Banks NBFC'!$B$2:$B$100, MATCH(C25, 'Monit Banks NBFC'!$C$2:$C$100, 0)), 0))</f>
        <v/>
      </c>
      <c r="C25" s="31" t="inlineStr">
        <is>
          <t>GLAND</t>
        </is>
      </c>
      <c r="D25" s="31" t="inlineStr">
        <is>
          <t>Gland Pharma Ltd</t>
        </is>
      </c>
      <c r="E25" s="31" t="inlineStr">
        <is>
          <t>Pharma - API &amp; CRAMS</t>
        </is>
      </c>
      <c r="F25" s="31" t="n">
        <v>2</v>
      </c>
      <c r="G25" s="31" t="inlineStr">
        <is>
          <t>No</t>
        </is>
      </c>
      <c r="H25" s="31" t="inlineStr">
        <is>
          <t>Yes</t>
        </is>
      </c>
      <c r="I25" s="31" t="n">
        <v>20</v>
      </c>
      <c r="J25" s="31" t="n">
        <v>27</v>
      </c>
    </row>
    <row r="26">
      <c r="A26" s="31">
        <f>IF(B26=0,"",ROW()-1)</f>
        <v/>
      </c>
      <c r="B26" s="32">
        <f>IFERROR(INDEX('Monit Non Financial'!$B$2:$B$400, MATCH(C26, 'Monit Non Financial'!$C$2:$C$400, 0)), IFERROR(INDEX('Monit Banks NBFC'!$B$2:$B$100, MATCH(C26, 'Monit Banks NBFC'!$C$2:$C$100, 0)), 0))</f>
        <v/>
      </c>
      <c r="C26" s="31" t="inlineStr">
        <is>
          <t>GVPIL</t>
        </is>
      </c>
      <c r="D26" s="31" t="inlineStr">
        <is>
          <t>GE Power India Ltd</t>
        </is>
      </c>
      <c r="E26" s="31" t="inlineStr">
        <is>
          <t>Infra - General</t>
        </is>
      </c>
      <c r="F26" s="31" t="n">
        <v>2</v>
      </c>
      <c r="G26" s="31" t="inlineStr">
        <is>
          <t>No</t>
        </is>
      </c>
      <c r="H26" s="31" t="inlineStr">
        <is>
          <t>Yes</t>
        </is>
      </c>
      <c r="I26" s="31" t="n">
        <v>22</v>
      </c>
      <c r="J26" s="31" t="n">
        <v>30</v>
      </c>
    </row>
    <row r="27">
      <c r="A27" s="31">
        <f>IF(B27=0,"",ROW()-1)</f>
        <v/>
      </c>
      <c r="B27" s="32">
        <f>IFERROR(INDEX('Monit Non Financial'!$B$2:$B$400, MATCH(C27, 'Monit Non Financial'!$C$2:$C$400, 0)), IFERROR(INDEX('Monit Banks NBFC'!$B$2:$B$100, MATCH(C27, 'Monit Banks NBFC'!$C$2:$C$100, 0)), 0))</f>
        <v/>
      </c>
      <c r="C27" s="31" t="inlineStr">
        <is>
          <t>CEMPRO</t>
        </is>
      </c>
      <c r="D27" s="31" t="inlineStr">
        <is>
          <t>Cemindia Projects Ltd</t>
        </is>
      </c>
      <c r="E27" s="31" t="inlineStr">
        <is>
          <t>Infra - Construction &amp; Contracting</t>
        </is>
      </c>
      <c r="F27" s="31" t="n">
        <v>2</v>
      </c>
      <c r="G27" s="31" t="inlineStr">
        <is>
          <t>No</t>
        </is>
      </c>
      <c r="H27" s="31" t="inlineStr">
        <is>
          <t>Yes</t>
        </is>
      </c>
      <c r="I27" s="31" t="n">
        <v>23</v>
      </c>
      <c r="J27" s="31" t="n">
        <v>29</v>
      </c>
    </row>
    <row r="28">
      <c r="A28" s="31">
        <f>IF(B28=0,"",ROW()-1)</f>
        <v/>
      </c>
      <c r="B28" s="32">
        <f>IFERROR(INDEX('Monit Non Financial'!$B$2:$B$400, MATCH(C28, 'Monit Non Financial'!$C$2:$C$400, 0)), IFERROR(INDEX('Monit Banks NBFC'!$B$2:$B$100, MATCH(C28, 'Monit Banks NBFC'!$C$2:$C$100, 0)), 0))</f>
        <v/>
      </c>
      <c r="C28" s="31" t="inlineStr">
        <is>
          <t>TIPSMUSIC</t>
        </is>
      </c>
      <c r="D28" s="31" t="inlineStr">
        <is>
          <t>Tips Music Ltd</t>
        </is>
      </c>
      <c r="E28" s="31" t="inlineStr">
        <is>
          <t>Music Licensing</t>
        </is>
      </c>
      <c r="F28" s="31" t="n">
        <v>2</v>
      </c>
      <c r="G28" s="31" t="inlineStr">
        <is>
          <t>No</t>
        </is>
      </c>
      <c r="H28" s="31" t="inlineStr">
        <is>
          <t>Yes</t>
        </is>
      </c>
      <c r="I28" s="31" t="n">
        <v>21</v>
      </c>
      <c r="J28" s="31" t="n">
        <v>29</v>
      </c>
    </row>
    <row r="29">
      <c r="A29" s="31">
        <f>IF(B29=0,"",ROW()-1)</f>
        <v/>
      </c>
      <c r="B29" s="32">
        <f>IFERROR(INDEX('Monit Non Financial'!$B$2:$B$400, MATCH(C29, 'Monit Non Financial'!$C$2:$C$400, 0)), IFERROR(INDEX('Monit Banks NBFC'!$B$2:$B$100, MATCH(C29, 'Monit Banks NBFC'!$C$2:$C$100, 0)), 0))</f>
        <v/>
      </c>
      <c r="C29" s="31" t="inlineStr">
        <is>
          <t>RPTECH</t>
        </is>
      </c>
      <c r="D29" s="31" t="inlineStr">
        <is>
          <t>Rashi Peripherals Ltd</t>
        </is>
      </c>
      <c r="E29" s="31" t="inlineStr">
        <is>
          <t>Trading</t>
        </is>
      </c>
      <c r="F29" s="31" t="n">
        <v>2</v>
      </c>
      <c r="G29" s="31" t="inlineStr">
        <is>
          <t>No</t>
        </is>
      </c>
      <c r="H29" s="31" t="inlineStr">
        <is>
          <t>Yes</t>
        </is>
      </c>
      <c r="I29" s="31" t="n">
        <v>21</v>
      </c>
      <c r="J29" s="31" t="n">
        <v>30</v>
      </c>
    </row>
    <row r="30">
      <c r="A30" s="31">
        <f>IF(B30=0,"",ROW()-1)</f>
        <v/>
      </c>
      <c r="B30" s="32">
        <f>IFERROR(INDEX('Monit Non Financial'!$B$2:$B$400, MATCH(C30, 'Monit Non Financial'!$C$2:$C$400, 0)), IFERROR(INDEX('Monit Banks NBFC'!$B$2:$B$100, MATCH(C30, 'Monit Banks NBFC'!$C$2:$C$100, 0)), 0))</f>
        <v/>
      </c>
      <c r="C30" s="31" t="inlineStr">
        <is>
          <t>FEDERALBNK</t>
        </is>
      </c>
      <c r="D30" s="31" t="inlineStr">
        <is>
          <t>The Federal Bank  Limited</t>
        </is>
      </c>
      <c r="E30" s="31" t="inlineStr">
        <is>
          <t>Banks - Private</t>
        </is>
      </c>
      <c r="F30" s="31" t="n">
        <v>2</v>
      </c>
      <c r="G30" s="31" t="inlineStr">
        <is>
          <t>52W Breakout</t>
        </is>
      </c>
      <c r="H30" s="31" t="inlineStr">
        <is>
          <t>Yes</t>
        </is>
      </c>
      <c r="I30" s="31" t="n">
        <v>13</v>
      </c>
      <c r="J30" s="31" t="n">
        <v>10</v>
      </c>
    </row>
    <row r="31">
      <c r="A31" s="31">
        <f>IF(B31=0,"",ROW()-1)</f>
        <v/>
      </c>
      <c r="B31" s="32">
        <f>IFERROR(INDEX('Monit Non Financial'!$B$2:$B$400, MATCH(C31, 'Monit Non Financial'!$C$2:$C$400, 0)), IFERROR(INDEX('Monit Banks NBFC'!$B$2:$B$100, MATCH(C31, 'Monit Banks NBFC'!$C$2:$C$100, 0)), 0))</f>
        <v/>
      </c>
      <c r="C31" s="31" t="inlineStr">
        <is>
          <t>AVALON</t>
        </is>
      </c>
      <c r="D31" s="31" t="inlineStr">
        <is>
          <t>Avalon Technologies Ltd</t>
        </is>
      </c>
      <c r="E31" s="31" t="inlineStr">
        <is>
          <t>Consumer Electronics - EMS</t>
        </is>
      </c>
      <c r="F31" s="31" t="n">
        <v>2</v>
      </c>
      <c r="G31" s="31" t="inlineStr">
        <is>
          <t>No</t>
        </is>
      </c>
      <c r="H31" s="31" t="inlineStr">
        <is>
          <t>Yes</t>
        </is>
      </c>
      <c r="I31" s="31" t="n">
        <v>22</v>
      </c>
      <c r="J31" s="31" t="n">
        <v>28</v>
      </c>
    </row>
    <row r="32">
      <c r="A32" s="31">
        <f>IF(B32=0,"",ROW()-1)</f>
        <v/>
      </c>
      <c r="B32" s="32">
        <f>IFERROR(INDEX('Monit Non Financial'!$B$2:$B$400, MATCH(C32, 'Monit Non Financial'!$C$2:$C$400, 0)), IFERROR(INDEX('Monit Banks NBFC'!$B$2:$B$100, MATCH(C32, 'Monit Banks NBFC'!$C$2:$C$100, 0)), 0))</f>
        <v/>
      </c>
      <c r="C32" s="31" t="inlineStr">
        <is>
          <t>RATEGAIN</t>
        </is>
      </c>
      <c r="D32" s="31" t="inlineStr">
        <is>
          <t>Rategain Travel Technologies Ltd</t>
        </is>
      </c>
      <c r="E32" s="31" t="inlineStr">
        <is>
          <t>IT Product Companies</t>
        </is>
      </c>
      <c r="F32" s="31" t="n">
        <v>2</v>
      </c>
      <c r="G32" s="31" t="inlineStr">
        <is>
          <t>No</t>
        </is>
      </c>
      <c r="H32" s="31" t="inlineStr">
        <is>
          <t>Yes</t>
        </is>
      </c>
      <c r="I32" s="31" t="n">
        <v>25</v>
      </c>
      <c r="J32" s="31" t="n">
        <v>29</v>
      </c>
    </row>
    <row r="33">
      <c r="A33" s="31">
        <f>IF(B33=0,"",ROW()-1)</f>
        <v/>
      </c>
      <c r="B33" s="32">
        <f>IFERROR(INDEX('Monit Non Financial'!$B$2:$B$400, MATCH(C33, 'Monit Non Financial'!$C$2:$C$400, 0)), IFERROR(INDEX('Monit Banks NBFC'!$B$2:$B$100, MATCH(C33, 'Monit Banks NBFC'!$C$2:$C$100, 0)), 0))</f>
        <v/>
      </c>
      <c r="C33" s="31" t="inlineStr">
        <is>
          <t>THANGAMAYL</t>
        </is>
      </c>
      <c r="D33" s="31" t="inlineStr">
        <is>
          <t>Thangamayil Jewellery Limited</t>
        </is>
      </c>
      <c r="E33" s="31" t="inlineStr">
        <is>
          <t>Diamond, Gems &amp; Jewellery</t>
        </is>
      </c>
      <c r="F33" s="31" t="n">
        <v>2</v>
      </c>
      <c r="G33" s="31" t="inlineStr">
        <is>
          <t>No</t>
        </is>
      </c>
      <c r="H33" s="31" t="inlineStr">
        <is>
          <t>Yes</t>
        </is>
      </c>
      <c r="I33" s="31" t="n">
        <v>31</v>
      </c>
      <c r="J33" s="31" t="n">
        <v>13</v>
      </c>
    </row>
    <row r="34">
      <c r="A34" s="31">
        <f>IF(B34=0,"",ROW()-1)</f>
        <v/>
      </c>
      <c r="B34" s="32">
        <f>IFERROR(INDEX('Monit Non Financial'!$B$2:$B$400, MATCH(C34, 'Monit Non Financial'!$C$2:$C$400, 0)), IFERROR(INDEX('Monit Banks NBFC'!$B$2:$B$100, MATCH(C34, 'Monit Banks NBFC'!$C$2:$C$100, 0)), 0))</f>
        <v/>
      </c>
      <c r="C34" s="31" t="inlineStr">
        <is>
          <t>GOCLCORP</t>
        </is>
      </c>
      <c r="D34" s="31" t="inlineStr">
        <is>
          <t>Gocl Corporation Limited</t>
        </is>
      </c>
      <c r="E34" s="31" t="inlineStr">
        <is>
          <t>Lubricants</t>
        </is>
      </c>
      <c r="F34" s="31" t="n">
        <v>2</v>
      </c>
      <c r="G34" s="31" t="inlineStr">
        <is>
          <t>No</t>
        </is>
      </c>
      <c r="H34" s="31" t="inlineStr">
        <is>
          <t>Yes</t>
        </is>
      </c>
      <c r="I34" s="31" t="n">
        <v>20</v>
      </c>
      <c r="J34" s="31" t="n">
        <v>13</v>
      </c>
    </row>
    <row r="35">
      <c r="A35" s="31">
        <f>IF(B35=0,"",ROW()-1)</f>
        <v/>
      </c>
      <c r="B35" s="32">
        <f>IFERROR(INDEX('Monit Non Financial'!$B$2:$B$400, MATCH(C35, 'Monit Non Financial'!$C$2:$C$400, 0)), IFERROR(INDEX('Monit Banks NBFC'!$B$2:$B$100, MATCH(C35, 'Monit Banks NBFC'!$C$2:$C$100, 0)), 0))</f>
        <v/>
      </c>
      <c r="C35" s="31" t="inlineStr">
        <is>
          <t>MTARTECH</t>
        </is>
      </c>
      <c r="D35" s="31" t="inlineStr">
        <is>
          <t>MTAR Technologies Ltd</t>
        </is>
      </c>
      <c r="E35" s="31" t="inlineStr">
        <is>
          <t>Aerospace &amp; Defence - Equipments</t>
        </is>
      </c>
      <c r="F35" s="31" t="n">
        <v>2</v>
      </c>
      <c r="G35" s="31" t="inlineStr">
        <is>
          <t>No</t>
        </is>
      </c>
      <c r="H35" s="31" t="inlineStr">
        <is>
          <t>Yes</t>
        </is>
      </c>
      <c r="I35" s="31" t="n">
        <v>22</v>
      </c>
      <c r="J35" s="31" t="n">
        <v>29</v>
      </c>
    </row>
    <row r="36">
      <c r="A36" s="31">
        <f>IF(B36=0,"",ROW()-1)</f>
        <v/>
      </c>
      <c r="B36" s="32">
        <f>IFERROR(INDEX('Monit Non Financial'!$B$2:$B$400, MATCH(C36, 'Monit Non Financial'!$C$2:$C$400, 0)), IFERROR(INDEX('Monit Banks NBFC'!$B$2:$B$100, MATCH(C36, 'Monit Banks NBFC'!$C$2:$C$100, 0)), 0))</f>
        <v/>
      </c>
      <c r="C36" s="31" t="inlineStr">
        <is>
          <t>UNIPARTS</t>
        </is>
      </c>
      <c r="D36" s="31" t="inlineStr">
        <is>
          <t>Uniparts India Ltd</t>
        </is>
      </c>
      <c r="E36" s="31" t="inlineStr">
        <is>
          <t>Castings, Forgings &amp; Fastners</t>
        </is>
      </c>
      <c r="F36" s="31" t="n">
        <v>2</v>
      </c>
      <c r="G36" s="31" t="inlineStr">
        <is>
          <t>No</t>
        </is>
      </c>
      <c r="H36" s="31" t="inlineStr">
        <is>
          <t>Yes</t>
        </is>
      </c>
      <c r="I36" s="31" t="n">
        <v>29</v>
      </c>
      <c r="J36" s="31" t="n">
        <v>29</v>
      </c>
    </row>
    <row r="37">
      <c r="A37" s="31">
        <f>IF(B37=0,"",ROW()-1)</f>
        <v/>
      </c>
      <c r="B37" s="32">
        <f>IFERROR(INDEX('Monit Non Financial'!$B$2:$B$400, MATCH(C37, 'Monit Non Financial'!$C$2:$C$400, 0)), IFERROR(INDEX('Monit Banks NBFC'!$B$2:$B$100, MATCH(C37, 'Monit Banks NBFC'!$C$2:$C$100, 0)), 0))</f>
        <v/>
      </c>
      <c r="C37" s="31" t="inlineStr">
        <is>
          <t>NAM-INDIA</t>
        </is>
      </c>
      <c r="D37" s="31" t="inlineStr">
        <is>
          <t>Nippon Life India Asset Management Ltd</t>
        </is>
      </c>
      <c r="E37" s="31" t="inlineStr">
        <is>
          <t>Finance - AMC</t>
        </is>
      </c>
      <c r="F37" s="31" t="n">
        <v>2</v>
      </c>
      <c r="G37" s="31" t="inlineStr">
        <is>
          <t>No</t>
        </is>
      </c>
      <c r="H37" s="31" t="inlineStr">
        <is>
          <t>Yes</t>
        </is>
      </c>
      <c r="I37" s="31" t="n">
        <v>19</v>
      </c>
      <c r="J37" s="31" t="n">
        <v>29</v>
      </c>
    </row>
    <row r="38">
      <c r="A38" s="31">
        <f>IF(B38=0,"",ROW()-1)</f>
        <v/>
      </c>
      <c r="B38" s="32">
        <f>IFERROR(INDEX('Monit Non Financial'!$B$2:$B$400, MATCH(C38, 'Monit Non Financial'!$C$2:$C$400, 0)), IFERROR(INDEX('Monit Banks NBFC'!$B$2:$B$100, MATCH(C38, 'Monit Banks NBFC'!$C$2:$C$100, 0)), 0))</f>
        <v/>
      </c>
      <c r="C38" s="31" t="inlineStr">
        <is>
          <t>SUPRIYA</t>
        </is>
      </c>
      <c r="D38" s="31" t="inlineStr">
        <is>
          <t>Supriya Lifescience Ltd</t>
        </is>
      </c>
      <c r="E38" s="31" t="inlineStr">
        <is>
          <t>Pharma - API &amp; CRAMS</t>
        </is>
      </c>
      <c r="F38" s="31" t="n">
        <v>2</v>
      </c>
      <c r="G38" s="31" t="inlineStr">
        <is>
          <t>No</t>
        </is>
      </c>
      <c r="H38" s="31" t="inlineStr">
        <is>
          <t>Yes</t>
        </is>
      </c>
      <c r="I38" s="31" t="n">
        <v>23</v>
      </c>
      <c r="J38" s="31" t="n">
        <v>27</v>
      </c>
    </row>
    <row r="39">
      <c r="A39" s="31">
        <f>IF(B39=0,"",ROW()-1)</f>
        <v/>
      </c>
      <c r="B39" s="32">
        <f>IFERROR(INDEX('Monit Non Financial'!$B$2:$B$400, MATCH(C39, 'Monit Non Financial'!$C$2:$C$400, 0)), IFERROR(INDEX('Monit Banks NBFC'!$B$2:$B$100, MATCH(C39, 'Monit Banks NBFC'!$C$2:$C$100, 0)), 0))</f>
        <v/>
      </c>
      <c r="C39" s="31" t="inlineStr">
        <is>
          <t>VIJAYA</t>
        </is>
      </c>
      <c r="D39" s="31" t="inlineStr">
        <is>
          <t>Vijaya Diagnostic Centre Ltd</t>
        </is>
      </c>
      <c r="E39" s="31" t="inlineStr">
        <is>
          <t>Diagnostics</t>
        </is>
      </c>
      <c r="F39" s="31" t="n">
        <v>2</v>
      </c>
      <c r="G39" s="31" t="inlineStr">
        <is>
          <t>No</t>
        </is>
      </c>
      <c r="H39" s="31" t="inlineStr">
        <is>
          <t>Yes</t>
        </is>
      </c>
      <c r="I39" s="31" t="n">
        <v>21</v>
      </c>
      <c r="J39" s="31" t="n">
        <v>29</v>
      </c>
    </row>
    <row r="40">
      <c r="A40" s="31">
        <f>IF(B40=0,"",ROW()-1)</f>
        <v/>
      </c>
      <c r="B40" s="32">
        <f>IFERROR(INDEX('Monit Non Financial'!$B$2:$B$400, MATCH(C40, 'Monit Non Financial'!$C$2:$C$400, 0)), IFERROR(INDEX('Monit Banks NBFC'!$B$2:$B$100, MATCH(C40, 'Monit Banks NBFC'!$C$2:$C$100, 0)), 0))</f>
        <v/>
      </c>
      <c r="C40" s="31" t="inlineStr">
        <is>
          <t>SPARC</t>
        </is>
      </c>
      <c r="D40" s="31" t="inlineStr">
        <is>
          <t>Sun Pharma Advanced Research Company Limited</t>
        </is>
      </c>
      <c r="E40" s="31" t="inlineStr">
        <is>
          <t>Pharma - Others</t>
        </is>
      </c>
      <c r="F40" s="31" t="n">
        <v>2</v>
      </c>
      <c r="G40" s="31" t="inlineStr">
        <is>
          <t>No</t>
        </is>
      </c>
      <c r="H40" s="31" t="inlineStr">
        <is>
          <t>Yes</t>
        </is>
      </c>
      <c r="I40" s="31" t="n">
        <v>24</v>
      </c>
      <c r="J40" s="31" t="n">
        <v>23</v>
      </c>
    </row>
    <row r="41">
      <c r="A41" s="31">
        <f>IF(B41=0,"",ROW()-1)</f>
        <v/>
      </c>
      <c r="B41" s="32">
        <f>IFERROR(INDEX('Monit Non Financial'!$B$2:$B$400, MATCH(C41, 'Monit Non Financial'!$C$2:$C$400, 0)), IFERROR(INDEX('Monit Banks NBFC'!$B$2:$B$100, MATCH(C41, 'Monit Banks NBFC'!$C$2:$C$100, 0)), 0))</f>
        <v/>
      </c>
      <c r="C41" s="31" t="inlineStr">
        <is>
          <t>WHEELS</t>
        </is>
      </c>
      <c r="D41" s="31" t="inlineStr">
        <is>
          <t>Wheels India Limited</t>
        </is>
      </c>
      <c r="E41" s="31" t="inlineStr">
        <is>
          <t>Auto Ancillaries - Wheels</t>
        </is>
      </c>
      <c r="F41" s="31" t="n">
        <v>2</v>
      </c>
      <c r="G41" s="31" t="inlineStr">
        <is>
          <t>No</t>
        </is>
      </c>
      <c r="H41" s="31" t="inlineStr">
        <is>
          <t>Yes</t>
        </is>
      </c>
      <c r="I41" s="31" t="n">
        <v>22</v>
      </c>
      <c r="J41" s="31" t="n">
        <v>30</v>
      </c>
    </row>
    <row r="42">
      <c r="A42" s="31">
        <f>IF(B42=0,"",ROW()-1)</f>
        <v/>
      </c>
      <c r="B42" s="32">
        <f>IFERROR(INDEX('Monit Non Financial'!$B$2:$B$400, MATCH(C42, 'Monit Non Financial'!$C$2:$C$400, 0)), IFERROR(INDEX('Monit Banks NBFC'!$B$2:$B$100, MATCH(C42, 'Monit Banks NBFC'!$C$2:$C$100, 0)), 0))</f>
        <v/>
      </c>
      <c r="C42" s="31" t="inlineStr">
        <is>
          <t>SKIPPER</t>
        </is>
      </c>
      <c r="D42" s="31" t="inlineStr">
        <is>
          <t>Skipper Limited</t>
        </is>
      </c>
      <c r="E42" s="31" t="inlineStr">
        <is>
          <t>Electrical Equipments/HVDC</t>
        </is>
      </c>
      <c r="F42" s="31" t="n">
        <v>2</v>
      </c>
      <c r="G42" s="31" t="inlineStr">
        <is>
          <t>No</t>
        </is>
      </c>
      <c r="H42" s="31" t="inlineStr">
        <is>
          <t>Yes</t>
        </is>
      </c>
      <c r="I42" s="31" t="n">
        <v>29</v>
      </c>
      <c r="J42" s="31" t="n">
        <v>19</v>
      </c>
    </row>
    <row r="43">
      <c r="A43" s="31">
        <f>IF(B43=0,"",ROW()-1)</f>
        <v/>
      </c>
      <c r="B43" s="32">
        <f>IFERROR(INDEX('Monit Non Financial'!$B$2:$B$400, MATCH(C43, 'Monit Non Financial'!$C$2:$C$400, 0)), IFERROR(INDEX('Monit Banks NBFC'!$B$2:$B$100, MATCH(C43, 'Monit Banks NBFC'!$C$2:$C$100, 0)), 0))</f>
        <v/>
      </c>
      <c r="C43" s="31" t="inlineStr">
        <is>
          <t>PARAS</t>
        </is>
      </c>
      <c r="D43" s="31" t="inlineStr">
        <is>
          <t>Paras Defence and Space Technologies Ltd</t>
        </is>
      </c>
      <c r="E43" s="31" t="inlineStr">
        <is>
          <t>Aerospace &amp; Defence - Equipments</t>
        </is>
      </c>
      <c r="F43" s="31" t="n">
        <v>2</v>
      </c>
      <c r="G43" s="31" t="inlineStr">
        <is>
          <t>No</t>
        </is>
      </c>
      <c r="H43" s="31" t="inlineStr">
        <is>
          <t>Yes</t>
        </is>
      </c>
      <c r="I43" s="31" t="n">
        <v>23</v>
      </c>
      <c r="J43" s="31" t="n">
        <v>21</v>
      </c>
    </row>
    <row r="44">
      <c r="A44" s="31">
        <f>IF(B44=0,"",ROW()-1)</f>
        <v/>
      </c>
      <c r="B44" s="32">
        <f>IFERROR(INDEX('Monit Non Financial'!$B$2:$B$400, MATCH(C44, 'Monit Non Financial'!$C$2:$C$400, 0)), IFERROR(INDEX('Monit Banks NBFC'!$B$2:$B$100, MATCH(C44, 'Monit Banks NBFC'!$C$2:$C$100, 0)), 0))</f>
        <v/>
      </c>
      <c r="C44" s="31" t="inlineStr">
        <is>
          <t>SANSERA</t>
        </is>
      </c>
      <c r="D44" s="31" t="inlineStr">
        <is>
          <t>Sansera Engineering Ltd</t>
        </is>
      </c>
      <c r="E44" s="31" t="inlineStr">
        <is>
          <t>Auto Ancillaries - Diversified</t>
        </is>
      </c>
      <c r="F44" s="31" t="n">
        <v>2</v>
      </c>
      <c r="G44" s="31" t="inlineStr">
        <is>
          <t>No</t>
        </is>
      </c>
      <c r="H44" s="31" t="inlineStr">
        <is>
          <t>Yes</t>
        </is>
      </c>
      <c r="I44" s="31" t="n">
        <v>19</v>
      </c>
      <c r="J44" s="31" t="n">
        <v>24</v>
      </c>
    </row>
    <row r="45">
      <c r="A45" s="31">
        <f>IF(B45=0,"",ROW()-1)</f>
        <v/>
      </c>
      <c r="B45" s="32">
        <f>IFERROR(INDEX('Monit Non Financial'!$B$2:$B$400, MATCH(C45, 'Monit Non Financial'!$C$2:$C$400, 0)), IFERROR(INDEX('Monit Banks NBFC'!$B$2:$B$100, MATCH(C45, 'Monit Banks NBFC'!$C$2:$C$100, 0)), 0))</f>
        <v/>
      </c>
      <c r="C45" s="31" t="inlineStr">
        <is>
          <t>ASTRAMICRO</t>
        </is>
      </c>
      <c r="D45" s="31" t="inlineStr">
        <is>
          <t>Astra Microwave Products Limited</t>
        </is>
      </c>
      <c r="E45" s="31" t="inlineStr">
        <is>
          <t>Aerospace &amp; Defence - Equipments</t>
        </is>
      </c>
      <c r="F45" s="31" t="n">
        <v>2</v>
      </c>
      <c r="G45" s="31" t="inlineStr">
        <is>
          <t>No</t>
        </is>
      </c>
      <c r="H45" s="31" t="inlineStr">
        <is>
          <t>Yes</t>
        </is>
      </c>
      <c r="I45" s="31" t="n">
        <v>20</v>
      </c>
      <c r="J45" s="31" t="n">
        <v>27</v>
      </c>
    </row>
    <row r="46">
      <c r="A46" s="31">
        <f>IF(B46=0,"",ROW()-1)</f>
        <v/>
      </c>
      <c r="B46" s="32">
        <f>IFERROR(INDEX('Monit Non Financial'!$B$2:$B$400, MATCH(C46, 'Monit Non Financial'!$C$2:$C$400, 0)), IFERROR(INDEX('Monit Banks NBFC'!$B$2:$B$100, MATCH(C46, 'Monit Banks NBFC'!$C$2:$C$100, 0)), 0))</f>
        <v/>
      </c>
      <c r="C46" s="31" t="inlineStr">
        <is>
          <t>PRIMO</t>
        </is>
      </c>
      <c r="D46" s="31" t="inlineStr">
        <is>
          <t>Primo Chemicals Ltd</t>
        </is>
      </c>
      <c r="E46" s="31" t="inlineStr">
        <is>
          <t>Chemicals - Inorganic - Caustic Soda/Soda Ash</t>
        </is>
      </c>
      <c r="F46" s="31" t="n">
        <v>2</v>
      </c>
      <c r="G46" s="31" t="inlineStr">
        <is>
          <t>EMA Crossover</t>
        </is>
      </c>
      <c r="H46" s="31" t="inlineStr">
        <is>
          <t>Yes</t>
        </is>
      </c>
      <c r="I46" s="31" t="n">
        <v>0</v>
      </c>
      <c r="J46" s="31" t="n">
        <v>7</v>
      </c>
    </row>
    <row r="47">
      <c r="A47" s="31">
        <f>IF(B47=0,"",ROW()-1)</f>
        <v/>
      </c>
      <c r="B47" s="32">
        <f>IFERROR(INDEX('Monit Non Financial'!$B$2:$B$400, MATCH(C47, 'Monit Non Financial'!$C$2:$C$400, 0)), IFERROR(INDEX('Monit Banks NBFC'!$B$2:$B$100, MATCH(C47, 'Monit Banks NBFC'!$C$2:$C$100, 0)), 0))</f>
        <v/>
      </c>
      <c r="C47" s="31" t="inlineStr">
        <is>
          <t>CGCL</t>
        </is>
      </c>
      <c r="D47" s="31" t="inlineStr">
        <is>
          <t>Capri Global Capital Limited</t>
        </is>
      </c>
      <c r="E47" s="31" t="inlineStr">
        <is>
          <t>Finance &amp; Investments - Gold Loan</t>
        </is>
      </c>
      <c r="F47" s="31" t="n">
        <v>2</v>
      </c>
      <c r="G47" s="31" t="inlineStr">
        <is>
          <t>No</t>
        </is>
      </c>
      <c r="H47" s="31" t="inlineStr">
        <is>
          <t>Yes</t>
        </is>
      </c>
      <c r="I47" s="31" t="n">
        <v>19</v>
      </c>
      <c r="J47" s="31" t="n">
        <v>19</v>
      </c>
    </row>
    <row r="48">
      <c r="A48" s="31">
        <f>IF(B48=0,"",ROW()-1)</f>
        <v/>
      </c>
      <c r="B48" s="32">
        <f>IFERROR(INDEX('Monit Non Financial'!$B$2:$B$400, MATCH(C48, 'Monit Non Financial'!$C$2:$C$400, 0)), IFERROR(INDEX('Monit Banks NBFC'!$B$2:$B$100, MATCH(C48, 'Monit Banks NBFC'!$C$2:$C$100, 0)), 0))</f>
        <v/>
      </c>
      <c r="C48" s="31" t="inlineStr">
        <is>
          <t>MARKSANS</t>
        </is>
      </c>
      <c r="D48" s="31" t="inlineStr">
        <is>
          <t>Marksans Pharma Limited</t>
        </is>
      </c>
      <c r="E48" s="31" t="inlineStr">
        <is>
          <t>Pharma - Formulators</t>
        </is>
      </c>
      <c r="F48" s="31" t="n">
        <v>2</v>
      </c>
      <c r="G48" s="31" t="inlineStr">
        <is>
          <t>No</t>
        </is>
      </c>
      <c r="H48" s="31" t="inlineStr">
        <is>
          <t>Yes</t>
        </is>
      </c>
      <c r="I48" s="31" t="n">
        <v>20</v>
      </c>
      <c r="J48" s="31" t="n">
        <v>16</v>
      </c>
    </row>
    <row r="49">
      <c r="A49" s="31">
        <f>IF(B49=0,"",ROW()-1)</f>
        <v/>
      </c>
      <c r="B49" s="32">
        <f>IFERROR(INDEX('Monit Non Financial'!$B$2:$B$400, MATCH(C49, 'Monit Non Financial'!$C$2:$C$400, 0)), IFERROR(INDEX('Monit Banks NBFC'!$B$2:$B$100, MATCH(C49, 'Monit Banks NBFC'!$C$2:$C$100, 0)), 0))</f>
        <v/>
      </c>
      <c r="C49" s="31" t="inlineStr">
        <is>
          <t>SKMEGGPROD</t>
        </is>
      </c>
      <c r="D49" s="31" t="inlineStr">
        <is>
          <t>Skm Egg Products Export (india) Limited</t>
        </is>
      </c>
      <c r="E49" s="31" t="inlineStr">
        <is>
          <t>FMCG - Animal/Polutry</t>
        </is>
      </c>
      <c r="F49" s="31" t="n">
        <v>2</v>
      </c>
      <c r="G49" s="31" t="inlineStr">
        <is>
          <t>No</t>
        </is>
      </c>
      <c r="H49" s="31" t="inlineStr">
        <is>
          <t>Yes</t>
        </is>
      </c>
      <c r="I49" s="31" t="n">
        <v>30</v>
      </c>
      <c r="J49" s="31" t="n">
        <v>14</v>
      </c>
    </row>
    <row r="50">
      <c r="A50" s="31">
        <f>IF(B50=0,"",ROW()-1)</f>
        <v/>
      </c>
      <c r="B50" s="32">
        <f>IFERROR(INDEX('Monit Non Financial'!$B$2:$B$400, MATCH(C50, 'Monit Non Financial'!$C$2:$C$400, 0)), IFERROR(INDEX('Monit Banks NBFC'!$B$2:$B$100, MATCH(C50, 'Monit Banks NBFC'!$C$2:$C$100, 0)), 0))</f>
        <v/>
      </c>
      <c r="C50" s="31" t="inlineStr">
        <is>
          <t>PANACEABIO</t>
        </is>
      </c>
      <c r="D50" s="31" t="inlineStr">
        <is>
          <t>Panacea Biotec Limited</t>
        </is>
      </c>
      <c r="E50" s="31" t="inlineStr">
        <is>
          <t>Pharma - Others</t>
        </is>
      </c>
      <c r="F50" s="31" t="n">
        <v>2</v>
      </c>
      <c r="G50" s="31" t="inlineStr">
        <is>
          <t>No</t>
        </is>
      </c>
      <c r="H50" s="31" t="inlineStr">
        <is>
          <t>Yes</t>
        </is>
      </c>
      <c r="I50" s="31" t="n">
        <v>23</v>
      </c>
      <c r="J50" s="31" t="n">
        <v>3</v>
      </c>
    </row>
    <row r="51">
      <c r="A51" s="31">
        <f>IF(B51=0,"",ROW()-1)</f>
        <v/>
      </c>
      <c r="B51" s="32">
        <f>IFERROR(INDEX('Monit Non Financial'!$B$2:$B$400, MATCH(C51, 'Monit Non Financial'!$C$2:$C$400, 0)), IFERROR(INDEX('Monit Banks NBFC'!$B$2:$B$100, MATCH(C51, 'Monit Banks NBFC'!$C$2:$C$100, 0)), 0))</f>
        <v/>
      </c>
      <c r="C51" s="31" t="inlineStr">
        <is>
          <t>SPECTRUM</t>
        </is>
      </c>
      <c r="D51" s="31" t="inlineStr">
        <is>
          <t>Spectrum Electrical Industries Ltd</t>
        </is>
      </c>
      <c r="E51" s="31" t="inlineStr">
        <is>
          <t>Capital Goods - Electric General</t>
        </is>
      </c>
      <c r="F51" s="31" t="n">
        <v>2</v>
      </c>
      <c r="G51" s="31" t="inlineStr">
        <is>
          <t>No</t>
        </is>
      </c>
      <c r="H51" s="31" t="inlineStr">
        <is>
          <t>Yes</t>
        </is>
      </c>
      <c r="I51" s="31" t="n">
        <v>20</v>
      </c>
      <c r="J51" s="31" t="n">
        <v>12</v>
      </c>
    </row>
    <row r="52">
      <c r="A52" s="31">
        <f>IF(B52=0,"",ROW()-1)</f>
        <v/>
      </c>
      <c r="B52" s="32">
        <f>IFERROR(INDEX('Monit Non Financial'!$B$2:$B$400, MATCH(C52, 'Monit Non Financial'!$C$2:$C$400, 0)), IFERROR(INDEX('Monit Banks NBFC'!$B$2:$B$100, MATCH(C52, 'Monit Banks NBFC'!$C$2:$C$100, 0)), 0))</f>
        <v/>
      </c>
      <c r="C52" s="31" t="inlineStr">
        <is>
          <t>KERNEX</t>
        </is>
      </c>
      <c r="D52" s="31" t="inlineStr">
        <is>
          <t>Kernex Microsystems (india) Limited</t>
        </is>
      </c>
      <c r="E52" s="31" t="inlineStr">
        <is>
          <t>Railways - Kavach/Springs</t>
        </is>
      </c>
      <c r="F52" s="31" t="n">
        <v>2</v>
      </c>
      <c r="G52" s="31" t="inlineStr">
        <is>
          <t>No</t>
        </is>
      </c>
      <c r="H52" s="31" t="inlineStr">
        <is>
          <t>Yes</t>
        </is>
      </c>
      <c r="I52" s="31" t="n">
        <v>26</v>
      </c>
      <c r="J52" s="31" t="n">
        <v>26</v>
      </c>
    </row>
    <row r="53">
      <c r="A53" s="31">
        <f>IF(B53=0,"",ROW()-1)</f>
        <v/>
      </c>
      <c r="B53" s="32">
        <f>IFERROR(INDEX('Monit Non Financial'!$B$2:$B$400, MATCH(C53, 'Monit Non Financial'!$C$2:$C$400, 0)), IFERROR(INDEX('Monit Banks NBFC'!$B$2:$B$100, MATCH(C53, 'Monit Banks NBFC'!$C$2:$C$100, 0)), 0))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 Services</t>
        </is>
      </c>
      <c r="F53" s="31" t="n">
        <v>2</v>
      </c>
      <c r="G53" s="31" t="inlineStr">
        <is>
          <t>No</t>
        </is>
      </c>
      <c r="H53" s="31" t="inlineStr">
        <is>
          <t>Yes</t>
        </is>
      </c>
      <c r="I53" s="31" t="n">
        <v>22</v>
      </c>
      <c r="J53" s="31" t="n">
        <v>30</v>
      </c>
    </row>
    <row r="54">
      <c r="A54" s="31">
        <f>IF(B54=0,"",ROW()-1)</f>
        <v/>
      </c>
      <c r="B54" s="32">
        <f>IFERROR(INDEX('Monit Non Financial'!$B$2:$B$400, MATCH(C54, 'Monit Non Financial'!$C$2:$C$400, 0)), IFERROR(INDEX('Monit Banks NBFC'!$B$2:$B$100, MATCH(C54, 'Monit Banks NBFC'!$C$2:$C$100, 0)), 0))</f>
        <v/>
      </c>
      <c r="C54" s="31" t="inlineStr">
        <is>
          <t>SIGMAADV</t>
        </is>
      </c>
      <c r="D54" s="31" t="inlineStr">
        <is>
          <t>Sigma Advanced System Ltd</t>
        </is>
      </c>
      <c r="E54" s="31" t="inlineStr">
        <is>
          <t>Aerospace &amp; Defence - Equipments</t>
        </is>
      </c>
      <c r="F54" s="31" t="n">
        <v>2</v>
      </c>
      <c r="G54" s="31" t="inlineStr">
        <is>
          <t>No</t>
        </is>
      </c>
      <c r="H54" s="31" t="inlineStr">
        <is>
          <t>Yes</t>
        </is>
      </c>
      <c r="I54" s="31" t="n">
        <v>30</v>
      </c>
      <c r="J54" s="31" t="n">
        <v>30</v>
      </c>
    </row>
    <row r="55">
      <c r="A55" s="31">
        <f>IF(B55=0,"",ROW()-1)</f>
        <v/>
      </c>
      <c r="B55" s="32">
        <f>IFERROR(INDEX('Monit Non Financial'!$B$2:$B$400, MATCH(C55, 'Monit Non Financial'!$C$2:$C$400, 0)), IFERROR(INDEX('Monit Banks NBFC'!$B$2:$B$100, MATCH(C55, 'Monit Banks NBFC'!$C$2:$C$100, 0)), 0))</f>
        <v/>
      </c>
      <c r="C55" s="31" t="inlineStr">
        <is>
          <t>FIEMIND</t>
        </is>
      </c>
      <c r="D55" s="31" t="inlineStr">
        <is>
          <t>Fiem Industries Limited</t>
        </is>
      </c>
      <c r="E55" s="31" t="inlineStr">
        <is>
          <t>Auto Ancillaries - 2&amp;3 Wheelers</t>
        </is>
      </c>
      <c r="F55" s="31" t="n">
        <v>2</v>
      </c>
      <c r="G55" s="31" t="inlineStr">
        <is>
          <t>No</t>
        </is>
      </c>
      <c r="H55" s="31" t="inlineStr">
        <is>
          <t>Yes</t>
        </is>
      </c>
      <c r="I55" s="31" t="n">
        <v>19</v>
      </c>
      <c r="J55" s="31" t="n">
        <v>14</v>
      </c>
    </row>
    <row r="56">
      <c r="A56" s="31">
        <f>IF(B56=0,"",ROW()-1)</f>
        <v/>
      </c>
      <c r="B56" s="32">
        <f>IFERROR(INDEX('Monit Non Financial'!$B$2:$B$400, MATCH(C56, 'Monit Non Financial'!$C$2:$C$400, 0)), IFERROR(INDEX('Monit Banks NBFC'!$B$2:$B$100, MATCH(C56, 'Monit Banks NBFC'!$C$2:$C$100, 0)), 0))</f>
        <v/>
      </c>
      <c r="C56" s="31" t="inlineStr">
        <is>
          <t>SAILIFE</t>
        </is>
      </c>
      <c r="D56" s="31" t="inlineStr">
        <is>
          <t>Sai Life Sciences Ltd</t>
        </is>
      </c>
      <c r="E56" s="31" t="inlineStr">
        <is>
          <t>Pharma - API &amp; CRAMS</t>
        </is>
      </c>
      <c r="F56" s="31" t="n">
        <v>2</v>
      </c>
      <c r="G56" s="31" t="inlineStr">
        <is>
          <t>52W Breakout</t>
        </is>
      </c>
      <c r="H56" s="31" t="inlineStr">
        <is>
          <t>Yes</t>
        </is>
      </c>
      <c r="I56" s="31" t="n">
        <v>12</v>
      </c>
      <c r="J56" s="31" t="n">
        <v>30</v>
      </c>
    </row>
    <row r="57">
      <c r="A57" s="31">
        <f>IF(B57=0,"",ROW()-1)</f>
        <v/>
      </c>
      <c r="B57" s="32">
        <f>IFERROR(INDEX('Monit Non Financial'!$B$2:$B$400, MATCH(C57, 'Monit Non Financial'!$C$2:$C$400, 0)), IFERROR(INDEX('Monit Banks NBFC'!$B$2:$B$100, MATCH(C57, 'Monit Banks NBFC'!$C$2:$C$100, 0)), 0))</f>
        <v/>
      </c>
      <c r="C57" s="31" t="inlineStr">
        <is>
          <t>PAISALO</t>
        </is>
      </c>
      <c r="D57" s="31" t="inlineStr">
        <is>
          <t>Paisalo Digital Ltd</t>
        </is>
      </c>
      <c r="E57" s="31" t="inlineStr">
        <is>
          <t>Finance - Capital Markets - Brokers</t>
        </is>
      </c>
      <c r="F57" s="31" t="n">
        <v>2</v>
      </c>
      <c r="G57" s="31" t="inlineStr">
        <is>
          <t>No</t>
        </is>
      </c>
      <c r="H57" s="31" t="inlineStr">
        <is>
          <t>Yes</t>
        </is>
      </c>
      <c r="I57" s="31" t="n">
        <v>24</v>
      </c>
      <c r="J57" s="31" t="n">
        <v>28</v>
      </c>
    </row>
    <row r="58">
      <c r="A58" s="31">
        <f>IF(B58=0,"",ROW()-1)</f>
        <v/>
      </c>
      <c r="B58" s="32">
        <f>IFERROR(INDEX('Monit Non Financial'!$B$2:$B$400, MATCH(C58, 'Monit Non Financial'!$C$2:$C$400, 0)), IFERROR(INDEX('Monit Banks NBFC'!$B$2:$B$100, MATCH(C58, 'Monit Banks NBFC'!$C$2:$C$100, 0)), 0))</f>
        <v/>
      </c>
      <c r="C58" s="31" t="inlineStr">
        <is>
          <t>VIYASH</t>
        </is>
      </c>
      <c r="D58" s="31" t="inlineStr">
        <is>
          <t>Viyash Scientific Ltd</t>
        </is>
      </c>
      <c r="E58" s="31" t="inlineStr">
        <is>
          <t>Pharma - Animal</t>
        </is>
      </c>
      <c r="F58" s="31" t="n">
        <v>2</v>
      </c>
      <c r="G58" s="31" t="inlineStr">
        <is>
          <t>No</t>
        </is>
      </c>
      <c r="H58" s="31" t="inlineStr">
        <is>
          <t>Yes</t>
        </is>
      </c>
      <c r="I58" s="31" t="n">
        <v>21</v>
      </c>
      <c r="J58" s="31" t="n">
        <v>25</v>
      </c>
    </row>
    <row r="59">
      <c r="A59" s="31">
        <f>IF(B59=0,"",ROW()-1)</f>
        <v/>
      </c>
      <c r="B59" s="32">
        <f>IFERROR(INDEX('Monit Non Financial'!$B$2:$B$400, MATCH(C59, 'Monit Non Financial'!$C$2:$C$400, 0)), IFERROR(INDEX('Monit Banks NBFC'!$B$2:$B$100, MATCH(C59, 'Monit Banks NBFC'!$C$2:$C$100, 0)), 0))</f>
        <v/>
      </c>
      <c r="C59" s="31" t="inlineStr">
        <is>
          <t>APOLLO</t>
        </is>
      </c>
      <c r="D59" s="31" t="inlineStr">
        <is>
          <t>Apollo Micro Systems Ltd</t>
        </is>
      </c>
      <c r="E59" s="31" t="inlineStr">
        <is>
          <t>Aerospace &amp; Defence - Equipments</t>
        </is>
      </c>
      <c r="F59" s="31" t="n">
        <v>2</v>
      </c>
      <c r="G59" s="31" t="inlineStr">
        <is>
          <t>No</t>
        </is>
      </c>
      <c r="H59" s="31" t="inlineStr">
        <is>
          <t>Yes</t>
        </is>
      </c>
      <c r="I59" s="31" t="n">
        <v>24</v>
      </c>
      <c r="J59" s="31" t="n">
        <v>30</v>
      </c>
    </row>
    <row r="60">
      <c r="A60" s="31">
        <f>IF(B60=0,"",ROW()-1)</f>
        <v/>
      </c>
      <c r="B60" s="32">
        <f>IFERROR(INDEX('Monit Non Financial'!$B$2:$B$400, MATCH(C60, 'Monit Non Financial'!$C$2:$C$400, 0)), IFERROR(INDEX('Monit Banks NBFC'!$B$2:$B$100, MATCH(C60, 'Monit Banks NBFC'!$C$2:$C$100, 0)), 0))</f>
        <v/>
      </c>
      <c r="C60" s="31" t="inlineStr">
        <is>
          <t>SASKEN</t>
        </is>
      </c>
      <c r="D60" s="31" t="inlineStr">
        <is>
          <t>Sasken Communication Technologies Limited</t>
        </is>
      </c>
      <c r="E60" s="31" t="inlineStr">
        <is>
          <t>IT - Software</t>
        </is>
      </c>
      <c r="F60" s="31" t="n">
        <v>2</v>
      </c>
      <c r="G60" s="31" t="inlineStr">
        <is>
          <t>No</t>
        </is>
      </c>
      <c r="H60" s="31" t="inlineStr">
        <is>
          <t>Yes</t>
        </is>
      </c>
      <c r="I60" s="31" t="n">
        <v>22</v>
      </c>
      <c r="J60" s="31" t="n">
        <v>27</v>
      </c>
    </row>
    <row r="61">
      <c r="A61" s="31">
        <f>IF(B61=0,"",ROW()-1)</f>
        <v/>
      </c>
      <c r="B61" s="32">
        <f>IFERROR(INDEX('Monit Non Financial'!$B$2:$B$400, MATCH(C61, 'Monit Non Financial'!$C$2:$C$400, 0)), IFERROR(INDEX('Monit Banks NBFC'!$B$2:$B$100, MATCH(C61, 'Monit Banks NBFC'!$C$2:$C$100, 0)), 0))</f>
        <v/>
      </c>
      <c r="C61" s="31" t="inlineStr">
        <is>
          <t>SIS</t>
        </is>
      </c>
      <c r="D61" s="31" t="inlineStr">
        <is>
          <t>Security &amp; Intelligence Services India</t>
        </is>
      </c>
      <c r="E61" s="31" t="inlineStr">
        <is>
          <t>Facility Management</t>
        </is>
      </c>
      <c r="F61" s="31" t="n">
        <v>2</v>
      </c>
      <c r="G61" s="31" t="inlineStr">
        <is>
          <t>No</t>
        </is>
      </c>
      <c r="H61" s="31" t="inlineStr">
        <is>
          <t>Yes</t>
        </is>
      </c>
      <c r="I61" s="31" t="n">
        <v>21</v>
      </c>
      <c r="J61" s="31" t="n">
        <v>30</v>
      </c>
    </row>
    <row r="62">
      <c r="A62" s="31">
        <f>IF(B62=0,"",ROW()-1)</f>
        <v/>
      </c>
      <c r="B62" s="32">
        <f>IFERROR(INDEX('Monit Non Financial'!$B$2:$B$400, MATCH(C62, 'Monit Non Financial'!$C$2:$C$400, 0)), IFERROR(INDEX('Monit Banks NBFC'!$B$2:$B$100, MATCH(C62, 'Monit Banks NBFC'!$C$2:$C$100, 0)), 0))</f>
        <v/>
      </c>
      <c r="C62" s="31" t="inlineStr">
        <is>
          <t>JNKINDIA</t>
        </is>
      </c>
      <c r="D62" s="31" t="inlineStr">
        <is>
          <t>JNK India Ltd</t>
        </is>
      </c>
      <c r="E62" s="31" t="inlineStr">
        <is>
          <t>Capital Goods - Engineering Heavy</t>
        </is>
      </c>
      <c r="F62" s="31" t="n">
        <v>2</v>
      </c>
      <c r="G62" s="31" t="inlineStr">
        <is>
          <t>No</t>
        </is>
      </c>
      <c r="H62" s="31" t="inlineStr">
        <is>
          <t>Yes</t>
        </is>
      </c>
      <c r="I62" s="31" t="n">
        <v>27</v>
      </c>
      <c r="J62" s="31" t="n">
        <v>24</v>
      </c>
    </row>
    <row r="63">
      <c r="A63" s="31">
        <f>IF(B63=0,"",ROW()-1)</f>
        <v/>
      </c>
      <c r="B63" s="32">
        <f>IFERROR(INDEX('Monit Non Financial'!$B$2:$B$400, MATCH(C63, 'Monit Non Financial'!$C$2:$C$400, 0)), IFERROR(INDEX('Monit Banks NBFC'!$B$2:$B$100, MATCH(C63, 'Monit Banks NBFC'!$C$2:$C$100, 0)), 0))</f>
        <v/>
      </c>
      <c r="C63" s="31" t="inlineStr">
        <is>
          <t>HONASA</t>
        </is>
      </c>
      <c r="D63" s="31" t="inlineStr">
        <is>
          <t>Honasa Consumer Ltd</t>
        </is>
      </c>
      <c r="E63" s="31" t="inlineStr">
        <is>
          <t>New age - Platform - E-Retail</t>
        </is>
      </c>
      <c r="F63" s="31" t="n">
        <v>2</v>
      </c>
      <c r="G63" s="31" t="inlineStr">
        <is>
          <t>No</t>
        </is>
      </c>
      <c r="H63" s="31" t="inlineStr">
        <is>
          <t>Yes</t>
        </is>
      </c>
      <c r="I63" s="31" t="n">
        <v>22</v>
      </c>
      <c r="J63" s="31" t="n">
        <v>30</v>
      </c>
    </row>
    <row r="64">
      <c r="A64" s="31">
        <f>IF(B64=0,"",ROW()-1)</f>
        <v/>
      </c>
      <c r="B64" s="32">
        <f>IFERROR(INDEX('Monit Non Financial'!$B$2:$B$400, MATCH(C64, 'Monit Non Financial'!$C$2:$C$400, 0)), IFERROR(INDEX('Monit Banks NBFC'!$B$2:$B$100, MATCH(C64, 'Monit Banks NBFC'!$C$2:$C$100, 0)), 0))</f>
        <v/>
      </c>
      <c r="C64" s="31" t="inlineStr">
        <is>
          <t>MINDACORP</t>
        </is>
      </c>
      <c r="D64" s="31" t="inlineStr">
        <is>
          <t>Minda Corporation Limited</t>
        </is>
      </c>
      <c r="E64" s="31" t="inlineStr">
        <is>
          <t>Auto Ancillaries - Diversified</t>
        </is>
      </c>
      <c r="F64" s="31" t="n">
        <v>2</v>
      </c>
      <c r="G64" s="31" t="inlineStr">
        <is>
          <t>No</t>
        </is>
      </c>
      <c r="H64" s="31" t="inlineStr">
        <is>
          <t>Yes</t>
        </is>
      </c>
      <c r="I64" s="31" t="n">
        <v>27</v>
      </c>
      <c r="J64" s="31" t="n">
        <v>14</v>
      </c>
    </row>
    <row r="65">
      <c r="A65" s="31">
        <f>IF(B65=0,"",ROW()-1)</f>
        <v/>
      </c>
      <c r="B65" s="32">
        <f>IFERROR(INDEX('Monit Non Financial'!$B$2:$B$400, MATCH(C65, 'Monit Non Financial'!$C$2:$C$400, 0)), IFERROR(INDEX('Monit Banks NBFC'!$B$2:$B$100, MATCH(C65, 'Monit Banks NBFC'!$C$2:$C$100, 0)), 0))</f>
        <v/>
      </c>
      <c r="C65" s="31" t="inlineStr">
        <is>
          <t>LAURUSLABS</t>
        </is>
      </c>
      <c r="D65" s="31" t="inlineStr">
        <is>
          <t>Laurus Labs Limited</t>
        </is>
      </c>
      <c r="E65" s="31" t="inlineStr">
        <is>
          <t>Pharma - API &amp; CRAMS</t>
        </is>
      </c>
      <c r="F65" s="31" t="n">
        <v>2</v>
      </c>
      <c r="G65" s="31" t="inlineStr">
        <is>
          <t>52W Breakout</t>
        </is>
      </c>
      <c r="H65" s="31" t="inlineStr">
        <is>
          <t>Yes</t>
        </is>
      </c>
      <c r="I65" s="31" t="n">
        <v>14</v>
      </c>
      <c r="J65" s="31" t="n">
        <v>29</v>
      </c>
    </row>
    <row r="66">
      <c r="A66" s="31">
        <f>IF(B66=0,"",ROW()-1)</f>
        <v/>
      </c>
      <c r="B66" s="32">
        <f>IFERROR(INDEX('Monit Non Financial'!$B$2:$B$400, MATCH(C66, 'Monit Non Financial'!$C$2:$C$400, 0)), IFERROR(INDEX('Monit Banks NBFC'!$B$2:$B$100, MATCH(C66, 'Monit Banks NBFC'!$C$2:$C$100, 0)), 0))</f>
        <v/>
      </c>
      <c r="C66" s="31" t="inlineStr">
        <is>
          <t>CRAFTSMAN</t>
        </is>
      </c>
      <c r="D66" s="31" t="inlineStr">
        <is>
          <t>Craftsman Automation Ltd</t>
        </is>
      </c>
      <c r="E66" s="31" t="inlineStr">
        <is>
          <t>Auto &amp; Auto Ancl - CV</t>
        </is>
      </c>
      <c r="F66" s="31" t="n">
        <v>2</v>
      </c>
      <c r="G66" s="31" t="inlineStr">
        <is>
          <t>No</t>
        </is>
      </c>
      <c r="H66" s="31" t="inlineStr">
        <is>
          <t>Yes</t>
        </is>
      </c>
      <c r="I66" s="31" t="n">
        <v>20</v>
      </c>
      <c r="J66" s="31" t="n">
        <v>30</v>
      </c>
    </row>
    <row r="67">
      <c r="A67" s="31">
        <f>IF(B67=0,"",ROW()-1)</f>
        <v/>
      </c>
      <c r="B67" s="32">
        <f>IFERROR(INDEX('Monit Non Financial'!$B$2:$B$400, MATCH(C67, 'Monit Non Financial'!$C$2:$C$400, 0)), IFERROR(INDEX('Monit Banks NBFC'!$B$2:$B$100, MATCH(C67, 'Monit Banks NBFC'!$C$2:$C$100, 0)), 0))</f>
        <v/>
      </c>
      <c r="C67" s="31" t="inlineStr">
        <is>
          <t>PREMIERENE</t>
        </is>
      </c>
      <c r="D67" s="31" t="inlineStr">
        <is>
          <t>Premier Energies Ltd</t>
        </is>
      </c>
      <c r="E67" s="31" t="inlineStr">
        <is>
          <t>Capital Goods - Solar</t>
        </is>
      </c>
      <c r="F67" s="31" t="n">
        <v>2</v>
      </c>
      <c r="G67" s="31" t="inlineStr">
        <is>
          <t>No</t>
        </is>
      </c>
      <c r="H67" s="31" t="inlineStr">
        <is>
          <t>Yes</t>
        </is>
      </c>
      <c r="I67" s="31" t="n">
        <v>21</v>
      </c>
      <c r="J67" s="31" t="n">
        <v>21</v>
      </c>
    </row>
    <row r="68">
      <c r="A68" s="31">
        <f>IF(B68=0,"",ROW()-1)</f>
        <v/>
      </c>
      <c r="B68" s="32">
        <f>IFERROR(INDEX('Monit Non Financial'!$B$2:$B$400, MATCH(C68, 'Monit Non Financial'!$C$2:$C$400, 0)), IFERROR(INDEX('Monit Banks NBFC'!$B$2:$B$100, MATCH(C68, 'Monit Banks NBFC'!$C$2:$C$100, 0)), 0))</f>
        <v/>
      </c>
      <c r="C68" s="31" t="inlineStr">
        <is>
          <t>RAIN</t>
        </is>
      </c>
      <c r="D68" s="31" t="inlineStr">
        <is>
          <t>Rain Industries Limited</t>
        </is>
      </c>
      <c r="E68" s="31" t="inlineStr">
        <is>
          <t>Cement</t>
        </is>
      </c>
      <c r="F68" s="31" t="n">
        <v>2</v>
      </c>
      <c r="G68" s="31" t="inlineStr">
        <is>
          <t>No</t>
        </is>
      </c>
      <c r="H68" s="31" t="inlineStr">
        <is>
          <t>Yes</t>
        </is>
      </c>
      <c r="I68" s="31" t="n">
        <v>24</v>
      </c>
      <c r="J68" s="31" t="n">
        <v>24</v>
      </c>
    </row>
    <row r="69">
      <c r="A69" s="31">
        <f>IF(B69=0,"",ROW()-1)</f>
        <v/>
      </c>
      <c r="B69" s="32">
        <f>IFERROR(INDEX('Monit Non Financial'!$B$2:$B$400, MATCH(C69, 'Monit Non Financial'!$C$2:$C$400, 0)), IFERROR(INDEX('Monit Banks NBFC'!$B$2:$B$100, MATCH(C69, 'Monit Banks NBFC'!$C$2:$C$100, 0)), 0))</f>
        <v/>
      </c>
      <c r="C69" s="31" t="inlineStr">
        <is>
          <t>FCL</t>
        </is>
      </c>
      <c r="D69" s="31" t="inlineStr">
        <is>
          <t>Fineotex Chemical Limited</t>
        </is>
      </c>
      <c r="E69" s="31" t="inlineStr">
        <is>
          <t>Speciality Chemicals</t>
        </is>
      </c>
      <c r="F69" s="31" t="n">
        <v>2</v>
      </c>
      <c r="G69" s="31" t="inlineStr">
        <is>
          <t>No</t>
        </is>
      </c>
      <c r="H69" s="31" t="inlineStr">
        <is>
          <t>Yes</t>
        </is>
      </c>
      <c r="I69" s="31" t="n">
        <v>25</v>
      </c>
      <c r="J69" s="31" t="n">
        <v>18</v>
      </c>
    </row>
    <row r="70">
      <c r="A70" s="31">
        <f>IF(B70=0,"",ROW()-1)</f>
        <v/>
      </c>
      <c r="B70" s="32">
        <f>IFERROR(INDEX('Monit Non Financial'!$B$2:$B$400, MATCH(C70, 'Monit Non Financial'!$C$2:$C$400, 0)), IFERROR(INDEX('Monit Banks NBFC'!$B$2:$B$100, MATCH(C70, 'Monit Banks NBFC'!$C$2:$C$100, 0)), 0))</f>
        <v/>
      </c>
      <c r="C70" s="31" t="inlineStr">
        <is>
          <t>SANDHAR</t>
        </is>
      </c>
      <c r="D70" s="31" t="inlineStr">
        <is>
          <t>Sandhar Technologies Limited</t>
        </is>
      </c>
      <c r="E70" s="31" t="inlineStr">
        <is>
          <t>Auto Ancillaries - 2&amp;3 Wheelers</t>
        </is>
      </c>
      <c r="F70" s="31" t="n">
        <v>2</v>
      </c>
      <c r="G70" s="31" t="inlineStr">
        <is>
          <t>No</t>
        </is>
      </c>
      <c r="H70" s="31" t="inlineStr">
        <is>
          <t>Yes</t>
        </is>
      </c>
      <c r="I70" s="31" t="n">
        <v>22</v>
      </c>
      <c r="J70" s="31" t="n">
        <v>21</v>
      </c>
    </row>
    <row r="71">
      <c r="A71" s="31">
        <f>IF(B71=0,"",ROW()-1)</f>
        <v/>
      </c>
      <c r="B71" s="32">
        <f>IFERROR(INDEX('Monit Non Financial'!$B$2:$B$400, MATCH(C71, 'Monit Non Financial'!$C$2:$C$400, 0)), IFERROR(INDEX('Monit Banks NBFC'!$B$2:$B$100, MATCH(C71, 'Monit Banks NBFC'!$C$2:$C$100, 0)), 0))</f>
        <v/>
      </c>
      <c r="C71" s="31" t="inlineStr">
        <is>
          <t>APARINDS</t>
        </is>
      </c>
      <c r="D71" s="31" t="inlineStr">
        <is>
          <t>Apar Industries Limited</t>
        </is>
      </c>
      <c r="E71" s="31" t="inlineStr">
        <is>
          <t>Cables - Power</t>
        </is>
      </c>
      <c r="F71" s="31" t="n">
        <v>2</v>
      </c>
      <c r="G71" s="31" t="inlineStr">
        <is>
          <t>52W Breakout</t>
        </is>
      </c>
      <c r="H71" s="31" t="inlineStr">
        <is>
          <t>Yes</t>
        </is>
      </c>
      <c r="I71" s="31" t="n">
        <v>8</v>
      </c>
      <c r="J71" s="31" t="n">
        <v>29</v>
      </c>
    </row>
    <row r="72">
      <c r="A72" s="31">
        <f>IF(B72=0,"",ROW()-1)</f>
        <v/>
      </c>
      <c r="B72" s="32">
        <f>IFERROR(INDEX('Monit Non Financial'!$B$2:$B$400, MATCH(C72, 'Monit Non Financial'!$C$2:$C$400, 0)), IFERROR(INDEX('Monit Banks NBFC'!$B$2:$B$100, MATCH(C72, 'Monit Banks NBFC'!$C$2:$C$100, 0)), 0))</f>
        <v/>
      </c>
      <c r="C72" s="31" t="inlineStr">
        <is>
          <t>RUBYMILLS</t>
        </is>
      </c>
      <c r="D72" s="31" t="inlineStr">
        <is>
          <t>The Ruby Mills Limited</t>
        </is>
      </c>
      <c r="E72" s="31" t="inlineStr">
        <is>
          <t>Textiles - Composite Mills</t>
        </is>
      </c>
      <c r="F72" s="31" t="n">
        <v>2</v>
      </c>
      <c r="G72" s="31" t="inlineStr">
        <is>
          <t>52W Breakout</t>
        </is>
      </c>
      <c r="H72" s="31" t="inlineStr">
        <is>
          <t>Yes</t>
        </is>
      </c>
      <c r="I72" s="31" t="n">
        <v>15</v>
      </c>
      <c r="J72" s="31" t="n">
        <v>20</v>
      </c>
    </row>
    <row r="73">
      <c r="A73" s="31">
        <f>IF(B73=0,"",ROW()-1)</f>
        <v/>
      </c>
      <c r="B73" s="32">
        <f>IFERROR(INDEX('Monit Non Financial'!$B$2:$B$400, MATCH(C73, 'Monit Non Financial'!$C$2:$C$400, 0)), IFERROR(INDEX('Monit Banks NBFC'!$B$2:$B$100, MATCH(C73, 'Monit Banks NBFC'!$C$2:$C$100, 0)), 0))</f>
        <v/>
      </c>
      <c r="C73" s="31" t="inlineStr">
        <is>
          <t>KINGFA</t>
        </is>
      </c>
      <c r="D73" s="31" t="inlineStr">
        <is>
          <t>Kingfa Science &amp; Technology (india) Limited</t>
        </is>
      </c>
      <c r="E73" s="31" t="inlineStr">
        <is>
          <t>Plastics - Plastic &amp; Plastic Products</t>
        </is>
      </c>
      <c r="F73" s="31" t="n">
        <v>2</v>
      </c>
      <c r="G73" s="31" t="inlineStr">
        <is>
          <t>No</t>
        </is>
      </c>
      <c r="H73" s="31" t="inlineStr">
        <is>
          <t>Yes</t>
        </is>
      </c>
      <c r="I73" s="31" t="n">
        <v>20</v>
      </c>
      <c r="J73" s="31" t="n">
        <v>30</v>
      </c>
    </row>
    <row r="74">
      <c r="A74" s="31">
        <f>IF(B74=0,"",ROW()-1)</f>
        <v/>
      </c>
      <c r="B74" s="32">
        <f>IFERROR(INDEX('Monit Non Financial'!$B$2:$B$400, MATCH(C74, 'Monit Non Financial'!$C$2:$C$400, 0)), IFERROR(INDEX('Monit Banks NBFC'!$B$2:$B$100, MATCH(C74, 'Monit Banks NBFC'!$C$2:$C$100, 0)), 0))</f>
        <v/>
      </c>
      <c r="C74" s="31" t="inlineStr">
        <is>
          <t>INDNIPPON</t>
        </is>
      </c>
      <c r="D74" s="31" t="inlineStr">
        <is>
          <t>India Nippon Electricals Limited</t>
        </is>
      </c>
      <c r="E74" s="31" t="inlineStr">
        <is>
          <t>Auto Ancillaries - Engine Parts</t>
        </is>
      </c>
      <c r="F74" s="31" t="n">
        <v>2</v>
      </c>
      <c r="G74" s="31" t="inlineStr">
        <is>
          <t>No</t>
        </is>
      </c>
      <c r="H74" s="31" t="inlineStr">
        <is>
          <t>Yes</t>
        </is>
      </c>
      <c r="I74" s="31" t="n">
        <v>21</v>
      </c>
      <c r="J74" s="31" t="n">
        <v>9</v>
      </c>
    </row>
    <row r="75">
      <c r="A75" s="31">
        <f>IF(B75=0,"",ROW()-1)</f>
        <v/>
      </c>
      <c r="B75" s="32">
        <f>IFERROR(INDEX('Monit Non Financial'!$B$2:$B$400, MATCH(C75, 'Monit Non Financial'!$C$2:$C$400, 0)), IFERROR(INDEX('Monit Banks NBFC'!$B$2:$B$100, MATCH(C75, 'Monit Banks NBFC'!$C$2:$C$100, 0)), 0))</f>
        <v/>
      </c>
      <c r="C75" s="31" t="inlineStr">
        <is>
          <t>SOTL</t>
        </is>
      </c>
      <c r="D75" s="31" t="inlineStr">
        <is>
          <t>Savita Oil Technologies Limited</t>
        </is>
      </c>
      <c r="E75" s="31" t="inlineStr">
        <is>
          <t>Petrochem - Others</t>
        </is>
      </c>
      <c r="F75" s="31" t="n">
        <v>2</v>
      </c>
      <c r="G75" s="31" t="inlineStr">
        <is>
          <t>No</t>
        </is>
      </c>
      <c r="H75" s="31" t="inlineStr">
        <is>
          <t>Yes</t>
        </is>
      </c>
      <c r="I75" s="31" t="n">
        <v>27</v>
      </c>
      <c r="J75" s="31" t="n">
        <v>27</v>
      </c>
    </row>
    <row r="76">
      <c r="A76" s="31">
        <f>IF(B76=0,"",ROW()-1)</f>
        <v/>
      </c>
      <c r="B76" s="32">
        <f>IFERROR(INDEX('Monit Non Financial'!$B$2:$B$400, MATCH(C76, 'Monit Non Financial'!$C$2:$C$400, 0)), IFERROR(INDEX('Monit Banks NBFC'!$B$2:$B$100, MATCH(C76, 'Monit Banks NBFC'!$C$2:$C$100, 0)), 0))</f>
        <v/>
      </c>
      <c r="C76" s="31" t="inlineStr">
        <is>
          <t>JAYBARMARU</t>
        </is>
      </c>
      <c r="D76" s="31" t="inlineStr">
        <is>
          <t>Jay Bharat Maruti Limited</t>
        </is>
      </c>
      <c r="E76" s="31" t="inlineStr">
        <is>
          <t>Auto Ancillaries - Diversified</t>
        </is>
      </c>
      <c r="F76" s="31" t="n">
        <v>2</v>
      </c>
      <c r="G76" s="31" t="inlineStr">
        <is>
          <t>No</t>
        </is>
      </c>
      <c r="H76" s="31" t="inlineStr">
        <is>
          <t>Yes</t>
        </is>
      </c>
      <c r="I76" s="31" t="n">
        <v>24</v>
      </c>
      <c r="J76" s="31" t="n">
        <v>18</v>
      </c>
    </row>
    <row r="77">
      <c r="A77" s="31">
        <f>IF(B77=0,"",ROW()-1)</f>
        <v/>
      </c>
      <c r="B77" s="32">
        <f>IFERROR(INDEX('Monit Non Financial'!$B$2:$B$400, MATCH(C77, 'Monit Non Financial'!$C$2:$C$400, 0)), IFERROR(INDEX('Monit Banks NBFC'!$B$2:$B$100, MATCH(C77, 'Monit Banks NBFC'!$C$2:$C$100, 0)), 0))</f>
        <v/>
      </c>
      <c r="C77" s="31" t="inlineStr">
        <is>
          <t>CEIGALL</t>
        </is>
      </c>
      <c r="D77" s="31" t="inlineStr">
        <is>
          <t>Ceigall India Ltd</t>
        </is>
      </c>
      <c r="E77" s="31" t="inlineStr">
        <is>
          <t>Construction - Civil/Turnkey</t>
        </is>
      </c>
      <c r="F77" s="31" t="n">
        <v>2</v>
      </c>
      <c r="G77" s="31" t="inlineStr">
        <is>
          <t>No</t>
        </is>
      </c>
      <c r="H77" s="31" t="inlineStr">
        <is>
          <t>Yes</t>
        </is>
      </c>
      <c r="I77" s="31" t="n">
        <v>20</v>
      </c>
      <c r="J77" s="31" t="n">
        <v>24</v>
      </c>
    </row>
    <row r="78">
      <c r="A78" s="31">
        <f>IF(B78=0,"",ROW()-1)</f>
        <v/>
      </c>
      <c r="B78" s="32">
        <f>IFERROR(INDEX('Monit Non Financial'!$B$2:$B$400, MATCH(C78, 'Monit Non Financial'!$C$2:$C$400, 0)), IFERROR(INDEX('Monit Banks NBFC'!$B$2:$B$100, MATCH(C78, 'Monit Banks NBFC'!$C$2:$C$100, 0)), 0))</f>
        <v/>
      </c>
      <c r="C78" s="31" t="inlineStr">
        <is>
          <t>DIACABS</t>
        </is>
      </c>
      <c r="D78" s="31" t="inlineStr">
        <is>
          <t>Diamond Power Infrastructure Ltd</t>
        </is>
      </c>
      <c r="E78" s="31" t="inlineStr">
        <is>
          <t>Cables - Power</t>
        </is>
      </c>
      <c r="F78" s="31" t="n">
        <v>2</v>
      </c>
      <c r="G78" s="31" t="inlineStr">
        <is>
          <t>No</t>
        </is>
      </c>
      <c r="H78" s="31" t="inlineStr">
        <is>
          <t>Yes</t>
        </is>
      </c>
      <c r="I78" s="31" t="n">
        <v>25</v>
      </c>
      <c r="J78" s="31" t="n">
        <v>29</v>
      </c>
    </row>
    <row r="79">
      <c r="A79" s="31">
        <f>IF(B79=0,"",ROW()-1)</f>
        <v/>
      </c>
      <c r="B79" s="32">
        <f>IFERROR(INDEX('Monit Non Financial'!$B$2:$B$400, MATCH(C79, 'Monit Non Financial'!$C$2:$C$400, 0)), IFERROR(INDEX('Monit Banks NBFC'!$B$2:$B$100, MATCH(C79, 'Monit Banks NBFC'!$C$2:$C$100, 0)), 0))</f>
        <v/>
      </c>
      <c r="C79" s="31" t="inlineStr">
        <is>
          <t>SHYAMMETL</t>
        </is>
      </c>
      <c r="D79" s="31" t="inlineStr">
        <is>
          <t>Shyam Metalics &amp; Energy Ltd</t>
        </is>
      </c>
      <c r="E79" s="31" t="inlineStr">
        <is>
          <t>Steel Products</t>
        </is>
      </c>
      <c r="F79" s="31" t="n">
        <v>2</v>
      </c>
      <c r="G79" s="31" t="inlineStr">
        <is>
          <t>No</t>
        </is>
      </c>
      <c r="H79" s="31" t="inlineStr">
        <is>
          <t>Yes</t>
        </is>
      </c>
      <c r="I79" s="31" t="n">
        <v>23</v>
      </c>
      <c r="J79" s="31" t="n">
        <v>26</v>
      </c>
    </row>
    <row r="80">
      <c r="A80" s="31">
        <f>IF(B80=0,"",ROW()-1)</f>
        <v/>
      </c>
      <c r="B80" s="32">
        <f>IFERROR(INDEX('Monit Non Financial'!$B$2:$B$400, MATCH(C80, 'Monit Non Financial'!$C$2:$C$400, 0)), IFERROR(INDEX('Monit Banks NBFC'!$B$2:$B$100, MATCH(C80, 'Monit Banks NBFC'!$C$2:$C$100, 0)), 0))</f>
        <v/>
      </c>
      <c r="C80" s="31" t="inlineStr">
        <is>
          <t>V2RETAIL</t>
        </is>
      </c>
      <c r="D80" s="31" t="inlineStr">
        <is>
          <t>V2 Retail Limited</t>
        </is>
      </c>
      <c r="E80" s="31" t="inlineStr">
        <is>
          <t>Textiles - Readymade Apparel</t>
        </is>
      </c>
      <c r="F80" s="31" t="n">
        <v>2</v>
      </c>
      <c r="G80" s="31" t="inlineStr">
        <is>
          <t>No</t>
        </is>
      </c>
      <c r="H80" s="31" t="inlineStr">
        <is>
          <t>Yes</t>
        </is>
      </c>
      <c r="I80" s="31" t="n">
        <v>25</v>
      </c>
      <c r="J80" s="31" t="n">
        <v>26</v>
      </c>
    </row>
    <row r="81">
      <c r="A81" s="31">
        <f>IF(B81=0,"",ROW()-1)</f>
        <v/>
      </c>
      <c r="B81" s="32">
        <f>IFERROR(INDEX('Monit Non Financial'!$B$2:$B$400, MATCH(C81, 'Monit Non Financial'!$C$2:$C$400, 0)), IFERROR(INDEX('Monit Banks NBFC'!$B$2:$B$100, MATCH(C81, 'Monit Banks NBFC'!$C$2:$C$100, 0)), 0))</f>
        <v/>
      </c>
      <c r="C81" s="31" t="inlineStr">
        <is>
          <t>ANTELOPUS</t>
        </is>
      </c>
      <c r="D81" s="31" t="inlineStr">
        <is>
          <t>Antelopus Selan Energy Ltd</t>
        </is>
      </c>
      <c r="E81" s="31" t="inlineStr">
        <is>
          <t>Oil Drilling &amp; Exploration</t>
        </is>
      </c>
      <c r="F81" s="31" t="n">
        <v>2</v>
      </c>
      <c r="G81" s="31" t="inlineStr">
        <is>
          <t>No</t>
        </is>
      </c>
      <c r="H81" s="31" t="inlineStr">
        <is>
          <t>Yes</t>
        </is>
      </c>
      <c r="I81" s="31" t="n">
        <v>22</v>
      </c>
      <c r="J81" s="31" t="n">
        <v>28</v>
      </c>
    </row>
    <row r="82">
      <c r="A82" s="31">
        <f>IF(B82=0,"",ROW()-1)</f>
        <v/>
      </c>
      <c r="B82" s="32">
        <f>IFERROR(INDEX('Monit Non Financial'!$B$2:$B$400, MATCH(C82, 'Monit Non Financial'!$C$2:$C$400, 0)), IFERROR(INDEX('Monit Banks NBFC'!$B$2:$B$100, MATCH(C82, 'Monit Banks NBFC'!$C$2:$C$100, 0)), 0))</f>
        <v/>
      </c>
      <c r="C82" s="31" t="inlineStr">
        <is>
          <t>VADILALIND</t>
        </is>
      </c>
      <c r="D82" s="31" t="inlineStr">
        <is>
          <t>Vadilal Industries Limited</t>
        </is>
      </c>
      <c r="E82" s="31" t="inlineStr">
        <is>
          <t>FMCG - Dairy Products</t>
        </is>
      </c>
      <c r="F82" s="31" t="n">
        <v>2</v>
      </c>
      <c r="G82" s="31" t="inlineStr">
        <is>
          <t>No</t>
        </is>
      </c>
      <c r="H82" s="31" t="inlineStr">
        <is>
          <t>Yes</t>
        </is>
      </c>
      <c r="I82" s="31" t="n">
        <v>22</v>
      </c>
      <c r="J82" s="31" t="n">
        <v>6</v>
      </c>
    </row>
    <row r="83">
      <c r="A83" s="31">
        <f>IF(B83=0,"",ROW()-1)</f>
        <v/>
      </c>
      <c r="B83" s="32">
        <f>IFERROR(INDEX('Monit Non Financial'!$B$2:$B$400, MATCH(C83, 'Monit Non Financial'!$C$2:$C$400, 0)), IFERROR(INDEX('Monit Banks NBFC'!$B$2:$B$100, MATCH(C83, 'Monit Banks NBFC'!$C$2:$C$100, 0)), 0))</f>
        <v/>
      </c>
      <c r="C83" s="31" t="inlineStr">
        <is>
          <t>NSLNISP</t>
        </is>
      </c>
      <c r="D83" s="31" t="inlineStr">
        <is>
          <t>NMDC Steel Ltd</t>
        </is>
      </c>
      <c r="E83" s="31" t="inlineStr">
        <is>
          <t>Steel</t>
        </is>
      </c>
      <c r="F83" s="31" t="n">
        <v>2</v>
      </c>
      <c r="G83" s="31" t="inlineStr">
        <is>
          <t>No</t>
        </is>
      </c>
      <c r="H83" s="31" t="inlineStr">
        <is>
          <t>Yes</t>
        </is>
      </c>
      <c r="I83" s="31" t="n">
        <v>23</v>
      </c>
      <c r="J83" s="31" t="n">
        <v>26</v>
      </c>
    </row>
    <row r="84">
      <c r="A84" s="31">
        <f>IF(B84=0,"",ROW()-1)</f>
        <v/>
      </c>
      <c r="B84" s="32">
        <f>IFERROR(INDEX('Monit Non Financial'!$B$2:$B$400, MATCH(C84, 'Monit Non Financial'!$C$2:$C$400, 0)), IFERROR(INDEX('Monit Banks NBFC'!$B$2:$B$100, MATCH(C84, 'Monit Banks NBFC'!$C$2:$C$100, 0)), 0))</f>
        <v/>
      </c>
      <c r="C84" s="31" t="inlineStr">
        <is>
          <t>AEROFLEX</t>
        </is>
      </c>
      <c r="D84" s="31" t="inlineStr">
        <is>
          <t>Aeroflex Industries Ltd</t>
        </is>
      </c>
      <c r="E84" s="31" t="inlineStr">
        <is>
          <t>Stainless Steel</t>
        </is>
      </c>
      <c r="F84" s="31" t="n">
        <v>2</v>
      </c>
      <c r="G84" s="31" t="inlineStr">
        <is>
          <t>No</t>
        </is>
      </c>
      <c r="H84" s="31" t="inlineStr">
        <is>
          <t>Yes</t>
        </is>
      </c>
      <c r="I84" s="31" t="n">
        <v>20</v>
      </c>
      <c r="J84" s="31" t="n">
        <v>27</v>
      </c>
    </row>
    <row r="85">
      <c r="A85" s="31">
        <f>IF(B85=0,"",ROW()-1)</f>
        <v/>
      </c>
      <c r="B85" s="32">
        <f>IFERROR(INDEX('Monit Non Financial'!$B$2:$B$400, MATCH(C85, 'Monit Non Financial'!$C$2:$C$400, 0)), IFERROR(INDEX('Monit Banks NBFC'!$B$2:$B$100, MATCH(C85, 'Monit Banks NBFC'!$C$2:$C$100, 0)), 0))</f>
        <v/>
      </c>
      <c r="C85" s="31" t="inlineStr">
        <is>
          <t>ADANIENSOL</t>
        </is>
      </c>
      <c r="D85" s="31" t="inlineStr">
        <is>
          <t>Adani Energy Solutions Ltd</t>
        </is>
      </c>
      <c r="E85" s="31" t="inlineStr">
        <is>
          <t>Power - Transmission/Equipment</t>
        </is>
      </c>
      <c r="F85" s="31" t="n">
        <v>2</v>
      </c>
      <c r="G85" s="31" t="inlineStr">
        <is>
          <t>52W Breakout</t>
        </is>
      </c>
      <c r="H85" s="31" t="inlineStr">
        <is>
          <t>Yes</t>
        </is>
      </c>
      <c r="I85" s="31" t="n">
        <v>14</v>
      </c>
      <c r="J85" s="31" t="n">
        <v>28</v>
      </c>
    </row>
    <row r="86">
      <c r="A86" s="31">
        <f>IF(B86=0,"",ROW()-1)</f>
        <v/>
      </c>
      <c r="B86" s="32">
        <f>IFERROR(INDEX('Monit Non Financial'!$B$2:$B$400, MATCH(C86, 'Monit Non Financial'!$C$2:$C$400, 0)), IFERROR(INDEX('Monit Banks NBFC'!$B$2:$B$100, MATCH(C86, 'Monit Banks NBFC'!$C$2:$C$100, 0)), 0))</f>
        <v/>
      </c>
      <c r="C86" s="31" t="inlineStr">
        <is>
          <t>PTCIL</t>
        </is>
      </c>
      <c r="D86" s="31" t="inlineStr">
        <is>
          <t>PTC Industries Ltd</t>
        </is>
      </c>
      <c r="E86" s="31" t="inlineStr">
        <is>
          <t>Castings - Steel/Alloy</t>
        </is>
      </c>
      <c r="F86" s="31" t="n">
        <v>2</v>
      </c>
      <c r="G86" s="31" t="inlineStr">
        <is>
          <t>No</t>
        </is>
      </c>
      <c r="H86" s="31" t="inlineStr">
        <is>
          <t>Yes</t>
        </is>
      </c>
      <c r="I86" s="31" t="n">
        <v>24</v>
      </c>
      <c r="J86" s="31" t="n">
        <v>12</v>
      </c>
    </row>
    <row r="87">
      <c r="A87" s="31">
        <f>IF(B87=0,"",ROW()-1)</f>
        <v/>
      </c>
      <c r="B87" s="32">
        <f>IFERROR(INDEX('Monit Non Financial'!$B$2:$B$400, MATCH(C87, 'Monit Non Financial'!$C$2:$C$400, 0)), IFERROR(INDEX('Monit Banks NBFC'!$B$2:$B$100, MATCH(C87, 'Monit Banks NBFC'!$C$2:$C$100, 0)), 0))</f>
        <v/>
      </c>
      <c r="C87" s="31" t="inlineStr">
        <is>
          <t>ASIANENE</t>
        </is>
      </c>
      <c r="D87" s="31" t="inlineStr">
        <is>
          <t>Asian Energy Services Ltd</t>
        </is>
      </c>
      <c r="E87" s="31" t="inlineStr">
        <is>
          <t>Oil Drilling &amp; Exploration</t>
        </is>
      </c>
      <c r="F87" s="31" t="n">
        <v>2</v>
      </c>
      <c r="G87" s="31" t="inlineStr">
        <is>
          <t>No</t>
        </is>
      </c>
      <c r="H87" s="31" t="inlineStr">
        <is>
          <t>Yes</t>
        </is>
      </c>
      <c r="I87" s="31" t="n">
        <v>20</v>
      </c>
      <c r="J87" s="31" t="n">
        <v>22</v>
      </c>
    </row>
    <row r="88">
      <c r="A88" s="31">
        <f>IF(B88=0,"",ROW()-1)</f>
        <v/>
      </c>
      <c r="B88" s="32">
        <f>IFERROR(INDEX('Monit Non Financial'!$B$2:$B$400, MATCH(C88, 'Monit Non Financial'!$C$2:$C$400, 0)), IFERROR(INDEX('Monit Banks NBFC'!$B$2:$B$100, MATCH(C88, 'Monit Banks NBFC'!$C$2:$C$100, 0)), 0))</f>
        <v/>
      </c>
      <c r="C88" s="31" t="inlineStr">
        <is>
          <t>DEEDEV</t>
        </is>
      </c>
      <c r="D88" s="31" t="inlineStr">
        <is>
          <t>DEE Development Engineers Ltd</t>
        </is>
      </c>
      <c r="E88" s="31" t="inlineStr">
        <is>
          <t>Steel - Tubes/Pipes</t>
        </is>
      </c>
      <c r="F88" s="31" t="n">
        <v>2</v>
      </c>
      <c r="G88" s="31" t="inlineStr">
        <is>
          <t>52W Breakout</t>
        </is>
      </c>
      <c r="H88" s="31" t="inlineStr">
        <is>
          <t>Yes</t>
        </is>
      </c>
      <c r="I88" s="31" t="n">
        <v>14</v>
      </c>
      <c r="J88" s="31" t="n">
        <v>30</v>
      </c>
    </row>
    <row r="89">
      <c r="A89" s="31">
        <f>IF(B89=0,"",ROW()-1)</f>
        <v/>
      </c>
      <c r="B89" s="32">
        <f>IFERROR(INDEX('Monit Non Financial'!$B$2:$B$400, MATCH(C89, 'Monit Non Financial'!$C$2:$C$400, 0)), IFERROR(INDEX('Monit Banks NBFC'!$B$2:$B$100, MATCH(C89, 'Monit Banks NBFC'!$C$2:$C$100, 0)), 0))</f>
        <v/>
      </c>
      <c r="C89" s="31" t="inlineStr">
        <is>
          <t>SILVERTUC</t>
        </is>
      </c>
      <c r="D89" s="31" t="inlineStr">
        <is>
          <t>Silver Touch Technologies Ltd</t>
        </is>
      </c>
      <c r="E89" s="31" t="inlineStr">
        <is>
          <t>IT - Software</t>
        </is>
      </c>
      <c r="F89" s="31" t="n">
        <v>2</v>
      </c>
      <c r="G89" s="31" t="inlineStr">
        <is>
          <t>No</t>
        </is>
      </c>
      <c r="H89" s="31" t="inlineStr">
        <is>
          <t>Yes</t>
        </is>
      </c>
      <c r="I89" s="31" t="n">
        <v>19</v>
      </c>
      <c r="J89" s="31" t="n">
        <v>20</v>
      </c>
    </row>
    <row r="90">
      <c r="A90" s="31">
        <f>IF(B90=0,"",ROW()-1)</f>
        <v/>
      </c>
      <c r="B90" s="32">
        <f>IFERROR(INDEX('Monit Non Financial'!$B$2:$B$400, MATCH(C90, 'Monit Non Financial'!$C$2:$C$400, 0)), IFERROR(INDEX('Monit Banks NBFC'!$B$2:$B$100, MATCH(C90, 'Monit Banks NBFC'!$C$2:$C$100, 0)), 0))</f>
        <v/>
      </c>
      <c r="C90" s="31" t="inlineStr">
        <is>
          <t>ACMESOLAR</t>
        </is>
      </c>
      <c r="D90" s="31" t="inlineStr">
        <is>
          <t>ACME Solar Holdings Ltd</t>
        </is>
      </c>
      <c r="E90" s="31" t="inlineStr">
        <is>
          <t>Engineering - Turnkey Services</t>
        </is>
      </c>
      <c r="F90" s="31" t="n">
        <v>2</v>
      </c>
      <c r="G90" s="31" t="inlineStr">
        <is>
          <t>52W Breakout</t>
        </is>
      </c>
      <c r="H90" s="31" t="inlineStr">
        <is>
          <t>Yes</t>
        </is>
      </c>
      <c r="I90" s="31" t="n">
        <v>17</v>
      </c>
      <c r="J90" s="31" t="n">
        <v>19</v>
      </c>
    </row>
    <row r="91">
      <c r="A91" s="31">
        <f>IF(B91=0,"",ROW()-1)</f>
        <v/>
      </c>
      <c r="B91" s="32">
        <f>IFERROR(INDEX('Monit Non Financial'!$B$2:$B$400, MATCH(C91, 'Monit Non Financial'!$C$2:$C$400, 0)), IFERROR(INDEX('Monit Banks NBFC'!$B$2:$B$100, MATCH(C91, 'Monit Banks NBFC'!$C$2:$C$100, 0)), 0))</f>
        <v/>
      </c>
      <c r="C91" s="31" t="inlineStr">
        <is>
          <t>SKYGOLD</t>
        </is>
      </c>
      <c r="D91" s="31" t="inlineStr">
        <is>
          <t>Sky Gold Ltd</t>
        </is>
      </c>
      <c r="E91" s="31" t="inlineStr">
        <is>
          <t>Diamond, Gems &amp; Jewellery</t>
        </is>
      </c>
      <c r="F91" s="31" t="n">
        <v>2</v>
      </c>
      <c r="G91" s="31" t="inlineStr">
        <is>
          <t>No</t>
        </is>
      </c>
      <c r="H91" s="31" t="inlineStr">
        <is>
          <t>Yes</t>
        </is>
      </c>
      <c r="I91" s="31" t="n">
        <v>22</v>
      </c>
      <c r="J91" s="31" t="n">
        <v>26</v>
      </c>
    </row>
    <row r="92">
      <c r="A92" s="31">
        <f>IF(B92=0,"",ROW()-1)</f>
        <v/>
      </c>
      <c r="B92" s="32">
        <f>IFERROR(INDEX('Monit Non Financial'!$B$2:$B$400, MATCH(C92, 'Monit Non Financial'!$C$2:$C$400, 0)), IFERROR(INDEX('Monit Banks NBFC'!$B$2:$B$100, MATCH(C92, 'Monit Banks NBFC'!$C$2:$C$100, 0)), 0))</f>
        <v/>
      </c>
      <c r="C92" s="31" t="inlineStr">
        <is>
          <t>PANAMAPET</t>
        </is>
      </c>
      <c r="D92" s="31" t="inlineStr">
        <is>
          <t>Panama Petrochem Limited</t>
        </is>
      </c>
      <c r="E92" s="31" t="inlineStr">
        <is>
          <t>Speciality Chemicals</t>
        </is>
      </c>
      <c r="F92" s="31" t="n">
        <v>2</v>
      </c>
      <c r="G92" s="31" t="inlineStr">
        <is>
          <t>No</t>
        </is>
      </c>
      <c r="H92" s="31" t="inlineStr">
        <is>
          <t>Yes</t>
        </is>
      </c>
      <c r="I92" s="31" t="n">
        <v>19</v>
      </c>
      <c r="J92" s="31" t="n">
        <v>13</v>
      </c>
    </row>
    <row r="93">
      <c r="A93" s="31">
        <f>IF(B93=0,"",ROW()-1)</f>
        <v/>
      </c>
      <c r="B93" s="32">
        <f>IFERROR(INDEX('Monit Non Financial'!$B$2:$B$400, MATCH(C93, 'Monit Non Financial'!$C$2:$C$400, 0)), IFERROR(INDEX('Monit Banks NBFC'!$B$2:$B$100, MATCH(C93, 'Monit Banks NBFC'!$C$2:$C$100, 0)), 0))</f>
        <v/>
      </c>
      <c r="C93" s="31" t="inlineStr">
        <is>
          <t>LLOYDSME</t>
        </is>
      </c>
      <c r="D93" s="31" t="inlineStr">
        <is>
          <t>Lloyds Metals &amp; Energy Ltd</t>
        </is>
      </c>
      <c r="E93" s="31" t="inlineStr">
        <is>
          <t>Mining/Minerals - Iron Ore</t>
        </is>
      </c>
      <c r="F93" s="31" t="n">
        <v>2</v>
      </c>
      <c r="G93" s="31" t="inlineStr">
        <is>
          <t>No</t>
        </is>
      </c>
      <c r="H93" s="31" t="inlineStr">
        <is>
          <t>Yes</t>
        </is>
      </c>
      <c r="I93" s="31" t="n">
        <v>21</v>
      </c>
      <c r="J93" s="31" t="n">
        <v>28</v>
      </c>
    </row>
  </sheetData>
  <autoFilter ref="A1:J93"/>
  <conditionalFormatting sqref="F2:F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2026-06-06T11:50:21Z</dcterms:created>
  <dcterms:modified xmlns:dcterms="http://purl.org/dc/terms/" xmlns:xsi="http://www.w3.org/2001/XMLSchema-instance" xsi:type="dcterms:W3CDTF">2026-06-06T11:51:10Z</dcterms:modified>
</cp:coreProperties>
</file>