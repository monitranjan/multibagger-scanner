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Universe'!$A$1:$J$269</definedName>
    <definedName name="_xlnm._FilterDatabase" localSheetId="3" hidden="1">'Confluence Overlap'!$A$1:$K$85</definedName>
    <definedName name="_xlnm._FilterDatabase" localSheetId="4" hidden="1">'Monit Non Financial'!$A$1:$CE$253</definedName>
    <definedName name="_xlnm._FilterDatabase" localSheetId="5" hidden="1">'Monit Banks NBFC'!$A$1:$CA$17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06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33" customWidth="1" min="3" max="3"/>
    <col width="46" customWidth="1" min="4" max="4"/>
    <col width="25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504</v>
      </c>
      <c r="C6" s="17" t="inlineStr">
        <is>
          <t>SETL</t>
        </is>
      </c>
      <c r="D6" s="18" t="inlineStr">
        <is>
          <t>Standard Enginnering Technology Ltd</t>
        </is>
      </c>
      <c r="E6" s="18" t="inlineStr">
        <is>
          <t>industrials</t>
        </is>
      </c>
      <c r="F6" s="16" t="n">
        <v>69</v>
      </c>
      <c r="G6" s="19" t="n">
        <v>8579.139999999999</v>
      </c>
      <c r="H6" s="18" t="inlineStr">
        <is>
          <t>Potential Leader</t>
        </is>
      </c>
      <c r="J6" s="18" t="inlineStr">
        <is>
          <t>castings, forgings &amp; fasteners</t>
        </is>
      </c>
      <c r="K6" s="16" t="n">
        <v>22</v>
      </c>
      <c r="L6" s="16" t="n">
        <v>13</v>
      </c>
      <c r="M6" s="20" t="inlineStr">
        <is>
          <t>69.2%</t>
        </is>
      </c>
    </row>
    <row r="7">
      <c r="A7" s="16" t="n">
        <v>2</v>
      </c>
      <c r="B7" s="17" t="n">
        <v>438</v>
      </c>
      <c r="C7" s="17" t="inlineStr">
        <is>
          <t>KABRAEXTRU</t>
        </is>
      </c>
      <c r="D7" s="18" t="inlineStr">
        <is>
          <t>Kabra Extrusion Technik Limited</t>
        </is>
      </c>
      <c r="E7" s="18" t="inlineStr">
        <is>
          <t>industrials</t>
        </is>
      </c>
      <c r="F7" s="16" t="n">
        <v>58</v>
      </c>
      <c r="G7" s="19" t="n">
        <v>2795.73</v>
      </c>
      <c r="H7" s="18" t="inlineStr">
        <is>
          <t>Potential Leader</t>
        </is>
      </c>
      <c r="J7" s="18" t="inlineStr">
        <is>
          <t>telecom</t>
        </is>
      </c>
      <c r="K7" s="16" t="n">
        <v>9</v>
      </c>
      <c r="L7" s="16" t="n">
        <v>7</v>
      </c>
      <c r="M7" s="20" t="inlineStr">
        <is>
          <t>28.6%</t>
        </is>
      </c>
    </row>
    <row r="8">
      <c r="A8" s="16" t="n">
        <v>3</v>
      </c>
      <c r="B8" s="17" t="n">
        <v>396</v>
      </c>
      <c r="C8" s="17" t="inlineStr">
        <is>
          <t>REDINGTON</t>
        </is>
      </c>
      <c r="D8" s="18" t="inlineStr">
        <is>
          <t>Redington (india) Limited</t>
        </is>
      </c>
      <c r="E8" s="18" t="inlineStr">
        <is>
          <t>services</t>
        </is>
      </c>
      <c r="F8" s="16" t="n">
        <v>51</v>
      </c>
      <c r="G8" s="19" t="n">
        <v>32267.74</v>
      </c>
      <c r="H8" s="18" t="inlineStr">
        <is>
          <t>Potential Leader</t>
        </is>
      </c>
      <c r="J8" s="18" t="inlineStr">
        <is>
          <t>media</t>
        </is>
      </c>
      <c r="K8" s="16" t="n">
        <v>5</v>
      </c>
      <c r="L8" s="16" t="n">
        <v>4</v>
      </c>
      <c r="M8" s="20" t="inlineStr">
        <is>
          <t>25.0%</t>
        </is>
      </c>
    </row>
    <row r="9">
      <c r="A9" s="16" t="n">
        <v>4</v>
      </c>
      <c r="B9" s="17" t="n">
        <v>372</v>
      </c>
      <c r="C9" s="17" t="inlineStr">
        <is>
          <t>RATNAVEER</t>
        </is>
      </c>
      <c r="D9" s="18" t="inlineStr">
        <is>
          <t>Ratnaveer Precision Engineering Ltd</t>
        </is>
      </c>
      <c r="E9" s="18" t="inlineStr">
        <is>
          <t>metals &amp; mining</t>
        </is>
      </c>
      <c r="F9" s="16" t="n">
        <v>47</v>
      </c>
      <c r="G9" s="19" t="n">
        <v>2848.04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52</v>
      </c>
      <c r="L9" s="16" t="n">
        <v>43</v>
      </c>
      <c r="M9" s="20" t="inlineStr">
        <is>
          <t>20.9%</t>
        </is>
      </c>
    </row>
    <row r="10">
      <c r="A10" s="16" t="n">
        <v>5</v>
      </c>
      <c r="B10" s="17" t="n">
        <v>372</v>
      </c>
      <c r="C10" s="17" t="inlineStr">
        <is>
          <t>SHILPAMED</t>
        </is>
      </c>
      <c r="D10" s="18" t="inlineStr">
        <is>
          <t>Shilpa Medicare Limited</t>
        </is>
      </c>
      <c r="E10" s="18" t="inlineStr">
        <is>
          <t>healthcare</t>
        </is>
      </c>
      <c r="F10" s="16" t="n">
        <v>47</v>
      </c>
      <c r="G10" s="19" t="n">
        <v>20168.4</v>
      </c>
      <c r="H10" s="18" t="inlineStr">
        <is>
          <t>Potential Leader</t>
        </is>
      </c>
      <c r="J10" s="18" t="inlineStr">
        <is>
          <t>fmcg</t>
        </is>
      </c>
      <c r="K10" s="16" t="n">
        <v>52</v>
      </c>
      <c r="L10" s="16" t="n">
        <v>49</v>
      </c>
      <c r="M10" s="20" t="inlineStr">
        <is>
          <t>6.1%</t>
        </is>
      </c>
    </row>
    <row r="11">
      <c r="A11" s="16" t="n">
        <v>6</v>
      </c>
      <c r="B11" s="17" t="n">
        <v>372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47</v>
      </c>
      <c r="G11" s="19" t="n">
        <v>51453.85</v>
      </c>
      <c r="H11" s="18" t="inlineStr">
        <is>
          <t>Potential Leader</t>
        </is>
      </c>
      <c r="J11" s="18" t="inlineStr">
        <is>
          <t>power &amp; utilities</t>
        </is>
      </c>
      <c r="K11" s="16" t="n">
        <v>4</v>
      </c>
      <c r="L11" s="16" t="n">
        <v>4</v>
      </c>
      <c r="M11" s="20" t="inlineStr">
        <is>
          <t>0.0%</t>
        </is>
      </c>
    </row>
    <row r="12">
      <c r="A12" s="16" t="n">
        <v>7</v>
      </c>
      <c r="B12" s="17" t="n">
        <v>366</v>
      </c>
      <c r="C12" s="17" t="inlineStr">
        <is>
          <t>MOREPENLAB</t>
        </is>
      </c>
      <c r="D12" s="18" t="inlineStr">
        <is>
          <t>Morepen Laboratories Limited</t>
        </is>
      </c>
      <c r="E12" s="18" t="inlineStr">
        <is>
          <t>healthcare</t>
        </is>
      </c>
      <c r="F12" s="16" t="n">
        <v>46</v>
      </c>
      <c r="G12" s="19" t="n">
        <v>7413.27</v>
      </c>
      <c r="H12" s="18" t="inlineStr">
        <is>
          <t>Potential Leader</t>
        </is>
      </c>
      <c r="J12" s="18" t="inlineStr">
        <is>
          <t>readymade garments/apparels</t>
        </is>
      </c>
      <c r="K12" s="16" t="n">
        <v>6</v>
      </c>
      <c r="L12" s="16" t="n">
        <v>6</v>
      </c>
      <c r="M12" s="20" t="inlineStr">
        <is>
          <t>0.0%</t>
        </is>
      </c>
    </row>
    <row r="13">
      <c r="A13" s="16" t="n">
        <v>8</v>
      </c>
      <c r="B13" s="17" t="n">
        <v>348</v>
      </c>
      <c r="C13" s="17" t="inlineStr">
        <is>
          <t>INDSWFTLAB</t>
        </is>
      </c>
      <c r="D13" s="18" t="inlineStr">
        <is>
          <t>Ind-swift Laboratories Limited</t>
        </is>
      </c>
      <c r="E13" s="18" t="inlineStr">
        <is>
          <t>healthcare</t>
        </is>
      </c>
      <c r="F13" s="16" t="n">
        <v>43</v>
      </c>
      <c r="G13" s="19" t="n">
        <v>3354.54</v>
      </c>
      <c r="H13" s="18" t="inlineStr">
        <is>
          <t>Potential Leader</t>
        </is>
      </c>
      <c r="J13" s="18" t="inlineStr">
        <is>
          <t>services</t>
        </is>
      </c>
      <c r="K13" s="16" t="n">
        <v>44</v>
      </c>
      <c r="L13" s="16" t="n">
        <v>45</v>
      </c>
      <c r="M13" s="21" t="inlineStr">
        <is>
          <t>-2.2%</t>
        </is>
      </c>
    </row>
    <row r="14">
      <c r="A14" s="16" t="n">
        <v>9</v>
      </c>
      <c r="B14" s="17" t="n">
        <v>336</v>
      </c>
      <c r="C14" s="17" t="inlineStr">
        <is>
          <t>MANINDS</t>
        </is>
      </c>
      <c r="D14" s="18" t="inlineStr">
        <is>
          <t>Man Industries (india) Limited</t>
        </is>
      </c>
      <c r="E14" s="18" t="inlineStr">
        <is>
          <t>metals &amp; mining</t>
        </is>
      </c>
      <c r="F14" s="16" t="n">
        <v>41</v>
      </c>
      <c r="G14" s="19" t="n">
        <v>6662.73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39</v>
      </c>
      <c r="L14" s="16" t="n">
        <v>40</v>
      </c>
      <c r="M14" s="21" t="inlineStr">
        <is>
          <t>-2.5%</t>
        </is>
      </c>
    </row>
    <row r="15">
      <c r="A15" s="16" t="n">
        <v>10</v>
      </c>
      <c r="B15" s="17" t="n">
        <v>318</v>
      </c>
      <c r="C15" s="17" t="inlineStr">
        <is>
          <t>RGL</t>
        </is>
      </c>
      <c r="D15" s="18" t="inlineStr">
        <is>
          <t>Renaissance Global Ltd</t>
        </is>
      </c>
      <c r="E15" s="18" t="inlineStr">
        <is>
          <t>consumer discretionary</t>
        </is>
      </c>
      <c r="F15" s="16" t="n">
        <v>38</v>
      </c>
      <c r="G15" s="19" t="n">
        <v>1734.22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75</v>
      </c>
      <c r="L15" s="16" t="n">
        <v>78</v>
      </c>
      <c r="M15" s="21" t="inlineStr">
        <is>
          <t>-3.8%</t>
        </is>
      </c>
    </row>
    <row r="16">
      <c r="A16" s="16" t="n">
        <v>11</v>
      </c>
      <c r="B16" s="17" t="n">
        <v>312</v>
      </c>
      <c r="C16" s="17" t="inlineStr">
        <is>
          <t>WELSPUNLIV</t>
        </is>
      </c>
      <c r="D16" s="18" t="inlineStr">
        <is>
          <t>Welspun Living Ltd</t>
        </is>
      </c>
      <c r="E16" s="18" t="inlineStr">
        <is>
          <t>textiles</t>
        </is>
      </c>
      <c r="F16" s="16" t="n">
        <v>37</v>
      </c>
      <c r="G16" s="19" t="n">
        <v>21754.82</v>
      </c>
      <c r="H16" s="18" t="inlineStr">
        <is>
          <t>Potential Leader</t>
        </is>
      </c>
      <c r="J16" s="18" t="inlineStr">
        <is>
          <t>industrials</t>
        </is>
      </c>
      <c r="K16" s="16" t="n">
        <v>170</v>
      </c>
      <c r="L16" s="16" t="n">
        <v>190</v>
      </c>
      <c r="M16" s="21" t="inlineStr">
        <is>
          <t>-10.5%</t>
        </is>
      </c>
    </row>
    <row r="17">
      <c r="A17" s="16" t="n">
        <v>12</v>
      </c>
      <c r="B17" s="17" t="n">
        <v>306</v>
      </c>
      <c r="C17" s="17" t="inlineStr">
        <is>
          <t>YUKEN</t>
        </is>
      </c>
      <c r="D17" s="18" t="inlineStr">
        <is>
          <t>Yuken India Ltd</t>
        </is>
      </c>
      <c r="E17" s="18" t="inlineStr">
        <is>
          <t>industrials</t>
        </is>
      </c>
      <c r="F17" s="16" t="n">
        <v>36</v>
      </c>
      <c r="G17" s="19" t="n">
        <v>1533.63</v>
      </c>
      <c r="H17" s="18" t="inlineStr">
        <is>
          <t>Potential Leader</t>
        </is>
      </c>
      <c r="J17" s="18" t="inlineStr">
        <is>
          <t>transportation</t>
        </is>
      </c>
      <c r="K17" s="16" t="n">
        <v>39</v>
      </c>
      <c r="L17" s="16" t="n">
        <v>44</v>
      </c>
      <c r="M17" s="21" t="inlineStr">
        <is>
          <t>-11.4%</t>
        </is>
      </c>
    </row>
    <row r="18">
      <c r="A18" s="16" t="n">
        <v>13</v>
      </c>
      <c r="B18" s="17" t="n">
        <v>300</v>
      </c>
      <c r="C18" s="17" t="inlineStr">
        <is>
          <t>BODALCHEM</t>
        </is>
      </c>
      <c r="D18" s="18" t="inlineStr">
        <is>
          <t>Bodal Chemicals Limited</t>
        </is>
      </c>
      <c r="E18" s="18" t="inlineStr">
        <is>
          <t>chemicals</t>
        </is>
      </c>
      <c r="F18" s="16" t="n">
        <v>35</v>
      </c>
      <c r="G18" s="19" t="n">
        <v>2270.77</v>
      </c>
      <c r="H18" s="18" t="inlineStr">
        <is>
          <t>Potential Leader</t>
        </is>
      </c>
      <c r="J18" s="18" t="inlineStr">
        <is>
          <t>plastic products</t>
        </is>
      </c>
      <c r="K18" s="16" t="n">
        <v>13</v>
      </c>
      <c r="L18" s="16" t="n">
        <v>15</v>
      </c>
      <c r="M18" s="21" t="inlineStr">
        <is>
          <t>-13.3%</t>
        </is>
      </c>
    </row>
    <row r="19">
      <c r="A19" s="16" t="n">
        <v>14</v>
      </c>
      <c r="B19" s="17" t="n">
        <v>300</v>
      </c>
      <c r="C19" s="17" t="inlineStr">
        <is>
          <t>WELINV</t>
        </is>
      </c>
      <c r="D19" s="18" t="inlineStr">
        <is>
          <t>Welspun Investments And Commercials Limited</t>
        </is>
      </c>
      <c r="E19" s="18" t="inlineStr">
        <is>
          <t>financials</t>
        </is>
      </c>
      <c r="F19" s="16" t="n">
        <v>35</v>
      </c>
      <c r="G19" s="19" t="n">
        <v>905.58</v>
      </c>
      <c r="H19" s="18" t="inlineStr">
        <is>
          <t>Potential Leader</t>
        </is>
      </c>
      <c r="J19" s="18" t="inlineStr">
        <is>
          <t>chemicals</t>
        </is>
      </c>
      <c r="K19" s="16" t="n">
        <v>115</v>
      </c>
      <c r="L19" s="16" t="n">
        <v>138</v>
      </c>
      <c r="M19" s="21" t="inlineStr">
        <is>
          <t>-16.7%</t>
        </is>
      </c>
    </row>
    <row r="20">
      <c r="A20" s="16" t="n">
        <v>15</v>
      </c>
      <c r="B20" s="17" t="n">
        <v>294</v>
      </c>
      <c r="C20" s="17" t="inlineStr">
        <is>
          <t>INDORAMA</t>
        </is>
      </c>
      <c r="D20" s="18" t="inlineStr">
        <is>
          <t>Indo Rama Synthetics (india) Limited</t>
        </is>
      </c>
      <c r="E20" s="18" t="inlineStr">
        <is>
          <t>textiles</t>
        </is>
      </c>
      <c r="F20" s="16" t="n">
        <v>34</v>
      </c>
      <c r="G20" s="19" t="n">
        <v>2446.37</v>
      </c>
      <c r="H20" s="18" t="inlineStr">
        <is>
          <t>Potential Leader</t>
        </is>
      </c>
      <c r="J20" s="18" t="inlineStr">
        <is>
          <t>textiles</t>
        </is>
      </c>
      <c r="K20" s="16" t="n">
        <v>45</v>
      </c>
      <c r="L20" s="16" t="n">
        <v>56</v>
      </c>
      <c r="M20" s="21" t="inlineStr">
        <is>
          <t>-19.6%</t>
        </is>
      </c>
    </row>
    <row r="21">
      <c r="A21" s="16" t="n">
        <v>16</v>
      </c>
      <c r="B21" s="17" t="n">
        <v>288</v>
      </c>
      <c r="C21" s="17" t="inlineStr">
        <is>
          <t>BHAGERIA</t>
        </is>
      </c>
      <c r="D21" s="18" t="inlineStr">
        <is>
          <t>Bhageria Industries Limited</t>
        </is>
      </c>
      <c r="E21" s="18" t="inlineStr">
        <is>
          <t>chemicals</t>
        </is>
      </c>
      <c r="F21" s="16" t="n">
        <v>33</v>
      </c>
      <c r="G21" s="19" t="n">
        <v>1591.49</v>
      </c>
      <c r="H21" s="18" t="inlineStr">
        <is>
          <t>Potential Leader</t>
        </is>
      </c>
    </row>
    <row r="22">
      <c r="A22" s="16" t="n">
        <v>17</v>
      </c>
      <c r="B22" s="17" t="n">
        <v>288</v>
      </c>
      <c r="C22" s="17" t="inlineStr">
        <is>
          <t>QUADFUTURE</t>
        </is>
      </c>
      <c r="D22" s="18" t="inlineStr">
        <is>
          <t>Quadrant Future Tek Ltd</t>
        </is>
      </c>
      <c r="E22" s="18" t="inlineStr">
        <is>
          <t>industrials</t>
        </is>
      </c>
      <c r="F22" s="16" t="n">
        <v>33</v>
      </c>
      <c r="G22" s="19" t="n">
        <v>2117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TBZ</t>
        </is>
      </c>
      <c r="D23" s="18" t="inlineStr">
        <is>
          <t>Tribhovandas Bhimji Zaveri Limited</t>
        </is>
      </c>
      <c r="E23" s="18" t="inlineStr">
        <is>
          <t>consumer discretionary</t>
        </is>
      </c>
      <c r="F23" s="16" t="n">
        <v>33</v>
      </c>
      <c r="G23" s="19" t="n">
        <v>3989.82</v>
      </c>
      <c r="H23" s="18" t="inlineStr">
        <is>
          <t>Potential Leader</t>
        </is>
      </c>
    </row>
    <row r="24">
      <c r="A24" s="16" t="n">
        <v>19</v>
      </c>
      <c r="B24" s="17" t="n">
        <v>276</v>
      </c>
      <c r="C24" s="17" t="inlineStr">
        <is>
          <t>BAFNAPH</t>
        </is>
      </c>
      <c r="D24" s="18" t="inlineStr">
        <is>
          <t>Bafna Pharmaceuticals Ltd</t>
        </is>
      </c>
      <c r="E24" s="18" t="inlineStr">
        <is>
          <t>healthcare</t>
        </is>
      </c>
      <c r="F24" s="16" t="n">
        <v>31</v>
      </c>
      <c r="G24" s="19" t="n">
        <v>913.84</v>
      </c>
      <c r="H24" s="18" t="inlineStr">
        <is>
          <t>Potential Leader</t>
        </is>
      </c>
    </row>
    <row r="25">
      <c r="A25" s="16" t="n">
        <v>20</v>
      </c>
      <c r="B25" s="17" t="n">
        <v>276</v>
      </c>
      <c r="C25" s="17" t="inlineStr">
        <is>
          <t>SIGMAADV</t>
        </is>
      </c>
      <c r="D25" s="18" t="inlineStr">
        <is>
          <t>Sigma Advanced System Ltd</t>
        </is>
      </c>
      <c r="E25" s="18" t="inlineStr">
        <is>
          <t>aerospace &amp; defence</t>
        </is>
      </c>
      <c r="F25" s="16" t="n">
        <v>31</v>
      </c>
      <c r="G25" s="19" t="n">
        <v>21424.44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SUNDROP</t>
        </is>
      </c>
      <c r="B30" s="18" t="inlineStr">
        <is>
          <t>Sundrop Brands Ltd</t>
        </is>
      </c>
      <c r="C30" s="18" t="inlineStr">
        <is>
          <t>fmcg</t>
        </is>
      </c>
      <c r="D30" s="16" t="n">
        <v>10</v>
      </c>
      <c r="E30" s="16" t="n">
        <v>2</v>
      </c>
      <c r="F30" s="19" t="n">
        <v>2821.99</v>
      </c>
      <c r="J30" s="17" t="inlineStr">
        <is>
          <t>RPTECH</t>
        </is>
      </c>
      <c r="K30" s="18" t="inlineStr">
        <is>
          <t>i.t</t>
        </is>
      </c>
      <c r="L30" s="19" t="n">
        <v>295</v>
      </c>
      <c r="M30" s="19" t="n">
        <v>6217.3</v>
      </c>
      <c r="N30" s="16" t="n">
        <v>12</v>
      </c>
    </row>
    <row r="31">
      <c r="A31" s="17" t="inlineStr">
        <is>
          <t>DELTACORP</t>
        </is>
      </c>
      <c r="B31" s="18" t="inlineStr">
        <is>
          <t>Delta Corp Limited</t>
        </is>
      </c>
      <c r="C31" s="18" t="inlineStr">
        <is>
          <t>miscellaneous</t>
        </is>
      </c>
      <c r="D31" s="16" t="n">
        <v>9</v>
      </c>
      <c r="E31" s="16" t="n">
        <v>0</v>
      </c>
      <c r="F31" s="19" t="n">
        <v>2287.57</v>
      </c>
      <c r="J31" s="17" t="inlineStr">
        <is>
          <t>SHANTIGOLD</t>
        </is>
      </c>
      <c r="K31" s="18" t="inlineStr">
        <is>
          <t>consumer discretionary</t>
        </is>
      </c>
      <c r="L31" s="19" t="n">
        <v>290</v>
      </c>
      <c r="M31" s="19" t="n">
        <v>2429.57</v>
      </c>
      <c r="N31" s="16" t="n">
        <v>20</v>
      </c>
    </row>
    <row r="32">
      <c r="A32" s="17" t="inlineStr">
        <is>
          <t>SHIVALIK</t>
        </is>
      </c>
      <c r="B32" s="18" t="inlineStr">
        <is>
          <t>Shivalik Rasayan Ltd</t>
        </is>
      </c>
      <c r="C32" s="18" t="inlineStr">
        <is>
          <t>chemicals</t>
        </is>
      </c>
      <c r="D32" s="16" t="n">
        <v>9</v>
      </c>
      <c r="E32" s="16" t="n">
        <v>2</v>
      </c>
      <c r="F32" s="19" t="n">
        <v>601.6900000000001</v>
      </c>
      <c r="J32" s="17" t="inlineStr">
        <is>
          <t>PGIL</t>
        </is>
      </c>
      <c r="K32" s="18" t="inlineStr">
        <is>
          <t>readymade garments/apparels</t>
        </is>
      </c>
      <c r="L32" s="19" t="n">
        <v>290</v>
      </c>
      <c r="M32" s="19" t="n">
        <v>11700.06</v>
      </c>
      <c r="N32" s="16" t="n">
        <v>17</v>
      </c>
    </row>
    <row r="33">
      <c r="A33" s="17" t="inlineStr">
        <is>
          <t>TEXRAIL</t>
        </is>
      </c>
      <c r="B33" s="18" t="inlineStr">
        <is>
          <t>Texmaco Rail &amp; Engineering Limited</t>
        </is>
      </c>
      <c r="C33" s="18" t="inlineStr">
        <is>
          <t>Industrials</t>
        </is>
      </c>
      <c r="D33" s="16" t="n">
        <v>8</v>
      </c>
      <c r="E33" s="16" t="n">
        <v>0</v>
      </c>
      <c r="F33" s="19" t="n">
        <v>4775.78</v>
      </c>
      <c r="J33" s="17" t="inlineStr">
        <is>
          <t>FCL</t>
        </is>
      </c>
      <c r="K33" s="18" t="inlineStr">
        <is>
          <t>chemicals</t>
        </is>
      </c>
      <c r="L33" s="19" t="n">
        <v>290</v>
      </c>
      <c r="M33" s="19" t="n">
        <v>6291.8</v>
      </c>
      <c r="N33" s="16" t="n">
        <v>27</v>
      </c>
    </row>
    <row r="34">
      <c r="A34" s="17" t="inlineStr">
        <is>
          <t>SATIA</t>
        </is>
      </c>
      <c r="B34" s="18" t="inlineStr">
        <is>
          <t>Satia Industries Ltd</t>
        </is>
      </c>
      <c r="C34" s="18" t="inlineStr">
        <is>
          <t>building materials</t>
        </is>
      </c>
      <c r="D34" s="16" t="n">
        <v>7</v>
      </c>
      <c r="E34" s="16" t="n">
        <v>0</v>
      </c>
      <c r="F34" s="19" t="n">
        <v>685.1</v>
      </c>
      <c r="J34" s="17" t="inlineStr">
        <is>
          <t>PREMIERPOL</t>
        </is>
      </c>
      <c r="K34" s="18" t="inlineStr">
        <is>
          <t>plastic products</t>
        </is>
      </c>
      <c r="L34" s="19" t="n">
        <v>290</v>
      </c>
      <c r="M34" s="19" t="n">
        <v>1063.56</v>
      </c>
      <c r="N34" s="16" t="n">
        <v>19</v>
      </c>
    </row>
    <row r="35">
      <c r="A35" s="17" t="inlineStr">
        <is>
          <t>SUNTV</t>
        </is>
      </c>
      <c r="B35" s="18" t="inlineStr">
        <is>
          <t>Sun Tv Network Limited</t>
        </is>
      </c>
      <c r="C35" s="18" t="inlineStr">
        <is>
          <t>media</t>
        </is>
      </c>
      <c r="D35" s="16" t="n">
        <v>6</v>
      </c>
      <c r="E35" s="16" t="n">
        <v>0</v>
      </c>
      <c r="F35" s="19" t="n">
        <v>24703.19</v>
      </c>
      <c r="J35" s="17" t="inlineStr">
        <is>
          <t>GNA</t>
        </is>
      </c>
      <c r="K35" s="18" t="inlineStr">
        <is>
          <t>auto</t>
        </is>
      </c>
      <c r="L35" s="19" t="n">
        <v>290</v>
      </c>
      <c r="M35" s="19" t="n">
        <v>2511.67</v>
      </c>
      <c r="N35" s="16" t="n">
        <v>14</v>
      </c>
    </row>
    <row r="36">
      <c r="A36" s="17" t="inlineStr">
        <is>
          <t>ALICON</t>
        </is>
      </c>
      <c r="B36" s="18" t="inlineStr">
        <is>
          <t>Alicon Castalloy Limited</t>
        </is>
      </c>
      <c r="C36" s="18" t="inlineStr">
        <is>
          <t>castings, forgings &amp; fasteners</t>
        </is>
      </c>
      <c r="D36" s="16" t="n">
        <v>5</v>
      </c>
      <c r="E36" s="16" t="n">
        <v>0</v>
      </c>
      <c r="F36" s="19" t="n">
        <v>1393.28</v>
      </c>
      <c r="J36" s="17" t="inlineStr">
        <is>
          <t>JGCHEM</t>
        </is>
      </c>
      <c r="K36" s="18" t="inlineStr">
        <is>
          <t>chemicals</t>
        </is>
      </c>
      <c r="L36" s="19" t="n">
        <v>290</v>
      </c>
      <c r="M36" s="19" t="n">
        <v>2388.98</v>
      </c>
      <c r="N36" s="16" t="n">
        <v>16</v>
      </c>
    </row>
    <row r="37">
      <c r="A37" s="17" t="inlineStr">
        <is>
          <t>ISGEC</t>
        </is>
      </c>
      <c r="B37" s="18" t="inlineStr">
        <is>
          <t>ISGEC Heavy Engineering  Ltd</t>
        </is>
      </c>
      <c r="C37" s="18" t="inlineStr">
        <is>
          <t>realty</t>
        </is>
      </c>
      <c r="D37" s="16" t="n">
        <v>4</v>
      </c>
      <c r="E37" s="16" t="n">
        <v>0</v>
      </c>
      <c r="F37" s="19" t="n">
        <v>6612.51</v>
      </c>
      <c r="J37" s="17" t="inlineStr">
        <is>
          <t>ARIES</t>
        </is>
      </c>
      <c r="K37" s="18" t="inlineStr">
        <is>
          <t>chemicals</t>
        </is>
      </c>
      <c r="L37" s="19" t="n">
        <v>288</v>
      </c>
      <c r="M37" s="19" t="n">
        <v>651.84</v>
      </c>
      <c r="N37" s="16" t="n">
        <v>27</v>
      </c>
    </row>
    <row r="38">
      <c r="A38" s="17" t="inlineStr">
        <is>
          <t>SHRINGARMS</t>
        </is>
      </c>
      <c r="B38" s="18" t="inlineStr">
        <is>
          <t>Shringar House of Mangalsutra Ltd</t>
        </is>
      </c>
      <c r="C38" s="18" t="inlineStr">
        <is>
          <t>consumer discretionary</t>
        </is>
      </c>
      <c r="D38" s="16" t="n">
        <v>4</v>
      </c>
      <c r="E38" s="16" t="n">
        <v>0</v>
      </c>
      <c r="F38" s="19" t="n">
        <v>2115.33</v>
      </c>
      <c r="J38" s="17" t="inlineStr">
        <is>
          <t>ORIENTBELL</t>
        </is>
      </c>
      <c r="K38" s="18" t="inlineStr">
        <is>
          <t>building materials</t>
        </is>
      </c>
      <c r="L38" s="19" t="n">
        <v>288</v>
      </c>
      <c r="M38" s="19" t="n">
        <v>613.5700000000001</v>
      </c>
      <c r="N38" s="16" t="n">
        <v>27</v>
      </c>
    </row>
    <row r="39">
      <c r="A39" s="17" t="inlineStr">
        <is>
          <t>DHARMAJ</t>
        </is>
      </c>
      <c r="B39" s="18" t="inlineStr">
        <is>
          <t>Dharmaj Crop Guard Limited</t>
        </is>
      </c>
      <c r="C39" s="18" t="inlineStr">
        <is>
          <t>Basic Materials</t>
        </is>
      </c>
      <c r="D39" s="16" t="n">
        <v>4</v>
      </c>
      <c r="E39" s="16" t="n">
        <v>2</v>
      </c>
      <c r="F39" s="19" t="n">
        <v>900.87</v>
      </c>
      <c r="J39" s="17" t="inlineStr">
        <is>
          <t>VINDHYATEL</t>
        </is>
      </c>
      <c r="K39" s="18" t="inlineStr">
        <is>
          <t>realty</t>
        </is>
      </c>
      <c r="L39" s="19" t="n">
        <v>288</v>
      </c>
      <c r="M39" s="19" t="n">
        <v>3054.32</v>
      </c>
      <c r="N39" s="16" t="n">
        <v>20</v>
      </c>
    </row>
    <row r="40">
      <c r="A40" s="17" t="inlineStr">
        <is>
          <t>BANDHANBNK</t>
        </is>
      </c>
      <c r="B40" s="18" t="inlineStr">
        <is>
          <t>Bandhan Bank Limited</t>
        </is>
      </c>
      <c r="C40" s="18" t="inlineStr">
        <is>
          <t>Financial Services</t>
        </is>
      </c>
      <c r="D40" s="16" t="n">
        <v>4</v>
      </c>
      <c r="E40" s="16" t="n">
        <v>2</v>
      </c>
      <c r="F40" s="19" t="n">
        <v>26446.98</v>
      </c>
      <c r="J40" s="17" t="inlineStr">
        <is>
          <t>INDOBORAX</t>
        </is>
      </c>
      <c r="K40" s="18" t="inlineStr">
        <is>
          <t>chemicals</t>
        </is>
      </c>
      <c r="L40" s="19" t="n">
        <v>288</v>
      </c>
      <c r="M40" s="19" t="n">
        <v>1478.23</v>
      </c>
      <c r="N40" s="16" t="n">
        <v>13</v>
      </c>
    </row>
    <row r="41">
      <c r="A41" s="17" t="inlineStr">
        <is>
          <t>SUDARSCHEM</t>
        </is>
      </c>
      <c r="B41" s="18" t="inlineStr">
        <is>
          <t>Sudarshan Chemical Industries Limited</t>
        </is>
      </c>
      <c r="C41" s="18" t="inlineStr">
        <is>
          <t>chemicals</t>
        </is>
      </c>
      <c r="D41" s="16" t="n">
        <v>3</v>
      </c>
      <c r="E41" s="16" t="n">
        <v>0</v>
      </c>
      <c r="F41" s="19" t="n">
        <v>9664.9</v>
      </c>
      <c r="J41" s="17" t="inlineStr">
        <is>
          <t>VINCOFE</t>
        </is>
      </c>
      <c r="K41" s="18" t="inlineStr">
        <is>
          <t>consumer discretionary</t>
        </is>
      </c>
      <c r="L41" s="19" t="n">
        <v>287</v>
      </c>
      <c r="M41" s="19" t="n">
        <v>2660.12</v>
      </c>
      <c r="N41" s="16" t="n">
        <v>28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109.62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3147.3</v>
      </c>
    </row>
    <row r="48">
      <c r="A48" s="16" t="n">
        <v>2</v>
      </c>
      <c r="B48" s="27" t="n">
        <v>99</v>
      </c>
      <c r="C48" s="28" t="n">
        <v>88.83</v>
      </c>
      <c r="D48" s="28" t="n">
        <v>260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chemicals</t>
        </is>
      </c>
      <c r="H48" s="19" t="n">
        <v>2270.77</v>
      </c>
    </row>
    <row r="49">
      <c r="A49" s="16" t="n">
        <v>3</v>
      </c>
      <c r="B49" s="27" t="n">
        <v>98</v>
      </c>
      <c r="C49" s="28" t="n">
        <v>84.83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21424.44</v>
      </c>
    </row>
    <row r="50">
      <c r="A50" s="16" t="n">
        <v>4</v>
      </c>
      <c r="B50" s="27" t="n">
        <v>98</v>
      </c>
      <c r="C50" s="28" t="n">
        <v>75.05</v>
      </c>
      <c r="D50" s="28" t="n">
        <v>273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2795.73</v>
      </c>
    </row>
    <row r="51">
      <c r="A51" s="16" t="n">
        <v>5</v>
      </c>
      <c r="B51" s="27" t="n">
        <v>97</v>
      </c>
      <c r="C51" s="28" t="n">
        <v>74.68000000000001</v>
      </c>
      <c r="D51" s="28" t="n">
        <v>268</v>
      </c>
      <c r="E51" s="17" t="inlineStr">
        <is>
          <t>TBZ</t>
        </is>
      </c>
      <c r="F51" s="18" t="inlineStr">
        <is>
          <t>Tribhovandas Bhimji Zaveri Limited</t>
        </is>
      </c>
      <c r="G51" s="18" t="inlineStr">
        <is>
          <t>consumer discretionary</t>
        </is>
      </c>
      <c r="H51" s="19" t="n">
        <v>3989.82</v>
      </c>
    </row>
    <row r="52">
      <c r="A52" s="16" t="n">
        <v>6</v>
      </c>
      <c r="B52" s="27" t="n">
        <v>97</v>
      </c>
      <c r="C52" s="28" t="n">
        <v>60.94</v>
      </c>
      <c r="D52" s="28" t="n">
        <v>275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7413.27</v>
      </c>
    </row>
    <row r="53">
      <c r="A53" s="16" t="n">
        <v>7</v>
      </c>
      <c r="B53" s="27" t="n">
        <v>96</v>
      </c>
      <c r="C53" s="28" t="n">
        <v>51.95</v>
      </c>
      <c r="D53" s="28" t="n">
        <v>283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14375.91</v>
      </c>
    </row>
    <row r="54">
      <c r="A54" s="16" t="n">
        <v>8</v>
      </c>
      <c r="B54" s="27" t="n">
        <v>96</v>
      </c>
      <c r="C54" s="28" t="n">
        <v>51.75</v>
      </c>
      <c r="D54" s="28" t="n">
        <v>263</v>
      </c>
      <c r="E54" s="17" t="inlineStr">
        <is>
          <t>SPECTRUM</t>
        </is>
      </c>
      <c r="F54" s="18" t="inlineStr">
        <is>
          <t>Spectrum Electrical Industries Ltd</t>
        </is>
      </c>
      <c r="G54" s="18" t="inlineStr">
        <is>
          <t>industrials</t>
        </is>
      </c>
      <c r="H54" s="19" t="n">
        <v>6560.05</v>
      </c>
    </row>
    <row r="55">
      <c r="A55" s="16" t="n">
        <v>9</v>
      </c>
      <c r="B55" s="27" t="n">
        <v>95</v>
      </c>
      <c r="C55" s="28" t="n">
        <v>48.43</v>
      </c>
      <c r="D55" s="28" t="n">
        <v>275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3354.54</v>
      </c>
    </row>
    <row r="56">
      <c r="A56" s="16" t="n">
        <v>10</v>
      </c>
      <c r="B56" s="27" t="n">
        <v>95</v>
      </c>
      <c r="C56" s="28" t="n">
        <v>47.68</v>
      </c>
      <c r="D56" s="28" t="n">
        <v>265</v>
      </c>
      <c r="E56" s="17" t="inlineStr">
        <is>
          <t>RAYMOND</t>
        </is>
      </c>
      <c r="F56" s="18" t="inlineStr">
        <is>
          <t>Raymond Limited</t>
        </is>
      </c>
      <c r="G56" s="18" t="inlineStr">
        <is>
          <t>transportation</t>
        </is>
      </c>
      <c r="H56" s="19" t="n">
        <v>8659.25</v>
      </c>
    </row>
    <row r="57">
      <c r="A57" s="16" t="n">
        <v>11</v>
      </c>
      <c r="B57" s="29" t="n">
        <v>94</v>
      </c>
      <c r="C57" s="28" t="n">
        <v>46.88</v>
      </c>
      <c r="D57" s="28" t="n">
        <v>272</v>
      </c>
      <c r="E57" s="17" t="inlineStr">
        <is>
          <t>SHUKRAPHAR</t>
        </is>
      </c>
      <c r="F57" s="18" t="inlineStr">
        <is>
          <t>Shukra Pharmaceuticals Limited</t>
        </is>
      </c>
      <c r="G57" s="18" t="inlineStr">
        <is>
          <t>Healthcare</t>
        </is>
      </c>
      <c r="H57" s="19" t="n">
        <v>3194.83</v>
      </c>
    </row>
    <row r="58">
      <c r="A58" s="16" t="n">
        <v>12</v>
      </c>
      <c r="B58" s="29" t="n">
        <v>94</v>
      </c>
      <c r="C58" s="28" t="n">
        <v>46.64</v>
      </c>
      <c r="D58" s="28" t="n">
        <v>255</v>
      </c>
      <c r="E58" s="17" t="inlineStr">
        <is>
          <t>MODISONLTD</t>
        </is>
      </c>
      <c r="F58" s="18" t="inlineStr">
        <is>
          <t>Modison Ltd</t>
        </is>
      </c>
      <c r="G58" s="18" t="inlineStr">
        <is>
          <t>industrials</t>
        </is>
      </c>
      <c r="H58" s="19" t="n">
        <v>1518.5</v>
      </c>
    </row>
    <row r="59">
      <c r="A59" s="16" t="n">
        <v>13</v>
      </c>
      <c r="B59" s="29" t="n">
        <v>93</v>
      </c>
      <c r="C59" s="28" t="n">
        <v>44.63</v>
      </c>
      <c r="D59" s="28" t="n">
        <v>282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3892.32</v>
      </c>
    </row>
    <row r="60">
      <c r="A60" s="16" t="n">
        <v>14</v>
      </c>
      <c r="B60" s="29" t="n">
        <v>93</v>
      </c>
      <c r="C60" s="28" t="n">
        <v>43.82</v>
      </c>
      <c r="D60" s="28" t="n">
        <v>260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913.84</v>
      </c>
    </row>
    <row r="61">
      <c r="A61" s="16" t="n">
        <v>15</v>
      </c>
      <c r="B61" s="29" t="n">
        <v>92</v>
      </c>
      <c r="C61" s="28" t="n">
        <v>42.68</v>
      </c>
      <c r="D61" s="28" t="n">
        <v>272</v>
      </c>
      <c r="E61" s="17" t="inlineStr">
        <is>
          <t>SHILPAMED</t>
        </is>
      </c>
      <c r="F61" s="18" t="inlineStr">
        <is>
          <t>Shilpa Medicare Limited</t>
        </is>
      </c>
      <c r="G61" s="18" t="inlineStr">
        <is>
          <t>healthcare</t>
        </is>
      </c>
      <c r="H61" s="19" t="n">
        <v>20168.4</v>
      </c>
    </row>
    <row r="62">
      <c r="A62" s="16" t="n">
        <v>16</v>
      </c>
      <c r="B62" s="29" t="n">
        <v>92</v>
      </c>
      <c r="C62" s="28" t="n">
        <v>42.14</v>
      </c>
      <c r="D62" s="28" t="n">
        <v>280</v>
      </c>
      <c r="E62" s="17" t="inlineStr">
        <is>
          <t>BHAGYANGR</t>
        </is>
      </c>
      <c r="F62" s="18" t="inlineStr">
        <is>
          <t>Bhagyanagar India</t>
        </is>
      </c>
      <c r="G62" s="18" t="inlineStr">
        <is>
          <t>power &amp; utilities</t>
        </is>
      </c>
      <c r="H62" s="19" t="n">
        <v>1381.23</v>
      </c>
    </row>
    <row r="63">
      <c r="A63" s="16" t="n">
        <v>17</v>
      </c>
      <c r="B63" s="29" t="n">
        <v>91</v>
      </c>
      <c r="C63" s="28" t="n">
        <v>39.24</v>
      </c>
      <c r="D63" s="28" t="n">
        <v>270</v>
      </c>
      <c r="E63" s="17" t="inlineStr">
        <is>
          <t>MARINE</t>
        </is>
      </c>
      <c r="F63" s="18" t="inlineStr">
        <is>
          <t>Marine Electricals (India) Ltd</t>
        </is>
      </c>
      <c r="G63" s="18" t="inlineStr">
        <is>
          <t>industrials</t>
        </is>
      </c>
      <c r="H63" s="19" t="n">
        <v>6565.49</v>
      </c>
    </row>
    <row r="64">
      <c r="A64" s="16" t="n">
        <v>18</v>
      </c>
      <c r="B64" s="29" t="n">
        <v>91</v>
      </c>
      <c r="C64" s="28" t="n">
        <v>38.98</v>
      </c>
      <c r="D64" s="28" t="n">
        <v>275</v>
      </c>
      <c r="E64" s="17" t="inlineStr">
        <is>
          <t>HIIL</t>
        </is>
      </c>
      <c r="F64" s="18" t="inlineStr">
        <is>
          <t>Hindusthan Insulators &amp; Industries Limited</t>
        </is>
      </c>
      <c r="G64" s="18" t="inlineStr">
        <is>
          <t>Industrials</t>
        </is>
      </c>
      <c r="H64" s="19" t="n">
        <v>1162.35</v>
      </c>
    </row>
    <row r="65">
      <c r="A65" s="16" t="n">
        <v>19</v>
      </c>
      <c r="B65" s="29" t="n">
        <v>91</v>
      </c>
      <c r="C65" s="28" t="n">
        <v>38.62</v>
      </c>
      <c r="D65" s="28" t="n">
        <v>280</v>
      </c>
      <c r="E65" s="17" t="inlineStr">
        <is>
          <t>BHAGERIA</t>
        </is>
      </c>
      <c r="F65" s="18" t="inlineStr">
        <is>
          <t>Bhageria Industries Limited</t>
        </is>
      </c>
      <c r="G65" s="18" t="inlineStr">
        <is>
          <t>chemicals</t>
        </is>
      </c>
      <c r="H65" s="19" t="n">
        <v>1591.49</v>
      </c>
    </row>
    <row r="66">
      <c r="A66" s="16" t="n">
        <v>20</v>
      </c>
      <c r="B66" s="29" t="n">
        <v>90</v>
      </c>
      <c r="C66" s="28" t="n">
        <v>37.85</v>
      </c>
      <c r="D66" s="28" t="n">
        <v>263</v>
      </c>
      <c r="E66" s="17" t="inlineStr">
        <is>
          <t>SHREEJISPG</t>
        </is>
      </c>
      <c r="F66" s="18" t="inlineStr">
        <is>
          <t>Shreeji Shipping Global Ltd</t>
        </is>
      </c>
      <c r="G66" s="18" t="inlineStr">
        <is>
          <t>transportation</t>
        </is>
      </c>
      <c r="H66" s="19" t="n">
        <v>12705.18</v>
      </c>
    </row>
    <row r="67">
      <c r="A67" s="16" t="n">
        <v>21</v>
      </c>
      <c r="B67" s="29" t="n">
        <v>90</v>
      </c>
      <c r="C67" s="28" t="n">
        <v>37.74</v>
      </c>
      <c r="D67" s="28" t="n">
        <v>285</v>
      </c>
      <c r="E67" s="17" t="inlineStr">
        <is>
          <t>E2E</t>
        </is>
      </c>
      <c r="F67" s="18" t="inlineStr">
        <is>
          <t>E2E Networks Ltd</t>
        </is>
      </c>
      <c r="G67" s="18" t="inlineStr">
        <is>
          <t>i.t</t>
        </is>
      </c>
      <c r="H67" s="19" t="n">
        <v>13487.11</v>
      </c>
    </row>
    <row r="6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MOBIKWIK</t>
        </is>
      </c>
      <c r="B2" s="31" t="inlineStr">
        <is>
          <t>One Mobikwik Systems Ltd</t>
        </is>
      </c>
      <c r="C2" s="31" t="inlineStr">
        <is>
          <t>i.t</t>
        </is>
      </c>
      <c r="D2" s="31" t="inlineStr">
        <is>
          <t>miscellaneous</t>
        </is>
      </c>
      <c r="E2" s="31" t="inlineStr">
        <is>
          <t>smallcap</t>
        </is>
      </c>
      <c r="F2" s="31" t="n">
        <v>1589.03</v>
      </c>
      <c r="G2" s="31" t="n">
        <v>242.14</v>
      </c>
      <c r="H2" s="31" t="n">
        <v>20</v>
      </c>
      <c r="I2" s="31" t="n">
        <v>58640687</v>
      </c>
      <c r="J2" s="31" t="inlineStr">
        <is>
          <t>544305</t>
        </is>
      </c>
    </row>
    <row r="3">
      <c r="A3" s="31" t="inlineStr">
        <is>
          <t>ALKYLAMINE</t>
        </is>
      </c>
      <c r="B3" s="31" t="inlineStr">
        <is>
          <t>Alkyl Amines Chemicals Limited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midcap</t>
        </is>
      </c>
      <c r="F3" s="31" t="n">
        <v>8850.33</v>
      </c>
      <c r="G3" s="31" t="n">
        <v>1962.2</v>
      </c>
      <c r="H3" s="31" t="n">
        <v>13.4</v>
      </c>
      <c r="I3" s="31" t="n">
        <v>3134700</v>
      </c>
      <c r="J3" s="31" t="inlineStr">
        <is>
          <t>506767</t>
        </is>
      </c>
    </row>
    <row r="4">
      <c r="A4" s="31" t="inlineStr">
        <is>
          <t>OPTIEMUS</t>
        </is>
      </c>
      <c r="B4" s="31" t="inlineStr">
        <is>
          <t>Optiemus Infracom Ltd</t>
        </is>
      </c>
      <c r="C4" s="31" t="inlineStr">
        <is>
          <t>telecom</t>
        </is>
      </c>
      <c r="D4" s="31" t="inlineStr">
        <is>
          <t>trading</t>
        </is>
      </c>
      <c r="E4" s="31" t="inlineStr">
        <is>
          <t>midcap</t>
        </is>
      </c>
      <c r="F4" s="31" t="n">
        <v>7088.89</v>
      </c>
      <c r="G4" s="31" t="n">
        <v>889.9</v>
      </c>
      <c r="H4" s="31" t="n">
        <v>13.19</v>
      </c>
      <c r="I4" s="31" t="n">
        <v>10818595</v>
      </c>
      <c r="J4" s="31" t="inlineStr">
        <is>
          <t>530135</t>
        </is>
      </c>
    </row>
    <row r="5">
      <c r="A5" s="31" t="inlineStr">
        <is>
          <t>TRENT</t>
        </is>
      </c>
      <c r="B5" s="31" t="inlineStr">
        <is>
          <t>Trent Limited</t>
        </is>
      </c>
      <c r="C5" s="31" t="inlineStr">
        <is>
          <t>consumer discretionary</t>
        </is>
      </c>
      <c r="D5" s="31" t="inlineStr">
        <is>
          <t>trading</t>
        </is>
      </c>
      <c r="E5" s="31" t="inlineStr">
        <is>
          <t>largecap</t>
        </is>
      </c>
      <c r="F5" s="31" t="n">
        <v>137573.93</v>
      </c>
      <c r="G5" s="31" t="n">
        <v>2906</v>
      </c>
      <c r="H5" s="31" t="n">
        <v>12.64</v>
      </c>
      <c r="I5" s="31" t="n">
        <v>6695372</v>
      </c>
      <c r="J5" s="31" t="inlineStr">
        <is>
          <t>500251</t>
        </is>
      </c>
    </row>
    <row r="6">
      <c r="A6" s="31" t="inlineStr">
        <is>
          <t>INDOAMIN</t>
        </is>
      </c>
      <c r="B6" s="31" t="inlineStr">
        <is>
          <t>Indo Amines Ltd</t>
        </is>
      </c>
      <c r="C6" s="31" t="inlineStr">
        <is>
          <t>chemicals</t>
        </is>
      </c>
      <c r="D6" s="31" t="inlineStr">
        <is>
          <t>chemicals</t>
        </is>
      </c>
      <c r="E6" s="31" t="inlineStr">
        <is>
          <t>smallcap</t>
        </is>
      </c>
      <c r="F6" s="31" t="n">
        <v>1040.25</v>
      </c>
      <c r="G6" s="31" t="n">
        <v>161.16</v>
      </c>
      <c r="H6" s="31" t="n">
        <v>12.46</v>
      </c>
      <c r="I6" s="31" t="n">
        <v>8043089</v>
      </c>
      <c r="J6" s="31" t="inlineStr">
        <is>
          <t>524648</t>
        </is>
      </c>
    </row>
    <row r="7">
      <c r="A7" s="31" t="inlineStr">
        <is>
          <t>KILITCH</t>
        </is>
      </c>
      <c r="B7" s="31" t="inlineStr">
        <is>
          <t>Kilitch Drugs (india) Limited</t>
        </is>
      </c>
      <c r="C7" s="31" t="inlineStr">
        <is>
          <t>healthcare</t>
        </is>
      </c>
      <c r="D7" s="31" t="inlineStr">
        <is>
          <t>pharmaceuticals - indian - formulations</t>
        </is>
      </c>
      <c r="E7" s="31" t="inlineStr">
        <is>
          <t>smallcap</t>
        </is>
      </c>
      <c r="F7" s="31" t="n">
        <v>817.1900000000001</v>
      </c>
      <c r="G7" s="31" t="n">
        <v>260.7</v>
      </c>
      <c r="H7" s="31" t="n">
        <v>11.53</v>
      </c>
      <c r="I7" s="31" t="n">
        <v>661834</v>
      </c>
      <c r="J7" s="31" t="inlineStr">
        <is>
          <t>524500</t>
        </is>
      </c>
    </row>
    <row r="8">
      <c r="A8" s="31" t="inlineStr">
        <is>
          <t>DMCC</t>
        </is>
      </c>
      <c r="B8" s="31" t="inlineStr">
        <is>
          <t>DMCC Speciality Chemicals Ltd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smallcap</t>
        </is>
      </c>
      <c r="F8" s="31" t="n">
        <v>795.83</v>
      </c>
      <c r="G8" s="31" t="n">
        <v>355.8</v>
      </c>
      <c r="H8" s="31" t="n">
        <v>11.5</v>
      </c>
      <c r="I8" s="31" t="n">
        <v>2942524</v>
      </c>
      <c r="J8" s="31" t="inlineStr">
        <is>
          <t>506405</t>
        </is>
      </c>
    </row>
    <row r="9">
      <c r="A9" s="31" t="inlineStr">
        <is>
          <t>DBOL</t>
        </is>
      </c>
      <c r="B9" s="31" t="inlineStr">
        <is>
          <t>Dhampur Bio Organics Ltd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830.04</v>
      </c>
      <c r="G9" s="31" t="n">
        <v>137.9</v>
      </c>
      <c r="H9" s="31" t="n">
        <v>10.29</v>
      </c>
      <c r="I9" s="31" t="n">
        <v>1202685</v>
      </c>
      <c r="J9" s="31" t="inlineStr">
        <is>
          <t>543593</t>
        </is>
      </c>
    </row>
    <row r="10">
      <c r="A10" s="31" t="inlineStr">
        <is>
          <t>ARFIN</t>
        </is>
      </c>
      <c r="B10" s="31" t="inlineStr">
        <is>
          <t>Arfin India Ltd</t>
        </is>
      </c>
      <c r="C10" s="31" t="inlineStr">
        <is>
          <t>metals &amp; mining</t>
        </is>
      </c>
      <c r="D10" s="31" t="inlineStr">
        <is>
          <t>aluminium and aluminium products</t>
        </is>
      </c>
      <c r="E10" s="31" t="inlineStr">
        <is>
          <t>smallcap</t>
        </is>
      </c>
      <c r="F10" s="31" t="n">
        <v>1476.49</v>
      </c>
      <c r="G10" s="31" t="n">
        <v>96.36</v>
      </c>
      <c r="H10" s="31" t="n">
        <v>10.11</v>
      </c>
      <c r="I10" s="31" t="n">
        <v>9170776</v>
      </c>
      <c r="J10" s="31" t="inlineStr">
        <is>
          <t>539151</t>
        </is>
      </c>
    </row>
    <row r="11">
      <c r="A11" s="31" t="inlineStr">
        <is>
          <t>PARAGMILK</t>
        </is>
      </c>
      <c r="B11" s="31" t="inlineStr">
        <is>
          <t>Parag Milk Foods Limited</t>
        </is>
      </c>
      <c r="C11" s="31" t="inlineStr">
        <is>
          <t>fmcg</t>
        </is>
      </c>
      <c r="D11" s="31" t="inlineStr">
        <is>
          <t>food - processing - indian</t>
        </is>
      </c>
      <c r="E11" s="31" t="inlineStr">
        <is>
          <t>smallcap</t>
        </is>
      </c>
      <c r="F11" s="31" t="n">
        <v>3529.63</v>
      </c>
      <c r="G11" s="31" t="n">
        <v>308.7</v>
      </c>
      <c r="H11" s="31" t="n">
        <v>9.859999999999999</v>
      </c>
      <c r="I11" s="31" t="n">
        <v>7377044</v>
      </c>
      <c r="J11" s="31" t="inlineStr">
        <is>
          <t>539889</t>
        </is>
      </c>
    </row>
    <row r="12">
      <c r="A12" s="31" t="inlineStr">
        <is>
          <t>VINDHYATEL</t>
        </is>
      </c>
      <c r="B12" s="31" t="inlineStr">
        <is>
          <t>Vindhya Telelinks Limited</t>
        </is>
      </c>
      <c r="C12" s="31" t="inlineStr">
        <is>
          <t>realty</t>
        </is>
      </c>
      <c r="D12" s="31" t="inlineStr">
        <is>
          <t>construction</t>
        </is>
      </c>
      <c r="E12" s="31" t="inlineStr">
        <is>
          <t>smallcap</t>
        </is>
      </c>
      <c r="F12" s="31" t="n">
        <v>3054.32</v>
      </c>
      <c r="G12" s="31" t="n">
        <v>2829.7</v>
      </c>
      <c r="H12" s="31" t="n">
        <v>9.789999999999999</v>
      </c>
      <c r="I12" s="31" t="n">
        <v>142293</v>
      </c>
      <c r="J12" s="31" t="inlineStr">
        <is>
          <t>517015</t>
        </is>
      </c>
    </row>
    <row r="13">
      <c r="A13" s="31" t="inlineStr">
        <is>
          <t>YUKEN</t>
        </is>
      </c>
      <c r="B13" s="31" t="inlineStr">
        <is>
          <t>Yuken India Ltd</t>
        </is>
      </c>
      <c r="C13" s="31" t="inlineStr">
        <is>
          <t>industrials</t>
        </is>
      </c>
      <c r="D13" s="31" t="inlineStr">
        <is>
          <t>engineering</t>
        </is>
      </c>
      <c r="E13" s="31" t="inlineStr">
        <is>
          <t>smallcap</t>
        </is>
      </c>
      <c r="F13" s="31" t="n">
        <v>1533.63</v>
      </c>
      <c r="G13" s="31" t="n">
        <v>1238.6</v>
      </c>
      <c r="H13" s="31" t="n">
        <v>9.710000000000001</v>
      </c>
      <c r="I13" s="31" t="n">
        <v>282354</v>
      </c>
      <c r="J13" s="31" t="inlineStr">
        <is>
          <t>522108</t>
        </is>
      </c>
    </row>
    <row r="14">
      <c r="A14" s="31" t="inlineStr">
        <is>
          <t>FCL</t>
        </is>
      </c>
      <c r="B14" s="31" t="inlineStr">
        <is>
          <t>Fineotex Chemical Limited</t>
        </is>
      </c>
      <c r="C14" s="31" t="inlineStr">
        <is>
          <t>chemicals</t>
        </is>
      </c>
      <c r="D14" s="31" t="inlineStr">
        <is>
          <t>chemicals</t>
        </is>
      </c>
      <c r="E14" s="31" t="inlineStr">
        <is>
          <t>midcap</t>
        </is>
      </c>
      <c r="F14" s="31" t="n">
        <v>6291.8</v>
      </c>
      <c r="G14" s="31" t="n">
        <v>59.2</v>
      </c>
      <c r="H14" s="31" t="n">
        <v>9.57</v>
      </c>
      <c r="I14" s="31" t="n">
        <v>41395324</v>
      </c>
      <c r="J14" s="31" t="inlineStr">
        <is>
          <t>533333</t>
        </is>
      </c>
    </row>
    <row r="15">
      <c r="A15" s="31" t="inlineStr">
        <is>
          <t>JGCHEM</t>
        </is>
      </c>
      <c r="B15" s="31" t="inlineStr">
        <is>
          <t>J.G.Chemicals Ltd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smallcap</t>
        </is>
      </c>
      <c r="F15" s="31" t="n">
        <v>2388.98</v>
      </c>
      <c r="G15" s="31" t="n">
        <v>665.45</v>
      </c>
      <c r="H15" s="31" t="n">
        <v>9.15</v>
      </c>
      <c r="I15" s="31" t="n">
        <v>750821</v>
      </c>
      <c r="J15" s="31" t="n"/>
    </row>
    <row r="16">
      <c r="A16" s="31" t="inlineStr">
        <is>
          <t>URBANCO</t>
        </is>
      </c>
      <c r="B16" s="31" t="inlineStr">
        <is>
          <t>Urban Company Ltd</t>
        </is>
      </c>
      <c r="C16" s="31" t="inlineStr">
        <is>
          <t>i.t</t>
        </is>
      </c>
      <c r="D16" s="31" t="inlineStr">
        <is>
          <t>miscellaneous</t>
        </is>
      </c>
      <c r="E16" s="31" t="inlineStr">
        <is>
          <t>largecap</t>
        </is>
      </c>
      <c r="F16" s="31" t="n">
        <v>24611.66</v>
      </c>
      <c r="G16" s="31" t="n">
        <v>173.54</v>
      </c>
      <c r="H16" s="31" t="n">
        <v>8.74</v>
      </c>
      <c r="I16" s="31" t="n">
        <v>23975368</v>
      </c>
      <c r="J16" s="31" t="inlineStr">
        <is>
          <t>544515</t>
        </is>
      </c>
    </row>
    <row r="17">
      <c r="A17" s="31" t="inlineStr">
        <is>
          <t>UNIVCABLES</t>
        </is>
      </c>
      <c r="B17" s="31" t="inlineStr">
        <is>
          <t>Universal Cables Limited</t>
        </is>
      </c>
      <c r="C17" s="31" t="inlineStr">
        <is>
          <t>industrials</t>
        </is>
      </c>
      <c r="D17" s="31" t="inlineStr">
        <is>
          <t>cables - power</t>
        </is>
      </c>
      <c r="E17" s="31" t="inlineStr">
        <is>
          <t>midcap</t>
        </is>
      </c>
      <c r="F17" s="31" t="n">
        <v>5274.39</v>
      </c>
      <c r="G17" s="31" t="n">
        <v>1649.2</v>
      </c>
      <c r="H17" s="31" t="n">
        <v>8.49</v>
      </c>
      <c r="I17" s="31" t="n">
        <v>374840</v>
      </c>
      <c r="J17" s="31" t="inlineStr">
        <is>
          <t>504212</t>
        </is>
      </c>
    </row>
    <row r="18">
      <c r="A18" s="31" t="inlineStr">
        <is>
          <t>AETHER</t>
        </is>
      </c>
      <c r="B18" s="31" t="inlineStr">
        <is>
          <t>Aether Industries Ltd</t>
        </is>
      </c>
      <c r="C18" s="31" t="inlineStr">
        <is>
          <t>chemicals</t>
        </is>
      </c>
      <c r="D18" s="31" t="inlineStr">
        <is>
          <t>chemicals</t>
        </is>
      </c>
      <c r="E18" s="31" t="inlineStr">
        <is>
          <t>largecap</t>
        </is>
      </c>
      <c r="F18" s="31" t="n">
        <v>22043.56</v>
      </c>
      <c r="G18" s="31" t="n">
        <v>1799.8</v>
      </c>
      <c r="H18" s="31" t="n">
        <v>8.359999999999999</v>
      </c>
      <c r="I18" s="31" t="n">
        <v>1456255</v>
      </c>
      <c r="J18" s="31" t="inlineStr">
        <is>
          <t>543534</t>
        </is>
      </c>
    </row>
    <row r="19">
      <c r="A19" s="31" t="inlineStr">
        <is>
          <t>HONASA</t>
        </is>
      </c>
      <c r="B19" s="31" t="inlineStr">
        <is>
          <t>Honasa Consumer Ltd</t>
        </is>
      </c>
      <c r="C19" s="31" t="inlineStr">
        <is>
          <t>services</t>
        </is>
      </c>
      <c r="D19" s="31" t="inlineStr">
        <is>
          <t>trading</t>
        </is>
      </c>
      <c r="E19" s="31" t="inlineStr">
        <is>
          <t>midcap</t>
        </is>
      </c>
      <c r="F19" s="31" t="n">
        <v>14413.53</v>
      </c>
      <c r="G19" s="31" t="n">
        <v>478.3</v>
      </c>
      <c r="H19" s="31" t="n">
        <v>8.19</v>
      </c>
      <c r="I19" s="31" t="n">
        <v>24467750</v>
      </c>
      <c r="J19" s="31" t="inlineStr">
        <is>
          <t>544014</t>
        </is>
      </c>
    </row>
    <row r="20">
      <c r="A20" s="31" t="inlineStr">
        <is>
          <t>BHAGERIA</t>
        </is>
      </c>
      <c r="B20" s="31" t="inlineStr">
        <is>
          <t>Bhageria Industries Limited</t>
        </is>
      </c>
      <c r="C20" s="31" t="inlineStr">
        <is>
          <t>chemicals</t>
        </is>
      </c>
      <c r="D20" s="31" t="inlineStr">
        <is>
          <t>dyes and pigments</t>
        </is>
      </c>
      <c r="E20" s="31" t="inlineStr">
        <is>
          <t>smallcap</t>
        </is>
      </c>
      <c r="F20" s="31" t="n">
        <v>1591.49</v>
      </c>
      <c r="G20" s="31" t="n">
        <v>393.55</v>
      </c>
      <c r="H20" s="31" t="n">
        <v>7.93</v>
      </c>
      <c r="I20" s="31" t="n">
        <v>361311</v>
      </c>
      <c r="J20" s="31" t="inlineStr">
        <is>
          <t>530803</t>
        </is>
      </c>
    </row>
    <row r="21">
      <c r="A21" s="31" t="inlineStr">
        <is>
          <t>MAYURUNIQ</t>
        </is>
      </c>
      <c r="B21" s="31" t="inlineStr">
        <is>
          <t>Mayur Uniquoters Ltd</t>
        </is>
      </c>
      <c r="C21" s="31" t="inlineStr">
        <is>
          <t>consumer discretionary</t>
        </is>
      </c>
      <c r="D21" s="31" t="inlineStr">
        <is>
          <t>leather / leather products</t>
        </is>
      </c>
      <c r="E21" s="31" t="inlineStr">
        <is>
          <t>smallcap</t>
        </is>
      </c>
      <c r="F21" s="31" t="n">
        <v>3070.14</v>
      </c>
      <c r="G21" s="31" t="n">
        <v>761.15</v>
      </c>
      <c r="H21" s="31" t="n">
        <v>7.73</v>
      </c>
      <c r="I21" s="31" t="n">
        <v>181493</v>
      </c>
      <c r="J21" s="31" t="inlineStr">
        <is>
          <t>522249</t>
        </is>
      </c>
    </row>
    <row r="22">
      <c r="A22" s="31" t="inlineStr">
        <is>
          <t>GNFC</t>
        </is>
      </c>
      <c r="B22" s="31" t="inlineStr">
        <is>
          <t>Gujarat Narmada Valley Fertilizers And Chemicals Limited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midcap</t>
        </is>
      </c>
      <c r="F22" s="31" t="n">
        <v>8615.129999999999</v>
      </c>
      <c r="G22" s="31" t="n">
        <v>629.5</v>
      </c>
      <c r="H22" s="31" t="n">
        <v>7.37</v>
      </c>
      <c r="I22" s="31" t="n">
        <v>2291498</v>
      </c>
      <c r="J22" s="31" t="inlineStr">
        <is>
          <t>500670</t>
        </is>
      </c>
    </row>
    <row r="23">
      <c r="A23" s="31" t="inlineStr">
        <is>
          <t>JAMNAAUTO</t>
        </is>
      </c>
      <c r="B23" s="31" t="inlineStr">
        <is>
          <t>Jamna Auto Industries Limited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midcap</t>
        </is>
      </c>
      <c r="F23" s="31" t="n">
        <v>5375.13</v>
      </c>
      <c r="G23" s="31" t="n">
        <v>144.21</v>
      </c>
      <c r="H23" s="31" t="n">
        <v>7.26</v>
      </c>
      <c r="I23" s="31" t="n">
        <v>6124884</v>
      </c>
      <c r="J23" s="31" t="inlineStr">
        <is>
          <t>520051</t>
        </is>
      </c>
    </row>
    <row r="24">
      <c r="A24" s="31" t="inlineStr">
        <is>
          <t>FILATEX</t>
        </is>
      </c>
      <c r="B24" s="31" t="inlineStr">
        <is>
          <t>Filatex India Limited</t>
        </is>
      </c>
      <c r="C24" s="31" t="inlineStr">
        <is>
          <t>textiles</t>
        </is>
      </c>
      <c r="D24" s="31" t="inlineStr">
        <is>
          <t>textiles - manmade</t>
        </is>
      </c>
      <c r="E24" s="31" t="inlineStr">
        <is>
          <t>smallcap</t>
        </is>
      </c>
      <c r="F24" s="31" t="n">
        <v>4613.32</v>
      </c>
      <c r="G24" s="31" t="n">
        <v>111.36</v>
      </c>
      <c r="H24" s="31" t="n">
        <v>7.19</v>
      </c>
      <c r="I24" s="31" t="n">
        <v>4466335</v>
      </c>
      <c r="J24" s="31" t="inlineStr">
        <is>
          <t>526227</t>
        </is>
      </c>
    </row>
    <row r="25">
      <c r="A25" s="31" t="inlineStr">
        <is>
          <t>KMEW</t>
        </is>
      </c>
      <c r="B25" s="31" t="inlineStr">
        <is>
          <t>Knowledge Marine &amp; Engineering Works Ltd</t>
        </is>
      </c>
      <c r="C25" s="31" t="inlineStr">
        <is>
          <t>transportation</t>
        </is>
      </c>
      <c r="D25" s="31" t="inlineStr">
        <is>
          <t>miscellaneous</t>
        </is>
      </c>
      <c r="E25" s="31" t="inlineStr">
        <is>
          <t>midcap</t>
        </is>
      </c>
      <c r="F25" s="31" t="n">
        <v>7314.9</v>
      </c>
      <c r="G25" s="31" t="n">
        <v>3202.3</v>
      </c>
      <c r="H25" s="31" t="n">
        <v>7.01</v>
      </c>
      <c r="I25" s="31" t="n">
        <v>268808</v>
      </c>
      <c r="J25" s="31" t="inlineStr">
        <is>
          <t>543273</t>
        </is>
      </c>
    </row>
    <row r="26">
      <c r="A26" s="31" t="inlineStr">
        <is>
          <t>MOTILALOFS</t>
        </is>
      </c>
      <c r="B26" s="31" t="inlineStr">
        <is>
          <t>Motilal Oswal Financial Services Limited</t>
        </is>
      </c>
      <c r="C26" s="31" t="inlineStr">
        <is>
          <t>financials</t>
        </is>
      </c>
      <c r="D26" s="31" t="inlineStr">
        <is>
          <t>finance &amp; investments</t>
        </is>
      </c>
      <c r="E26" s="31" t="inlineStr">
        <is>
          <t>largecap</t>
        </is>
      </c>
      <c r="F26" s="31" t="n">
        <v>60883.05</v>
      </c>
      <c r="G26" s="31" t="n">
        <v>1081.15</v>
      </c>
      <c r="H26" s="31" t="n">
        <v>6.93</v>
      </c>
      <c r="I26" s="31" t="n">
        <v>2179004</v>
      </c>
      <c r="J26" s="31" t="inlineStr">
        <is>
          <t>532892</t>
        </is>
      </c>
    </row>
    <row r="27">
      <c r="A27" s="31" t="inlineStr">
        <is>
          <t>BAJAJHIND</t>
        </is>
      </c>
      <c r="B27" s="31" t="inlineStr">
        <is>
          <t>Bajaj Hindusthan Sugar Limited</t>
        </is>
      </c>
      <c r="C27" s="31" t="inlineStr">
        <is>
          <t>fmcg</t>
        </is>
      </c>
      <c r="D27" s="31" t="inlineStr">
        <is>
          <t>sugar</t>
        </is>
      </c>
      <c r="E27" s="31" t="inlineStr">
        <is>
          <t>smallcap</t>
        </is>
      </c>
      <c r="F27" s="31" t="n">
        <v>4771.77</v>
      </c>
      <c r="G27" s="31" t="n">
        <v>21.33</v>
      </c>
      <c r="H27" s="31" t="n">
        <v>6.86</v>
      </c>
      <c r="I27" s="31" t="n">
        <v>31059329</v>
      </c>
      <c r="J27" s="31" t="inlineStr">
        <is>
          <t>500032</t>
        </is>
      </c>
    </row>
    <row r="28">
      <c r="A28" s="31" t="inlineStr">
        <is>
          <t>DHAMPURSUG</t>
        </is>
      </c>
      <c r="B28" s="31" t="inlineStr">
        <is>
          <t>Dhampur Sugar Mills Limited</t>
        </is>
      </c>
      <c r="C28" s="31" t="inlineStr">
        <is>
          <t>fmcg</t>
        </is>
      </c>
      <c r="D28" s="31" t="inlineStr">
        <is>
          <t>sugar</t>
        </is>
      </c>
      <c r="E28" s="31" t="inlineStr">
        <is>
          <t>smallcap</t>
        </is>
      </c>
      <c r="F28" s="31" t="n">
        <v>1137.26</v>
      </c>
      <c r="G28" s="31" t="n">
        <v>188.81</v>
      </c>
      <c r="H28" s="31" t="n">
        <v>6.76</v>
      </c>
      <c r="I28" s="31" t="n">
        <v>3999385</v>
      </c>
      <c r="J28" s="31" t="inlineStr">
        <is>
          <t>500119</t>
        </is>
      </c>
    </row>
    <row r="29">
      <c r="A29" s="31" t="inlineStr">
        <is>
          <t>INDOBORAX</t>
        </is>
      </c>
      <c r="B29" s="31" t="inlineStr">
        <is>
          <t>Indo Borax &amp; Chemicals Ltd</t>
        </is>
      </c>
      <c r="C29" s="31" t="inlineStr">
        <is>
          <t>chemicals</t>
        </is>
      </c>
      <c r="D29" s="31" t="inlineStr">
        <is>
          <t>chemicals</t>
        </is>
      </c>
      <c r="E29" s="31" t="inlineStr">
        <is>
          <t>smallcap</t>
        </is>
      </c>
      <c r="F29" s="31" t="n">
        <v>1478.23</v>
      </c>
      <c r="G29" s="31" t="n">
        <v>491.75</v>
      </c>
      <c r="H29" s="31" t="n">
        <v>6.75</v>
      </c>
      <c r="I29" s="31" t="n">
        <v>194721</v>
      </c>
      <c r="J29" s="31" t="inlineStr">
        <is>
          <t>524342</t>
        </is>
      </c>
    </row>
    <row r="30">
      <c r="A30" s="31" t="inlineStr">
        <is>
          <t>LXCHEM</t>
        </is>
      </c>
      <c r="B30" s="31" t="inlineStr">
        <is>
          <t>Laxmi Organic Industries Ltd</t>
        </is>
      </c>
      <c r="C30" s="31" t="inlineStr">
        <is>
          <t>chemicals</t>
        </is>
      </c>
      <c r="D30" s="31" t="inlineStr">
        <is>
          <t>chemicals</t>
        </is>
      </c>
      <c r="E30" s="31" t="inlineStr">
        <is>
          <t>smallcap</t>
        </is>
      </c>
      <c r="F30" s="31" t="n">
        <v>4908.86</v>
      </c>
      <c r="G30" s="31" t="n">
        <v>188.86</v>
      </c>
      <c r="H30" s="31" t="n">
        <v>6.65</v>
      </c>
      <c r="I30" s="31" t="n">
        <v>4355804</v>
      </c>
      <c r="J30" s="31" t="inlineStr">
        <is>
          <t>543277</t>
        </is>
      </c>
    </row>
    <row r="31">
      <c r="A31" s="31" t="inlineStr">
        <is>
          <t>SOTL</t>
        </is>
      </c>
      <c r="B31" s="31" t="inlineStr">
        <is>
          <t>Savita Oil Technologies Limited</t>
        </is>
      </c>
      <c r="C31" s="31" t="inlineStr">
        <is>
          <t>energy</t>
        </is>
      </c>
      <c r="D31" s="31" t="inlineStr">
        <is>
          <t>petrochemicals</t>
        </is>
      </c>
      <c r="E31" s="31" t="inlineStr">
        <is>
          <t>smallcap</t>
        </is>
      </c>
      <c r="F31" s="31" t="n">
        <v>4985.71</v>
      </c>
      <c r="G31" s="31" t="n">
        <v>775.5</v>
      </c>
      <c r="H31" s="31" t="n">
        <v>6.64</v>
      </c>
      <c r="I31" s="31" t="n">
        <v>523424</v>
      </c>
      <c r="J31" s="31" t="inlineStr">
        <is>
          <t>524667</t>
        </is>
      </c>
    </row>
    <row r="32">
      <c r="A32" s="31" t="inlineStr">
        <is>
          <t>MENONBE</t>
        </is>
      </c>
      <c r="B32" s="31" t="inlineStr">
        <is>
          <t>Menon Bearings Limited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smallcap</t>
        </is>
      </c>
      <c r="F32" s="31" t="n">
        <v>1602.74</v>
      </c>
      <c r="G32" s="31" t="n">
        <v>304.95</v>
      </c>
      <c r="H32" s="31" t="n">
        <v>6.63</v>
      </c>
      <c r="I32" s="31" t="n">
        <v>189774</v>
      </c>
      <c r="J32" s="31" t="inlineStr">
        <is>
          <t>523828</t>
        </is>
      </c>
    </row>
    <row r="33">
      <c r="A33" s="31" t="inlineStr">
        <is>
          <t>MOREPENLAB</t>
        </is>
      </c>
      <c r="B33" s="31" t="inlineStr">
        <is>
          <t>Morepen Laboratories Limited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midcap</t>
        </is>
      </c>
      <c r="F33" s="31" t="n">
        <v>7413.27</v>
      </c>
      <c r="G33" s="31" t="n">
        <v>143.96</v>
      </c>
      <c r="H33" s="31" t="n">
        <v>6.41</v>
      </c>
      <c r="I33" s="31" t="n">
        <v>22422554</v>
      </c>
      <c r="J33" s="31" t="inlineStr">
        <is>
          <t>500288</t>
        </is>
      </c>
    </row>
    <row r="34">
      <c r="A34" s="31" t="inlineStr">
        <is>
          <t>IGPL</t>
        </is>
      </c>
      <c r="B34" s="31" t="inlineStr">
        <is>
          <t>Ig Petrochemicals Limited</t>
        </is>
      </c>
      <c r="C34" s="31" t="inlineStr">
        <is>
          <t>chemicals</t>
        </is>
      </c>
      <c r="D34" s="31" t="inlineStr">
        <is>
          <t>chemicals</t>
        </is>
      </c>
      <c r="E34" s="31" t="inlineStr">
        <is>
          <t>smallcap</t>
        </is>
      </c>
      <c r="F34" s="31" t="n">
        <v>1706.03</v>
      </c>
      <c r="G34" s="31" t="n">
        <v>589.5</v>
      </c>
      <c r="H34" s="31" t="n">
        <v>6.41</v>
      </c>
      <c r="I34" s="31" t="n">
        <v>175561</v>
      </c>
      <c r="J34" s="31" t="inlineStr">
        <is>
          <t>500199</t>
        </is>
      </c>
    </row>
    <row r="35">
      <c r="A35" s="31" t="inlineStr">
        <is>
          <t>AVALON</t>
        </is>
      </c>
      <c r="B35" s="31" t="inlineStr">
        <is>
          <t>Avalon Technologies Ltd</t>
        </is>
      </c>
      <c r="C35" s="31" t="inlineStr">
        <is>
          <t>consumer discretionary</t>
        </is>
      </c>
      <c r="D35" s="31" t="inlineStr">
        <is>
          <t>electronics - components</t>
        </is>
      </c>
      <c r="E35" s="31" t="inlineStr">
        <is>
          <t>midcap</t>
        </is>
      </c>
      <c r="F35" s="31" t="n">
        <v>15074.74</v>
      </c>
      <c r="G35" s="31" t="n">
        <v>2400.4</v>
      </c>
      <c r="H35" s="31" t="n">
        <v>6.39</v>
      </c>
      <c r="I35" s="31" t="n">
        <v>565942</v>
      </c>
      <c r="J35" s="31" t="inlineStr">
        <is>
          <t>543896</t>
        </is>
      </c>
    </row>
    <row r="36">
      <c r="A36" s="31" t="inlineStr">
        <is>
          <t>SHANTIGOLD</t>
        </is>
      </c>
      <c r="B36" s="31" t="inlineStr">
        <is>
          <t>Shanti Gold International Ltd</t>
        </is>
      </c>
      <c r="C36" s="31" t="inlineStr">
        <is>
          <t>consumer discretionary</t>
        </is>
      </c>
      <c r="D36" s="31" t="inlineStr">
        <is>
          <t>diamond cutting / jewellery</t>
        </is>
      </c>
      <c r="E36" s="31" t="inlineStr">
        <is>
          <t>smallcap</t>
        </is>
      </c>
      <c r="F36" s="31" t="n">
        <v>2429.57</v>
      </c>
      <c r="G36" s="31" t="n">
        <v>336.65</v>
      </c>
      <c r="H36" s="31" t="n">
        <v>6.33</v>
      </c>
      <c r="I36" s="31" t="n">
        <v>4557739</v>
      </c>
      <c r="J36" s="31" t="inlineStr">
        <is>
          <t>544459</t>
        </is>
      </c>
    </row>
    <row r="37">
      <c r="A37" s="31" t="inlineStr">
        <is>
          <t>FINEORG</t>
        </is>
      </c>
      <c r="B37" s="31" t="inlineStr">
        <is>
          <t>Fine Organic Industries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midcap</t>
        </is>
      </c>
      <c r="F37" s="31" t="n">
        <v>15973.85</v>
      </c>
      <c r="G37" s="31" t="n">
        <v>5537</v>
      </c>
      <c r="H37" s="31" t="n">
        <v>6.28</v>
      </c>
      <c r="I37" s="31" t="n">
        <v>79818</v>
      </c>
      <c r="J37" s="31" t="inlineStr">
        <is>
          <t>541557</t>
        </is>
      </c>
    </row>
    <row r="38">
      <c r="A38" s="31" t="inlineStr">
        <is>
          <t>ICIL</t>
        </is>
      </c>
      <c r="B38" s="31" t="inlineStr">
        <is>
          <t>Indo Count Industries Limited</t>
        </is>
      </c>
      <c r="C38" s="31" t="inlineStr">
        <is>
          <t>textiles</t>
        </is>
      </c>
      <c r="D38" s="31" t="inlineStr">
        <is>
          <t>textiles - cotton/blended</t>
        </is>
      </c>
      <c r="E38" s="31" t="inlineStr">
        <is>
          <t>midcap</t>
        </is>
      </c>
      <c r="F38" s="31" t="n">
        <v>8837.18</v>
      </c>
      <c r="G38" s="31" t="n">
        <v>473.15</v>
      </c>
      <c r="H38" s="31" t="n">
        <v>6.04</v>
      </c>
      <c r="I38" s="31" t="n">
        <v>981220</v>
      </c>
      <c r="J38" s="31" t="inlineStr">
        <is>
          <t>521016</t>
        </is>
      </c>
    </row>
    <row r="39">
      <c r="A39" s="31" t="inlineStr">
        <is>
          <t>MANALIPETC</t>
        </is>
      </c>
      <c r="B39" s="31" t="inlineStr">
        <is>
          <t>Manali Petrochemicals Limited</t>
        </is>
      </c>
      <c r="C39" s="31" t="inlineStr">
        <is>
          <t>energy</t>
        </is>
      </c>
      <c r="D39" s="31" t="inlineStr">
        <is>
          <t>petrochemicals</t>
        </is>
      </c>
      <c r="E39" s="31" t="inlineStr">
        <is>
          <t>smallcap</t>
        </is>
      </c>
      <c r="F39" s="31" t="n">
        <v>1499.66</v>
      </c>
      <c r="G39" s="31" t="n">
        <v>92.36</v>
      </c>
      <c r="H39" s="31" t="n">
        <v>5.93</v>
      </c>
      <c r="I39" s="31" t="n">
        <v>10482494</v>
      </c>
      <c r="J39" s="31" t="inlineStr">
        <is>
          <t>500268</t>
        </is>
      </c>
    </row>
    <row r="40">
      <c r="A40" s="31" t="inlineStr">
        <is>
          <t>YASHO</t>
        </is>
      </c>
      <c r="B40" s="31" t="inlineStr">
        <is>
          <t>Yasho Industries Ltd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smallcap</t>
        </is>
      </c>
      <c r="F40" s="31" t="n">
        <v>4874.56</v>
      </c>
      <c r="G40" s="31" t="n">
        <v>4282.8</v>
      </c>
      <c r="H40" s="31" t="n">
        <v>5.93</v>
      </c>
      <c r="I40" s="31" t="n">
        <v>33512</v>
      </c>
      <c r="J40" s="31" t="inlineStr">
        <is>
          <t>541167</t>
        </is>
      </c>
    </row>
    <row r="41">
      <c r="A41" s="31" t="inlineStr">
        <is>
          <t>EIMCOELECO</t>
        </is>
      </c>
      <c r="B41" s="31" t="inlineStr">
        <is>
          <t>Eimco Elecon (india) Limited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smallcap</t>
        </is>
      </c>
      <c r="F41" s="31" t="n">
        <v>1293.21</v>
      </c>
      <c r="G41" s="31" t="n">
        <v>2371.8</v>
      </c>
      <c r="H41" s="31" t="n">
        <v>5.79</v>
      </c>
      <c r="I41" s="31" t="n">
        <v>81588</v>
      </c>
      <c r="J41" s="31" t="inlineStr">
        <is>
          <t>523708</t>
        </is>
      </c>
    </row>
    <row r="42">
      <c r="A42" s="31" t="inlineStr">
        <is>
          <t>GRWRHITECH</t>
        </is>
      </c>
      <c r="B42" s="31" t="inlineStr">
        <is>
          <t>Garware Hi Tech Films Ltd</t>
        </is>
      </c>
      <c r="C42" s="31" t="inlineStr">
        <is>
          <t>industrials</t>
        </is>
      </c>
      <c r="D42" s="31" t="inlineStr">
        <is>
          <t>packaging</t>
        </is>
      </c>
      <c r="E42" s="31" t="inlineStr">
        <is>
          <t>midcap</t>
        </is>
      </c>
      <c r="F42" s="31" t="n">
        <v>15624.95</v>
      </c>
      <c r="G42" s="31" t="n">
        <v>7102.5</v>
      </c>
      <c r="H42" s="31" t="n">
        <v>5.61</v>
      </c>
      <c r="I42" s="31" t="n">
        <v>91391</v>
      </c>
      <c r="J42" s="31" t="inlineStr">
        <is>
          <t>500655</t>
        </is>
      </c>
    </row>
    <row r="43">
      <c r="A43" s="31" t="inlineStr">
        <is>
          <t>BHEL</t>
        </is>
      </c>
      <c r="B43" s="31" t="inlineStr">
        <is>
          <t>Bharat Heavy Electricals Limited</t>
        </is>
      </c>
      <c r="C43" s="31" t="inlineStr">
        <is>
          <t>industrials</t>
        </is>
      </c>
      <c r="D43" s="31" t="inlineStr">
        <is>
          <t>electric equipment</t>
        </is>
      </c>
      <c r="E43" s="31" t="inlineStr">
        <is>
          <t>largecap</t>
        </is>
      </c>
      <c r="F43" s="31" t="n">
        <v>149380.52</v>
      </c>
      <c r="G43" s="31" t="n">
        <v>452</v>
      </c>
      <c r="H43" s="31" t="n">
        <v>5.36</v>
      </c>
      <c r="I43" s="31" t="n">
        <v>22865195</v>
      </c>
      <c r="J43" s="31" t="inlineStr">
        <is>
          <t>500103</t>
        </is>
      </c>
    </row>
    <row r="44">
      <c r="A44" s="31" t="inlineStr">
        <is>
          <t>RRKABEL</t>
        </is>
      </c>
      <c r="B44" s="31" t="inlineStr">
        <is>
          <t>R R Kabel Ltd</t>
        </is>
      </c>
      <c r="C44" s="31" t="inlineStr">
        <is>
          <t>industrials</t>
        </is>
      </c>
      <c r="D44" s="31" t="inlineStr">
        <is>
          <t>cables - power</t>
        </is>
      </c>
      <c r="E44" s="31" t="inlineStr">
        <is>
          <t>largecap</t>
        </is>
      </c>
      <c r="F44" s="31" t="n">
        <v>29950.34</v>
      </c>
      <c r="G44" s="31" t="n">
        <v>2789.7</v>
      </c>
      <c r="H44" s="31" t="n">
        <v>5.35</v>
      </c>
      <c r="I44" s="31" t="n">
        <v>917457</v>
      </c>
      <c r="J44" s="31" t="inlineStr">
        <is>
          <t>543981</t>
        </is>
      </c>
    </row>
    <row r="45">
      <c r="A45" s="31" t="inlineStr">
        <is>
          <t>DALMIASUG</t>
        </is>
      </c>
      <c r="B45" s="31" t="inlineStr">
        <is>
          <t>Dalmia Bharat Sugar And Industries Limited</t>
        </is>
      </c>
      <c r="C45" s="31" t="inlineStr">
        <is>
          <t>fmcg</t>
        </is>
      </c>
      <c r="D45" s="31" t="inlineStr">
        <is>
          <t>sugar</t>
        </is>
      </c>
      <c r="E45" s="31" t="inlineStr">
        <is>
          <t>smallcap</t>
        </is>
      </c>
      <c r="F45" s="31" t="n">
        <v>3481.6</v>
      </c>
      <c r="G45" s="31" t="n">
        <v>453</v>
      </c>
      <c r="H45" s="31" t="n">
        <v>5.31</v>
      </c>
      <c r="I45" s="31" t="n">
        <v>806757</v>
      </c>
      <c r="J45" s="31" t="inlineStr">
        <is>
          <t>500097</t>
        </is>
      </c>
    </row>
    <row r="46">
      <c r="A46" s="31" t="inlineStr">
        <is>
          <t>KPIL</t>
        </is>
      </c>
      <c r="B46" s="31" t="inlineStr">
        <is>
          <t>Kalpataru Projects International Ltd</t>
        </is>
      </c>
      <c r="C46" s="31" t="inlineStr">
        <is>
          <t>realty</t>
        </is>
      </c>
      <c r="D46" s="31" t="inlineStr">
        <is>
          <t>transmisson line towers / equipment</t>
        </is>
      </c>
      <c r="E46" s="31" t="inlineStr">
        <is>
          <t>largecap</t>
        </is>
      </c>
      <c r="F46" s="31" t="n">
        <v>23546.12</v>
      </c>
      <c r="G46" s="31" t="n">
        <v>1451.5</v>
      </c>
      <c r="H46" s="31" t="n">
        <v>5.27</v>
      </c>
      <c r="I46" s="31" t="n">
        <v>652356</v>
      </c>
      <c r="J46" s="31" t="inlineStr">
        <is>
          <t>522287</t>
        </is>
      </c>
    </row>
    <row r="47">
      <c r="A47" s="31" t="inlineStr">
        <is>
          <t>GNA</t>
        </is>
      </c>
      <c r="B47" s="31" t="inlineStr">
        <is>
          <t>Gna Axles Limited</t>
        </is>
      </c>
      <c r="C47" s="31" t="inlineStr">
        <is>
          <t>auto</t>
        </is>
      </c>
      <c r="D47" s="31" t="inlineStr">
        <is>
          <t>auto ancillaries</t>
        </is>
      </c>
      <c r="E47" s="31" t="inlineStr">
        <is>
          <t>smallcap</t>
        </is>
      </c>
      <c r="F47" s="31" t="n">
        <v>2511.67</v>
      </c>
      <c r="G47" s="31" t="n">
        <v>615.8</v>
      </c>
      <c r="H47" s="31" t="n">
        <v>5.26</v>
      </c>
      <c r="I47" s="31" t="n">
        <v>895341</v>
      </c>
      <c r="J47" s="31" t="inlineStr">
        <is>
          <t>540124</t>
        </is>
      </c>
    </row>
    <row r="48">
      <c r="A48" s="31" t="inlineStr">
        <is>
          <t>INDIAGLYCO</t>
        </is>
      </c>
      <c r="B48" s="31" t="inlineStr">
        <is>
          <t>India Glycols Limited</t>
        </is>
      </c>
      <c r="C48" s="31" t="inlineStr">
        <is>
          <t>fmcg</t>
        </is>
      </c>
      <c r="D48" s="31" t="inlineStr">
        <is>
          <t>breweries &amp; distilleries</t>
        </is>
      </c>
      <c r="E48" s="31" t="inlineStr">
        <is>
          <t>smallcap</t>
        </is>
      </c>
      <c r="F48" s="31" t="n">
        <v>2033.26</v>
      </c>
      <c r="G48" s="31" t="n">
        <v>318.95</v>
      </c>
      <c r="H48" s="31" t="n">
        <v>5.14</v>
      </c>
      <c r="I48" s="31" t="n">
        <v>613990</v>
      </c>
      <c r="J48" s="31" t="inlineStr">
        <is>
          <t>500201</t>
        </is>
      </c>
    </row>
    <row r="49">
      <c r="A49" s="31" t="inlineStr">
        <is>
          <t>NEOGEN</t>
        </is>
      </c>
      <c r="B49" s="31" t="inlineStr">
        <is>
          <t>Neogen Chemicals Ltd</t>
        </is>
      </c>
      <c r="C49" s="31" t="inlineStr">
        <is>
          <t>chemicals</t>
        </is>
      </c>
      <c r="D49" s="31" t="inlineStr">
        <is>
          <t>chemicals</t>
        </is>
      </c>
      <c r="E49" s="31" t="inlineStr">
        <is>
          <t>midcap</t>
        </is>
      </c>
      <c r="F49" s="31" t="n">
        <v>6943.41</v>
      </c>
      <c r="G49" s="31" t="n">
        <v>2429.2</v>
      </c>
      <c r="H49" s="31" t="n">
        <v>5.11</v>
      </c>
      <c r="I49" s="31" t="n">
        <v>91934</v>
      </c>
      <c r="J49" s="31" t="inlineStr">
        <is>
          <t>542665</t>
        </is>
      </c>
    </row>
    <row r="50">
      <c r="A50" s="31" t="inlineStr">
        <is>
          <t>MIDHANI</t>
        </is>
      </c>
      <c r="B50" s="31" t="inlineStr">
        <is>
          <t>Mishra Dhatu Nigam Ltd</t>
        </is>
      </c>
      <c r="C50" s="31" t="inlineStr">
        <is>
          <t>aerospace &amp; defence</t>
        </is>
      </c>
      <c r="D50" s="31" t="inlineStr">
        <is>
          <t>steel - medium / small</t>
        </is>
      </c>
      <c r="E50" s="31" t="inlineStr">
        <is>
          <t>midcap</t>
        </is>
      </c>
      <c r="F50" s="31" t="n">
        <v>8244.83</v>
      </c>
      <c r="G50" s="31" t="n">
        <v>462.35</v>
      </c>
      <c r="H50" s="31" t="n">
        <v>5.06</v>
      </c>
      <c r="I50" s="31" t="n">
        <v>2140471</v>
      </c>
      <c r="J50" s="31" t="inlineStr">
        <is>
          <t>541195</t>
        </is>
      </c>
    </row>
    <row r="51">
      <c r="A51" s="31" t="inlineStr">
        <is>
          <t>MANAKSTEEL</t>
        </is>
      </c>
      <c r="B51" s="31" t="inlineStr">
        <is>
          <t>Manaksia Steels Limited</t>
        </is>
      </c>
      <c r="C51" s="31" t="inlineStr">
        <is>
          <t>metals &amp; mining</t>
        </is>
      </c>
      <c r="D51" s="31" t="inlineStr">
        <is>
          <t>steel - medium / small</t>
        </is>
      </c>
      <c r="E51" s="31" t="inlineStr">
        <is>
          <t>smallcap</t>
        </is>
      </c>
      <c r="F51" s="31" t="n">
        <v>679.59</v>
      </c>
      <c r="G51" s="31" t="n">
        <v>108.88</v>
      </c>
      <c r="H51" s="31" t="n">
        <v>5</v>
      </c>
      <c r="I51" s="31" t="n">
        <v>51919</v>
      </c>
      <c r="J51" s="31" t="inlineStr">
        <is>
          <t>539044</t>
        </is>
      </c>
    </row>
    <row r="52">
      <c r="A52" s="31" t="inlineStr">
        <is>
          <t>HFCL</t>
        </is>
      </c>
      <c r="B52" s="31" t="inlineStr">
        <is>
          <t>HFCL Ltd</t>
        </is>
      </c>
      <c r="C52" s="31" t="inlineStr">
        <is>
          <t>telecom</t>
        </is>
      </c>
      <c r="D52" s="31" t="inlineStr">
        <is>
          <t>cables - telephone</t>
        </is>
      </c>
      <c r="E52" s="31" t="inlineStr">
        <is>
          <t>largecap</t>
        </is>
      </c>
      <c r="F52" s="31" t="n">
        <v>38306.39</v>
      </c>
      <c r="G52" s="31" t="n">
        <v>262.78</v>
      </c>
      <c r="H52" s="31" t="n">
        <v>5</v>
      </c>
      <c r="I52" s="31" t="n">
        <v>6656282</v>
      </c>
      <c r="J52" s="31" t="inlineStr">
        <is>
          <t>500183</t>
        </is>
      </c>
    </row>
    <row r="53">
      <c r="A53" s="31" t="inlineStr">
        <is>
          <t>BHAGYANGR</t>
        </is>
      </c>
      <c r="B53" s="31" t="inlineStr">
        <is>
          <t>Bhagyanagar India</t>
        </is>
      </c>
      <c r="C53" s="31" t="inlineStr">
        <is>
          <t>power &amp; utilities</t>
        </is>
      </c>
      <c r="D53" s="31" t="inlineStr">
        <is>
          <t>power generation and supply</t>
        </is>
      </c>
      <c r="E53" s="31" t="inlineStr">
        <is>
          <t>smallcap</t>
        </is>
      </c>
      <c r="F53" s="31" t="n">
        <v>1381.23</v>
      </c>
      <c r="G53" s="31" t="n">
        <v>432.95</v>
      </c>
      <c r="H53" s="31" t="n">
        <v>5</v>
      </c>
      <c r="I53" s="31" t="n">
        <v>149876</v>
      </c>
      <c r="J53" s="31" t="inlineStr">
        <is>
          <t>512296</t>
        </is>
      </c>
    </row>
    <row r="54">
      <c r="A54" s="31" t="inlineStr">
        <is>
          <t>STLNETWORK</t>
        </is>
      </c>
      <c r="B54" s="31" t="inlineStr">
        <is>
          <t>STL Networks Ltd</t>
        </is>
      </c>
      <c r="C54" s="31" t="inlineStr">
        <is>
          <t>telecom-service</t>
        </is>
      </c>
      <c r="D54" s="31" t="inlineStr">
        <is>
          <t>telecommunications - service provider</t>
        </is>
      </c>
      <c r="E54" s="31" t="inlineStr">
        <is>
          <t>smallcap</t>
        </is>
      </c>
      <c r="F54" s="31" t="n">
        <v>2188.54</v>
      </c>
      <c r="G54" s="31" t="n">
        <v>47.08</v>
      </c>
      <c r="H54" s="31" t="n">
        <v>5</v>
      </c>
      <c r="I54" s="31" t="n">
        <v>6587304</v>
      </c>
      <c r="J54" s="31" t="inlineStr">
        <is>
          <t>544395</t>
        </is>
      </c>
    </row>
    <row r="55">
      <c r="A55" s="31" t="inlineStr">
        <is>
          <t>KRONOX</t>
        </is>
      </c>
      <c r="B55" s="31" t="inlineStr">
        <is>
          <t>Kronox Lab Sciences Ltd</t>
        </is>
      </c>
      <c r="C55" s="31" t="inlineStr">
        <is>
          <t>chemicals</t>
        </is>
      </c>
      <c r="D55" s="31" t="inlineStr">
        <is>
          <t>chemicals</t>
        </is>
      </c>
      <c r="E55" s="31" t="inlineStr">
        <is>
          <t>smallcap</t>
        </is>
      </c>
      <c r="F55" s="31" t="n">
        <v>730.24</v>
      </c>
      <c r="G55" s="31" t="n">
        <v>206.65</v>
      </c>
      <c r="H55" s="31" t="n">
        <v>5</v>
      </c>
      <c r="I55" s="31" t="n">
        <v>39741</v>
      </c>
      <c r="J55" s="31" t="inlineStr">
        <is>
          <t>544187</t>
        </is>
      </c>
    </row>
    <row r="56">
      <c r="A56" s="31" t="inlineStr">
        <is>
          <t>E2E</t>
        </is>
      </c>
      <c r="B56" s="31" t="inlineStr">
        <is>
          <t>E2E Networks Ltd</t>
        </is>
      </c>
      <c r="C56" s="31" t="inlineStr">
        <is>
          <t>i.t</t>
        </is>
      </c>
      <c r="D56" s="31" t="inlineStr">
        <is>
          <t>computers - software - medium / small</t>
        </is>
      </c>
      <c r="E56" s="31" t="inlineStr">
        <is>
          <t>midcap</t>
        </is>
      </c>
      <c r="F56" s="31" t="n">
        <v>13487.11</v>
      </c>
      <c r="G56" s="31" t="n">
        <v>688.9</v>
      </c>
      <c r="H56" s="31" t="n">
        <v>5</v>
      </c>
      <c r="I56" s="31" t="n">
        <v>857233</v>
      </c>
      <c r="J56" s="31" t="inlineStr">
        <is>
          <t>535080</t>
        </is>
      </c>
    </row>
    <row r="57">
      <c r="A57" s="31" t="inlineStr">
        <is>
          <t>MODISONLTD</t>
        </is>
      </c>
      <c r="B57" s="31" t="inlineStr">
        <is>
          <t>Modison Ltd</t>
        </is>
      </c>
      <c r="C57" s="31" t="inlineStr">
        <is>
          <t>industrials</t>
        </is>
      </c>
      <c r="D57" s="31" t="inlineStr">
        <is>
          <t>electric equipment</t>
        </is>
      </c>
      <c r="E57" s="31" t="inlineStr">
        <is>
          <t>smallcap</t>
        </is>
      </c>
      <c r="F57" s="31" t="n">
        <v>1518.5</v>
      </c>
      <c r="G57" s="31" t="n">
        <v>491.3</v>
      </c>
      <c r="H57" s="31" t="n">
        <v>4.99</v>
      </c>
      <c r="I57" s="31" t="n">
        <v>57126</v>
      </c>
      <c r="J57" s="31" t="inlineStr">
        <is>
          <t>506261</t>
        </is>
      </c>
    </row>
    <row r="58">
      <c r="A58" s="31" t="inlineStr">
        <is>
          <t>BIRLACABLE</t>
        </is>
      </c>
      <c r="B58" s="31" t="inlineStr">
        <is>
          <t>Birla Cable Limited</t>
        </is>
      </c>
      <c r="C58" s="31" t="inlineStr">
        <is>
          <t>industrials</t>
        </is>
      </c>
      <c r="D58" s="31" t="inlineStr">
        <is>
          <t>cables - telephone</t>
        </is>
      </c>
      <c r="E58" s="31" t="inlineStr">
        <is>
          <t>smallcap</t>
        </is>
      </c>
      <c r="F58" s="31" t="n">
        <v>1129.95</v>
      </c>
      <c r="G58" s="31" t="n">
        <v>395.45</v>
      </c>
      <c r="H58" s="31" t="n">
        <v>4.99</v>
      </c>
      <c r="I58" s="31" t="n">
        <v>459269</v>
      </c>
      <c r="J58" s="31" t="inlineStr">
        <is>
          <t>500060</t>
        </is>
      </c>
    </row>
    <row r="59">
      <c r="A59" s="31" t="inlineStr">
        <is>
          <t>DIACABS</t>
        </is>
      </c>
      <c r="B59" s="31" t="inlineStr">
        <is>
          <t>Diamond Power Infrastructure Ltd</t>
        </is>
      </c>
      <c r="C59" s="31" t="inlineStr">
        <is>
          <t>industrials</t>
        </is>
      </c>
      <c r="D59" s="31" t="inlineStr">
        <is>
          <t>cables - power</t>
        </is>
      </c>
      <c r="E59" s="31" t="inlineStr">
        <is>
          <t>largecap</t>
        </is>
      </c>
      <c r="F59" s="31" t="n">
        <v>20980.33</v>
      </c>
      <c r="G59" s="31" t="n">
        <v>368.3</v>
      </c>
      <c r="H59" s="31" t="n">
        <v>4.99</v>
      </c>
      <c r="I59" s="31" t="n">
        <v>1146404</v>
      </c>
      <c r="J59" s="31" t="inlineStr">
        <is>
          <t>522163</t>
        </is>
      </c>
    </row>
    <row r="60">
      <c r="A60" s="31" t="inlineStr">
        <is>
          <t>PANACHE</t>
        </is>
      </c>
      <c r="B60" s="31" t="inlineStr">
        <is>
          <t>Panache Digilife Ltd</t>
        </is>
      </c>
      <c r="C60" s="31" t="inlineStr">
        <is>
          <t>i.t</t>
        </is>
      </c>
      <c r="D60" s="31" t="inlineStr">
        <is>
          <t>computers - hardware</t>
        </is>
      </c>
      <c r="E60" s="31" t="inlineStr">
        <is>
          <t>smallcap</t>
        </is>
      </c>
      <c r="F60" s="31" t="n">
        <v>867.88</v>
      </c>
      <c r="G60" s="31" t="n">
        <v>569</v>
      </c>
      <c r="H60" s="31" t="n">
        <v>4.99</v>
      </c>
      <c r="I60" s="31" t="n">
        <v>7672</v>
      </c>
      <c r="J60" s="31" t="inlineStr">
        <is>
          <t>538424</t>
        </is>
      </c>
    </row>
    <row r="61">
      <c r="A61" s="31" t="inlineStr">
        <is>
          <t>IBULLSLTD</t>
        </is>
      </c>
      <c r="B61" s="31" t="inlineStr">
        <is>
          <t>Indiabulls Limited</t>
        </is>
      </c>
      <c r="C61" s="31" t="inlineStr">
        <is>
          <t>miscellaneous</t>
        </is>
      </c>
      <c r="D61" s="31" t="inlineStr">
        <is>
          <t>diversified - medium / small</t>
        </is>
      </c>
      <c r="E61" s="31" t="inlineStr">
        <is>
          <t>midcap</t>
        </is>
      </c>
      <c r="F61" s="31" t="n">
        <v>6867.49</v>
      </c>
      <c r="G61" s="31" t="n">
        <v>30.95</v>
      </c>
      <c r="H61" s="31" t="n">
        <v>4.99</v>
      </c>
      <c r="I61" s="31" t="n">
        <v>18672512</v>
      </c>
      <c r="J61" s="31" t="inlineStr">
        <is>
          <t>533520</t>
        </is>
      </c>
    </row>
    <row r="62">
      <c r="A62" s="31" t="inlineStr">
        <is>
          <t>OCCLLTD</t>
        </is>
      </c>
      <c r="B62" s="31" t="inlineStr">
        <is>
          <t>OCCL Ltd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smallcap</t>
        </is>
      </c>
      <c r="F62" s="31" t="n">
        <v>987.97</v>
      </c>
      <c r="G62" s="31" t="n">
        <v>207.59</v>
      </c>
      <c r="H62" s="31" t="n">
        <v>4.95</v>
      </c>
      <c r="I62" s="31" t="n">
        <v>193602</v>
      </c>
      <c r="J62" s="31" t="inlineStr">
        <is>
          <t>544278</t>
        </is>
      </c>
    </row>
    <row r="63">
      <c r="A63" s="31" t="inlineStr">
        <is>
          <t>WSTCSTPAPR</t>
        </is>
      </c>
      <c r="B63" s="31" t="inlineStr">
        <is>
          <t>West Coast Paper Mills Limited</t>
        </is>
      </c>
      <c r="C63" s="31" t="inlineStr">
        <is>
          <t>building materials</t>
        </is>
      </c>
      <c r="D63" s="31" t="inlineStr">
        <is>
          <t>paper</t>
        </is>
      </c>
      <c r="E63" s="31" t="inlineStr">
        <is>
          <t>smallcap</t>
        </is>
      </c>
      <c r="F63" s="31" t="n">
        <v>4740.66</v>
      </c>
      <c r="G63" s="31" t="n">
        <v>753.05</v>
      </c>
      <c r="H63" s="31" t="n">
        <v>4.92</v>
      </c>
      <c r="I63" s="31" t="n">
        <v>254433</v>
      </c>
      <c r="J63" s="31" t="inlineStr">
        <is>
          <t>500444</t>
        </is>
      </c>
    </row>
    <row r="64">
      <c r="A64" s="31" t="inlineStr">
        <is>
          <t>RBZJEWEL</t>
        </is>
      </c>
      <c r="B64" s="31" t="inlineStr">
        <is>
          <t>RBZ Jewellers Ltd</t>
        </is>
      </c>
      <c r="C64" s="31" t="inlineStr">
        <is>
          <t>consumer discretionary</t>
        </is>
      </c>
      <c r="D64" s="31" t="inlineStr">
        <is>
          <t>diamond cutting / jewellery</t>
        </is>
      </c>
      <c r="E64" s="31" t="inlineStr">
        <is>
          <t>smallcap</t>
        </is>
      </c>
      <c r="F64" s="31" t="n">
        <v>748.12</v>
      </c>
      <c r="G64" s="31" t="n">
        <v>196.15</v>
      </c>
      <c r="H64" s="31" t="n">
        <v>4.88</v>
      </c>
      <c r="I64" s="31" t="n">
        <v>109729</v>
      </c>
      <c r="J64" s="31" t="inlineStr">
        <is>
          <t>544060</t>
        </is>
      </c>
    </row>
    <row r="65">
      <c r="A65" s="31" t="inlineStr">
        <is>
          <t>ACMESOLAR</t>
        </is>
      </c>
      <c r="B65" s="31" t="inlineStr">
        <is>
          <t>ACME Solar Holdings Ltd</t>
        </is>
      </c>
      <c r="C65" s="31" t="inlineStr">
        <is>
          <t>realty</t>
        </is>
      </c>
      <c r="D65" s="31" t="inlineStr">
        <is>
          <t>engineering - turnkey services</t>
        </is>
      </c>
      <c r="E65" s="31" t="inlineStr">
        <is>
          <t>largecap</t>
        </is>
      </c>
      <c r="F65" s="31" t="n">
        <v>30229.48</v>
      </c>
      <c r="G65" s="31" t="n">
        <v>448.2</v>
      </c>
      <c r="H65" s="31" t="n">
        <v>4.81</v>
      </c>
      <c r="I65" s="31" t="n">
        <v>887494</v>
      </c>
      <c r="J65" s="31" t="inlineStr">
        <is>
          <t>544283</t>
        </is>
      </c>
    </row>
    <row r="66">
      <c r="A66" s="31" t="inlineStr">
        <is>
          <t>AZAD</t>
        </is>
      </c>
      <c r="B66" s="31" t="inlineStr">
        <is>
          <t>Azad Engineering Ltd</t>
        </is>
      </c>
      <c r="C66" s="31" t="inlineStr">
        <is>
          <t>aerospace &amp; defence</t>
        </is>
      </c>
      <c r="D66" s="31" t="inlineStr">
        <is>
          <t>engineering</t>
        </is>
      </c>
      <c r="E66" s="31" t="inlineStr">
        <is>
          <t>midcap</t>
        </is>
      </c>
      <c r="F66" s="31" t="n">
        <v>18904.37</v>
      </c>
      <c r="G66" s="31" t="n">
        <v>3062.6</v>
      </c>
      <c r="H66" s="31" t="n">
        <v>4.63</v>
      </c>
      <c r="I66" s="31" t="n">
        <v>1329869</v>
      </c>
      <c r="J66" s="31" t="inlineStr">
        <is>
          <t>544061</t>
        </is>
      </c>
    </row>
    <row r="67">
      <c r="A67" s="31" t="inlineStr">
        <is>
          <t>GALAXYSURF</t>
        </is>
      </c>
      <c r="B67" s="31" t="inlineStr">
        <is>
          <t>Galaxy Surfactants Ltd</t>
        </is>
      </c>
      <c r="C67" s="31" t="inlineStr">
        <is>
          <t>chemicals</t>
        </is>
      </c>
      <c r="D67" s="31" t="inlineStr">
        <is>
          <t>chemicals</t>
        </is>
      </c>
      <c r="E67" s="31" t="inlineStr">
        <is>
          <t>midcap</t>
        </is>
      </c>
      <c r="F67" s="31" t="n">
        <v>8278.68</v>
      </c>
      <c r="G67" s="31" t="n">
        <v>2442.4</v>
      </c>
      <c r="H67" s="31" t="n">
        <v>4.6</v>
      </c>
      <c r="I67" s="31" t="n">
        <v>99858</v>
      </c>
      <c r="J67" s="31" t="inlineStr">
        <is>
          <t>540935</t>
        </is>
      </c>
    </row>
    <row r="68">
      <c r="A68" s="31" t="inlineStr">
        <is>
          <t>RKFORGE</t>
        </is>
      </c>
      <c r="B68" s="31" t="inlineStr">
        <is>
          <t>Ramkrishna Forgings Limited</t>
        </is>
      </c>
      <c r="C68" s="31" t="inlineStr">
        <is>
          <t>castings, forgings &amp; fasteners</t>
        </is>
      </c>
      <c r="D68" s="31" t="inlineStr">
        <is>
          <t>castings &amp; forgings</t>
        </is>
      </c>
      <c r="E68" s="31" t="inlineStr">
        <is>
          <t>midcap</t>
        </is>
      </c>
      <c r="F68" s="31" t="n">
        <v>12760.1</v>
      </c>
      <c r="G68" s="31" t="n">
        <v>732.65</v>
      </c>
      <c r="H68" s="31" t="n">
        <v>4.6</v>
      </c>
      <c r="I68" s="31" t="n">
        <v>992145</v>
      </c>
      <c r="J68" s="31" t="inlineStr">
        <is>
          <t>532527</t>
        </is>
      </c>
    </row>
    <row r="69">
      <c r="A69" s="31" t="inlineStr">
        <is>
          <t>CUPID</t>
        </is>
      </c>
      <c r="B69" s="31" t="inlineStr">
        <is>
          <t>Cupid Limited</t>
        </is>
      </c>
      <c r="C69" s="31" t="inlineStr">
        <is>
          <t>fmcg</t>
        </is>
      </c>
      <c r="D69" s="31" t="inlineStr">
        <is>
          <t>personal care - indian</t>
        </is>
      </c>
      <c r="E69" s="31" t="inlineStr">
        <is>
          <t>largecap</t>
        </is>
      </c>
      <c r="F69" s="31" t="n">
        <v>41697.93</v>
      </c>
      <c r="G69" s="31" t="n">
        <v>324.2</v>
      </c>
      <c r="H69" s="31" t="n">
        <v>4.55</v>
      </c>
      <c r="I69" s="31" t="n">
        <v>24176893</v>
      </c>
      <c r="J69" s="31" t="inlineStr">
        <is>
          <t>530843</t>
        </is>
      </c>
    </row>
    <row r="70">
      <c r="A70" s="31" t="inlineStr">
        <is>
          <t>PANAMAPET</t>
        </is>
      </c>
      <c r="B70" s="31" t="inlineStr">
        <is>
          <t>Panama Petrochem Limited</t>
        </is>
      </c>
      <c r="C70" s="31" t="inlineStr">
        <is>
          <t>energy</t>
        </is>
      </c>
      <c r="D70" s="31" t="inlineStr">
        <is>
          <t>petrochemicals</t>
        </is>
      </c>
      <c r="E70" s="31" t="inlineStr">
        <is>
          <t>smallcap</t>
        </is>
      </c>
      <c r="F70" s="31" t="n">
        <v>2917</v>
      </c>
      <c r="G70" s="31" t="n">
        <v>504.1</v>
      </c>
      <c r="H70" s="31" t="n">
        <v>4.54</v>
      </c>
      <c r="I70" s="31" t="n">
        <v>627296</v>
      </c>
      <c r="J70" s="31" t="inlineStr">
        <is>
          <t>524820</t>
        </is>
      </c>
    </row>
    <row r="71">
      <c r="A71" s="31" t="inlineStr">
        <is>
          <t>NGLFINE</t>
        </is>
      </c>
      <c r="B71" s="31" t="inlineStr">
        <is>
          <t>NGL Fine Chem Ltd</t>
        </is>
      </c>
      <c r="C71" s="31" t="inlineStr">
        <is>
          <t>healthcare</t>
        </is>
      </c>
      <c r="D71" s="31" t="inlineStr">
        <is>
          <t>pharmaceuticals - indian - bulk drugs</t>
        </is>
      </c>
      <c r="E71" s="31" t="inlineStr">
        <is>
          <t>smallcap</t>
        </is>
      </c>
      <c r="F71" s="31" t="n">
        <v>1846.18</v>
      </c>
      <c r="G71" s="31" t="n">
        <v>3122.1</v>
      </c>
      <c r="H71" s="31" t="n">
        <v>4.48</v>
      </c>
      <c r="I71" s="31" t="n">
        <v>18062</v>
      </c>
      <c r="J71" s="31" t="inlineStr">
        <is>
          <t>524774</t>
        </is>
      </c>
    </row>
    <row r="72">
      <c r="A72" s="31" t="inlineStr">
        <is>
          <t>IOLCP</t>
        </is>
      </c>
      <c r="B72" s="31" t="inlineStr">
        <is>
          <t>Iol Chemicals And Pharmaceuticals Limited</t>
        </is>
      </c>
      <c r="C72" s="31" t="inlineStr">
        <is>
          <t>healthcare</t>
        </is>
      </c>
      <c r="D72" s="31" t="inlineStr">
        <is>
          <t>pharmaceuticals - indian - bulk drugs &amp; formln</t>
        </is>
      </c>
      <c r="E72" s="31" t="inlineStr">
        <is>
          <t>midcap</t>
        </is>
      </c>
      <c r="F72" s="31" t="n">
        <v>6038.15</v>
      </c>
      <c r="G72" s="31" t="n">
        <v>214.9</v>
      </c>
      <c r="H72" s="31" t="n">
        <v>4.47</v>
      </c>
      <c r="I72" s="31" t="n">
        <v>3889322</v>
      </c>
      <c r="J72" s="31" t="inlineStr">
        <is>
          <t>524164</t>
        </is>
      </c>
    </row>
    <row r="73">
      <c r="A73" s="31" t="inlineStr">
        <is>
          <t>VALIANTORG</t>
        </is>
      </c>
      <c r="B73" s="31" t="inlineStr">
        <is>
          <t>Valiant Organics Ltd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smallcap</t>
        </is>
      </c>
      <c r="F73" s="31" t="n">
        <v>1333.47</v>
      </c>
      <c r="G73" s="31" t="n">
        <v>496.8</v>
      </c>
      <c r="H73" s="31" t="n">
        <v>4.45</v>
      </c>
      <c r="I73" s="31" t="n">
        <v>262872</v>
      </c>
      <c r="J73" s="31" t="inlineStr">
        <is>
          <t>540145</t>
        </is>
      </c>
    </row>
    <row r="74">
      <c r="A74" s="31" t="inlineStr">
        <is>
          <t>TATVA</t>
        </is>
      </c>
      <c r="B74" s="31" t="inlineStr">
        <is>
          <t>Tatva Chintan Pharma Chem Ltd</t>
        </is>
      </c>
      <c r="C74" s="31" t="inlineStr">
        <is>
          <t>chemicals</t>
        </is>
      </c>
      <c r="D74" s="31" t="inlineStr">
        <is>
          <t>chemicals</t>
        </is>
      </c>
      <c r="E74" s="31" t="inlineStr">
        <is>
          <t>smallcap</t>
        </is>
      </c>
      <c r="F74" s="31" t="n">
        <v>4208.23</v>
      </c>
      <c r="G74" s="31" t="n">
        <v>1877.4</v>
      </c>
      <c r="H74" s="31" t="n">
        <v>4.36</v>
      </c>
      <c r="I74" s="31" t="n">
        <v>132614</v>
      </c>
      <c r="J74" s="31" t="inlineStr">
        <is>
          <t>543321</t>
        </is>
      </c>
    </row>
    <row r="75">
      <c r="A75" s="31" t="inlineStr">
        <is>
          <t>GRAPHITE</t>
        </is>
      </c>
      <c r="B75" s="31" t="inlineStr">
        <is>
          <t>Graphite India Limited</t>
        </is>
      </c>
      <c r="C75" s="31" t="inlineStr">
        <is>
          <t>industrials</t>
        </is>
      </c>
      <c r="D75" s="31" t="inlineStr">
        <is>
          <t>electrodes - graphites</t>
        </is>
      </c>
      <c r="E75" s="31" t="inlineStr">
        <is>
          <t>midcap</t>
        </is>
      </c>
      <c r="F75" s="31" t="n">
        <v>15950.46</v>
      </c>
      <c r="G75" s="31" t="n">
        <v>851.2</v>
      </c>
      <c r="H75" s="31" t="n">
        <v>4.26</v>
      </c>
      <c r="I75" s="31" t="n">
        <v>2456818</v>
      </c>
      <c r="J75" s="31" t="inlineStr">
        <is>
          <t>509488</t>
        </is>
      </c>
    </row>
    <row r="76">
      <c r="A76" s="31" t="inlineStr">
        <is>
          <t>JYOTICNC</t>
        </is>
      </c>
      <c r="B76" s="31" t="inlineStr">
        <is>
          <t>Jyoti CNC Automation Ltd</t>
        </is>
      </c>
      <c r="C76" s="31" t="inlineStr">
        <is>
          <t>industrials</t>
        </is>
      </c>
      <c r="D76" s="31" t="inlineStr">
        <is>
          <t>engineering</t>
        </is>
      </c>
      <c r="E76" s="31" t="inlineStr">
        <is>
          <t>largecap</t>
        </is>
      </c>
      <c r="F76" s="31" t="n">
        <v>23415.48</v>
      </c>
      <c r="G76" s="31" t="n">
        <v>1073.1</v>
      </c>
      <c r="H76" s="31" t="n">
        <v>4.22</v>
      </c>
      <c r="I76" s="31" t="n">
        <v>557011</v>
      </c>
      <c r="J76" s="31" t="inlineStr">
        <is>
          <t>544081</t>
        </is>
      </c>
    </row>
    <row r="77">
      <c r="A77" s="31" t="inlineStr">
        <is>
          <t>KRISHANA</t>
        </is>
      </c>
      <c r="B77" s="31" t="inlineStr">
        <is>
          <t>Krishana Phoschem Ltd</t>
        </is>
      </c>
      <c r="C77" s="31" t="inlineStr">
        <is>
          <t>chemicals</t>
        </is>
      </c>
      <c r="D77" s="31" t="inlineStr">
        <is>
          <t>fertilizers</t>
        </is>
      </c>
      <c r="E77" s="31" t="inlineStr">
        <is>
          <t>smallcap</t>
        </is>
      </c>
      <c r="F77" s="31" t="n">
        <v>1148.94</v>
      </c>
      <c r="G77" s="31" t="n">
        <v>193.66</v>
      </c>
      <c r="H77" s="31" t="n">
        <v>4.21</v>
      </c>
      <c r="I77" s="31" t="n">
        <v>1697639</v>
      </c>
      <c r="J77" s="31" t="inlineStr">
        <is>
          <t>538405</t>
        </is>
      </c>
    </row>
    <row r="78">
      <c r="A78" s="31" t="inlineStr">
        <is>
          <t>SHILPAMED</t>
        </is>
      </c>
      <c r="B78" s="31" t="inlineStr">
        <is>
          <t>Shilpa Medicare Limited</t>
        </is>
      </c>
      <c r="C78" s="31" t="inlineStr">
        <is>
          <t>healthcare</t>
        </is>
      </c>
      <c r="D78" s="31" t="inlineStr">
        <is>
          <t>pharmaceuticals - indian - formulations</t>
        </is>
      </c>
      <c r="E78" s="31" t="inlineStr">
        <is>
          <t>largecap</t>
        </is>
      </c>
      <c r="F78" s="31" t="n">
        <v>20168.4</v>
      </c>
      <c r="G78" s="31" t="n">
        <v>1073.7</v>
      </c>
      <c r="H78" s="31" t="n">
        <v>4.12</v>
      </c>
      <c r="I78" s="31" t="n">
        <v>587086</v>
      </c>
      <c r="J78" s="31" t="inlineStr">
        <is>
          <t>530549</t>
        </is>
      </c>
    </row>
    <row r="79">
      <c r="A79" s="31" t="inlineStr">
        <is>
          <t>TEXINFRA</t>
        </is>
      </c>
      <c r="B79" s="31" t="inlineStr">
        <is>
          <t>Texmaco Infrastructure &amp; Holdings Limited</t>
        </is>
      </c>
      <c r="C79" s="31" t="inlineStr">
        <is>
          <t>realty</t>
        </is>
      </c>
      <c r="D79" s="31" t="inlineStr">
        <is>
          <t>construction</t>
        </is>
      </c>
      <c r="E79" s="31" t="inlineStr">
        <is>
          <t>smallcap</t>
        </is>
      </c>
      <c r="F79" s="31" t="n">
        <v>1535.87</v>
      </c>
      <c r="G79" s="31" t="n">
        <v>125.42</v>
      </c>
      <c r="H79" s="31" t="n">
        <v>4.06</v>
      </c>
      <c r="I79" s="31" t="n">
        <v>587316</v>
      </c>
      <c r="J79" s="31" t="inlineStr">
        <is>
          <t>505400</t>
        </is>
      </c>
    </row>
    <row r="80">
      <c r="A80" s="31" t="inlineStr">
        <is>
          <t>LAURUSLABS</t>
        </is>
      </c>
      <c r="B80" s="31" t="inlineStr">
        <is>
          <t>Laurus Labs Limited</t>
        </is>
      </c>
      <c r="C80" s="31" t="inlineStr">
        <is>
          <t>healthcare</t>
        </is>
      </c>
      <c r="D80" s="31" t="inlineStr">
        <is>
          <t>pharmaceuticals - indian - bulk drugs &amp; formln</t>
        </is>
      </c>
      <c r="E80" s="31" t="inlineStr">
        <is>
          <t>largecap</t>
        </is>
      </c>
      <c r="F80" s="31" t="n">
        <v>106504.8</v>
      </c>
      <c r="G80" s="31" t="n">
        <v>2050</v>
      </c>
      <c r="H80" s="31" t="n">
        <v>3.99</v>
      </c>
      <c r="I80" s="31" t="n">
        <v>2197316</v>
      </c>
      <c r="J80" s="31" t="inlineStr">
        <is>
          <t>540222</t>
        </is>
      </c>
    </row>
    <row r="81">
      <c r="A81" s="31" t="inlineStr">
        <is>
          <t>KINGFA</t>
        </is>
      </c>
      <c r="B81" s="31" t="inlineStr">
        <is>
          <t>Kingfa Science &amp; Technology (india) Limited</t>
        </is>
      </c>
      <c r="C81" s="31" t="inlineStr">
        <is>
          <t>plastic products</t>
        </is>
      </c>
      <c r="D81" s="31" t="inlineStr">
        <is>
          <t>plastics products</t>
        </is>
      </c>
      <c r="E81" s="31" t="inlineStr">
        <is>
          <t>midcap</t>
        </is>
      </c>
      <c r="F81" s="31" t="n">
        <v>9037.42</v>
      </c>
      <c r="G81" s="31" t="n">
        <v>6932</v>
      </c>
      <c r="H81" s="31" t="n">
        <v>3.94</v>
      </c>
      <c r="I81" s="31" t="n">
        <v>24558</v>
      </c>
      <c r="J81" s="31" t="inlineStr">
        <is>
          <t>524019</t>
        </is>
      </c>
    </row>
    <row r="82">
      <c r="A82" s="31" t="inlineStr">
        <is>
          <t>AVADHSUGAR</t>
        </is>
      </c>
      <c r="B82" s="31" t="inlineStr">
        <is>
          <t>Avadh Sugar &amp; Energy</t>
        </is>
      </c>
      <c r="C82" s="31" t="inlineStr">
        <is>
          <t>fmcg</t>
        </is>
      </c>
      <c r="D82" s="31" t="inlineStr">
        <is>
          <t>sugar</t>
        </is>
      </c>
      <c r="E82" s="31" t="inlineStr">
        <is>
          <t>smallcap</t>
        </is>
      </c>
      <c r="F82" s="31" t="n">
        <v>1682.25</v>
      </c>
      <c r="G82" s="31" t="n">
        <v>873.3</v>
      </c>
      <c r="H82" s="31" t="n">
        <v>3.92</v>
      </c>
      <c r="I82" s="31" t="n">
        <v>523457</v>
      </c>
      <c r="J82" s="31" t="inlineStr">
        <is>
          <t>540649</t>
        </is>
      </c>
    </row>
    <row r="83">
      <c r="A83" s="31" t="inlineStr">
        <is>
          <t>ADFFOODS</t>
        </is>
      </c>
      <c r="B83" s="31" t="inlineStr">
        <is>
          <t>Adf Foods Limited</t>
        </is>
      </c>
      <c r="C83" s="31" t="inlineStr">
        <is>
          <t>fmcg</t>
        </is>
      </c>
      <c r="D83" s="31" t="inlineStr">
        <is>
          <t>food - processing - indian</t>
        </is>
      </c>
      <c r="E83" s="31" t="inlineStr">
        <is>
          <t>smallcap</t>
        </is>
      </c>
      <c r="F83" s="31" t="n">
        <v>3099.8</v>
      </c>
      <c r="G83" s="31" t="n">
        <v>293.1</v>
      </c>
      <c r="H83" s="31" t="n">
        <v>3.88</v>
      </c>
      <c r="I83" s="31" t="n">
        <v>487913</v>
      </c>
      <c r="J83" s="31" t="inlineStr">
        <is>
          <t>519183</t>
        </is>
      </c>
    </row>
    <row r="84">
      <c r="A84" s="31" t="inlineStr">
        <is>
          <t>ARROWGREEN</t>
        </is>
      </c>
      <c r="B84" s="31" t="inlineStr">
        <is>
          <t>Arrow Greentech Limited</t>
        </is>
      </c>
      <c r="C84" s="31" t="inlineStr">
        <is>
          <t>plastic products</t>
        </is>
      </c>
      <c r="D84" s="31" t="inlineStr">
        <is>
          <t>plastics products</t>
        </is>
      </c>
      <c r="E84" s="31" t="inlineStr">
        <is>
          <t>smallcap</t>
        </is>
      </c>
      <c r="F84" s="31" t="n">
        <v>1295.37</v>
      </c>
      <c r="G84" s="31" t="n">
        <v>891.75</v>
      </c>
      <c r="H84" s="31" t="n">
        <v>3.87</v>
      </c>
      <c r="I84" s="31" t="n">
        <v>60698</v>
      </c>
      <c r="J84" s="31" t="inlineStr">
        <is>
          <t>516064</t>
        </is>
      </c>
    </row>
    <row r="85">
      <c r="A85" s="31" t="inlineStr">
        <is>
          <t>DIVISLAB</t>
        </is>
      </c>
      <c r="B85" s="31" t="inlineStr">
        <is>
          <t>Divi's Laboratories Limited</t>
        </is>
      </c>
      <c r="C85" s="31" t="inlineStr">
        <is>
          <t>healthcare</t>
        </is>
      </c>
      <c r="D85" s="31" t="inlineStr">
        <is>
          <t>pharmaceuticals - indian - bulk drugs</t>
        </is>
      </c>
      <c r="E85" s="31" t="inlineStr">
        <is>
          <t>largecap</t>
        </is>
      </c>
      <c r="F85" s="31" t="n">
        <v>244124.91</v>
      </c>
      <c r="G85" s="31" t="n">
        <v>9550</v>
      </c>
      <c r="H85" s="31" t="n">
        <v>3.85</v>
      </c>
      <c r="I85" s="31" t="n">
        <v>465106</v>
      </c>
      <c r="J85" s="31" t="inlineStr">
        <is>
          <t>532488</t>
        </is>
      </c>
    </row>
    <row r="86">
      <c r="A86" s="31" t="inlineStr">
        <is>
          <t>SKYGOLD</t>
        </is>
      </c>
      <c r="B86" s="31" t="inlineStr">
        <is>
          <t>Sky Gold Ltd</t>
        </is>
      </c>
      <c r="C86" s="31" t="inlineStr">
        <is>
          <t>consumer discretionary</t>
        </is>
      </c>
      <c r="D86" s="31" t="inlineStr">
        <is>
          <t>diamond cutting / jewellery</t>
        </is>
      </c>
      <c r="E86" s="31" t="inlineStr">
        <is>
          <t>midcap</t>
        </is>
      </c>
      <c r="F86" s="31" t="n">
        <v>12791.03</v>
      </c>
      <c r="G86" s="31" t="n">
        <v>857.65</v>
      </c>
      <c r="H86" s="31" t="n">
        <v>3.84</v>
      </c>
      <c r="I86" s="31" t="n">
        <v>4153944</v>
      </c>
      <c r="J86" s="31" t="inlineStr">
        <is>
          <t>541967</t>
        </is>
      </c>
    </row>
    <row r="87">
      <c r="A87" s="31" t="inlineStr">
        <is>
          <t>KOTAKBANK</t>
        </is>
      </c>
      <c r="B87" s="31" t="inlineStr">
        <is>
          <t>Kotak Mahindra Bank Limited</t>
        </is>
      </c>
      <c r="C87" s="31" t="inlineStr">
        <is>
          <t>bank</t>
        </is>
      </c>
      <c r="D87" s="31" t="inlineStr">
        <is>
          <t>banks - private sector</t>
        </is>
      </c>
      <c r="E87" s="31" t="inlineStr">
        <is>
          <t>largecap</t>
        </is>
      </c>
      <c r="F87" s="31" t="n">
        <v>413783.1</v>
      </c>
      <c r="G87" s="31" t="n">
        <v>431.9</v>
      </c>
      <c r="H87" s="31" t="n">
        <v>3.82</v>
      </c>
      <c r="I87" s="31" t="n">
        <v>40021922</v>
      </c>
      <c r="J87" s="31" t="inlineStr">
        <is>
          <t>500247</t>
        </is>
      </c>
    </row>
    <row r="88">
      <c r="A88" s="31" t="inlineStr">
        <is>
          <t>INDSWFTLAB</t>
        </is>
      </c>
      <c r="B88" s="31" t="inlineStr">
        <is>
          <t>Ind-swift Laboratories Limited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smallcap</t>
        </is>
      </c>
      <c r="F88" s="31" t="n">
        <v>3354.54</v>
      </c>
      <c r="G88" s="31" t="n">
        <v>400.45</v>
      </c>
      <c r="H88" s="31" t="n">
        <v>3.81</v>
      </c>
      <c r="I88" s="31" t="n">
        <v>369560</v>
      </c>
      <c r="J88" s="31" t="inlineStr">
        <is>
          <t>532305</t>
        </is>
      </c>
    </row>
    <row r="89">
      <c r="A89" s="31" t="inlineStr">
        <is>
          <t>MANINDS</t>
        </is>
      </c>
      <c r="B89" s="31" t="inlineStr">
        <is>
          <t>Man Industries (india) Limited</t>
        </is>
      </c>
      <c r="C89" s="31" t="inlineStr">
        <is>
          <t>metals &amp; mining</t>
        </is>
      </c>
      <c r="D89" s="31" t="inlineStr">
        <is>
          <t>steel - medium / small</t>
        </is>
      </c>
      <c r="E89" s="31" t="inlineStr">
        <is>
          <t>midcap</t>
        </is>
      </c>
      <c r="F89" s="31" t="n">
        <v>6662.73</v>
      </c>
      <c r="G89" s="31" t="n">
        <v>922.05</v>
      </c>
      <c r="H89" s="31" t="n">
        <v>3.81</v>
      </c>
      <c r="I89" s="31" t="n">
        <v>456249</v>
      </c>
      <c r="J89" s="31" t="inlineStr">
        <is>
          <t>513269</t>
        </is>
      </c>
    </row>
    <row r="90">
      <c r="A90" s="31" t="inlineStr">
        <is>
          <t>SIMPLEXINF</t>
        </is>
      </c>
      <c r="B90" s="31" t="inlineStr">
        <is>
          <t>Simplex Infrastructures Limited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smallcap</t>
        </is>
      </c>
      <c r="F90" s="31" t="n">
        <v>1974.3</v>
      </c>
      <c r="G90" s="31" t="n">
        <v>259.13</v>
      </c>
      <c r="H90" s="31" t="n">
        <v>3.81</v>
      </c>
      <c r="I90" s="31" t="n">
        <v>205768</v>
      </c>
      <c r="J90" s="31" t="inlineStr">
        <is>
          <t>523838</t>
        </is>
      </c>
    </row>
    <row r="91">
      <c r="A91" s="31" t="inlineStr">
        <is>
          <t>JAYNECOIND</t>
        </is>
      </c>
      <c r="B91" s="31" t="inlineStr">
        <is>
          <t>Jayaswal Neco Industries Limited</t>
        </is>
      </c>
      <c r="C91" s="31" t="inlineStr">
        <is>
          <t>metals &amp; mining</t>
        </is>
      </c>
      <c r="D91" s="31" t="inlineStr">
        <is>
          <t>steel - large</t>
        </is>
      </c>
      <c r="E91" s="31" t="inlineStr">
        <is>
          <t>midcap</t>
        </is>
      </c>
      <c r="F91" s="31" t="n">
        <v>8836.08</v>
      </c>
      <c r="G91" s="31" t="n">
        <v>94.45</v>
      </c>
      <c r="H91" s="31" t="n">
        <v>3.79</v>
      </c>
      <c r="I91" s="31" t="n">
        <v>3108994</v>
      </c>
      <c r="J91" s="31" t="inlineStr">
        <is>
          <t>522285</t>
        </is>
      </c>
    </row>
    <row r="92">
      <c r="A92" s="31" t="inlineStr">
        <is>
          <t>RUBYMILLS</t>
        </is>
      </c>
      <c r="B92" s="31" t="inlineStr">
        <is>
          <t>The Ruby Mills Limited</t>
        </is>
      </c>
      <c r="C92" s="31" t="inlineStr">
        <is>
          <t>textiles</t>
        </is>
      </c>
      <c r="D92" s="31" t="inlineStr">
        <is>
          <t>textiles - composite</t>
        </is>
      </c>
      <c r="E92" s="31" t="inlineStr">
        <is>
          <t>smallcap</t>
        </is>
      </c>
      <c r="F92" s="31" t="n">
        <v>1652.6</v>
      </c>
      <c r="G92" s="31" t="n">
        <v>512.8</v>
      </c>
      <c r="H92" s="31" t="n">
        <v>3.76</v>
      </c>
      <c r="I92" s="31" t="n">
        <v>22847</v>
      </c>
      <c r="J92" s="31" t="inlineStr">
        <is>
          <t>503169</t>
        </is>
      </c>
    </row>
    <row r="93">
      <c r="A93" s="31" t="inlineStr">
        <is>
          <t>WHEELS</t>
        </is>
      </c>
      <c r="B93" s="31" t="inlineStr">
        <is>
          <t>Wheels India Limited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midcap</t>
        </is>
      </c>
      <c r="F93" s="31" t="n">
        <v>5391.39</v>
      </c>
      <c r="G93" s="31" t="n">
        <v>2289</v>
      </c>
      <c r="H93" s="31" t="n">
        <v>3.73</v>
      </c>
      <c r="I93" s="31" t="n">
        <v>120884</v>
      </c>
      <c r="J93" s="31" t="inlineStr">
        <is>
          <t>590073</t>
        </is>
      </c>
    </row>
    <row r="94">
      <c r="A94" s="31" t="inlineStr">
        <is>
          <t>BODALCHEM</t>
        </is>
      </c>
      <c r="B94" s="31" t="inlineStr">
        <is>
          <t>Bodal Chemicals Limited</t>
        </is>
      </c>
      <c r="C94" s="31" t="inlineStr">
        <is>
          <t>chemicals</t>
        </is>
      </c>
      <c r="D94" s="31" t="inlineStr">
        <is>
          <t>dyes and pigments</t>
        </is>
      </c>
      <c r="E94" s="31" t="inlineStr">
        <is>
          <t>smallcap</t>
        </is>
      </c>
      <c r="F94" s="31" t="n">
        <v>2270.77</v>
      </c>
      <c r="G94" s="31" t="n">
        <v>186.57</v>
      </c>
      <c r="H94" s="31" t="n">
        <v>3.48</v>
      </c>
      <c r="I94" s="31" t="n">
        <v>564786</v>
      </c>
      <c r="J94" s="31" t="inlineStr">
        <is>
          <t>524370</t>
        </is>
      </c>
    </row>
    <row r="95">
      <c r="A95" s="31" t="inlineStr">
        <is>
          <t>SSWL</t>
        </is>
      </c>
      <c r="B95" s="31" t="inlineStr">
        <is>
          <t>Steel Strips Wheels Limited</t>
        </is>
      </c>
      <c r="C95" s="31" t="inlineStr">
        <is>
          <t>auto</t>
        </is>
      </c>
      <c r="D95" s="31" t="inlineStr">
        <is>
          <t>auto ancillaries</t>
        </is>
      </c>
      <c r="E95" s="31" t="inlineStr">
        <is>
          <t>midcap</t>
        </is>
      </c>
      <c r="F95" s="31" t="n">
        <v>6453.04</v>
      </c>
      <c r="G95" s="31" t="n">
        <v>424.7</v>
      </c>
      <c r="H95" s="31" t="n">
        <v>3.45</v>
      </c>
      <c r="I95" s="31" t="n">
        <v>2408881</v>
      </c>
      <c r="J95" s="31" t="inlineStr">
        <is>
          <t>513262</t>
        </is>
      </c>
    </row>
    <row r="96">
      <c r="A96" s="31" t="inlineStr">
        <is>
          <t>QUADFUTURE</t>
        </is>
      </c>
      <c r="B96" s="31" t="inlineStr">
        <is>
          <t>Quadrant Future Tek Ltd</t>
        </is>
      </c>
      <c r="C96" s="31" t="inlineStr">
        <is>
          <t>industrials</t>
        </is>
      </c>
      <c r="D96" s="31" t="inlineStr">
        <is>
          <t>cables - power</t>
        </is>
      </c>
      <c r="E96" s="31" t="inlineStr">
        <is>
          <t>smallcap</t>
        </is>
      </c>
      <c r="F96" s="31" t="n">
        <v>2117</v>
      </c>
      <c r="G96" s="31" t="n">
        <v>547.4</v>
      </c>
      <c r="H96" s="31" t="n">
        <v>3.43</v>
      </c>
      <c r="I96" s="31" t="n">
        <v>515075</v>
      </c>
      <c r="J96" s="31" t="inlineStr">
        <is>
          <t>544336</t>
        </is>
      </c>
    </row>
    <row r="97">
      <c r="A97" s="31" t="inlineStr">
        <is>
          <t>PRIMO</t>
        </is>
      </c>
      <c r="B97" s="31" t="inlineStr">
        <is>
          <t>Primo Chemicals Ltd</t>
        </is>
      </c>
      <c r="C97" s="31" t="inlineStr">
        <is>
          <t>chemicals</t>
        </is>
      </c>
      <c r="D97" s="31" t="inlineStr">
        <is>
          <t>chlor alkali / soda ash</t>
        </is>
      </c>
      <c r="E97" s="31" t="inlineStr">
        <is>
          <t>smallcap</t>
        </is>
      </c>
      <c r="F97" s="31" t="n">
        <v>632.03</v>
      </c>
      <c r="G97" s="31" t="n">
        <v>26.97</v>
      </c>
      <c r="H97" s="31" t="n">
        <v>3.41</v>
      </c>
      <c r="I97" s="31" t="n">
        <v>433840</v>
      </c>
      <c r="J97" s="31" t="inlineStr">
        <is>
          <t>506852</t>
        </is>
      </c>
    </row>
    <row r="98">
      <c r="A98" s="31" t="inlineStr">
        <is>
          <t>AURUM</t>
        </is>
      </c>
      <c r="B98" s="31" t="inlineStr">
        <is>
          <t>Aurum Proptech Ltd</t>
        </is>
      </c>
      <c r="C98" s="31" t="inlineStr">
        <is>
          <t>i.t</t>
        </is>
      </c>
      <c r="D98" s="31" t="inlineStr">
        <is>
          <t>computers - software - medium / small</t>
        </is>
      </c>
      <c r="E98" s="31" t="inlineStr">
        <is>
          <t>smallcap</t>
        </is>
      </c>
      <c r="F98" s="31" t="n">
        <v>2159.14</v>
      </c>
      <c r="G98" s="31" t="n">
        <v>231.14</v>
      </c>
      <c r="H98" s="31" t="n">
        <v>3.37</v>
      </c>
      <c r="I98" s="31" t="n">
        <v>135512</v>
      </c>
      <c r="J98" s="31" t="inlineStr">
        <is>
          <t>539289</t>
        </is>
      </c>
    </row>
    <row r="99">
      <c r="A99" s="31" t="inlineStr">
        <is>
          <t>CGPOWER</t>
        </is>
      </c>
      <c r="B99" s="31" t="inlineStr">
        <is>
          <t>CG Power and Industrial Solutions Ltd</t>
        </is>
      </c>
      <c r="C99" s="31" t="inlineStr">
        <is>
          <t>industrials</t>
        </is>
      </c>
      <c r="D99" s="31" t="inlineStr">
        <is>
          <t>electric equipment</t>
        </is>
      </c>
      <c r="E99" s="31" t="inlineStr">
        <is>
          <t>largecap</t>
        </is>
      </c>
      <c r="F99" s="31" t="n">
        <v>138960.42</v>
      </c>
      <c r="G99" s="31" t="n">
        <v>912</v>
      </c>
      <c r="H99" s="31" t="n">
        <v>3.37</v>
      </c>
      <c r="I99" s="31" t="n">
        <v>2540774</v>
      </c>
      <c r="J99" s="31" t="inlineStr">
        <is>
          <t>500093</t>
        </is>
      </c>
    </row>
    <row r="100">
      <c r="A100" s="31" t="inlineStr">
        <is>
          <t>WELSPUNLIV</t>
        </is>
      </c>
      <c r="B100" s="31" t="inlineStr">
        <is>
          <t>Welspun Living Ltd</t>
        </is>
      </c>
      <c r="C100" s="31" t="inlineStr">
        <is>
          <t>textiles</t>
        </is>
      </c>
      <c r="D100" s="31" t="inlineStr">
        <is>
          <t>textiles - products</t>
        </is>
      </c>
      <c r="E100" s="31" t="inlineStr">
        <is>
          <t>largecap</t>
        </is>
      </c>
      <c r="F100" s="31" t="n">
        <v>21754.82</v>
      </c>
      <c r="G100" s="31" t="n">
        <v>237.86</v>
      </c>
      <c r="H100" s="31" t="n">
        <v>3.3</v>
      </c>
      <c r="I100" s="31" t="n">
        <v>4609322</v>
      </c>
      <c r="J100" s="31" t="inlineStr">
        <is>
          <t>514162</t>
        </is>
      </c>
    </row>
    <row r="101">
      <c r="A101" s="31" t="inlineStr">
        <is>
          <t>ASTRAMICRO</t>
        </is>
      </c>
      <c r="B101" s="31" t="inlineStr">
        <is>
          <t>Astra Microwave Products Limited</t>
        </is>
      </c>
      <c r="C101" s="31" t="inlineStr">
        <is>
          <t>aerospace &amp; defence</t>
        </is>
      </c>
      <c r="D101" s="31" t="inlineStr">
        <is>
          <t>telecommunications - equipment</t>
        </is>
      </c>
      <c r="E101" s="31" t="inlineStr">
        <is>
          <t>midcap</t>
        </is>
      </c>
      <c r="F101" s="31" t="n">
        <v>15682.07</v>
      </c>
      <c r="G101" s="31" t="n">
        <v>1705.9</v>
      </c>
      <c r="H101" s="31" t="n">
        <v>3.28</v>
      </c>
      <c r="I101" s="31" t="n">
        <v>571464</v>
      </c>
      <c r="J101" s="31" t="inlineStr">
        <is>
          <t>532493</t>
        </is>
      </c>
    </row>
    <row r="102">
      <c r="A102" s="31" t="inlineStr">
        <is>
          <t>GLAND</t>
        </is>
      </c>
      <c r="B102" s="31" t="inlineStr">
        <is>
          <t>Gland Pharma Ltd</t>
        </is>
      </c>
      <c r="C102" s="31" t="inlineStr">
        <is>
          <t>healthcare</t>
        </is>
      </c>
      <c r="D102" s="31" t="inlineStr">
        <is>
          <t>pharmaceuticals - indian - formulations</t>
        </is>
      </c>
      <c r="E102" s="31" t="inlineStr">
        <is>
          <t>largecap</t>
        </is>
      </c>
      <c r="F102" s="31" t="n">
        <v>48028.01</v>
      </c>
      <c r="G102" s="31" t="n">
        <v>3006.1</v>
      </c>
      <c r="H102" s="31" t="n">
        <v>3.25</v>
      </c>
      <c r="I102" s="31" t="n">
        <v>373873</v>
      </c>
      <c r="J102" s="31" t="inlineStr">
        <is>
          <t>543245</t>
        </is>
      </c>
    </row>
    <row r="103">
      <c r="A103" s="31" t="inlineStr">
        <is>
          <t>NAVINFLUOR</t>
        </is>
      </c>
      <c r="B103" s="31" t="inlineStr">
        <is>
          <t>Navin Fluorine International Limited</t>
        </is>
      </c>
      <c r="C103" s="31" t="inlineStr">
        <is>
          <t>chemicals</t>
        </is>
      </c>
      <c r="D103" s="31" t="inlineStr">
        <is>
          <t>chemicals</t>
        </is>
      </c>
      <c r="E103" s="31" t="inlineStr">
        <is>
          <t>largecap</t>
        </is>
      </c>
      <c r="F103" s="31" t="n">
        <v>42428.05</v>
      </c>
      <c r="G103" s="31" t="n">
        <v>8536</v>
      </c>
      <c r="H103" s="31" t="n">
        <v>3.19</v>
      </c>
      <c r="I103" s="31" t="n">
        <v>112311</v>
      </c>
      <c r="J103" s="31" t="inlineStr">
        <is>
          <t>532504</t>
        </is>
      </c>
    </row>
    <row r="104">
      <c r="A104" s="31" t="inlineStr">
        <is>
          <t>VENKEYS</t>
        </is>
      </c>
      <c r="B104" s="31" t="inlineStr">
        <is>
          <t>Venky's (india) Limited</t>
        </is>
      </c>
      <c r="C104" s="31" t="inlineStr">
        <is>
          <t>fmcg</t>
        </is>
      </c>
      <c r="D104" s="31" t="inlineStr">
        <is>
          <t>miscellaneous</t>
        </is>
      </c>
      <c r="E104" s="31" t="inlineStr">
        <is>
          <t>smallcap</t>
        </is>
      </c>
      <c r="F104" s="31" t="n">
        <v>2314.13</v>
      </c>
      <c r="G104" s="31" t="n">
        <v>1694.8</v>
      </c>
      <c r="H104" s="31" t="n">
        <v>3.17</v>
      </c>
      <c r="I104" s="31" t="n">
        <v>49857</v>
      </c>
      <c r="J104" s="31" t="inlineStr">
        <is>
          <t>523261</t>
        </is>
      </c>
    </row>
    <row r="105">
      <c r="A105" s="31" t="inlineStr">
        <is>
          <t>SHREEPUSHK</t>
        </is>
      </c>
      <c r="B105" s="31" t="inlineStr">
        <is>
          <t>Shree Pushkar Chemicals &amp; Fertilisers Limited</t>
        </is>
      </c>
      <c r="C105" s="31" t="inlineStr">
        <is>
          <t>chemicals</t>
        </is>
      </c>
      <c r="D105" s="31" t="inlineStr">
        <is>
          <t>dyes and pigments</t>
        </is>
      </c>
      <c r="E105" s="31" t="inlineStr">
        <is>
          <t>smallcap</t>
        </is>
      </c>
      <c r="F105" s="31" t="n">
        <v>1599.26</v>
      </c>
      <c r="G105" s="31" t="n">
        <v>510.1</v>
      </c>
      <c r="H105" s="31" t="n">
        <v>3.14</v>
      </c>
      <c r="I105" s="31" t="n">
        <v>51539</v>
      </c>
      <c r="J105" s="31" t="inlineStr">
        <is>
          <t>539334</t>
        </is>
      </c>
    </row>
    <row r="106">
      <c r="A106" s="31" t="inlineStr">
        <is>
          <t>AEROFLEX</t>
        </is>
      </c>
      <c r="B106" s="31" t="inlineStr">
        <is>
          <t>Aeroflex Industries Ltd</t>
        </is>
      </c>
      <c r="C106" s="31" t="inlineStr">
        <is>
          <t>metals &amp; mining</t>
        </is>
      </c>
      <c r="D106" s="31" t="inlineStr">
        <is>
          <t>steel - medium / small</t>
        </is>
      </c>
      <c r="E106" s="31" t="inlineStr">
        <is>
          <t>midcap</t>
        </is>
      </c>
      <c r="F106" s="31" t="n">
        <v>7203.43</v>
      </c>
      <c r="G106" s="31" t="n">
        <v>560.75</v>
      </c>
      <c r="H106" s="31" t="n">
        <v>3.01</v>
      </c>
      <c r="I106" s="31" t="n">
        <v>1324804</v>
      </c>
      <c r="J106" s="31" t="inlineStr">
        <is>
          <t>543972</t>
        </is>
      </c>
    </row>
    <row r="107">
      <c r="A107" s="31" t="inlineStr">
        <is>
          <t>AARTIPHARM</t>
        </is>
      </c>
      <c r="B107" s="31" t="inlineStr">
        <is>
          <t>Aarti Pharmalabs Ltd</t>
        </is>
      </c>
      <c r="C107" s="31" t="inlineStr">
        <is>
          <t>healthcare</t>
        </is>
      </c>
      <c r="D107" s="31" t="inlineStr">
        <is>
          <t>pharmaceuticals - indian - bulk drugs &amp; formln</t>
        </is>
      </c>
      <c r="E107" s="31" t="inlineStr">
        <is>
          <t>midcap</t>
        </is>
      </c>
      <c r="F107" s="31" t="n">
        <v>8583.75</v>
      </c>
      <c r="G107" s="31" t="n">
        <v>975</v>
      </c>
      <c r="H107" s="31" t="n">
        <v>3</v>
      </c>
      <c r="I107" s="31" t="n">
        <v>537274</v>
      </c>
      <c r="J107" s="31" t="inlineStr">
        <is>
          <t>543748</t>
        </is>
      </c>
    </row>
    <row r="108">
      <c r="A108" s="31" t="inlineStr">
        <is>
          <t>BALRAMCHIN</t>
        </is>
      </c>
      <c r="B108" s="31" t="inlineStr">
        <is>
          <t>Balrampur Chini Mills Limited</t>
        </is>
      </c>
      <c r="C108" s="31" t="inlineStr">
        <is>
          <t>fmcg</t>
        </is>
      </c>
      <c r="D108" s="31" t="inlineStr">
        <is>
          <t>sugar</t>
        </is>
      </c>
      <c r="E108" s="31" t="inlineStr">
        <is>
          <t>midcap</t>
        </is>
      </c>
      <c r="F108" s="31" t="n">
        <v>14186.59</v>
      </c>
      <c r="G108" s="31" t="n">
        <v>691.3</v>
      </c>
      <c r="H108" s="31" t="n">
        <v>2.95</v>
      </c>
      <c r="I108" s="31" t="n">
        <v>2257521</v>
      </c>
      <c r="J108" s="31" t="inlineStr">
        <is>
          <t>500038</t>
        </is>
      </c>
    </row>
    <row r="109">
      <c r="A109" s="31" t="inlineStr">
        <is>
          <t>SHIVALIK</t>
        </is>
      </c>
      <c r="B109" s="31" t="inlineStr">
        <is>
          <t>Shivalik Rasayan Ltd</t>
        </is>
      </c>
      <c r="C109" s="31" t="inlineStr">
        <is>
          <t>chemicals</t>
        </is>
      </c>
      <c r="D109" s="31" t="inlineStr">
        <is>
          <t>pesticides / agrochemicals - indian</t>
        </is>
      </c>
      <c r="E109" s="31" t="inlineStr">
        <is>
          <t>smallcap</t>
        </is>
      </c>
      <c r="F109" s="31" t="n">
        <v>601.6900000000001</v>
      </c>
      <c r="G109" s="31" t="n">
        <v>386.25</v>
      </c>
      <c r="H109" s="31" t="n">
        <v>2.92</v>
      </c>
      <c r="I109" s="31" t="n">
        <v>78286</v>
      </c>
      <c r="J109" s="31" t="inlineStr">
        <is>
          <t>539148</t>
        </is>
      </c>
    </row>
    <row r="110">
      <c r="A110" s="31" t="inlineStr">
        <is>
          <t>LOTUSDEV</t>
        </is>
      </c>
      <c r="B110" s="31" t="inlineStr">
        <is>
          <t>Sri Lotus Developers &amp; Realty Ltd</t>
        </is>
      </c>
      <c r="C110" s="31" t="inlineStr">
        <is>
          <t>realty</t>
        </is>
      </c>
      <c r="D110" s="31" t="inlineStr">
        <is>
          <t>construction</t>
        </is>
      </c>
      <c r="E110" s="31" t="inlineStr">
        <is>
          <t>midcap</t>
        </is>
      </c>
      <c r="F110" s="31" t="n">
        <v>11626.25</v>
      </c>
      <c r="G110" s="31" t="n">
        <v>244.73</v>
      </c>
      <c r="H110" s="31" t="n">
        <v>2.88</v>
      </c>
      <c r="I110" s="31" t="n">
        <v>1512350</v>
      </c>
      <c r="J110" s="31" t="inlineStr">
        <is>
          <t>544469</t>
        </is>
      </c>
    </row>
    <row r="111">
      <c r="A111" s="31" t="inlineStr">
        <is>
          <t>HERITGFOOD</t>
        </is>
      </c>
      <c r="B111" s="31" t="inlineStr">
        <is>
          <t>Heritage Foods Limited</t>
        </is>
      </c>
      <c r="C111" s="31" t="inlineStr">
        <is>
          <t>fmcg</t>
        </is>
      </c>
      <c r="D111" s="31" t="inlineStr">
        <is>
          <t>food - processing - indian</t>
        </is>
      </c>
      <c r="E111" s="31" t="inlineStr">
        <is>
          <t>smallcap</t>
        </is>
      </c>
      <c r="F111" s="31" t="n">
        <v>3663.12</v>
      </c>
      <c r="G111" s="31" t="n">
        <v>406.1</v>
      </c>
      <c r="H111" s="31" t="n">
        <v>2.88</v>
      </c>
      <c r="I111" s="31" t="n">
        <v>271576</v>
      </c>
      <c r="J111" s="31" t="inlineStr">
        <is>
          <t>519552</t>
        </is>
      </c>
    </row>
    <row r="112">
      <c r="A112" s="31" t="inlineStr">
        <is>
          <t>GMMPFAUDLR</t>
        </is>
      </c>
      <c r="B112" s="31" t="inlineStr">
        <is>
          <t>GMM Pfaudler Ltd</t>
        </is>
      </c>
      <c r="C112" s="31" t="inlineStr">
        <is>
          <t>industrials</t>
        </is>
      </c>
      <c r="D112" s="31" t="inlineStr">
        <is>
          <t>engineering</t>
        </is>
      </c>
      <c r="E112" s="31" t="inlineStr">
        <is>
          <t>midcap</t>
        </is>
      </c>
      <c r="F112" s="31" t="n">
        <v>6233.77</v>
      </c>
      <c r="G112" s="31" t="n">
        <v>1425.7</v>
      </c>
      <c r="H112" s="31" t="n">
        <v>2.82</v>
      </c>
      <c r="I112" s="31" t="n">
        <v>228112</v>
      </c>
      <c r="J112" s="31" t="inlineStr">
        <is>
          <t>505255</t>
        </is>
      </c>
    </row>
    <row r="113">
      <c r="A113" s="31" t="inlineStr">
        <is>
          <t>UTTAMSUGAR</t>
        </is>
      </c>
      <c r="B113" s="31" t="inlineStr">
        <is>
          <t>Uttam Sugar Mills Limited</t>
        </is>
      </c>
      <c r="C113" s="31" t="inlineStr">
        <is>
          <t>fmcg</t>
        </is>
      </c>
      <c r="D113" s="31" t="inlineStr">
        <is>
          <t>sugar</t>
        </is>
      </c>
      <c r="E113" s="31" t="inlineStr">
        <is>
          <t>smallcap</t>
        </is>
      </c>
      <c r="F113" s="31" t="n">
        <v>1123.93</v>
      </c>
      <c r="G113" s="31" t="n">
        <v>302.8</v>
      </c>
      <c r="H113" s="31" t="n">
        <v>2.75</v>
      </c>
      <c r="I113" s="31" t="n">
        <v>427890</v>
      </c>
      <c r="J113" s="31" t="inlineStr">
        <is>
          <t>532729</t>
        </is>
      </c>
    </row>
    <row r="114">
      <c r="A114" s="31" t="inlineStr">
        <is>
          <t>ORBTEXP</t>
        </is>
      </c>
      <c r="B114" s="31" t="inlineStr">
        <is>
          <t>Orbit Exports Limited</t>
        </is>
      </c>
      <c r="C114" s="31" t="inlineStr">
        <is>
          <t>textiles</t>
        </is>
      </c>
      <c r="D114" s="31" t="inlineStr">
        <is>
          <t>textiles - processing</t>
        </is>
      </c>
      <c r="E114" s="31" t="inlineStr">
        <is>
          <t>smallcap</t>
        </is>
      </c>
      <c r="F114" s="31" t="n">
        <v>637.33</v>
      </c>
      <c r="G114" s="31" t="n">
        <v>246.85</v>
      </c>
      <c r="H114" s="31" t="n">
        <v>2.68</v>
      </c>
      <c r="I114" s="31" t="n">
        <v>8679</v>
      </c>
      <c r="J114" s="31" t="inlineStr">
        <is>
          <t>512626</t>
        </is>
      </c>
    </row>
    <row r="115">
      <c r="A115" s="31" t="inlineStr">
        <is>
          <t>MMP</t>
        </is>
      </c>
      <c r="B115" s="31" t="inlineStr">
        <is>
          <t>MMP Industries Ltd</t>
        </is>
      </c>
      <c r="C115" s="31" t="inlineStr">
        <is>
          <t>metals &amp; mining</t>
        </is>
      </c>
      <c r="D115" s="31" t="inlineStr">
        <is>
          <t>aluminium and aluminium products</t>
        </is>
      </c>
      <c r="E115" s="31" t="inlineStr">
        <is>
          <t>smallcap</t>
        </is>
      </c>
      <c r="F115" s="31" t="n">
        <v>1188.97</v>
      </c>
      <c r="G115" s="31" t="n">
        <v>480.55</v>
      </c>
      <c r="H115" s="31" t="n">
        <v>2.67</v>
      </c>
      <c r="I115" s="31" t="n">
        <v>51091</v>
      </c>
      <c r="J115" s="31" t="inlineStr">
        <is>
          <t>535071</t>
        </is>
      </c>
    </row>
    <row r="116">
      <c r="A116" s="31" t="inlineStr">
        <is>
          <t>PTCIL</t>
        </is>
      </c>
      <c r="B116" s="31" t="inlineStr">
        <is>
          <t>PTC Industries Ltd</t>
        </is>
      </c>
      <c r="C116" s="31" t="inlineStr">
        <is>
          <t>castings, forgings &amp; fasteners</t>
        </is>
      </c>
      <c r="D116" s="31" t="inlineStr">
        <is>
          <t>castings &amp; forgings</t>
        </is>
      </c>
      <c r="E116" s="31" t="inlineStr">
        <is>
          <t>largecap</t>
        </is>
      </c>
      <c r="F116" s="31" t="n">
        <v>33778.21</v>
      </c>
      <c r="G116" s="31" t="n">
        <v>23125</v>
      </c>
      <c r="H116" s="31" t="n">
        <v>2.64</v>
      </c>
      <c r="I116" s="31" t="n">
        <v>20786</v>
      </c>
      <c r="J116" s="31" t="inlineStr">
        <is>
          <t>539006</t>
        </is>
      </c>
    </row>
    <row r="117">
      <c r="A117" s="31" t="inlineStr">
        <is>
          <t>SHAREINDIA</t>
        </is>
      </c>
      <c r="B117" s="31" t="inlineStr">
        <is>
          <t>Share India Securities Ltd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smallcap</t>
        </is>
      </c>
      <c r="F117" s="31" t="n">
        <v>4509.12</v>
      </c>
      <c r="G117" s="31" t="n">
        <v>211.4</v>
      </c>
      <c r="H117" s="31" t="n">
        <v>2.59</v>
      </c>
      <c r="I117" s="31" t="n">
        <v>880466</v>
      </c>
      <c r="J117" s="31" t="inlineStr">
        <is>
          <t>540725</t>
        </is>
      </c>
    </row>
    <row r="118">
      <c r="A118" s="31" t="inlineStr">
        <is>
          <t>PETRONET</t>
        </is>
      </c>
      <c r="B118" s="31" t="inlineStr">
        <is>
          <t>Petronet Lng Limited</t>
        </is>
      </c>
      <c r="C118" s="31" t="inlineStr">
        <is>
          <t>energy</t>
        </is>
      </c>
      <c r="D118" s="31" t="inlineStr">
        <is>
          <t>miscellaneous</t>
        </is>
      </c>
      <c r="E118" s="31" t="inlineStr">
        <is>
          <t>largecap</t>
        </is>
      </c>
      <c r="F118" s="31" t="n">
        <v>43500</v>
      </c>
      <c r="G118" s="31" t="n">
        <v>297.5</v>
      </c>
      <c r="H118" s="31" t="n">
        <v>2.59</v>
      </c>
      <c r="I118" s="31" t="n">
        <v>5098731</v>
      </c>
      <c r="J118" s="31" t="inlineStr">
        <is>
          <t>532522</t>
        </is>
      </c>
    </row>
    <row r="119">
      <c r="A119" s="31" t="inlineStr">
        <is>
          <t>ABDL</t>
        </is>
      </c>
      <c r="B119" s="31" t="inlineStr">
        <is>
          <t>Allied Blenders &amp; Distillers Ltd</t>
        </is>
      </c>
      <c r="C119" s="31" t="inlineStr">
        <is>
          <t>fmcg</t>
        </is>
      </c>
      <c r="D119" s="31" t="inlineStr">
        <is>
          <t>breweries &amp; distilleries</t>
        </is>
      </c>
      <c r="E119" s="31" t="inlineStr">
        <is>
          <t>midcap</t>
        </is>
      </c>
      <c r="F119" s="31" t="n">
        <v>19488.8</v>
      </c>
      <c r="G119" s="31" t="n">
        <v>714.65</v>
      </c>
      <c r="H119" s="31" t="n">
        <v>2.57</v>
      </c>
      <c r="I119" s="31" t="n">
        <v>701809</v>
      </c>
      <c r="J119" s="31" t="inlineStr">
        <is>
          <t>544203</t>
        </is>
      </c>
    </row>
    <row r="120">
      <c r="A120" s="31" t="inlineStr">
        <is>
          <t>VINCOFE</t>
        </is>
      </c>
      <c r="B120" s="31" t="inlineStr">
        <is>
          <t>Vintage Coffee &amp; Beverages Ltd</t>
        </is>
      </c>
      <c r="C120" s="31" t="inlineStr">
        <is>
          <t>consumer discretionary</t>
        </is>
      </c>
      <c r="D120" s="31" t="inlineStr">
        <is>
          <t>trading</t>
        </is>
      </c>
      <c r="E120" s="31" t="inlineStr">
        <is>
          <t>smallcap</t>
        </is>
      </c>
      <c r="F120" s="31" t="n">
        <v>2660.12</v>
      </c>
      <c r="G120" s="31" t="n">
        <v>187.21</v>
      </c>
      <c r="H120" s="31" t="n">
        <v>2.53</v>
      </c>
      <c r="I120" s="31" t="n">
        <v>1459907</v>
      </c>
      <c r="J120" s="31" t="inlineStr">
        <is>
          <t>538920</t>
        </is>
      </c>
    </row>
    <row r="121">
      <c r="A121" s="31" t="inlineStr">
        <is>
          <t>GLOBAL</t>
        </is>
      </c>
      <c r="B121" s="31" t="inlineStr">
        <is>
          <t>Global Education Ltd</t>
        </is>
      </c>
      <c r="C121" s="31" t="inlineStr">
        <is>
          <t>services</t>
        </is>
      </c>
      <c r="D121" s="31" t="inlineStr">
        <is>
          <t>miscellaneous</t>
        </is>
      </c>
      <c r="E121" s="31" t="inlineStr">
        <is>
          <t>smallcap</t>
        </is>
      </c>
      <c r="F121" s="31" t="n">
        <v>708.04</v>
      </c>
      <c r="G121" s="31" t="n">
        <v>142.62</v>
      </c>
      <c r="H121" s="31" t="n">
        <v>2.53</v>
      </c>
      <c r="I121" s="31" t="n">
        <v>209802</v>
      </c>
      <c r="J121" s="31" t="inlineStr">
        <is>
          <t>538406</t>
        </is>
      </c>
    </row>
    <row r="122">
      <c r="A122" s="31" t="inlineStr">
        <is>
          <t>ARIS</t>
        </is>
      </c>
      <c r="B122" s="31" t="inlineStr">
        <is>
          <t>Arisinfra Solutions Ltd</t>
        </is>
      </c>
      <c r="C122" s="31" t="inlineStr">
        <is>
          <t>services</t>
        </is>
      </c>
      <c r="D122" s="31" t="inlineStr">
        <is>
          <t>trading</t>
        </is>
      </c>
      <c r="E122" s="31" t="inlineStr">
        <is>
          <t>smallcap</t>
        </is>
      </c>
      <c r="F122" s="31" t="n">
        <v>1147.08</v>
      </c>
      <c r="G122" s="31" t="n">
        <v>143.66</v>
      </c>
      <c r="H122" s="31" t="n">
        <v>2.44</v>
      </c>
      <c r="I122" s="31" t="n">
        <v>2533868</v>
      </c>
      <c r="J122" s="31" t="inlineStr">
        <is>
          <t>544419</t>
        </is>
      </c>
    </row>
    <row r="123">
      <c r="A123" s="31" t="inlineStr">
        <is>
          <t>PLASTIBLEN</t>
        </is>
      </c>
      <c r="B123" s="31" t="inlineStr">
        <is>
          <t>Plastiblends India Limited</t>
        </is>
      </c>
      <c r="C123" s="31" t="inlineStr">
        <is>
          <t>chemicals</t>
        </is>
      </c>
      <c r="D123" s="31" t="inlineStr">
        <is>
          <t>chemicals</t>
        </is>
      </c>
      <c r="E123" s="31" t="inlineStr">
        <is>
          <t>smallcap</t>
        </is>
      </c>
      <c r="F123" s="31" t="n">
        <v>514.04</v>
      </c>
      <c r="G123" s="31" t="n">
        <v>202.4</v>
      </c>
      <c r="H123" s="31" t="n">
        <v>2.33</v>
      </c>
      <c r="I123" s="31" t="n">
        <v>54146</v>
      </c>
      <c r="J123" s="31" t="inlineStr">
        <is>
          <t>523648</t>
        </is>
      </c>
    </row>
    <row r="124">
      <c r="A124" s="31" t="inlineStr">
        <is>
          <t>RAYMONDREL</t>
        </is>
      </c>
      <c r="B124" s="31" t="inlineStr">
        <is>
          <t>Raymond Realty Ltd</t>
        </is>
      </c>
      <c r="C124" s="31" t="inlineStr">
        <is>
          <t>realty</t>
        </is>
      </c>
      <c r="D124" s="31" t="inlineStr">
        <is>
          <t>construction</t>
        </is>
      </c>
      <c r="E124" s="31" t="inlineStr">
        <is>
          <t>smallcap</t>
        </is>
      </c>
      <c r="F124" s="31" t="n">
        <v>4605.9</v>
      </c>
      <c r="G124" s="31" t="n">
        <v>707.8</v>
      </c>
      <c r="H124" s="31" t="n">
        <v>2.31</v>
      </c>
      <c r="I124" s="31" t="n">
        <v>2765917</v>
      </c>
      <c r="J124" s="31" t="inlineStr">
        <is>
          <t>544420</t>
        </is>
      </c>
    </row>
    <row r="125">
      <c r="A125" s="31" t="inlineStr">
        <is>
          <t>SOMANYCERA</t>
        </is>
      </c>
      <c r="B125" s="31" t="inlineStr">
        <is>
          <t>Somany Ceramics Limited</t>
        </is>
      </c>
      <c r="C125" s="31" t="inlineStr">
        <is>
          <t>building materials</t>
        </is>
      </c>
      <c r="D125" s="31" t="inlineStr">
        <is>
          <t>ceramics - tiles / sanitaryware</t>
        </is>
      </c>
      <c r="E125" s="31" t="inlineStr">
        <is>
          <t>smallcap</t>
        </is>
      </c>
      <c r="F125" s="31" t="n">
        <v>2505.47</v>
      </c>
      <c r="G125" s="31" t="n">
        <v>625</v>
      </c>
      <c r="H125" s="31" t="n">
        <v>2.31</v>
      </c>
      <c r="I125" s="31" t="n">
        <v>129420</v>
      </c>
      <c r="J125" s="31" t="inlineStr">
        <is>
          <t>531548</t>
        </is>
      </c>
    </row>
    <row r="126">
      <c r="A126" s="31" t="inlineStr">
        <is>
          <t>GREENPLY</t>
        </is>
      </c>
      <c r="B126" s="31" t="inlineStr">
        <is>
          <t>Greenply Industries Limited</t>
        </is>
      </c>
      <c r="C126" s="31" t="inlineStr">
        <is>
          <t>building materials</t>
        </is>
      </c>
      <c r="D126" s="31" t="inlineStr">
        <is>
          <t>miscellaneous</t>
        </is>
      </c>
      <c r="E126" s="31" t="inlineStr">
        <is>
          <t>smallcap</t>
        </is>
      </c>
      <c r="F126" s="31" t="n">
        <v>3852.6</v>
      </c>
      <c r="G126" s="31" t="n">
        <v>315.3</v>
      </c>
      <c r="H126" s="31" t="n">
        <v>2.22</v>
      </c>
      <c r="I126" s="31" t="n">
        <v>196749</v>
      </c>
      <c r="J126" s="31" t="inlineStr">
        <is>
          <t>526797</t>
        </is>
      </c>
    </row>
    <row r="127">
      <c r="A127" s="31" t="inlineStr">
        <is>
          <t>FOSECOIND</t>
        </is>
      </c>
      <c r="B127" s="31" t="inlineStr">
        <is>
          <t>Foseco India Limited</t>
        </is>
      </c>
      <c r="C127" s="31" t="inlineStr">
        <is>
          <t>chemicals</t>
        </is>
      </c>
      <c r="D127" s="31" t="inlineStr">
        <is>
          <t>chemicals</t>
        </is>
      </c>
      <c r="E127" s="31" t="inlineStr">
        <is>
          <t>smallcap</t>
        </is>
      </c>
      <c r="F127" s="31" t="n">
        <v>4748.85</v>
      </c>
      <c r="G127" s="31" t="n">
        <v>6440</v>
      </c>
      <c r="H127" s="31" t="n">
        <v>2.21</v>
      </c>
      <c r="I127" s="31" t="n">
        <v>10288</v>
      </c>
      <c r="J127" s="31" t="inlineStr">
        <is>
          <t>500150</t>
        </is>
      </c>
    </row>
    <row r="128">
      <c r="A128" s="31" t="inlineStr">
        <is>
          <t>UDS</t>
        </is>
      </c>
      <c r="B128" s="31" t="inlineStr">
        <is>
          <t>Updater Services Ltd</t>
        </is>
      </c>
      <c r="C128" s="31" t="inlineStr">
        <is>
          <t>miscellaneous</t>
        </is>
      </c>
      <c r="D128" s="31" t="inlineStr">
        <is>
          <t>miscellaneous</t>
        </is>
      </c>
      <c r="E128" s="31" t="inlineStr">
        <is>
          <t>smallcap</t>
        </is>
      </c>
      <c r="F128" s="31" t="n">
        <v>1411.51</v>
      </c>
      <c r="G128" s="31" t="n">
        <v>215.4</v>
      </c>
      <c r="H128" s="31" t="n">
        <v>2.17</v>
      </c>
      <c r="I128" s="31" t="n">
        <v>141225</v>
      </c>
      <c r="J128" s="31" t="inlineStr">
        <is>
          <t>543996</t>
        </is>
      </c>
    </row>
    <row r="129">
      <c r="A129" s="31" t="inlineStr">
        <is>
          <t>KECL</t>
        </is>
      </c>
      <c r="B129" s="31" t="inlineStr">
        <is>
          <t>Kirloskar Electric Company Limited</t>
        </is>
      </c>
      <c r="C129" s="31" t="inlineStr">
        <is>
          <t>industrials</t>
        </is>
      </c>
      <c r="D129" s="31" t="inlineStr">
        <is>
          <t>electric equipment</t>
        </is>
      </c>
      <c r="E129" s="31" t="inlineStr">
        <is>
          <t>smallcap</t>
        </is>
      </c>
      <c r="F129" s="31" t="n">
        <v>832.97</v>
      </c>
      <c r="G129" s="31" t="n">
        <v>128.11</v>
      </c>
      <c r="H129" s="31" t="n">
        <v>2.14</v>
      </c>
      <c r="I129" s="31" t="n">
        <v>151467</v>
      </c>
      <c r="J129" s="31" t="inlineStr">
        <is>
          <t>533193</t>
        </is>
      </c>
    </row>
    <row r="130">
      <c r="A130" s="31" t="inlineStr">
        <is>
          <t>SHREEJISPG</t>
        </is>
      </c>
      <c r="B130" s="31" t="inlineStr">
        <is>
          <t>Shreeji Shipping Global Ltd</t>
        </is>
      </c>
      <c r="C130" s="31" t="inlineStr">
        <is>
          <t>transportation</t>
        </is>
      </c>
      <c r="D130" s="31" t="inlineStr">
        <is>
          <t>shipping</t>
        </is>
      </c>
      <c r="E130" s="31" t="inlineStr">
        <is>
          <t>midcap</t>
        </is>
      </c>
      <c r="F130" s="31" t="n">
        <v>12705.18</v>
      </c>
      <c r="G130" s="31" t="n">
        <v>796.5</v>
      </c>
      <c r="H130" s="31" t="n">
        <v>2.14</v>
      </c>
      <c r="I130" s="31" t="n">
        <v>1125084</v>
      </c>
      <c r="J130" s="31" t="inlineStr">
        <is>
          <t>544490</t>
        </is>
      </c>
    </row>
    <row r="131">
      <c r="A131" s="31" t="inlineStr">
        <is>
          <t>LOKESHMACH</t>
        </is>
      </c>
      <c r="B131" s="31" t="inlineStr">
        <is>
          <t>Lokesh Machines Limited</t>
        </is>
      </c>
      <c r="C131" s="31" t="inlineStr">
        <is>
          <t>industrials</t>
        </is>
      </c>
      <c r="D131" s="31" t="inlineStr">
        <is>
          <t>engineering</t>
        </is>
      </c>
      <c r="E131" s="31" t="inlineStr">
        <is>
          <t>smallcap</t>
        </is>
      </c>
      <c r="F131" s="31" t="n">
        <v>972.6799999999999</v>
      </c>
      <c r="G131" s="31" t="n">
        <v>455.7</v>
      </c>
      <c r="H131" s="31" t="n">
        <v>2.12</v>
      </c>
      <c r="I131" s="31" t="n">
        <v>687289</v>
      </c>
      <c r="J131" s="31" t="inlineStr">
        <is>
          <t>532740</t>
        </is>
      </c>
    </row>
    <row r="132">
      <c r="A132" s="31" t="inlineStr">
        <is>
          <t>ALICON</t>
        </is>
      </c>
      <c r="B132" s="31" t="inlineStr">
        <is>
          <t>Alicon Castalloy Limited</t>
        </is>
      </c>
      <c r="C132" s="31" t="inlineStr">
        <is>
          <t>castings, forgings &amp; fasteners</t>
        </is>
      </c>
      <c r="D132" s="31" t="inlineStr">
        <is>
          <t>castings &amp; forgings</t>
        </is>
      </c>
      <c r="E132" s="31" t="inlineStr">
        <is>
          <t>smallcap</t>
        </is>
      </c>
      <c r="F132" s="31" t="n">
        <v>1393.28</v>
      </c>
      <c r="G132" s="31" t="n">
        <v>866.9</v>
      </c>
      <c r="H132" s="31" t="n">
        <v>2.11</v>
      </c>
      <c r="I132" s="31" t="n">
        <v>59587</v>
      </c>
      <c r="J132" s="31" t="inlineStr">
        <is>
          <t>531147</t>
        </is>
      </c>
    </row>
    <row r="133">
      <c r="A133" s="31" t="inlineStr">
        <is>
          <t>MANORAMA</t>
        </is>
      </c>
      <c r="B133" s="31" t="inlineStr">
        <is>
          <t>Manorama Industries Ltd</t>
        </is>
      </c>
      <c r="C133" s="31" t="inlineStr">
        <is>
          <t>fmcg</t>
        </is>
      </c>
      <c r="D133" s="31" t="inlineStr">
        <is>
          <t>food - processing - indian</t>
        </is>
      </c>
      <c r="E133" s="31" t="inlineStr">
        <is>
          <t>midcap</t>
        </is>
      </c>
      <c r="F133" s="31" t="n">
        <v>11612.71</v>
      </c>
      <c r="G133" s="31" t="n">
        <v>1985.6</v>
      </c>
      <c r="H133" s="31" t="n">
        <v>2.09</v>
      </c>
      <c r="I133" s="31" t="n">
        <v>207581</v>
      </c>
      <c r="J133" s="31" t="inlineStr">
        <is>
          <t>541974</t>
        </is>
      </c>
    </row>
    <row r="134">
      <c r="A134" s="31" t="inlineStr">
        <is>
          <t>MARINE</t>
        </is>
      </c>
      <c r="B134" s="31" t="inlineStr">
        <is>
          <t>Marine Electricals (India) Ltd</t>
        </is>
      </c>
      <c r="C134" s="31" t="inlineStr">
        <is>
          <t>industrials</t>
        </is>
      </c>
      <c r="D134" s="31" t="inlineStr">
        <is>
          <t>electric equipment</t>
        </is>
      </c>
      <c r="E134" s="31" t="inlineStr">
        <is>
          <t>midcap</t>
        </is>
      </c>
      <c r="F134" s="31" t="n">
        <v>6565.49</v>
      </c>
      <c r="G134" s="31" t="n">
        <v>478.85</v>
      </c>
      <c r="H134" s="31" t="n">
        <v>2.07</v>
      </c>
      <c r="I134" s="31" t="n">
        <v>2220066</v>
      </c>
      <c r="J134" s="31" t="inlineStr">
        <is>
          <t>535119</t>
        </is>
      </c>
    </row>
    <row r="135">
      <c r="A135" s="31" t="inlineStr">
        <is>
          <t>DPABHUSHAN</t>
        </is>
      </c>
      <c r="B135" s="31" t="inlineStr">
        <is>
          <t>D.P. Abhushan Ltd</t>
        </is>
      </c>
      <c r="C135" s="31" t="inlineStr">
        <is>
          <t>consumer discretionary</t>
        </is>
      </c>
      <c r="D135" s="31" t="inlineStr">
        <is>
          <t>trading</t>
        </is>
      </c>
      <c r="E135" s="31" t="inlineStr">
        <is>
          <t>smallcap</t>
        </is>
      </c>
      <c r="F135" s="31" t="n">
        <v>4863.49</v>
      </c>
      <c r="G135" s="31" t="n">
        <v>2174</v>
      </c>
      <c r="H135" s="31" t="n">
        <v>2.04</v>
      </c>
      <c r="I135" s="31" t="n">
        <v>530780</v>
      </c>
      <c r="J135" s="31" t="inlineStr">
        <is>
          <t>535026</t>
        </is>
      </c>
    </row>
    <row r="136">
      <c r="A136" s="31" t="inlineStr">
        <is>
          <t>KABRAEXTRU</t>
        </is>
      </c>
      <c r="B136" s="31" t="inlineStr">
        <is>
          <t>Kabra Extrusion Technik Limited</t>
        </is>
      </c>
      <c r="C136" s="31" t="inlineStr">
        <is>
          <t>industrials</t>
        </is>
      </c>
      <c r="D136" s="31" t="inlineStr">
        <is>
          <t>engineering</t>
        </is>
      </c>
      <c r="E136" s="31" t="inlineStr">
        <is>
          <t>smallcap</t>
        </is>
      </c>
      <c r="F136" s="31" t="n">
        <v>2795.73</v>
      </c>
      <c r="G136" s="31" t="n">
        <v>815.7</v>
      </c>
      <c r="H136" s="31" t="n">
        <v>2.04</v>
      </c>
      <c r="I136" s="31" t="n">
        <v>51133</v>
      </c>
      <c r="J136" s="31" t="inlineStr">
        <is>
          <t>524109</t>
        </is>
      </c>
    </row>
    <row r="137">
      <c r="A137" s="31" t="inlineStr">
        <is>
          <t>BIL</t>
        </is>
      </c>
      <c r="B137" s="31" t="inlineStr">
        <is>
          <t>Bhartiya International Limited</t>
        </is>
      </c>
      <c r="C137" s="31" t="inlineStr">
        <is>
          <t>consumer discretionary</t>
        </is>
      </c>
      <c r="D137" s="31" t="inlineStr">
        <is>
          <t>leather / leather products</t>
        </is>
      </c>
      <c r="E137" s="31" t="inlineStr">
        <is>
          <t>smallcap</t>
        </is>
      </c>
      <c r="F137" s="31" t="n">
        <v>1436.46</v>
      </c>
      <c r="G137" s="31" t="n">
        <v>1092.85</v>
      </c>
      <c r="H137" s="31" t="n">
        <v>2.03</v>
      </c>
      <c r="I137" s="31" t="n">
        <v>27873</v>
      </c>
      <c r="J137" s="31" t="inlineStr">
        <is>
          <t>526666</t>
        </is>
      </c>
    </row>
    <row r="138">
      <c r="A138" s="31" t="inlineStr">
        <is>
          <t>ACE</t>
        </is>
      </c>
      <c r="B138" s="31" t="inlineStr">
        <is>
          <t>Action Construction Equipment Limited</t>
        </is>
      </c>
      <c r="C138" s="31" t="inlineStr">
        <is>
          <t>industrials</t>
        </is>
      </c>
      <c r="D138" s="31" t="inlineStr">
        <is>
          <t>engineering</t>
        </is>
      </c>
      <c r="E138" s="31" t="inlineStr">
        <is>
          <t>midcap</t>
        </is>
      </c>
      <c r="F138" s="31" t="n">
        <v>14617.46</v>
      </c>
      <c r="G138" s="31" t="n">
        <v>1252.2</v>
      </c>
      <c r="H138" s="31" t="n">
        <v>2.01</v>
      </c>
      <c r="I138" s="31" t="n">
        <v>197550</v>
      </c>
      <c r="J138" s="31" t="inlineStr">
        <is>
          <t>532762</t>
        </is>
      </c>
    </row>
    <row r="139">
      <c r="A139" s="31" t="inlineStr">
        <is>
          <t>SPECTRUM</t>
        </is>
      </c>
      <c r="B139" s="31" t="inlineStr">
        <is>
          <t>Spectrum Electrical Industries Ltd</t>
        </is>
      </c>
      <c r="C139" s="31" t="inlineStr">
        <is>
          <t>industrials</t>
        </is>
      </c>
      <c r="D139" s="31" t="inlineStr">
        <is>
          <t>electric equipment</t>
        </is>
      </c>
      <c r="E139" s="31" t="inlineStr">
        <is>
          <t>midcap</t>
        </is>
      </c>
      <c r="F139" s="31" t="n">
        <v>6560.05</v>
      </c>
      <c r="G139" s="31" t="n">
        <v>3915.9</v>
      </c>
      <c r="H139" s="31" t="n">
        <v>2</v>
      </c>
      <c r="I139" s="31" t="n">
        <v>19949</v>
      </c>
      <c r="J139" s="31" t="inlineStr">
        <is>
          <t>535112</t>
        </is>
      </c>
    </row>
    <row r="140">
      <c r="A140" s="31" t="inlineStr">
        <is>
          <t>BAFNAPH</t>
        </is>
      </c>
      <c r="B140" s="31" t="inlineStr">
        <is>
          <t>Bafna Pharmaceuticals Ltd</t>
        </is>
      </c>
      <c r="C140" s="31" t="inlineStr">
        <is>
          <t>healthcare</t>
        </is>
      </c>
      <c r="D140" s="31" t="inlineStr">
        <is>
          <t>pharmaceuticals - indian - formulations</t>
        </is>
      </c>
      <c r="E140" s="31" t="inlineStr">
        <is>
          <t>smallcap</t>
        </is>
      </c>
      <c r="F140" s="31" t="n">
        <v>913.84</v>
      </c>
      <c r="G140" s="31" t="n">
        <v>394</v>
      </c>
      <c r="H140" s="31" t="n">
        <v>1.99</v>
      </c>
      <c r="I140" s="31" t="n">
        <v>480</v>
      </c>
      <c r="J140" s="31" t="inlineStr">
        <is>
          <t>532989</t>
        </is>
      </c>
    </row>
    <row r="141">
      <c r="A141" s="31" t="inlineStr">
        <is>
          <t>MANBA</t>
        </is>
      </c>
      <c r="B141" s="31" t="inlineStr">
        <is>
          <t>Manba Finance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smallcap</t>
        </is>
      </c>
      <c r="F141" s="31" t="n">
        <v>696.3200000000001</v>
      </c>
      <c r="G141" s="31" t="n">
        <v>141.35</v>
      </c>
      <c r="H141" s="31" t="n">
        <v>1.98</v>
      </c>
      <c r="I141" s="31" t="n">
        <v>43633</v>
      </c>
      <c r="J141" s="31" t="inlineStr">
        <is>
          <t>544262</t>
        </is>
      </c>
    </row>
    <row r="142">
      <c r="A142" s="31" t="inlineStr">
        <is>
          <t>ORIENTHOT</t>
        </is>
      </c>
      <c r="B142" s="31" t="inlineStr">
        <is>
          <t>Oriental Hotels Limited</t>
        </is>
      </c>
      <c r="C142" s="31" t="inlineStr">
        <is>
          <t>services</t>
        </is>
      </c>
      <c r="D142" s="31" t="inlineStr">
        <is>
          <t>hotels</t>
        </is>
      </c>
      <c r="E142" s="31" t="inlineStr">
        <is>
          <t>smallcap</t>
        </is>
      </c>
      <c r="F142" s="31" t="n">
        <v>2515.93</v>
      </c>
      <c r="G142" s="31" t="n">
        <v>143.61</v>
      </c>
      <c r="H142" s="31" t="n">
        <v>1.95</v>
      </c>
      <c r="I142" s="31" t="n">
        <v>869875</v>
      </c>
      <c r="J142" s="31" t="inlineStr">
        <is>
          <t>500314</t>
        </is>
      </c>
    </row>
    <row r="143">
      <c r="A143" s="31" t="inlineStr">
        <is>
          <t>PATELRMART</t>
        </is>
      </c>
      <c r="B143" s="31" t="inlineStr">
        <is>
          <t>Patel Retail Ltd</t>
        </is>
      </c>
      <c r="C143" s="31" t="inlineStr">
        <is>
          <t>consumer discretionary</t>
        </is>
      </c>
      <c r="D143" s="31" t="inlineStr">
        <is>
          <t>trading</t>
        </is>
      </c>
      <c r="E143" s="31" t="inlineStr">
        <is>
          <t>smallcap</t>
        </is>
      </c>
      <c r="F143" s="31" t="n">
        <v>744.5</v>
      </c>
      <c r="G143" s="31" t="n">
        <v>227.01</v>
      </c>
      <c r="H143" s="31" t="n">
        <v>1.84</v>
      </c>
      <c r="I143" s="31" t="n">
        <v>102505</v>
      </c>
      <c r="J143" s="31" t="inlineStr">
        <is>
          <t>544487</t>
        </is>
      </c>
    </row>
    <row r="144">
      <c r="A144" s="31" t="inlineStr">
        <is>
          <t>TBZ</t>
        </is>
      </c>
      <c r="B144" s="31" t="inlineStr">
        <is>
          <t>Tribhovandas Bhimji Zaveri Limited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smallcap</t>
        </is>
      </c>
      <c r="F144" s="31" t="n">
        <v>3989.82</v>
      </c>
      <c r="G144" s="31" t="n">
        <v>608.85</v>
      </c>
      <c r="H144" s="31" t="n">
        <v>1.83</v>
      </c>
      <c r="I144" s="31" t="n">
        <v>394826</v>
      </c>
      <c r="J144" s="31" t="inlineStr">
        <is>
          <t>534369</t>
        </is>
      </c>
    </row>
    <row r="145">
      <c r="A145" s="31" t="inlineStr">
        <is>
          <t>SHRINGARMS</t>
        </is>
      </c>
      <c r="B145" s="31" t="inlineStr">
        <is>
          <t>Shringar House of Mangalsutra Ltd</t>
        </is>
      </c>
      <c r="C145" s="31" t="inlineStr">
        <is>
          <t>consumer discretionary</t>
        </is>
      </c>
      <c r="D145" s="31" t="inlineStr">
        <is>
          <t>diamond cutting / jewellery</t>
        </is>
      </c>
      <c r="E145" s="31" t="inlineStr">
        <is>
          <t>smallcap</t>
        </is>
      </c>
      <c r="F145" s="31" t="n">
        <v>2115.33</v>
      </c>
      <c r="G145" s="31" t="n">
        <v>223.32</v>
      </c>
      <c r="H145" s="31" t="n">
        <v>1.81</v>
      </c>
      <c r="I145" s="31" t="n">
        <v>1145487</v>
      </c>
      <c r="J145" s="31" t="inlineStr">
        <is>
          <t>544512</t>
        </is>
      </c>
    </row>
    <row r="146">
      <c r="A146" s="31" t="inlineStr">
        <is>
          <t>QPOWER</t>
        </is>
      </c>
      <c r="B146" s="31" t="inlineStr">
        <is>
          <t>Quality Power Electrical Equipments Ltd</t>
        </is>
      </c>
      <c r="C146" s="31" t="inlineStr">
        <is>
          <t>industrials</t>
        </is>
      </c>
      <c r="D146" s="31" t="inlineStr">
        <is>
          <t>electric equipment</t>
        </is>
      </c>
      <c r="E146" s="31" t="inlineStr">
        <is>
          <t>midcap</t>
        </is>
      </c>
      <c r="F146" s="31" t="n">
        <v>12547.49</v>
      </c>
      <c r="G146" s="31" t="n">
        <v>1648.8</v>
      </c>
      <c r="H146" s="31" t="n">
        <v>1.77</v>
      </c>
      <c r="I146" s="31" t="n">
        <v>334224</v>
      </c>
      <c r="J146" s="31" t="inlineStr">
        <is>
          <t>544367</t>
        </is>
      </c>
    </row>
    <row r="147">
      <c r="A147" s="31" t="inlineStr">
        <is>
          <t>ENGINERSIN</t>
        </is>
      </c>
      <c r="B147" s="31" t="inlineStr">
        <is>
          <t>Engineers India Limited</t>
        </is>
      </c>
      <c r="C147" s="31" t="inlineStr">
        <is>
          <t>realty</t>
        </is>
      </c>
      <c r="D147" s="31" t="inlineStr">
        <is>
          <t>engineering - turnkey services</t>
        </is>
      </c>
      <c r="E147" s="31" t="inlineStr">
        <is>
          <t>midcap</t>
        </is>
      </c>
      <c r="F147" s="31" t="n">
        <v>17302.47</v>
      </c>
      <c r="G147" s="31" t="n">
        <v>313.3</v>
      </c>
      <c r="H147" s="31" t="n">
        <v>1.77</v>
      </c>
      <c r="I147" s="31" t="n">
        <v>5178995</v>
      </c>
      <c r="J147" s="31" t="inlineStr">
        <is>
          <t>532178</t>
        </is>
      </c>
    </row>
    <row r="148">
      <c r="A148" s="31" t="inlineStr">
        <is>
          <t>MUFIN</t>
        </is>
      </c>
      <c r="B148" s="31" t="inlineStr">
        <is>
          <t>Mufin Green Finance Ltd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smallcap</t>
        </is>
      </c>
      <c r="F148" s="31" t="n">
        <v>2633.38</v>
      </c>
      <c r="G148" s="31" t="n">
        <v>135.17</v>
      </c>
      <c r="H148" s="31" t="n">
        <v>1.72</v>
      </c>
      <c r="I148" s="31" t="n">
        <v>2282224</v>
      </c>
      <c r="J148" s="31" t="inlineStr">
        <is>
          <t>542774</t>
        </is>
      </c>
    </row>
    <row r="149">
      <c r="A149" s="31" t="inlineStr">
        <is>
          <t>SANGAMIND</t>
        </is>
      </c>
      <c r="B149" s="31" t="inlineStr">
        <is>
          <t>Sangam (india) Limited</t>
        </is>
      </c>
      <c r="C149" s="31" t="inlineStr">
        <is>
          <t>textiles</t>
        </is>
      </c>
      <c r="D149" s="31" t="inlineStr">
        <is>
          <t>textiles - spinning - synthetic / blended</t>
        </is>
      </c>
      <c r="E149" s="31" t="inlineStr">
        <is>
          <t>smallcap</t>
        </is>
      </c>
      <c r="F149" s="31" t="n">
        <v>3174.33</v>
      </c>
      <c r="G149" s="31" t="n">
        <v>642.4</v>
      </c>
      <c r="H149" s="31" t="n">
        <v>1.69</v>
      </c>
      <c r="I149" s="31" t="n">
        <v>30921</v>
      </c>
      <c r="J149" s="31" t="inlineStr">
        <is>
          <t>514234</t>
        </is>
      </c>
    </row>
    <row r="150">
      <c r="A150" s="31" t="inlineStr">
        <is>
          <t>KIRLFER</t>
        </is>
      </c>
      <c r="B150" s="31" t="inlineStr">
        <is>
          <t>Kirloskar Ferrous Industries Ltd</t>
        </is>
      </c>
      <c r="C150" s="31" t="inlineStr">
        <is>
          <t>metals &amp; mining</t>
        </is>
      </c>
      <c r="D150" s="31" t="inlineStr">
        <is>
          <t>steel - large</t>
        </is>
      </c>
      <c r="E150" s="31" t="inlineStr">
        <is>
          <t>midcap</t>
        </is>
      </c>
      <c r="F150" s="31" t="n">
        <v>7672.15</v>
      </c>
      <c r="G150" s="31" t="n">
        <v>472.75</v>
      </c>
      <c r="H150" s="31" t="n">
        <v>1.67</v>
      </c>
      <c r="I150" s="31" t="n">
        <v>57417</v>
      </c>
      <c r="J150" s="31" t="inlineStr">
        <is>
          <t>500245</t>
        </is>
      </c>
    </row>
    <row r="151">
      <c r="A151" s="31" t="inlineStr">
        <is>
          <t>GCSL</t>
        </is>
      </c>
      <c r="B151" s="31" t="inlineStr">
        <is>
          <t>Gretex Corporate Services Ltd</t>
        </is>
      </c>
      <c r="C151" s="31" t="inlineStr">
        <is>
          <t>financials</t>
        </is>
      </c>
      <c r="D151" s="31" t="inlineStr">
        <is>
          <t>finance &amp; investments</t>
        </is>
      </c>
      <c r="E151" s="31" t="inlineStr">
        <is>
          <t>smallcap</t>
        </is>
      </c>
      <c r="F151" s="31" t="n">
        <v>1704.74</v>
      </c>
      <c r="G151" s="31" t="n">
        <v>693.05</v>
      </c>
      <c r="H151" s="31" t="n">
        <v>1.66</v>
      </c>
      <c r="I151" s="31" t="n">
        <v>225480</v>
      </c>
      <c r="J151" s="31" t="inlineStr">
        <is>
          <t>543324</t>
        </is>
      </c>
    </row>
    <row r="152">
      <c r="A152" s="31" t="inlineStr">
        <is>
          <t>AKUMS</t>
        </is>
      </c>
      <c r="B152" s="31" t="inlineStr">
        <is>
          <t>Akums Drugs &amp; Pharmaceuticals Ltd</t>
        </is>
      </c>
      <c r="C152" s="31" t="inlineStr">
        <is>
          <t>healthcare</t>
        </is>
      </c>
      <c r="D152" s="31" t="inlineStr">
        <is>
          <t>pharmaceuticals - indian - bulk drugs &amp; formln</t>
        </is>
      </c>
      <c r="E152" s="31" t="inlineStr">
        <is>
          <t>midcap</t>
        </is>
      </c>
      <c r="F152" s="31" t="n">
        <v>12612.77</v>
      </c>
      <c r="G152" s="31" t="n">
        <v>814.65</v>
      </c>
      <c r="H152" s="31" t="n">
        <v>1.66</v>
      </c>
      <c r="I152" s="31" t="n">
        <v>128317</v>
      </c>
      <c r="J152" s="31" t="inlineStr">
        <is>
          <t>544222</t>
        </is>
      </c>
    </row>
    <row r="153">
      <c r="A153" s="31" t="inlineStr">
        <is>
          <t>SVLL</t>
        </is>
      </c>
      <c r="B153" s="31" t="inlineStr">
        <is>
          <t>Shree Vasu Logistics Ltd</t>
        </is>
      </c>
      <c r="C153" s="31" t="inlineStr">
        <is>
          <t>transportation</t>
        </is>
      </c>
      <c r="D153" s="31" t="inlineStr">
        <is>
          <t>miscellaneous</t>
        </is>
      </c>
      <c r="E153" s="31" t="inlineStr">
        <is>
          <t>smallcap</t>
        </is>
      </c>
      <c r="F153" s="31" t="n">
        <v>945.01</v>
      </c>
      <c r="G153" s="31" t="n">
        <v>835.6</v>
      </c>
      <c r="H153" s="31" t="n">
        <v>1.63</v>
      </c>
      <c r="I153" s="31" t="n">
        <v>2740</v>
      </c>
      <c r="J153" s="31" t="inlineStr">
        <is>
          <t>535084</t>
        </is>
      </c>
    </row>
    <row r="154">
      <c r="A154" s="31" t="inlineStr">
        <is>
          <t>STEELCAS</t>
        </is>
      </c>
      <c r="B154" s="31" t="inlineStr">
        <is>
          <t>Steelcast Ltd</t>
        </is>
      </c>
      <c r="C154" s="31" t="inlineStr">
        <is>
          <t>castings, forgings &amp; fasteners</t>
        </is>
      </c>
      <c r="D154" s="31" t="inlineStr">
        <is>
          <t>castings &amp; forgings</t>
        </is>
      </c>
      <c r="E154" s="31" t="inlineStr">
        <is>
          <t>smallcap</t>
        </is>
      </c>
      <c r="F154" s="31" t="n">
        <v>3680.64</v>
      </c>
      <c r="G154" s="31" t="n">
        <v>369.6</v>
      </c>
      <c r="H154" s="31" t="n">
        <v>1.62</v>
      </c>
      <c r="I154" s="31" t="n">
        <v>88203</v>
      </c>
      <c r="J154" s="31" t="inlineStr">
        <is>
          <t>513517</t>
        </is>
      </c>
    </row>
    <row r="155">
      <c r="A155" s="31" t="inlineStr">
        <is>
          <t>RML</t>
        </is>
      </c>
      <c r="B155" s="31" t="inlineStr">
        <is>
          <t>Rane (madras) Limited</t>
        </is>
      </c>
      <c r="C155" s="31" t="inlineStr">
        <is>
          <t>auto</t>
        </is>
      </c>
      <c r="D155" s="31" t="inlineStr">
        <is>
          <t>auto ancillaries</t>
        </is>
      </c>
      <c r="E155" s="31" t="inlineStr">
        <is>
          <t>smallcap</t>
        </is>
      </c>
      <c r="F155" s="31" t="n">
        <v>3792.37</v>
      </c>
      <c r="G155" s="31" t="n">
        <v>1394.4</v>
      </c>
      <c r="H155" s="31" t="n">
        <v>1.62</v>
      </c>
      <c r="I155" s="31" t="n">
        <v>99854</v>
      </c>
      <c r="J155" s="31" t="inlineStr">
        <is>
          <t>532661</t>
        </is>
      </c>
    </row>
    <row r="156">
      <c r="A156" s="31" t="inlineStr">
        <is>
          <t>VHL</t>
        </is>
      </c>
      <c r="B156" s="31" t="inlineStr">
        <is>
          <t>Vardhman Holdings Limited</t>
        </is>
      </c>
      <c r="C156" s="31" t="inlineStr">
        <is>
          <t>financials</t>
        </is>
      </c>
      <c r="D156" s="31" t="inlineStr">
        <is>
          <t>finance &amp; investments</t>
        </is>
      </c>
      <c r="E156" s="31" t="inlineStr">
        <is>
          <t>smallcap</t>
        </is>
      </c>
      <c r="F156" s="31" t="n">
        <v>1122.72</v>
      </c>
      <c r="G156" s="31" t="n">
        <v>3574.2</v>
      </c>
      <c r="H156" s="31" t="n">
        <v>1.6</v>
      </c>
      <c r="I156" s="31" t="n">
        <v>1294</v>
      </c>
      <c r="J156" s="31" t="inlineStr">
        <is>
          <t>500439</t>
        </is>
      </c>
    </row>
    <row r="157">
      <c r="A157" s="31" t="inlineStr">
        <is>
          <t>APOLLO</t>
        </is>
      </c>
      <c r="B157" s="31" t="inlineStr">
        <is>
          <t>Apollo Micro Systems Ltd</t>
        </is>
      </c>
      <c r="C157" s="31" t="inlineStr">
        <is>
          <t>aerospace &amp; defence</t>
        </is>
      </c>
      <c r="D157" s="31" t="inlineStr">
        <is>
          <t>electronics - components</t>
        </is>
      </c>
      <c r="E157" s="31" t="inlineStr">
        <is>
          <t>midcap</t>
        </is>
      </c>
      <c r="F157" s="31" t="n">
        <v>14927.15</v>
      </c>
      <c r="G157" s="31" t="n">
        <v>408.05</v>
      </c>
      <c r="H157" s="31" t="n">
        <v>1.58</v>
      </c>
      <c r="I157" s="31" t="n">
        <v>3344430</v>
      </c>
      <c r="J157" s="31" t="inlineStr">
        <is>
          <t>540879</t>
        </is>
      </c>
    </row>
    <row r="158">
      <c r="A158" s="31" t="inlineStr">
        <is>
          <t>RPTECH</t>
        </is>
      </c>
      <c r="B158" s="31" t="inlineStr">
        <is>
          <t>Rashi Peripherals Ltd</t>
        </is>
      </c>
      <c r="C158" s="31" t="inlineStr">
        <is>
          <t>i.t</t>
        </is>
      </c>
      <c r="D158" s="31" t="inlineStr">
        <is>
          <t>trading</t>
        </is>
      </c>
      <c r="E158" s="31" t="inlineStr">
        <is>
          <t>midcap</t>
        </is>
      </c>
      <c r="F158" s="31" t="n">
        <v>6217.3</v>
      </c>
      <c r="G158" s="31" t="n">
        <v>958.25</v>
      </c>
      <c r="H158" s="31" t="n">
        <v>1.57</v>
      </c>
      <c r="I158" s="31" t="n">
        <v>188962</v>
      </c>
      <c r="J158" s="31" t="n"/>
    </row>
    <row r="159">
      <c r="A159" s="31" t="inlineStr">
        <is>
          <t>STLTECH</t>
        </is>
      </c>
      <c r="B159" s="31" t="inlineStr">
        <is>
          <t>Sterlite Technologies Limited</t>
        </is>
      </c>
      <c r="C159" s="31" t="inlineStr">
        <is>
          <t>industrials</t>
        </is>
      </c>
      <c r="D159" s="31" t="inlineStr">
        <is>
          <t>cables - telephone</t>
        </is>
      </c>
      <c r="E159" s="31" t="inlineStr">
        <is>
          <t>largecap</t>
        </is>
      </c>
      <c r="F159" s="31" t="n">
        <v>51453.85</v>
      </c>
      <c r="G159" s="31" t="n">
        <v>1016.7</v>
      </c>
      <c r="H159" s="31" t="n">
        <v>1.54</v>
      </c>
      <c r="I159" s="31" t="n">
        <v>3447000</v>
      </c>
      <c r="J159" s="31" t="inlineStr">
        <is>
          <t>532374</t>
        </is>
      </c>
    </row>
    <row r="160">
      <c r="A160" s="31" t="inlineStr">
        <is>
          <t>VENUSPIPES</t>
        </is>
      </c>
      <c r="B160" s="31" t="inlineStr">
        <is>
          <t>Venus Pipes &amp; Tubes Ltd</t>
        </is>
      </c>
      <c r="C160" s="31" t="inlineStr">
        <is>
          <t>metals &amp; mining</t>
        </is>
      </c>
      <c r="D160" s="31" t="inlineStr">
        <is>
          <t>steel - medium / small</t>
        </is>
      </c>
      <c r="E160" s="31" t="inlineStr">
        <is>
          <t>smallcap</t>
        </is>
      </c>
      <c r="F160" s="31" t="n">
        <v>4570.8</v>
      </c>
      <c r="G160" s="31" t="n">
        <v>2240.3</v>
      </c>
      <c r="H160" s="31" t="n">
        <v>1.54</v>
      </c>
      <c r="I160" s="31" t="n">
        <v>80155</v>
      </c>
      <c r="J160" s="31" t="inlineStr">
        <is>
          <t>543528</t>
        </is>
      </c>
    </row>
    <row r="161">
      <c r="A161" s="31" t="inlineStr">
        <is>
          <t>PRECWIRE</t>
        </is>
      </c>
      <c r="B161" s="31" t="inlineStr">
        <is>
          <t>Precision Wires India Limited</t>
        </is>
      </c>
      <c r="C161" s="31" t="inlineStr">
        <is>
          <t>metals &amp; mining</t>
        </is>
      </c>
      <c r="D161" s="31" t="inlineStr">
        <is>
          <t>mining / minerals / metals</t>
        </is>
      </c>
      <c r="E161" s="31" t="inlineStr">
        <is>
          <t>midcap</t>
        </is>
      </c>
      <c r="F161" s="31" t="n">
        <v>9275.68</v>
      </c>
      <c r="G161" s="31" t="n">
        <v>515.15</v>
      </c>
      <c r="H161" s="31" t="n">
        <v>1.53</v>
      </c>
      <c r="I161" s="31" t="n">
        <v>371870</v>
      </c>
      <c r="J161" s="31" t="inlineStr">
        <is>
          <t>523539</t>
        </is>
      </c>
    </row>
    <row r="162">
      <c r="A162" s="31" t="inlineStr">
        <is>
          <t>UNIMECH</t>
        </is>
      </c>
      <c r="B162" s="31" t="inlineStr">
        <is>
          <t>Unimech Aerospace and Manufacturing Ltd</t>
        </is>
      </c>
      <c r="C162" s="31" t="inlineStr">
        <is>
          <t>aerospace &amp; defence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9383.6</v>
      </c>
      <c r="G162" s="31" t="n">
        <v>1873.1</v>
      </c>
      <c r="H162" s="31" t="n">
        <v>1.52</v>
      </c>
      <c r="I162" s="31" t="n">
        <v>288002</v>
      </c>
      <c r="J162" s="31" t="inlineStr">
        <is>
          <t>544322</t>
        </is>
      </c>
    </row>
    <row r="163">
      <c r="A163" s="31" t="inlineStr">
        <is>
          <t>MOLDTECH</t>
        </is>
      </c>
      <c r="B163" s="31" t="inlineStr">
        <is>
          <t>Mold-tek Technologies Limited</t>
        </is>
      </c>
      <c r="C163" s="31" t="inlineStr">
        <is>
          <t>realty</t>
        </is>
      </c>
      <c r="D163" s="31" t="inlineStr">
        <is>
          <t>engineering - turnkey services</t>
        </is>
      </c>
      <c r="E163" s="31" t="inlineStr">
        <is>
          <t>smallcap</t>
        </is>
      </c>
      <c r="F163" s="31" t="n">
        <v>614.99</v>
      </c>
      <c r="G163" s="31" t="n">
        <v>216.72</v>
      </c>
      <c r="H163" s="31" t="n">
        <v>1.51</v>
      </c>
      <c r="I163" s="31" t="n">
        <v>52216</v>
      </c>
      <c r="J163" s="31" t="inlineStr">
        <is>
          <t>526263</t>
        </is>
      </c>
    </row>
    <row r="164">
      <c r="A164" s="31" t="inlineStr">
        <is>
          <t>INDORAMA</t>
        </is>
      </c>
      <c r="B164" s="31" t="inlineStr">
        <is>
          <t>Indo Rama Synthetics (india) Limited</t>
        </is>
      </c>
      <c r="C164" s="31" t="inlineStr">
        <is>
          <t>textiles</t>
        </is>
      </c>
      <c r="D164" s="31" t="inlineStr">
        <is>
          <t>textiles - manmade</t>
        </is>
      </c>
      <c r="E164" s="31" t="inlineStr">
        <is>
          <t>smallcap</t>
        </is>
      </c>
      <c r="F164" s="31" t="n">
        <v>2446.37</v>
      </c>
      <c r="G164" s="31" t="n">
        <v>95.09999999999999</v>
      </c>
      <c r="H164" s="31" t="n">
        <v>1.51</v>
      </c>
      <c r="I164" s="31" t="n">
        <v>603328</v>
      </c>
      <c r="J164" s="31" t="inlineStr">
        <is>
          <t>500207</t>
        </is>
      </c>
    </row>
    <row r="165">
      <c r="A165" s="31" t="inlineStr">
        <is>
          <t>GRINDWELL</t>
        </is>
      </c>
      <c r="B165" s="31" t="inlineStr">
        <is>
          <t>Grindwell Norton Limited</t>
        </is>
      </c>
      <c r="C165" s="31" t="inlineStr">
        <is>
          <t>industrials</t>
        </is>
      </c>
      <c r="D165" s="31" t="inlineStr">
        <is>
          <t>abrasives and grinding wheels</t>
        </is>
      </c>
      <c r="E165" s="31" t="inlineStr">
        <is>
          <t>largecap</t>
        </is>
      </c>
      <c r="F165" s="31" t="n">
        <v>22190.5</v>
      </c>
      <c r="G165" s="31" t="n">
        <v>2033.1</v>
      </c>
      <c r="H165" s="31" t="n">
        <v>1.44</v>
      </c>
      <c r="I165" s="31" t="n">
        <v>40139</v>
      </c>
      <c r="J165" s="31" t="inlineStr">
        <is>
          <t>506076</t>
        </is>
      </c>
    </row>
    <row r="166">
      <c r="A166" s="31" t="inlineStr">
        <is>
          <t>GANDHAR</t>
        </is>
      </c>
      <c r="B166" s="31" t="inlineStr">
        <is>
          <t>Gandhar Oil Refinery (India) Ltd</t>
        </is>
      </c>
      <c r="C166" s="31" t="inlineStr">
        <is>
          <t>energy</t>
        </is>
      </c>
      <c r="D166" s="31" t="inlineStr">
        <is>
          <t>refineries</t>
        </is>
      </c>
      <c r="E166" s="31" t="inlineStr">
        <is>
          <t>smallcap</t>
        </is>
      </c>
      <c r="F166" s="31" t="n">
        <v>2726.43</v>
      </c>
      <c r="G166" s="31" t="n">
        <v>282.5</v>
      </c>
      <c r="H166" s="31" t="n">
        <v>1.42</v>
      </c>
      <c r="I166" s="31" t="n">
        <v>417903</v>
      </c>
      <c r="J166" s="31" t="inlineStr">
        <is>
          <t>544029</t>
        </is>
      </c>
    </row>
    <row r="167">
      <c r="A167" s="31" t="inlineStr">
        <is>
          <t>TEGA</t>
        </is>
      </c>
      <c r="B167" s="31" t="inlineStr">
        <is>
          <t>Tega Industries Ltd</t>
        </is>
      </c>
      <c r="C167" s="31" t="inlineStr">
        <is>
          <t>industrials</t>
        </is>
      </c>
      <c r="D167" s="31" t="inlineStr">
        <is>
          <t>engineering</t>
        </is>
      </c>
      <c r="E167" s="31" t="inlineStr">
        <is>
          <t>midcap</t>
        </is>
      </c>
      <c r="F167" s="31" t="n">
        <v>15507.11</v>
      </c>
      <c r="G167" s="31" t="n">
        <v>2092.5</v>
      </c>
      <c r="H167" s="31" t="n">
        <v>1.38</v>
      </c>
      <c r="I167" s="31" t="n">
        <v>249989</v>
      </c>
      <c r="J167" s="31" t="inlineStr">
        <is>
          <t>543413</t>
        </is>
      </c>
    </row>
    <row r="168">
      <c r="A168" s="31" t="inlineStr">
        <is>
          <t>PAGEIND</t>
        </is>
      </c>
      <c r="B168" s="31" t="inlineStr">
        <is>
          <t>Page Industries Limited</t>
        </is>
      </c>
      <c r="C168" s="31" t="inlineStr">
        <is>
          <t>readymade garments/apparels</t>
        </is>
      </c>
      <c r="D168" s="31" t="inlineStr">
        <is>
          <t>textiles - products</t>
        </is>
      </c>
      <c r="E168" s="31" t="inlineStr">
        <is>
          <t>largecap</t>
        </is>
      </c>
      <c r="F168" s="31" t="n">
        <v>41787.99</v>
      </c>
      <c r="G168" s="31" t="n">
        <v>37970</v>
      </c>
      <c r="H168" s="31" t="n">
        <v>1.35</v>
      </c>
      <c r="I168" s="31" t="n">
        <v>31600</v>
      </c>
      <c r="J168" s="31" t="inlineStr">
        <is>
          <t>532827</t>
        </is>
      </c>
    </row>
    <row r="169">
      <c r="A169" s="31" t="inlineStr">
        <is>
          <t>MRPL</t>
        </is>
      </c>
      <c r="B169" s="31" t="inlineStr">
        <is>
          <t>Mangalore Refinery And Petrochemicals Limited</t>
        </is>
      </c>
      <c r="C169" s="31" t="inlineStr">
        <is>
          <t>energy</t>
        </is>
      </c>
      <c r="D169" s="31" t="inlineStr">
        <is>
          <t>refineries</t>
        </is>
      </c>
      <c r="E169" s="31" t="inlineStr">
        <is>
          <t>largecap</t>
        </is>
      </c>
      <c r="F169" s="31" t="n">
        <v>30220.06</v>
      </c>
      <c r="G169" s="31" t="n">
        <v>174.72</v>
      </c>
      <c r="H169" s="31" t="n">
        <v>1.33</v>
      </c>
      <c r="I169" s="31" t="n">
        <v>9705261</v>
      </c>
      <c r="J169" s="31" t="inlineStr">
        <is>
          <t>500109</t>
        </is>
      </c>
    </row>
    <row r="170">
      <c r="A170" s="31" t="inlineStr">
        <is>
          <t>MAWANASUG</t>
        </is>
      </c>
      <c r="B170" s="31" t="inlineStr">
        <is>
          <t>Mawana Sugars Limited</t>
        </is>
      </c>
      <c r="C170" s="31" t="inlineStr">
        <is>
          <t>fmcg</t>
        </is>
      </c>
      <c r="D170" s="31" t="inlineStr">
        <is>
          <t>sugar</t>
        </is>
      </c>
      <c r="E170" s="31" t="inlineStr">
        <is>
          <t>smallcap</t>
        </is>
      </c>
      <c r="F170" s="31" t="n">
        <v>570.95</v>
      </c>
      <c r="G170" s="31" t="n">
        <v>147.89</v>
      </c>
      <c r="H170" s="31" t="n">
        <v>1.32</v>
      </c>
      <c r="I170" s="31" t="n">
        <v>436659</v>
      </c>
      <c r="J170" s="31" t="inlineStr">
        <is>
          <t>523371</t>
        </is>
      </c>
    </row>
    <row r="171">
      <c r="A171" s="31" t="inlineStr">
        <is>
          <t>ONWARDTEC</t>
        </is>
      </c>
      <c r="B171" s="31" t="inlineStr">
        <is>
          <t>Onward Technologies Limited</t>
        </is>
      </c>
      <c r="C171" s="31" t="inlineStr">
        <is>
          <t>i.t</t>
        </is>
      </c>
      <c r="D171" s="31" t="inlineStr">
        <is>
          <t>computers - software - medium / small</t>
        </is>
      </c>
      <c r="E171" s="31" t="inlineStr">
        <is>
          <t>smallcap</t>
        </is>
      </c>
      <c r="F171" s="31" t="n">
        <v>646.71</v>
      </c>
      <c r="G171" s="31" t="n">
        <v>294.6</v>
      </c>
      <c r="H171" s="31" t="n">
        <v>1.32</v>
      </c>
      <c r="I171" s="31" t="n">
        <v>29818</v>
      </c>
      <c r="J171" s="31" t="inlineStr">
        <is>
          <t>517536</t>
        </is>
      </c>
    </row>
    <row r="172">
      <c r="A172" s="31" t="inlineStr">
        <is>
          <t>RGL</t>
        </is>
      </c>
      <c r="B172" s="31" t="inlineStr">
        <is>
          <t>Renaissance Global Ltd</t>
        </is>
      </c>
      <c r="C172" s="31" t="inlineStr">
        <is>
          <t>consumer discretionary</t>
        </is>
      </c>
      <c r="D172" s="31" t="inlineStr">
        <is>
          <t>diamond cutting / jewellery</t>
        </is>
      </c>
      <c r="E172" s="31" t="inlineStr">
        <is>
          <t>smallcap</t>
        </is>
      </c>
      <c r="F172" s="31" t="n">
        <v>1734.22</v>
      </c>
      <c r="G172" s="31" t="n">
        <v>163.62</v>
      </c>
      <c r="H172" s="31" t="n">
        <v>1.3</v>
      </c>
      <c r="I172" s="31" t="n">
        <v>465586</v>
      </c>
      <c r="J172" s="31" t="inlineStr">
        <is>
          <t>532923</t>
        </is>
      </c>
    </row>
    <row r="173">
      <c r="A173" s="31" t="inlineStr">
        <is>
          <t>USHAMART</t>
        </is>
      </c>
      <c r="B173" s="31" t="inlineStr">
        <is>
          <t>Usha Martin Limited</t>
        </is>
      </c>
      <c r="C173" s="31" t="inlineStr">
        <is>
          <t>metals &amp; mining</t>
        </is>
      </c>
      <c r="D173" s="31" t="inlineStr">
        <is>
          <t>steel - medium / small</t>
        </is>
      </c>
      <c r="E173" s="31" t="inlineStr">
        <is>
          <t>midcap</t>
        </is>
      </c>
      <c r="F173" s="31" t="n">
        <v>15557.08</v>
      </c>
      <c r="G173" s="31" t="n">
        <v>516.7</v>
      </c>
      <c r="H173" s="31" t="n">
        <v>1.21</v>
      </c>
      <c r="I173" s="31" t="n">
        <v>819697</v>
      </c>
      <c r="J173" s="31" t="inlineStr">
        <is>
          <t>517146</t>
        </is>
      </c>
    </row>
    <row r="174">
      <c r="A174" s="31" t="inlineStr">
        <is>
          <t>SWANDEF</t>
        </is>
      </c>
      <c r="B174" s="31" t="inlineStr">
        <is>
          <t>Swan Defence and Heavy Industries Ltd</t>
        </is>
      </c>
      <c r="C174" s="31" t="inlineStr">
        <is>
          <t>transportation</t>
        </is>
      </c>
      <c r="D174" s="31" t="inlineStr">
        <is>
          <t>miscellaneous</t>
        </is>
      </c>
      <c r="E174" s="31" t="inlineStr">
        <is>
          <t>midcap</t>
        </is>
      </c>
      <c r="F174" s="31" t="n">
        <v>14375.91</v>
      </c>
      <c r="G174" s="31" t="n">
        <v>2760.2</v>
      </c>
      <c r="H174" s="31" t="n">
        <v>1.15</v>
      </c>
      <c r="I174" s="31" t="n">
        <v>23194</v>
      </c>
      <c r="J174" s="31" t="inlineStr">
        <is>
          <t>533107</t>
        </is>
      </c>
    </row>
    <row r="175">
      <c r="A175" s="31" t="inlineStr">
        <is>
          <t>SATIA</t>
        </is>
      </c>
      <c r="B175" s="31" t="inlineStr">
        <is>
          <t>Satia Industries Ltd</t>
        </is>
      </c>
      <c r="C175" s="31" t="inlineStr">
        <is>
          <t>building materials</t>
        </is>
      </c>
      <c r="D175" s="31" t="inlineStr">
        <is>
          <t>paper</t>
        </is>
      </c>
      <c r="E175" s="31" t="inlineStr">
        <is>
          <t>smallcap</t>
        </is>
      </c>
      <c r="F175" s="31" t="n">
        <v>685.1</v>
      </c>
      <c r="G175" s="31" t="n">
        <v>69.26000000000001</v>
      </c>
      <c r="H175" s="31" t="n">
        <v>1.09</v>
      </c>
      <c r="I175" s="31" t="n">
        <v>81400</v>
      </c>
      <c r="J175" s="31" t="inlineStr">
        <is>
          <t>539201</t>
        </is>
      </c>
    </row>
    <row r="176">
      <c r="A176" s="31" t="inlineStr">
        <is>
          <t>ZIMLAB</t>
        </is>
      </c>
      <c r="B176" s="31" t="inlineStr">
        <is>
          <t>Zim Laboratories Ltd</t>
        </is>
      </c>
      <c r="C176" s="31" t="inlineStr">
        <is>
          <t>healthcare</t>
        </is>
      </c>
      <c r="D176" s="31" t="inlineStr">
        <is>
          <t>pharmaceuticals - indian - bulk drugs &amp; formln</t>
        </is>
      </c>
      <c r="E176" s="31" t="inlineStr">
        <is>
          <t>smallcap</t>
        </is>
      </c>
      <c r="F176" s="31" t="n">
        <v>734.16</v>
      </c>
      <c r="G176" s="31" t="n">
        <v>138.57</v>
      </c>
      <c r="H176" s="31" t="n">
        <v>1.07</v>
      </c>
      <c r="I176" s="31" t="n">
        <v>63618</v>
      </c>
      <c r="J176" s="31" t="inlineStr">
        <is>
          <t>541400</t>
        </is>
      </c>
    </row>
    <row r="177">
      <c r="A177" s="31" t="inlineStr">
        <is>
          <t>GPTINFRA</t>
        </is>
      </c>
      <c r="B177" s="31" t="inlineStr">
        <is>
          <t>Gpt Infraprojects Limited</t>
        </is>
      </c>
      <c r="C177" s="31" t="inlineStr">
        <is>
          <t>realty</t>
        </is>
      </c>
      <c r="D177" s="31" t="inlineStr">
        <is>
          <t>construction</t>
        </is>
      </c>
      <c r="E177" s="31" t="inlineStr">
        <is>
          <t>smallcap</t>
        </is>
      </c>
      <c r="F177" s="31" t="n">
        <v>1521.18</v>
      </c>
      <c r="G177" s="31" t="n">
        <v>121.62</v>
      </c>
      <c r="H177" s="31" t="n">
        <v>1.03</v>
      </c>
      <c r="I177" s="31" t="n">
        <v>148536</v>
      </c>
      <c r="J177" s="31" t="inlineStr">
        <is>
          <t>533761</t>
        </is>
      </c>
    </row>
    <row r="178">
      <c r="A178" s="31" t="inlineStr">
        <is>
          <t>JSWINFRA</t>
        </is>
      </c>
      <c r="B178" s="31" t="inlineStr">
        <is>
          <t>JSW Infrastructure Ltd</t>
        </is>
      </c>
      <c r="C178" s="31" t="inlineStr">
        <is>
          <t>transportation</t>
        </is>
      </c>
      <c r="D178" s="31" t="inlineStr">
        <is>
          <t>miscellaneous</t>
        </is>
      </c>
      <c r="E178" s="31" t="inlineStr">
        <is>
          <t>largecap</t>
        </is>
      </c>
      <c r="F178" s="31" t="n">
        <v>83740.25999999999</v>
      </c>
      <c r="G178" s="31" t="n">
        <v>363.05</v>
      </c>
      <c r="H178" s="31" t="n">
        <v>1.02</v>
      </c>
      <c r="I178" s="31" t="n">
        <v>2318315</v>
      </c>
      <c r="J178" s="31" t="inlineStr">
        <is>
          <t>543994</t>
        </is>
      </c>
    </row>
    <row r="179">
      <c r="A179" s="31" t="inlineStr">
        <is>
          <t>KIRLOSENG</t>
        </is>
      </c>
      <c r="B179" s="31" t="inlineStr">
        <is>
          <t>Kirloskar Oil Engines Limited</t>
        </is>
      </c>
      <c r="C179" s="31" t="inlineStr">
        <is>
          <t>industrials</t>
        </is>
      </c>
      <c r="D179" s="31" t="inlineStr">
        <is>
          <t>engines</t>
        </is>
      </c>
      <c r="E179" s="31" t="inlineStr">
        <is>
          <t>largecap</t>
        </is>
      </c>
      <c r="F179" s="31" t="n">
        <v>32618.9</v>
      </c>
      <c r="G179" s="31" t="n">
        <v>2266.1</v>
      </c>
      <c r="H179" s="31" t="n">
        <v>1</v>
      </c>
      <c r="I179" s="31" t="n">
        <v>392965</v>
      </c>
      <c r="J179" s="31" t="inlineStr">
        <is>
          <t>533293</t>
        </is>
      </c>
    </row>
    <row r="180">
      <c r="A180" s="31" t="inlineStr">
        <is>
          <t>NUVAMA</t>
        </is>
      </c>
      <c r="B180" s="31" t="inlineStr">
        <is>
          <t>Nuvama Wealth Management Ltd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largecap</t>
        </is>
      </c>
      <c r="F180" s="31" t="n">
        <v>33234.85</v>
      </c>
      <c r="G180" s="31" t="n">
        <v>1838.8</v>
      </c>
      <c r="H180" s="31" t="n">
        <v>0.99</v>
      </c>
      <c r="I180" s="31" t="n">
        <v>641224</v>
      </c>
      <c r="J180" s="31" t="inlineStr">
        <is>
          <t>543988</t>
        </is>
      </c>
    </row>
    <row r="181">
      <c r="A181" s="31" t="inlineStr">
        <is>
          <t>RAMRAT</t>
        </is>
      </c>
      <c r="B181" s="31" t="inlineStr">
        <is>
          <t>Ram Ratna Wires Ltd</t>
        </is>
      </c>
      <c r="C181" s="31" t="inlineStr">
        <is>
          <t>metals &amp; mining</t>
        </is>
      </c>
      <c r="D181" s="31" t="inlineStr">
        <is>
          <t>mining / minerals / metals</t>
        </is>
      </c>
      <c r="E181" s="31" t="inlineStr">
        <is>
          <t>midcap</t>
        </is>
      </c>
      <c r="F181" s="31" t="n">
        <v>5929.53</v>
      </c>
      <c r="G181" s="31" t="n">
        <v>641.2</v>
      </c>
      <c r="H181" s="31" t="n">
        <v>0.9399999999999999</v>
      </c>
      <c r="I181" s="31" t="n">
        <v>264177</v>
      </c>
      <c r="J181" s="31" t="inlineStr">
        <is>
          <t>522281</t>
        </is>
      </c>
    </row>
    <row r="182">
      <c r="A182" s="31" t="inlineStr">
        <is>
          <t>SPECIALITY</t>
        </is>
      </c>
      <c r="B182" s="31" t="inlineStr">
        <is>
          <t>Speciality Restaurants Limited</t>
        </is>
      </c>
      <c r="C182" s="31" t="inlineStr">
        <is>
          <t>services</t>
        </is>
      </c>
      <c r="D182" s="31" t="inlineStr">
        <is>
          <t>hotels</t>
        </is>
      </c>
      <c r="E182" s="31" t="inlineStr">
        <is>
          <t>smallcap</t>
        </is>
      </c>
      <c r="F182" s="31" t="n">
        <v>747.22</v>
      </c>
      <c r="G182" s="31" t="n">
        <v>156.32</v>
      </c>
      <c r="H182" s="31" t="n">
        <v>0.91</v>
      </c>
      <c r="I182" s="31" t="n">
        <v>14242</v>
      </c>
      <c r="J182" s="31" t="inlineStr">
        <is>
          <t>534425</t>
        </is>
      </c>
    </row>
    <row r="183">
      <c r="A183" s="31" t="inlineStr">
        <is>
          <t>SUNFLAG</t>
        </is>
      </c>
      <c r="B183" s="31" t="inlineStr">
        <is>
          <t>Sunflag Iron And Steel Company Limited</t>
        </is>
      </c>
      <c r="C183" s="31" t="inlineStr">
        <is>
          <t>metals &amp; mining</t>
        </is>
      </c>
      <c r="D183" s="31" t="inlineStr">
        <is>
          <t>steel - medium / small</t>
        </is>
      </c>
      <c r="E183" s="31" t="inlineStr">
        <is>
          <t>midcap</t>
        </is>
      </c>
      <c r="F183" s="31" t="n">
        <v>8199.98</v>
      </c>
      <c r="G183" s="31" t="n">
        <v>459.05</v>
      </c>
      <c r="H183" s="31" t="n">
        <v>0.89</v>
      </c>
      <c r="I183" s="31" t="n">
        <v>704018</v>
      </c>
      <c r="J183" s="31" t="inlineStr">
        <is>
          <t>500404</t>
        </is>
      </c>
    </row>
    <row r="184">
      <c r="A184" s="31" t="inlineStr">
        <is>
          <t>THELEELA</t>
        </is>
      </c>
      <c r="B184" s="31" t="inlineStr">
        <is>
          <t>Leela Palaces Hotels &amp; Resorts Ltd</t>
        </is>
      </c>
      <c r="C184" s="31" t="inlineStr">
        <is>
          <t>services</t>
        </is>
      </c>
      <c r="D184" s="31" t="inlineStr">
        <is>
          <t>hotels</t>
        </is>
      </c>
      <c r="E184" s="31" t="inlineStr">
        <is>
          <t>midcap</t>
        </is>
      </c>
      <c r="F184" s="31" t="n">
        <v>19289.41</v>
      </c>
      <c r="G184" s="31" t="n">
        <v>582.7</v>
      </c>
      <c r="H184" s="31" t="n">
        <v>0.88</v>
      </c>
      <c r="I184" s="31" t="n">
        <v>514330</v>
      </c>
      <c r="J184" s="31" t="inlineStr">
        <is>
          <t>544408</t>
        </is>
      </c>
    </row>
    <row r="185">
      <c r="A185" s="31" t="inlineStr">
        <is>
          <t>MANKIND</t>
        </is>
      </c>
      <c r="B185" s="31" t="inlineStr">
        <is>
          <t>Mankind Pharma Ltd</t>
        </is>
      </c>
      <c r="C185" s="31" t="inlineStr">
        <is>
          <t>healthcare</t>
        </is>
      </c>
      <c r="D185" s="31" t="inlineStr">
        <is>
          <t>pharmaceuticals - indian - bulk drugs &amp; formln</t>
        </is>
      </c>
      <c r="E185" s="31" t="inlineStr">
        <is>
          <t>largecap</t>
        </is>
      </c>
      <c r="F185" s="31" t="n">
        <v>102381.7</v>
      </c>
      <c r="G185" s="31" t="n">
        <v>2500</v>
      </c>
      <c r="H185" s="31" t="n">
        <v>0.85</v>
      </c>
      <c r="I185" s="31" t="n">
        <v>297524</v>
      </c>
      <c r="J185" s="31" t="inlineStr">
        <is>
          <t>543904</t>
        </is>
      </c>
    </row>
    <row r="186">
      <c r="A186" s="31" t="inlineStr">
        <is>
          <t>SUNTV</t>
        </is>
      </c>
      <c r="B186" s="31" t="inlineStr">
        <is>
          <t>Sun Tv Network Limited</t>
        </is>
      </c>
      <c r="C186" s="31" t="inlineStr">
        <is>
          <t>media</t>
        </is>
      </c>
      <c r="D186" s="31" t="inlineStr">
        <is>
          <t>entertainment / electronic media software</t>
        </is>
      </c>
      <c r="E186" s="31" t="inlineStr">
        <is>
          <t>largecap</t>
        </is>
      </c>
      <c r="F186" s="31" t="n">
        <v>24703.19</v>
      </c>
      <c r="G186" s="31" t="n">
        <v>632.1</v>
      </c>
      <c r="H186" s="31" t="n">
        <v>0.84</v>
      </c>
      <c r="I186" s="31" t="n">
        <v>1439793</v>
      </c>
      <c r="J186" s="31" t="inlineStr">
        <is>
          <t>532733</t>
        </is>
      </c>
    </row>
    <row r="187">
      <c r="A187" s="31" t="inlineStr">
        <is>
          <t>MTARTECH</t>
        </is>
      </c>
      <c r="B187" s="31" t="inlineStr">
        <is>
          <t>MTAR Technologies Ltd</t>
        </is>
      </c>
      <c r="C187" s="31" t="inlineStr">
        <is>
          <t>aerospace &amp; defence</t>
        </is>
      </c>
      <c r="D187" s="31" t="inlineStr">
        <is>
          <t>engineering</t>
        </is>
      </c>
      <c r="E187" s="31" t="inlineStr">
        <is>
          <t>largecap</t>
        </is>
      </c>
      <c r="F187" s="31" t="n">
        <v>23543.39</v>
      </c>
      <c r="G187" s="31" t="n">
        <v>7718.5</v>
      </c>
      <c r="H187" s="31" t="n">
        <v>0.84</v>
      </c>
      <c r="I187" s="31" t="n">
        <v>98802</v>
      </c>
      <c r="J187" s="31" t="inlineStr">
        <is>
          <t>543270</t>
        </is>
      </c>
    </row>
    <row r="188">
      <c r="A188" s="31" t="inlineStr">
        <is>
          <t>GREAVESCOT</t>
        </is>
      </c>
      <c r="B188" s="31" t="inlineStr">
        <is>
          <t>Greaves Cotton Limited</t>
        </is>
      </c>
      <c r="C188" s="31" t="inlineStr">
        <is>
          <t>industrials</t>
        </is>
      </c>
      <c r="D188" s="31" t="inlineStr">
        <is>
          <t>engines</t>
        </is>
      </c>
      <c r="E188" s="31" t="inlineStr">
        <is>
          <t>midcap</t>
        </is>
      </c>
      <c r="F188" s="31" t="n">
        <v>5146.83</v>
      </c>
      <c r="G188" s="31" t="n">
        <v>222.78</v>
      </c>
      <c r="H188" s="31" t="n">
        <v>0.83</v>
      </c>
      <c r="I188" s="31" t="n">
        <v>1018671</v>
      </c>
      <c r="J188" s="31" t="inlineStr">
        <is>
          <t>501455</t>
        </is>
      </c>
    </row>
    <row r="189">
      <c r="A189" s="31" t="inlineStr">
        <is>
          <t>BANSALWIRE</t>
        </is>
      </c>
      <c r="B189" s="31" t="inlineStr">
        <is>
          <t>Bansal Wire Industries Ltd</t>
        </is>
      </c>
      <c r="C189" s="31" t="inlineStr">
        <is>
          <t>metals &amp; mining</t>
        </is>
      </c>
      <c r="D189" s="31" t="inlineStr">
        <is>
          <t>steel - medium / small</t>
        </is>
      </c>
      <c r="E189" s="31" t="inlineStr">
        <is>
          <t>midcap</t>
        </is>
      </c>
      <c r="F189" s="31" t="n">
        <v>5057.54</v>
      </c>
      <c r="G189" s="31" t="n">
        <v>325.7</v>
      </c>
      <c r="H189" s="31" t="n">
        <v>0.82</v>
      </c>
      <c r="I189" s="31" t="n">
        <v>100324</v>
      </c>
      <c r="J189" s="31" t="inlineStr">
        <is>
          <t>544209</t>
        </is>
      </c>
    </row>
    <row r="190">
      <c r="A190" s="31" t="inlineStr">
        <is>
          <t>SUDARSCHEM</t>
        </is>
      </c>
      <c r="B190" s="31" t="inlineStr">
        <is>
          <t>Sudarshan Chemical Industries Limited</t>
        </is>
      </c>
      <c r="C190" s="31" t="inlineStr">
        <is>
          <t>chemicals</t>
        </is>
      </c>
      <c r="D190" s="31" t="inlineStr">
        <is>
          <t>dyes and pigments</t>
        </is>
      </c>
      <c r="E190" s="31" t="inlineStr">
        <is>
          <t>midcap</t>
        </is>
      </c>
      <c r="F190" s="31" t="n">
        <v>9664.9</v>
      </c>
      <c r="G190" s="31" t="n">
        <v>1238.6</v>
      </c>
      <c r="H190" s="31" t="n">
        <v>0.76</v>
      </c>
      <c r="I190" s="31" t="n">
        <v>87536</v>
      </c>
      <c r="J190" s="31" t="inlineStr">
        <is>
          <t>506655</t>
        </is>
      </c>
    </row>
    <row r="191">
      <c r="A191" s="31" t="inlineStr">
        <is>
          <t>TFCILTD</t>
        </is>
      </c>
      <c r="B191" s="31" t="inlineStr">
        <is>
          <t>Tourism Finance Corporation Of India Limited</t>
        </is>
      </c>
      <c r="C191" s="31" t="inlineStr">
        <is>
          <t>financials</t>
        </is>
      </c>
      <c r="D191" s="31" t="inlineStr">
        <is>
          <t>finance - term-lending institutions</t>
        </is>
      </c>
      <c r="E191" s="31" t="inlineStr">
        <is>
          <t>midcap</t>
        </is>
      </c>
      <c r="F191" s="31" t="n">
        <v>6465.48</v>
      </c>
      <c r="G191" s="31" t="n">
        <v>140.65</v>
      </c>
      <c r="H191" s="31" t="n">
        <v>0.72</v>
      </c>
      <c r="I191" s="31" t="n">
        <v>3376081</v>
      </c>
      <c r="J191" s="31" t="inlineStr">
        <is>
          <t>526650</t>
        </is>
      </c>
    </row>
    <row r="192">
      <c r="A192" s="31" t="inlineStr">
        <is>
          <t>UGARSUGAR</t>
        </is>
      </c>
      <c r="B192" s="31" t="inlineStr">
        <is>
          <t>The Ugar Sugar Works Limited</t>
        </is>
      </c>
      <c r="C192" s="31" t="inlineStr">
        <is>
          <t>fmcg</t>
        </is>
      </c>
      <c r="D192" s="31" t="inlineStr">
        <is>
          <t>sugar</t>
        </is>
      </c>
      <c r="E192" s="31" t="inlineStr">
        <is>
          <t>smallcap</t>
        </is>
      </c>
      <c r="F192" s="31" t="n">
        <v>661.95</v>
      </c>
      <c r="G192" s="31" t="n">
        <v>59.26</v>
      </c>
      <c r="H192" s="31" t="n">
        <v>0.71</v>
      </c>
      <c r="I192" s="31" t="n">
        <v>228982</v>
      </c>
      <c r="J192" s="31" t="inlineStr">
        <is>
          <t>530363</t>
        </is>
      </c>
    </row>
    <row r="193">
      <c r="A193" s="31" t="inlineStr">
        <is>
          <t>ISGEC</t>
        </is>
      </c>
      <c r="B193" s="31" t="inlineStr">
        <is>
          <t>ISGEC Heavy Engineering  Ltd</t>
        </is>
      </c>
      <c r="C193" s="31" t="inlineStr">
        <is>
          <t>realty</t>
        </is>
      </c>
      <c r="D193" s="31" t="inlineStr">
        <is>
          <t>engineering - turnkey services</t>
        </is>
      </c>
      <c r="E193" s="31" t="inlineStr">
        <is>
          <t>midcap</t>
        </is>
      </c>
      <c r="F193" s="31" t="n">
        <v>6612.51</v>
      </c>
      <c r="G193" s="31" t="n">
        <v>905</v>
      </c>
      <c r="H193" s="31" t="n">
        <v>0.63</v>
      </c>
      <c r="I193" s="31" t="n">
        <v>52570</v>
      </c>
      <c r="J193" s="31" t="inlineStr">
        <is>
          <t>533033</t>
        </is>
      </c>
    </row>
    <row r="194">
      <c r="A194" s="31" t="inlineStr">
        <is>
          <t>DIFFNKG</t>
        </is>
      </c>
      <c r="B194" s="31" t="inlineStr">
        <is>
          <t>Diffusion Engineers Ltd</t>
        </is>
      </c>
      <c r="C194" s="31" t="inlineStr">
        <is>
          <t>industrials</t>
        </is>
      </c>
      <c r="D194" s="31" t="inlineStr">
        <is>
          <t>electrodes - welding equipment</t>
        </is>
      </c>
      <c r="E194" s="31" t="inlineStr">
        <is>
          <t>smallcap</t>
        </is>
      </c>
      <c r="F194" s="31" t="n">
        <v>1688.86</v>
      </c>
      <c r="G194" s="31" t="n">
        <v>454.1</v>
      </c>
      <c r="H194" s="31" t="n">
        <v>0.63</v>
      </c>
      <c r="I194" s="31" t="n">
        <v>279011</v>
      </c>
      <c r="J194" s="31" t="inlineStr">
        <is>
          <t>544264</t>
        </is>
      </c>
    </row>
    <row r="195">
      <c r="A195" s="31" t="inlineStr">
        <is>
          <t>RPEL</t>
        </is>
      </c>
      <c r="B195" s="31" t="inlineStr">
        <is>
          <t>Raghav Productivity Enhancers Ltd</t>
        </is>
      </c>
      <c r="C195" s="31" t="inlineStr">
        <is>
          <t>building materials</t>
        </is>
      </c>
      <c r="D195" s="31" t="inlineStr">
        <is>
          <t>refractories / intermediates</t>
        </is>
      </c>
      <c r="E195" s="31" t="inlineStr">
        <is>
          <t>midcap</t>
        </is>
      </c>
      <c r="F195" s="31" t="n">
        <v>8382.129999999999</v>
      </c>
      <c r="G195" s="31" t="n">
        <v>1835.6</v>
      </c>
      <c r="H195" s="31" t="n">
        <v>0.5600000000000001</v>
      </c>
      <c r="I195" s="31" t="n">
        <v>51137</v>
      </c>
      <c r="J195" s="31" t="inlineStr">
        <is>
          <t>539837</t>
        </is>
      </c>
    </row>
    <row r="196">
      <c r="A196" s="31" t="inlineStr">
        <is>
          <t>HARSHA</t>
        </is>
      </c>
      <c r="B196" s="31" t="inlineStr">
        <is>
          <t>Harsha Engineers International Ltd</t>
        </is>
      </c>
      <c r="C196" s="31" t="inlineStr">
        <is>
          <t>industrials</t>
        </is>
      </c>
      <c r="D196" s="31" t="inlineStr">
        <is>
          <t>engineering</t>
        </is>
      </c>
      <c r="E196" s="31" t="inlineStr">
        <is>
          <t>smallcap</t>
        </is>
      </c>
      <c r="F196" s="31" t="n">
        <v>4208.97</v>
      </c>
      <c r="G196" s="31" t="n">
        <v>464.65</v>
      </c>
      <c r="H196" s="31" t="n">
        <v>0.51</v>
      </c>
      <c r="I196" s="31" t="n">
        <v>78390</v>
      </c>
      <c r="J196" s="31" t="inlineStr">
        <is>
          <t>543600</t>
        </is>
      </c>
    </row>
    <row r="197">
      <c r="A197" s="31" t="inlineStr">
        <is>
          <t>SCHNEIDER</t>
        </is>
      </c>
      <c r="B197" s="31" t="inlineStr">
        <is>
          <t>Schneider Electric Infrastructure Limited</t>
        </is>
      </c>
      <c r="C197" s="31" t="inlineStr">
        <is>
          <t>industrials</t>
        </is>
      </c>
      <c r="D197" s="31" t="inlineStr">
        <is>
          <t>electric equipment</t>
        </is>
      </c>
      <c r="E197" s="31" t="inlineStr">
        <is>
          <t>largecap</t>
        </is>
      </c>
      <c r="F197" s="31" t="n">
        <v>30320.78</v>
      </c>
      <c r="G197" s="31" t="n">
        <v>1274</v>
      </c>
      <c r="H197" s="31" t="n">
        <v>0.47</v>
      </c>
      <c r="I197" s="31" t="n">
        <v>127905</v>
      </c>
      <c r="J197" s="31" t="inlineStr">
        <is>
          <t>534139</t>
        </is>
      </c>
    </row>
    <row r="198">
      <c r="A198" s="31" t="inlineStr">
        <is>
          <t>FINCABLES</t>
        </is>
      </c>
      <c r="B198" s="31" t="inlineStr">
        <is>
          <t>Finolex Cables Limited</t>
        </is>
      </c>
      <c r="C198" s="31" t="inlineStr">
        <is>
          <t>industrials</t>
        </is>
      </c>
      <c r="D198" s="31" t="inlineStr">
        <is>
          <t>cables - power</t>
        </is>
      </c>
      <c r="E198" s="31" t="inlineStr">
        <is>
          <t>largecap</t>
        </is>
      </c>
      <c r="F198" s="31" t="n">
        <v>22440.79</v>
      </c>
      <c r="G198" s="31" t="n">
        <v>1474</v>
      </c>
      <c r="H198" s="31" t="n">
        <v>0.46</v>
      </c>
      <c r="I198" s="31" t="n">
        <v>537623</v>
      </c>
      <c r="J198" s="31" t="inlineStr">
        <is>
          <t>500144</t>
        </is>
      </c>
    </row>
    <row r="199">
      <c r="A199" s="31" t="inlineStr">
        <is>
          <t>BLUSPRING</t>
        </is>
      </c>
      <c r="B199" s="31" t="inlineStr">
        <is>
          <t>Bluspring Enterprises Ltd</t>
        </is>
      </c>
      <c r="C199" s="31" t="inlineStr">
        <is>
          <t>miscellaneous</t>
        </is>
      </c>
      <c r="D199" s="31" t="inlineStr">
        <is>
          <t>diversified - large</t>
        </is>
      </c>
      <c r="E199" s="31" t="inlineStr">
        <is>
          <t>smallcap</t>
        </is>
      </c>
      <c r="F199" s="31" t="n">
        <v>2150.75</v>
      </c>
      <c r="G199" s="31" t="n">
        <v>144.53</v>
      </c>
      <c r="H199" s="31" t="n">
        <v>0.42</v>
      </c>
      <c r="I199" s="31" t="n">
        <v>139531</v>
      </c>
      <c r="J199" s="31" t="inlineStr">
        <is>
          <t>544414</t>
        </is>
      </c>
    </row>
    <row r="200">
      <c r="A200" s="31" t="inlineStr">
        <is>
          <t>ONEPOINT</t>
        </is>
      </c>
      <c r="B200" s="31" t="inlineStr">
        <is>
          <t>One Point One Solutions Ltd</t>
        </is>
      </c>
      <c r="C200" s="31" t="inlineStr">
        <is>
          <t>i.t</t>
        </is>
      </c>
      <c r="D200" s="31" t="inlineStr">
        <is>
          <t>computers - software - medium / small</t>
        </is>
      </c>
      <c r="E200" s="31" t="inlineStr">
        <is>
          <t>smallcap</t>
        </is>
      </c>
      <c r="F200" s="31" t="n">
        <v>2059.58</v>
      </c>
      <c r="G200" s="31" t="n">
        <v>78.65000000000001</v>
      </c>
      <c r="H200" s="31" t="n">
        <v>0.41</v>
      </c>
      <c r="I200" s="31" t="n">
        <v>1960862</v>
      </c>
      <c r="J200" s="31" t="inlineStr">
        <is>
          <t>535039</t>
        </is>
      </c>
    </row>
    <row r="201">
      <c r="A201" s="31" t="inlineStr">
        <is>
          <t>TDPOWERSYS</t>
        </is>
      </c>
      <c r="B201" s="31" t="inlineStr">
        <is>
          <t>Td Power Systems Limited</t>
        </is>
      </c>
      <c r="C201" s="31" t="inlineStr">
        <is>
          <t>industrials</t>
        </is>
      </c>
      <c r="D201" s="31" t="inlineStr">
        <is>
          <t>electric equipment</t>
        </is>
      </c>
      <c r="E201" s="31" t="inlineStr">
        <is>
          <t>midcap</t>
        </is>
      </c>
      <c r="F201" s="31" t="n">
        <v>12699.81</v>
      </c>
      <c r="G201" s="31" t="n">
        <v>816</v>
      </c>
      <c r="H201" s="31" t="n">
        <v>0.38</v>
      </c>
      <c r="I201" s="31" t="n">
        <v>2739151</v>
      </c>
      <c r="J201" s="31" t="inlineStr">
        <is>
          <t>533553</t>
        </is>
      </c>
    </row>
    <row r="202">
      <c r="A202" s="31" t="inlineStr">
        <is>
          <t>GPPL</t>
        </is>
      </c>
      <c r="B202" s="31" t="inlineStr">
        <is>
          <t>Gujarat Pipavav Port Limited</t>
        </is>
      </c>
      <c r="C202" s="31" t="inlineStr">
        <is>
          <t>transportation</t>
        </is>
      </c>
      <c r="D202" s="31" t="inlineStr">
        <is>
          <t>miscellaneous</t>
        </is>
      </c>
      <c r="E202" s="31" t="inlineStr">
        <is>
          <t>midcap</t>
        </is>
      </c>
      <c r="F202" s="31" t="n">
        <v>8102.45</v>
      </c>
      <c r="G202" s="31" t="n">
        <v>168.21</v>
      </c>
      <c r="H202" s="31" t="n">
        <v>0.36</v>
      </c>
      <c r="I202" s="31" t="n">
        <v>1125256</v>
      </c>
      <c r="J202" s="31" t="inlineStr">
        <is>
          <t>533248</t>
        </is>
      </c>
    </row>
    <row r="203">
      <c r="A203" s="31" t="inlineStr">
        <is>
          <t>CASTROLIND</t>
        </is>
      </c>
      <c r="B203" s="31" t="inlineStr">
        <is>
          <t>Castrol India Limited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midcap</t>
        </is>
      </c>
      <c r="F203" s="31" t="n">
        <v>19733.98</v>
      </c>
      <c r="G203" s="31" t="n">
        <v>200.2</v>
      </c>
      <c r="H203" s="31" t="n">
        <v>0.35</v>
      </c>
      <c r="I203" s="31" t="n">
        <v>1863669</v>
      </c>
      <c r="J203" s="31" t="inlineStr">
        <is>
          <t>500870</t>
        </is>
      </c>
    </row>
    <row r="204">
      <c r="A204" s="31" t="inlineStr">
        <is>
          <t>SYNCOMF</t>
        </is>
      </c>
      <c r="B204" s="31" t="inlineStr">
        <is>
          <t>Syncom Formulations (India) Ltd</t>
        </is>
      </c>
      <c r="C204" s="31" t="inlineStr">
        <is>
          <t>healthcare</t>
        </is>
      </c>
      <c r="D204" s="31" t="inlineStr">
        <is>
          <t>pharmaceuticals - indian - bulk drugs &amp; formln</t>
        </is>
      </c>
      <c r="E204" s="31" t="inlineStr">
        <is>
          <t>smallcap</t>
        </is>
      </c>
      <c r="F204" s="31" t="n">
        <v>2175.16</v>
      </c>
      <c r="G204" s="31" t="n">
        <v>23.22</v>
      </c>
      <c r="H204" s="31" t="n">
        <v>0.35</v>
      </c>
      <c r="I204" s="31" t="n">
        <v>15329504</v>
      </c>
      <c r="J204" s="31" t="inlineStr">
        <is>
          <t>524470</t>
        </is>
      </c>
    </row>
    <row r="205">
      <c r="A205" s="31" t="inlineStr">
        <is>
          <t>KOPRAN</t>
        </is>
      </c>
      <c r="B205" s="31" t="inlineStr">
        <is>
          <t>Kopran Limited</t>
        </is>
      </c>
      <c r="C205" s="31" t="inlineStr">
        <is>
          <t>healthcare</t>
        </is>
      </c>
      <c r="D205" s="31" t="inlineStr">
        <is>
          <t>pharmaceuticals - indian - bulk drugs &amp; formln</t>
        </is>
      </c>
      <c r="E205" s="31" t="inlineStr">
        <is>
          <t>smallcap</t>
        </is>
      </c>
      <c r="F205" s="31" t="n">
        <v>1297.43</v>
      </c>
      <c r="G205" s="31" t="n">
        <v>269.6</v>
      </c>
      <c r="H205" s="31" t="n">
        <v>0.33</v>
      </c>
      <c r="I205" s="31" t="n">
        <v>359825</v>
      </c>
      <c r="J205" s="31" t="inlineStr">
        <is>
          <t>524280</t>
        </is>
      </c>
    </row>
    <row r="206">
      <c r="A206" s="31" t="inlineStr">
        <is>
          <t>KRYSTAL</t>
        </is>
      </c>
      <c r="B206" s="31" t="inlineStr">
        <is>
          <t>Krystal Integrated Services Ltd</t>
        </is>
      </c>
      <c r="C206" s="31" t="inlineStr">
        <is>
          <t>miscellaneous</t>
        </is>
      </c>
      <c r="D206" s="31" t="inlineStr">
        <is>
          <t>miscellaneous</t>
        </is>
      </c>
      <c r="E206" s="31" t="inlineStr">
        <is>
          <t>smallcap</t>
        </is>
      </c>
      <c r="F206" s="31" t="n">
        <v>914.67</v>
      </c>
      <c r="G206" s="31" t="n">
        <v>656.65</v>
      </c>
      <c r="H206" s="31" t="n">
        <v>0.31</v>
      </c>
      <c r="I206" s="31" t="n">
        <v>15827</v>
      </c>
      <c r="J206" s="31" t="inlineStr">
        <is>
          <t>544149</t>
        </is>
      </c>
    </row>
    <row r="207">
      <c r="A207" s="31" t="inlineStr">
        <is>
          <t>ROSSTECH</t>
        </is>
      </c>
      <c r="B207" s="31" t="inlineStr">
        <is>
          <t>Rossell Techsys Ltd</t>
        </is>
      </c>
      <c r="C207" s="31" t="inlineStr">
        <is>
          <t>aerospace &amp; defence</t>
        </is>
      </c>
      <c r="D207" s="31" t="inlineStr">
        <is>
          <t>engineering</t>
        </is>
      </c>
      <c r="E207" s="31" t="inlineStr">
        <is>
          <t>midcap</t>
        </is>
      </c>
      <c r="F207" s="31" t="n">
        <v>6058.58</v>
      </c>
      <c r="G207" s="31" t="n">
        <v>1612.1</v>
      </c>
      <c r="H207" s="31" t="n">
        <v>0.3</v>
      </c>
      <c r="I207" s="31" t="n">
        <v>506905</v>
      </c>
      <c r="J207" s="31" t="inlineStr">
        <is>
          <t>544294</t>
        </is>
      </c>
    </row>
    <row r="208">
      <c r="A208" s="31" t="inlineStr">
        <is>
          <t>AXISCADES</t>
        </is>
      </c>
      <c r="B208" s="31" t="inlineStr">
        <is>
          <t>AXISCADES Technologies Ltd</t>
        </is>
      </c>
      <c r="C208" s="31" t="inlineStr">
        <is>
          <t>aerospace &amp; defence</t>
        </is>
      </c>
      <c r="D208" s="31" t="inlineStr">
        <is>
          <t>computers - software - medium / small</t>
        </is>
      </c>
      <c r="E208" s="31" t="inlineStr">
        <is>
          <t>midcap</t>
        </is>
      </c>
      <c r="F208" s="31" t="n">
        <v>9706.85</v>
      </c>
      <c r="G208" s="31" t="n">
        <v>2288.5</v>
      </c>
      <c r="H208" s="31" t="n">
        <v>0.27</v>
      </c>
      <c r="I208" s="31" t="n">
        <v>141367</v>
      </c>
      <c r="J208" s="31" t="inlineStr">
        <is>
          <t>532395</t>
        </is>
      </c>
    </row>
    <row r="209">
      <c r="A209" s="31" t="inlineStr">
        <is>
          <t>NRBBEARING</t>
        </is>
      </c>
      <c r="B209" s="31" t="inlineStr">
        <is>
          <t>Nrb Bearing Limited</t>
        </is>
      </c>
      <c r="C209" s="31" t="inlineStr">
        <is>
          <t>industrials</t>
        </is>
      </c>
      <c r="D209" s="31" t="inlineStr">
        <is>
          <t>bearings</t>
        </is>
      </c>
      <c r="E209" s="31" t="inlineStr">
        <is>
          <t>midcap</t>
        </is>
      </c>
      <c r="F209" s="31" t="n">
        <v>5192.14</v>
      </c>
      <c r="G209" s="31" t="n">
        <v>536.95</v>
      </c>
      <c r="H209" s="31" t="n">
        <v>0.23</v>
      </c>
      <c r="I209" s="31" t="n">
        <v>201725</v>
      </c>
      <c r="J209" s="31" t="inlineStr">
        <is>
          <t>530367</t>
        </is>
      </c>
    </row>
    <row r="210">
      <c r="A210" s="31" t="inlineStr">
        <is>
          <t>DYNAMATECH</t>
        </is>
      </c>
      <c r="B210" s="31" t="inlineStr">
        <is>
          <t>Dynamatic Technologies Limited</t>
        </is>
      </c>
      <c r="C210" s="31" t="inlineStr">
        <is>
          <t>aerospace &amp; defence</t>
        </is>
      </c>
      <c r="D210" s="31" t="inlineStr">
        <is>
          <t>engineering</t>
        </is>
      </c>
      <c r="E210" s="31" t="inlineStr">
        <is>
          <t>midcap</t>
        </is>
      </c>
      <c r="F210" s="31" t="n">
        <v>9678.49</v>
      </c>
      <c r="G210" s="31" t="n">
        <v>14279</v>
      </c>
      <c r="H210" s="31" t="n">
        <v>0.2</v>
      </c>
      <c r="I210" s="31" t="n">
        <v>25746</v>
      </c>
      <c r="J210" s="31" t="inlineStr">
        <is>
          <t>505242</t>
        </is>
      </c>
    </row>
    <row r="211">
      <c r="A211" s="31" t="inlineStr">
        <is>
          <t>MAZDA</t>
        </is>
      </c>
      <c r="B211" s="31" t="inlineStr">
        <is>
          <t>Mazda Limited</t>
        </is>
      </c>
      <c r="C211" s="31" t="inlineStr">
        <is>
          <t>industrials</t>
        </is>
      </c>
      <c r="D211" s="31" t="inlineStr">
        <is>
          <t>engineering</t>
        </is>
      </c>
      <c r="E211" s="31" t="inlineStr">
        <is>
          <t>smallcap</t>
        </is>
      </c>
      <c r="F211" s="31" t="n">
        <v>566.51</v>
      </c>
      <c r="G211" s="31" t="n">
        <v>283.4</v>
      </c>
      <c r="H211" s="31" t="n">
        <v>0.18</v>
      </c>
      <c r="I211" s="31" t="n">
        <v>18785</v>
      </c>
      <c r="J211" s="31" t="inlineStr">
        <is>
          <t>523792</t>
        </is>
      </c>
    </row>
    <row r="212">
      <c r="A212" s="31" t="inlineStr">
        <is>
          <t>CARBORUNIV</t>
        </is>
      </c>
      <c r="B212" s="31" t="inlineStr">
        <is>
          <t>Carborundum Universal Limited</t>
        </is>
      </c>
      <c r="C212" s="31" t="inlineStr">
        <is>
          <t>industrials</t>
        </is>
      </c>
      <c r="D212" s="31" t="inlineStr">
        <is>
          <t>abrasives and grinding wheels</t>
        </is>
      </c>
      <c r="E212" s="31" t="inlineStr">
        <is>
          <t>largecap</t>
        </is>
      </c>
      <c r="F212" s="31" t="n">
        <v>24146.96</v>
      </c>
      <c r="G212" s="31" t="n">
        <v>1269.6</v>
      </c>
      <c r="H212" s="31" t="n">
        <v>0.16</v>
      </c>
      <c r="I212" s="31" t="n">
        <v>377930</v>
      </c>
      <c r="J212" s="31" t="inlineStr">
        <is>
          <t>513375</t>
        </is>
      </c>
    </row>
    <row r="213">
      <c r="A213" s="31" t="inlineStr">
        <is>
          <t>HITECHCORP</t>
        </is>
      </c>
      <c r="B213" s="31" t="inlineStr">
        <is>
          <t>Hitech Corporation</t>
        </is>
      </c>
      <c r="C213" s="31" t="inlineStr">
        <is>
          <t>industrials</t>
        </is>
      </c>
      <c r="D213" s="31" t="inlineStr">
        <is>
          <t>packaging</t>
        </is>
      </c>
      <c r="E213" s="31" t="inlineStr">
        <is>
          <t>smallcap</t>
        </is>
      </c>
      <c r="F213" s="31" t="n">
        <v>587.41</v>
      </c>
      <c r="G213" s="31" t="n">
        <v>342.4</v>
      </c>
      <c r="H213" s="31" t="n">
        <v>0.12</v>
      </c>
      <c r="I213" s="31" t="n">
        <v>30000</v>
      </c>
      <c r="J213" s="31" t="inlineStr">
        <is>
          <t>526217</t>
        </is>
      </c>
    </row>
    <row r="214">
      <c r="A214" s="31" t="inlineStr">
        <is>
          <t>UNITEDPOLY</t>
        </is>
      </c>
      <c r="B214" s="31" t="inlineStr">
        <is>
          <t>United Polyfab Gujarat Ltd</t>
        </is>
      </c>
      <c r="C214" s="31" t="inlineStr">
        <is>
          <t>textiles</t>
        </is>
      </c>
      <c r="D214" s="31" t="inlineStr">
        <is>
          <t>textiles - products</t>
        </is>
      </c>
      <c r="E214" s="31" t="inlineStr">
        <is>
          <t>smallcap</t>
        </is>
      </c>
      <c r="F214" s="31" t="n">
        <v>1111.54</v>
      </c>
      <c r="G214" s="31" t="n">
        <v>48.49</v>
      </c>
      <c r="H214" s="31" t="n">
        <v>0.12</v>
      </c>
      <c r="I214" s="31" t="n">
        <v>706323</v>
      </c>
      <c r="J214" s="31" t="inlineStr">
        <is>
          <t>533024</t>
        </is>
      </c>
    </row>
    <row r="215">
      <c r="A215" s="31" t="inlineStr">
        <is>
          <t>NPST</t>
        </is>
      </c>
      <c r="B215" s="31" t="inlineStr">
        <is>
          <t>Network People Services Technologies Ltd</t>
        </is>
      </c>
      <c r="C215" s="31" t="inlineStr">
        <is>
          <t>i.t</t>
        </is>
      </c>
      <c r="D215" s="31" t="inlineStr">
        <is>
          <t>computers - software - medium / small</t>
        </is>
      </c>
      <c r="E215" s="31" t="inlineStr">
        <is>
          <t>smallcap</t>
        </is>
      </c>
      <c r="F215" s="31" t="n">
        <v>3825.32</v>
      </c>
      <c r="G215" s="31" t="n">
        <v>1835.5</v>
      </c>
      <c r="H215" s="31" t="n">
        <v>0.11</v>
      </c>
      <c r="I215" s="31" t="n">
        <v>67123</v>
      </c>
      <c r="J215" s="31" t="inlineStr">
        <is>
          <t>535391</t>
        </is>
      </c>
    </row>
    <row r="216">
      <c r="A216" s="31" t="inlineStr">
        <is>
          <t>GALAPREC</t>
        </is>
      </c>
      <c r="B216" s="31" t="inlineStr">
        <is>
          <t>Gala Precision Engineering Ltd</t>
        </is>
      </c>
      <c r="C216" s="31" t="inlineStr">
        <is>
          <t>castings, forgings &amp; fasteners</t>
        </is>
      </c>
      <c r="D216" s="31" t="inlineStr">
        <is>
          <t>fasteners</t>
        </is>
      </c>
      <c r="E216" s="31" t="inlineStr">
        <is>
          <t>smallcap</t>
        </is>
      </c>
      <c r="F216" s="31" t="n">
        <v>1486.81</v>
      </c>
      <c r="G216" s="31" t="n">
        <v>1161</v>
      </c>
      <c r="H216" s="31" t="n">
        <v>0.08</v>
      </c>
      <c r="I216" s="31" t="n">
        <v>11857</v>
      </c>
      <c r="J216" s="31" t="inlineStr">
        <is>
          <t>544244</t>
        </is>
      </c>
    </row>
    <row r="217">
      <c r="A217" s="31" t="inlineStr">
        <is>
          <t>PGIL</t>
        </is>
      </c>
      <c r="B217" s="31" t="inlineStr">
        <is>
          <t>Pearl Global Industries Limited</t>
        </is>
      </c>
      <c r="C217" s="31" t="inlineStr">
        <is>
          <t>readymade garments/apparels</t>
        </is>
      </c>
      <c r="D217" s="31" t="inlineStr">
        <is>
          <t>textiles - products</t>
        </is>
      </c>
      <c r="E217" s="31" t="inlineStr">
        <is>
          <t>midcap</t>
        </is>
      </c>
      <c r="F217" s="31" t="n">
        <v>11700.06</v>
      </c>
      <c r="G217" s="31" t="n">
        <v>1266.7</v>
      </c>
      <c r="H217" s="31" t="n">
        <v>0.02</v>
      </c>
      <c r="I217" s="31" t="n">
        <v>251443</v>
      </c>
      <c r="J217" s="31" t="inlineStr">
        <is>
          <t>532808</t>
        </is>
      </c>
    </row>
    <row r="218">
      <c r="A218" s="31" t="inlineStr">
        <is>
          <t>PREMEXPLN</t>
        </is>
      </c>
      <c r="B218" s="31" t="inlineStr">
        <is>
          <t>Premier Explosives Limited</t>
        </is>
      </c>
      <c r="C218" s="31" t="inlineStr">
        <is>
          <t>aerospace &amp; defence</t>
        </is>
      </c>
      <c r="D218" s="31" t="inlineStr">
        <is>
          <t>chemicals</t>
        </is>
      </c>
      <c r="E218" s="31" t="inlineStr">
        <is>
          <t>smallcap</t>
        </is>
      </c>
      <c r="F218" s="31" t="n">
        <v>3682.91</v>
      </c>
      <c r="G218" s="31" t="n">
        <v>685.1</v>
      </c>
      <c r="H218" s="31" t="n">
        <v>0.01</v>
      </c>
      <c r="I218" s="31" t="n">
        <v>270918</v>
      </c>
      <c r="J218" s="31" t="inlineStr">
        <is>
          <t>526247</t>
        </is>
      </c>
    </row>
    <row r="219">
      <c r="A219" s="31" t="inlineStr">
        <is>
          <t>NRL</t>
        </is>
      </c>
      <c r="B219" s="31" t="inlineStr">
        <is>
          <t>Nupur Recyclers Ltd</t>
        </is>
      </c>
      <c r="C219" s="31" t="inlineStr">
        <is>
          <t>services</t>
        </is>
      </c>
      <c r="D219" s="31" t="inlineStr">
        <is>
          <t>trading</t>
        </is>
      </c>
      <c r="E219" s="31" t="inlineStr">
        <is>
          <t>smallcap</t>
        </is>
      </c>
      <c r="F219" s="31" t="n">
        <v>1084.38</v>
      </c>
      <c r="G219" s="31" t="n">
        <v>157</v>
      </c>
      <c r="H219" s="31" t="n">
        <v>0</v>
      </c>
      <c r="I219" s="31" t="n">
        <v>66546</v>
      </c>
      <c r="J219" s="31" t="inlineStr">
        <is>
          <t>535413</t>
        </is>
      </c>
    </row>
    <row r="220">
      <c r="A220" s="31" t="inlineStr">
        <is>
          <t>IIFLCAPS</t>
        </is>
      </c>
      <c r="B220" s="31" t="inlineStr">
        <is>
          <t>IIFL Capital Services Ltd</t>
        </is>
      </c>
      <c r="C220" s="31" t="inlineStr">
        <is>
          <t>financials</t>
        </is>
      </c>
      <c r="D220" s="31" t="inlineStr">
        <is>
          <t>finance &amp; investments</t>
        </is>
      </c>
      <c r="E220" s="31" t="inlineStr">
        <is>
          <t>midcap</t>
        </is>
      </c>
      <c r="F220" s="31" t="n">
        <v>10820.31</v>
      </c>
      <c r="G220" s="31" t="n">
        <v>345.15</v>
      </c>
      <c r="H220" s="31" t="n">
        <v>-0.01</v>
      </c>
      <c r="I220" s="31" t="n">
        <v>154566</v>
      </c>
      <c r="J220" s="31" t="inlineStr">
        <is>
          <t>542773</t>
        </is>
      </c>
    </row>
    <row r="221">
      <c r="A221" s="31" t="inlineStr">
        <is>
          <t>KROSS</t>
        </is>
      </c>
      <c r="B221" s="31" t="inlineStr">
        <is>
          <t>Kross Ltd</t>
        </is>
      </c>
      <c r="C221" s="31" t="inlineStr">
        <is>
          <t>auto</t>
        </is>
      </c>
      <c r="D221" s="31" t="inlineStr">
        <is>
          <t>auto ancillaries</t>
        </is>
      </c>
      <c r="E221" s="31" t="inlineStr">
        <is>
          <t>smallcap</t>
        </is>
      </c>
      <c r="F221" s="31" t="n">
        <v>1635.96</v>
      </c>
      <c r="G221" s="31" t="n">
        <v>253.2</v>
      </c>
      <c r="H221" s="31" t="n">
        <v>-0.16</v>
      </c>
      <c r="I221" s="31" t="n">
        <v>458241</v>
      </c>
      <c r="J221" s="31" t="inlineStr">
        <is>
          <t>544253</t>
        </is>
      </c>
    </row>
    <row r="222">
      <c r="A222" s="31" t="inlineStr">
        <is>
          <t>ASHIANA</t>
        </is>
      </c>
      <c r="B222" s="31" t="inlineStr">
        <is>
          <t>Ashiana Housing Limited</t>
        </is>
      </c>
      <c r="C222" s="31" t="inlineStr">
        <is>
          <t>realty</t>
        </is>
      </c>
      <c r="D222" s="31" t="inlineStr">
        <is>
          <t>construction</t>
        </is>
      </c>
      <c r="E222" s="31" t="inlineStr">
        <is>
          <t>smallcap</t>
        </is>
      </c>
      <c r="F222" s="31" t="n">
        <v>3856.13</v>
      </c>
      <c r="G222" s="31" t="n">
        <v>382.95</v>
      </c>
      <c r="H222" s="31" t="n">
        <v>-0.17</v>
      </c>
      <c r="I222" s="31" t="n">
        <v>29815</v>
      </c>
      <c r="J222" s="31" t="inlineStr">
        <is>
          <t>523716</t>
        </is>
      </c>
    </row>
    <row r="223">
      <c r="A223" s="31" t="inlineStr">
        <is>
          <t>VALIANTLAB</t>
        </is>
      </c>
      <c r="B223" s="31" t="inlineStr">
        <is>
          <t>Valiant Laboratories Ltd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smallcap</t>
        </is>
      </c>
      <c r="F223" s="31" t="n">
        <v>676.63</v>
      </c>
      <c r="G223" s="31" t="n">
        <v>124.37</v>
      </c>
      <c r="H223" s="31" t="n">
        <v>-0.17</v>
      </c>
      <c r="I223" s="31" t="n">
        <v>73168</v>
      </c>
      <c r="J223" s="31" t="n"/>
    </row>
    <row r="224">
      <c r="A224" s="31" t="inlineStr">
        <is>
          <t>SUNDROP</t>
        </is>
      </c>
      <c r="B224" s="31" t="inlineStr">
        <is>
          <t>Sundrop Brands Ltd</t>
        </is>
      </c>
      <c r="C224" s="31" t="inlineStr">
        <is>
          <t>fmcg</t>
        </is>
      </c>
      <c r="D224" s="31" t="inlineStr">
        <is>
          <t>food - processing - indian</t>
        </is>
      </c>
      <c r="E224" s="31" t="inlineStr">
        <is>
          <t>smallcap</t>
        </is>
      </c>
      <c r="F224" s="31" t="n">
        <v>2821.99</v>
      </c>
      <c r="G224" s="31" t="n">
        <v>746.8</v>
      </c>
      <c r="H224" s="31" t="n">
        <v>-0.24</v>
      </c>
      <c r="I224" s="31" t="n">
        <v>28219</v>
      </c>
      <c r="J224" s="31" t="inlineStr">
        <is>
          <t>500215</t>
        </is>
      </c>
    </row>
    <row r="225">
      <c r="A225" s="31" t="inlineStr">
        <is>
          <t>CPPLUS</t>
        </is>
      </c>
      <c r="B225" s="31" t="inlineStr">
        <is>
          <t>Aditya Infotech Ltd</t>
        </is>
      </c>
      <c r="C225" s="31" t="inlineStr">
        <is>
          <t>consumer discretionary</t>
        </is>
      </c>
      <c r="D225" s="31" t="inlineStr">
        <is>
          <t>trading</t>
        </is>
      </c>
      <c r="E225" s="31" t="inlineStr">
        <is>
          <t>largecap</t>
        </is>
      </c>
      <c r="F225" s="31" t="n">
        <v>47016.45</v>
      </c>
      <c r="G225" s="31" t="n">
        <v>3976</v>
      </c>
      <c r="H225" s="31" t="n">
        <v>-0.34</v>
      </c>
      <c r="I225" s="31" t="n">
        <v>432803</v>
      </c>
      <c r="J225" s="31" t="inlineStr">
        <is>
          <t>544466</t>
        </is>
      </c>
    </row>
    <row r="226">
      <c r="A226" s="31" t="inlineStr">
        <is>
          <t>MUKANDLTD</t>
        </is>
      </c>
      <c r="B226" s="31" t="inlineStr">
        <is>
          <t>Mukand Limited</t>
        </is>
      </c>
      <c r="C226" s="31" t="inlineStr">
        <is>
          <t>metals &amp; mining</t>
        </is>
      </c>
      <c r="D226" s="31" t="inlineStr">
        <is>
          <t>steel - medium / small</t>
        </is>
      </c>
      <c r="E226" s="31" t="inlineStr">
        <is>
          <t>smallcap</t>
        </is>
      </c>
      <c r="F226" s="31" t="n">
        <v>2632.71</v>
      </c>
      <c r="G226" s="31" t="n">
        <v>181.55</v>
      </c>
      <c r="H226" s="31" t="n">
        <v>-0.36</v>
      </c>
      <c r="I226" s="31" t="n">
        <v>476026</v>
      </c>
      <c r="J226" s="31" t="inlineStr">
        <is>
          <t>500460</t>
        </is>
      </c>
    </row>
    <row r="227">
      <c r="A227" s="31" t="inlineStr">
        <is>
          <t>LALPATHLAB</t>
        </is>
      </c>
      <c r="B227" s="31" t="inlineStr">
        <is>
          <t>Dr. Lal Path Labs Ltd.</t>
        </is>
      </c>
      <c r="C227" s="31" t="inlineStr">
        <is>
          <t>healthcare</t>
        </is>
      </c>
      <c r="D227" s="31" t="inlineStr">
        <is>
          <t>healthcare</t>
        </is>
      </c>
      <c r="E227" s="31" t="inlineStr">
        <is>
          <t>largecap</t>
        </is>
      </c>
      <c r="F227" s="31" t="n">
        <v>33046.43</v>
      </c>
      <c r="G227" s="31" t="n">
        <v>1964.2</v>
      </c>
      <c r="H227" s="31" t="n">
        <v>-0.36</v>
      </c>
      <c r="I227" s="31" t="n">
        <v>245709</v>
      </c>
      <c r="J227" s="31" t="inlineStr">
        <is>
          <t>539524</t>
        </is>
      </c>
    </row>
    <row r="228">
      <c r="A228" s="31" t="inlineStr">
        <is>
          <t>SETL</t>
        </is>
      </c>
      <c r="B228" s="31" t="inlineStr">
        <is>
          <t>Standard Enginnering Technology Ltd</t>
        </is>
      </c>
      <c r="C228" s="31" t="inlineStr">
        <is>
          <t>industrials</t>
        </is>
      </c>
      <c r="D228" s="31" t="inlineStr">
        <is>
          <t>engineering</t>
        </is>
      </c>
      <c r="E228" s="31" t="inlineStr">
        <is>
          <t>midcap</t>
        </is>
      </c>
      <c r="F228" s="31" t="n">
        <v>8579.139999999999</v>
      </c>
      <c r="G228" s="31" t="n">
        <v>428.3</v>
      </c>
      <c r="H228" s="31" t="n">
        <v>-0.41</v>
      </c>
      <c r="I228" s="31" t="n">
        <v>453699</v>
      </c>
      <c r="J228" s="31" t="inlineStr">
        <is>
          <t>544333</t>
        </is>
      </c>
    </row>
    <row r="229">
      <c r="A229" s="31" t="inlineStr">
        <is>
          <t>FAIRCHEMOR</t>
        </is>
      </c>
      <c r="B229" s="31" t="inlineStr">
        <is>
          <t>Fairchem Organics Ltd</t>
        </is>
      </c>
      <c r="C229" s="31" t="inlineStr">
        <is>
          <t>chemicals</t>
        </is>
      </c>
      <c r="D229" s="31" t="inlineStr">
        <is>
          <t>chemicals</t>
        </is>
      </c>
      <c r="E229" s="31" t="inlineStr">
        <is>
          <t>smallcap</t>
        </is>
      </c>
      <c r="F229" s="31" t="n">
        <v>859.36</v>
      </c>
      <c r="G229" s="31" t="n">
        <v>679.3</v>
      </c>
      <c r="H229" s="31" t="n">
        <v>-0.43</v>
      </c>
      <c r="I229" s="31" t="n">
        <v>131897</v>
      </c>
      <c r="J229" s="31" t="inlineStr">
        <is>
          <t>543252</t>
        </is>
      </c>
    </row>
    <row r="230">
      <c r="A230" s="31" t="inlineStr">
        <is>
          <t>ARIES</t>
        </is>
      </c>
      <c r="B230" s="31" t="inlineStr">
        <is>
          <t>Aries Agro Limited</t>
        </is>
      </c>
      <c r="C230" s="31" t="inlineStr">
        <is>
          <t>chemicals</t>
        </is>
      </c>
      <c r="D230" s="31" t="inlineStr">
        <is>
          <t>fertilizers</t>
        </is>
      </c>
      <c r="E230" s="31" t="inlineStr">
        <is>
          <t>smallcap</t>
        </is>
      </c>
      <c r="F230" s="31" t="n">
        <v>651.84</v>
      </c>
      <c r="G230" s="31" t="n">
        <v>499</v>
      </c>
      <c r="H230" s="31" t="n">
        <v>-0.45</v>
      </c>
      <c r="I230" s="31" t="n">
        <v>24527</v>
      </c>
      <c r="J230" s="31" t="inlineStr">
        <is>
          <t>532935</t>
        </is>
      </c>
    </row>
    <row r="231">
      <c r="A231" s="31" t="inlineStr">
        <is>
          <t>NRAIL</t>
        </is>
      </c>
      <c r="B231" s="31" t="inlineStr">
        <is>
          <t>N R Agarwal Industries Ltd</t>
        </is>
      </c>
      <c r="C231" s="31" t="inlineStr">
        <is>
          <t>building materials</t>
        </is>
      </c>
      <c r="D231" s="31" t="inlineStr">
        <is>
          <t>paper</t>
        </is>
      </c>
      <c r="E231" s="31" t="inlineStr">
        <is>
          <t>smallcap</t>
        </is>
      </c>
      <c r="F231" s="31" t="n">
        <v>1125.56</v>
      </c>
      <c r="G231" s="31" t="n">
        <v>658.25</v>
      </c>
      <c r="H231" s="31" t="n">
        <v>-0.47</v>
      </c>
      <c r="I231" s="31" t="n">
        <v>11965</v>
      </c>
      <c r="J231" s="31" t="inlineStr">
        <is>
          <t>516082</t>
        </is>
      </c>
    </row>
    <row r="232">
      <c r="A232" s="31" t="inlineStr">
        <is>
          <t>APARINDS</t>
        </is>
      </c>
      <c r="B232" s="31" t="inlineStr">
        <is>
          <t>Apar Industries Limited</t>
        </is>
      </c>
      <c r="C232" s="31" t="inlineStr">
        <is>
          <t>industrials</t>
        </is>
      </c>
      <c r="D232" s="31" t="inlineStr">
        <is>
          <t>electric equipment</t>
        </is>
      </c>
      <c r="E232" s="31" t="inlineStr">
        <is>
          <t>largecap</t>
        </is>
      </c>
      <c r="F232" s="31" t="n">
        <v>75797.3</v>
      </c>
      <c r="G232" s="31" t="n">
        <v>18016</v>
      </c>
      <c r="H232" s="31" t="n">
        <v>-0.48</v>
      </c>
      <c r="I232" s="31" t="n">
        <v>94494</v>
      </c>
      <c r="J232" s="31" t="inlineStr">
        <is>
          <t>532259</t>
        </is>
      </c>
    </row>
    <row r="233">
      <c r="A233" s="31" t="inlineStr">
        <is>
          <t>RAYMOND</t>
        </is>
      </c>
      <c r="B233" s="31" t="inlineStr">
        <is>
          <t>Raymond Limited</t>
        </is>
      </c>
      <c r="C233" s="31" t="inlineStr">
        <is>
          <t>transportation</t>
        </is>
      </c>
      <c r="D233" s="31" t="inlineStr">
        <is>
          <t>transport - airlines</t>
        </is>
      </c>
      <c r="E233" s="31" t="inlineStr">
        <is>
          <t>midcap</t>
        </is>
      </c>
      <c r="F233" s="31" t="n">
        <v>8659.25</v>
      </c>
      <c r="G233" s="31" t="n">
        <v>1294.3</v>
      </c>
      <c r="H233" s="31" t="n">
        <v>-0.49</v>
      </c>
      <c r="I233" s="31" t="n">
        <v>1955260</v>
      </c>
      <c r="J233" s="31" t="inlineStr">
        <is>
          <t>500330</t>
        </is>
      </c>
    </row>
    <row r="234">
      <c r="A234" s="31" t="inlineStr">
        <is>
          <t>RBLBANK</t>
        </is>
      </c>
      <c r="B234" s="31" t="inlineStr">
        <is>
          <t>Rbl Bank Limited</t>
        </is>
      </c>
      <c r="C234" s="31" t="inlineStr">
        <is>
          <t>bank</t>
        </is>
      </c>
      <c r="D234" s="31" t="inlineStr">
        <is>
          <t>banks - private sector</t>
        </is>
      </c>
      <c r="E234" s="31" t="inlineStr">
        <is>
          <t>largecap</t>
        </is>
      </c>
      <c r="F234" s="31" t="n">
        <v>64505.18</v>
      </c>
      <c r="G234" s="31" t="n">
        <v>414.5</v>
      </c>
      <c r="H234" s="31" t="n">
        <v>-0.49</v>
      </c>
      <c r="I234" s="31" t="n">
        <v>2559971</v>
      </c>
      <c r="J234" s="31" t="inlineStr">
        <is>
          <t>540065</t>
        </is>
      </c>
    </row>
    <row r="235">
      <c r="A235" s="31" t="inlineStr">
        <is>
          <t>SANATHAN</t>
        </is>
      </c>
      <c r="B235" s="31" t="inlineStr">
        <is>
          <t>Sanathan Textiles Ltd</t>
        </is>
      </c>
      <c r="C235" s="31" t="inlineStr">
        <is>
          <t>textiles</t>
        </is>
      </c>
      <c r="D235" s="31" t="inlineStr">
        <is>
          <t>textiles - cotton/blended</t>
        </is>
      </c>
      <c r="E235" s="31" t="inlineStr">
        <is>
          <t>smallcap</t>
        </is>
      </c>
      <c r="F235" s="31" t="n">
        <v>4459.49</v>
      </c>
      <c r="G235" s="31" t="n">
        <v>525.65</v>
      </c>
      <c r="H235" s="31" t="n">
        <v>-0.51</v>
      </c>
      <c r="I235" s="31" t="n">
        <v>45492</v>
      </c>
      <c r="J235" s="31" t="inlineStr">
        <is>
          <t>544314</t>
        </is>
      </c>
    </row>
    <row r="236">
      <c r="A236" s="31" t="inlineStr">
        <is>
          <t>JASH</t>
        </is>
      </c>
      <c r="B236" s="31" t="inlineStr">
        <is>
          <t>Jash Engineering Ltd</t>
        </is>
      </c>
      <c r="C236" s="31" t="inlineStr">
        <is>
          <t>industrials</t>
        </is>
      </c>
      <c r="D236" s="31" t="inlineStr">
        <is>
          <t>engineering</t>
        </is>
      </c>
      <c r="E236" s="31" t="inlineStr">
        <is>
          <t>smallcap</t>
        </is>
      </c>
      <c r="F236" s="31" t="n">
        <v>3779.62</v>
      </c>
      <c r="G236" s="31" t="n">
        <v>594.95</v>
      </c>
      <c r="H236" s="31" t="n">
        <v>-0.53</v>
      </c>
      <c r="I236" s="31" t="n">
        <v>176581</v>
      </c>
      <c r="J236" s="31" t="inlineStr">
        <is>
          <t>535019</t>
        </is>
      </c>
    </row>
    <row r="237">
      <c r="A237" s="31" t="inlineStr">
        <is>
          <t>SBC</t>
        </is>
      </c>
      <c r="B237" s="31" t="inlineStr">
        <is>
          <t>SBC Exports Ltd</t>
        </is>
      </c>
      <c r="C237" s="31" t="inlineStr">
        <is>
          <t>textiles</t>
        </is>
      </c>
      <c r="D237" s="31" t="inlineStr">
        <is>
          <t>textiles - products</t>
        </is>
      </c>
      <c r="E237" s="31" t="inlineStr">
        <is>
          <t>smallcap</t>
        </is>
      </c>
      <c r="F237" s="31" t="n">
        <v>2954.28</v>
      </c>
      <c r="G237" s="31" t="n">
        <v>61.7</v>
      </c>
      <c r="H237" s="31" t="n">
        <v>-0.55</v>
      </c>
      <c r="I237" s="31" t="n">
        <v>26585618</v>
      </c>
      <c r="J237" s="31" t="inlineStr">
        <is>
          <t>542725</t>
        </is>
      </c>
    </row>
    <row r="238">
      <c r="A238" s="31" t="inlineStr">
        <is>
          <t>PRIMESECU</t>
        </is>
      </c>
      <c r="B238" s="31" t="inlineStr">
        <is>
          <t>Prime Securities Limited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1014.14</v>
      </c>
      <c r="G238" s="31" t="n">
        <v>297.05</v>
      </c>
      <c r="H238" s="31" t="n">
        <v>-0.59</v>
      </c>
      <c r="I238" s="31" t="n">
        <v>9985</v>
      </c>
      <c r="J238" s="31" t="inlineStr">
        <is>
          <t>500337</t>
        </is>
      </c>
    </row>
    <row r="239">
      <c r="A239" s="31" t="inlineStr">
        <is>
          <t>ATLANTAELE</t>
        </is>
      </c>
      <c r="B239" s="31" t="inlineStr">
        <is>
          <t>Atlanta Electricals Ltd</t>
        </is>
      </c>
      <c r="C239" s="31" t="inlineStr">
        <is>
          <t>industrials</t>
        </is>
      </c>
      <c r="D239" s="31" t="inlineStr">
        <is>
          <t>electric equipment</t>
        </is>
      </c>
      <c r="E239" s="31" t="inlineStr">
        <is>
          <t>midcap</t>
        </is>
      </c>
      <c r="F239" s="31" t="n">
        <v>14478.87</v>
      </c>
      <c r="G239" s="31" t="n">
        <v>1869.3</v>
      </c>
      <c r="H239" s="31" t="n">
        <v>-0.72</v>
      </c>
      <c r="I239" s="31" t="n">
        <v>339216</v>
      </c>
      <c r="J239" s="31" t="inlineStr">
        <is>
          <t>544527</t>
        </is>
      </c>
    </row>
    <row r="240">
      <c r="A240" s="31" t="inlineStr">
        <is>
          <t>CYIENTDLM</t>
        </is>
      </c>
      <c r="B240" s="31" t="inlineStr">
        <is>
          <t>Cyient DLM Ltd</t>
        </is>
      </c>
      <c r="C240" s="31" t="inlineStr">
        <is>
          <t>aerospace &amp; defence</t>
        </is>
      </c>
      <c r="D240" s="31" t="inlineStr">
        <is>
          <t>electronics - components</t>
        </is>
      </c>
      <c r="E240" s="31" t="inlineStr">
        <is>
          <t>midcap</t>
        </is>
      </c>
      <c r="F240" s="31" t="n">
        <v>7516.02</v>
      </c>
      <c r="G240" s="31" t="n">
        <v>939</v>
      </c>
      <c r="H240" s="31" t="n">
        <v>-0.82</v>
      </c>
      <c r="I240" s="31" t="n">
        <v>235010</v>
      </c>
      <c r="J240" s="31" t="inlineStr">
        <is>
          <t>543933</t>
        </is>
      </c>
    </row>
    <row r="241">
      <c r="A241" s="31" t="inlineStr">
        <is>
          <t>ROLEXRINGS</t>
        </is>
      </c>
      <c r="B241" s="31" t="inlineStr">
        <is>
          <t>Rolex Rings Ltd</t>
        </is>
      </c>
      <c r="C241" s="31" t="inlineStr">
        <is>
          <t>auto</t>
        </is>
      </c>
      <c r="D241" s="31" t="inlineStr">
        <is>
          <t>auto ancillaries</t>
        </is>
      </c>
      <c r="E241" s="31" t="inlineStr">
        <is>
          <t>midcap</t>
        </is>
      </c>
      <c r="F241" s="31" t="n">
        <v>5168.07</v>
      </c>
      <c r="G241" s="31" t="n">
        <v>188.18</v>
      </c>
      <c r="H241" s="31" t="n">
        <v>-0.84</v>
      </c>
      <c r="I241" s="31" t="n">
        <v>2424946</v>
      </c>
      <c r="J241" s="31" t="inlineStr">
        <is>
          <t>543325</t>
        </is>
      </c>
    </row>
    <row r="242">
      <c r="A242" s="31" t="inlineStr">
        <is>
          <t>ORIENTBELL</t>
        </is>
      </c>
      <c r="B242" s="31" t="inlineStr">
        <is>
          <t>Orient Bell Limited</t>
        </is>
      </c>
      <c r="C242" s="31" t="inlineStr">
        <is>
          <t>building materials</t>
        </is>
      </c>
      <c r="D242" s="31" t="inlineStr">
        <is>
          <t>ceramics - tiles / sanitaryware</t>
        </is>
      </c>
      <c r="E242" s="31" t="inlineStr">
        <is>
          <t>smallcap</t>
        </is>
      </c>
      <c r="F242" s="31" t="n">
        <v>613.5700000000001</v>
      </c>
      <c r="G242" s="31" t="n">
        <v>413.55</v>
      </c>
      <c r="H242" s="31" t="n">
        <v>-0.85</v>
      </c>
      <c r="I242" s="31" t="n">
        <v>16464</v>
      </c>
      <c r="J242" s="31" t="inlineStr">
        <is>
          <t>530365</t>
        </is>
      </c>
    </row>
    <row r="243">
      <c r="A243" s="31" t="inlineStr">
        <is>
          <t>SYRMA</t>
        </is>
      </c>
      <c r="B243" s="31" t="inlineStr">
        <is>
          <t>Syrma SGS Technology Ltd</t>
        </is>
      </c>
      <c r="C243" s="31" t="inlineStr">
        <is>
          <t>consumer discretionary</t>
        </is>
      </c>
      <c r="D243" s="31" t="inlineStr">
        <is>
          <t>electronics - components</t>
        </is>
      </c>
      <c r="E243" s="31" t="inlineStr">
        <is>
          <t>largecap</t>
        </is>
      </c>
      <c r="F243" s="31" t="n">
        <v>32788.9</v>
      </c>
      <c r="G243" s="31" t="n">
        <v>1685.1</v>
      </c>
      <c r="H243" s="31" t="n">
        <v>-0.9</v>
      </c>
      <c r="I243" s="31" t="n">
        <v>817702</v>
      </c>
      <c r="J243" s="31" t="inlineStr">
        <is>
          <t>543573</t>
        </is>
      </c>
    </row>
    <row r="244">
      <c r="A244" s="31" t="inlineStr">
        <is>
          <t>SIGMAADV</t>
        </is>
      </c>
      <c r="B244" s="31" t="inlineStr">
        <is>
          <t>Sigma Advanced System Ltd</t>
        </is>
      </c>
      <c r="C244" s="31" t="inlineStr">
        <is>
          <t>aerospace &amp; defence</t>
        </is>
      </c>
      <c r="D244" s="31" t="inlineStr">
        <is>
          <t>electronics - components</t>
        </is>
      </c>
      <c r="E244" s="31" t="inlineStr">
        <is>
          <t>largecap</t>
        </is>
      </c>
      <c r="F244" s="31" t="n">
        <v>21424.44</v>
      </c>
      <c r="G244" s="31" t="n">
        <v>1119.4</v>
      </c>
      <c r="H244" s="31" t="n">
        <v>-0.99</v>
      </c>
      <c r="I244" s="31" t="n">
        <v>385103</v>
      </c>
      <c r="J244" s="31" t="inlineStr">
        <is>
          <t>532408</t>
        </is>
      </c>
    </row>
    <row r="245">
      <c r="A245" s="31" t="inlineStr">
        <is>
          <t>LLOYDSENT</t>
        </is>
      </c>
      <c r="B245" s="31" t="inlineStr">
        <is>
          <t>Lloyds Enterprises Ltd</t>
        </is>
      </c>
      <c r="C245" s="31" t="inlineStr">
        <is>
          <t>services</t>
        </is>
      </c>
      <c r="D245" s="31" t="inlineStr">
        <is>
          <t>trading</t>
        </is>
      </c>
      <c r="E245" s="31" t="inlineStr">
        <is>
          <t>midcap</t>
        </is>
      </c>
      <c r="F245" s="31" t="n">
        <v>12155.93</v>
      </c>
      <c r="G245" s="31" t="n">
        <v>78.83</v>
      </c>
      <c r="H245" s="31" t="n">
        <v>-1</v>
      </c>
      <c r="I245" s="31" t="n">
        <v>3341137</v>
      </c>
      <c r="J245" s="31" t="inlineStr">
        <is>
          <t>512463</t>
        </is>
      </c>
    </row>
    <row r="246">
      <c r="A246" s="31" t="inlineStr">
        <is>
          <t>LLOYDSENGG</t>
        </is>
      </c>
      <c r="B246" s="31" t="inlineStr">
        <is>
          <t>Lloyds Engineering Works Ltd</t>
        </is>
      </c>
      <c r="C246" s="31" t="inlineStr">
        <is>
          <t>industrials</t>
        </is>
      </c>
      <c r="D246" s="31" t="inlineStr">
        <is>
          <t>engineering</t>
        </is>
      </c>
      <c r="E246" s="31" t="inlineStr">
        <is>
          <t>midcap</t>
        </is>
      </c>
      <c r="F246" s="31" t="n">
        <v>15851.62</v>
      </c>
      <c r="G246" s="31" t="n">
        <v>101.15</v>
      </c>
      <c r="H246" s="31" t="n">
        <v>-1.03</v>
      </c>
      <c r="I246" s="31" t="n">
        <v>10878549</v>
      </c>
      <c r="J246" s="31" t="inlineStr">
        <is>
          <t>539992</t>
        </is>
      </c>
    </row>
    <row r="247">
      <c r="A247" s="31" t="inlineStr">
        <is>
          <t>BOSCH-HCIL</t>
        </is>
      </c>
      <c r="B247" s="31" t="inlineStr">
        <is>
          <t>Bosch Home Comfort India Ltd</t>
        </is>
      </c>
      <c r="C247" s="31" t="inlineStr">
        <is>
          <t>consumer discretionary</t>
        </is>
      </c>
      <c r="D247" s="31" t="inlineStr">
        <is>
          <t>air-conditioners</t>
        </is>
      </c>
      <c r="E247" s="31" t="inlineStr">
        <is>
          <t>midcap</t>
        </is>
      </c>
      <c r="F247" s="31" t="n">
        <v>5433.28</v>
      </c>
      <c r="G247" s="31" t="n">
        <v>1976.9</v>
      </c>
      <c r="H247" s="31" t="n">
        <v>-1.07</v>
      </c>
      <c r="I247" s="31" t="n">
        <v>35164</v>
      </c>
      <c r="J247" s="31" t="inlineStr">
        <is>
          <t>523398</t>
        </is>
      </c>
    </row>
    <row r="248">
      <c r="A248" s="31" t="inlineStr">
        <is>
          <t>AMANTA</t>
        </is>
      </c>
      <c r="B248" s="31" t="inlineStr">
        <is>
          <t>Amanta Healthcare Ltd</t>
        </is>
      </c>
      <c r="C248" s="31" t="inlineStr">
        <is>
          <t>healthcare</t>
        </is>
      </c>
      <c r="D248" s="31" t="inlineStr">
        <is>
          <t>pharmaceuticals - indian - bulk drugs &amp; formln</t>
        </is>
      </c>
      <c r="E248" s="31" t="inlineStr">
        <is>
          <t>smallcap</t>
        </is>
      </c>
      <c r="F248" s="31" t="n">
        <v>776.28</v>
      </c>
      <c r="G248" s="31" t="n">
        <v>197.68</v>
      </c>
      <c r="H248" s="31" t="n">
        <v>-1.12</v>
      </c>
      <c r="I248" s="31" t="n">
        <v>77852</v>
      </c>
      <c r="J248" s="31" t="inlineStr">
        <is>
          <t>544502</t>
        </is>
      </c>
    </row>
    <row r="249">
      <c r="A249" s="31" t="inlineStr">
        <is>
          <t>SMSPHARMA</t>
        </is>
      </c>
      <c r="B249" s="31" t="inlineStr">
        <is>
          <t>Sms Pharmaceuticals Limited</t>
        </is>
      </c>
      <c r="C249" s="31" t="inlineStr">
        <is>
          <t>healthcare</t>
        </is>
      </c>
      <c r="D249" s="31" t="inlineStr">
        <is>
          <t>pharmaceuticals - indian - bulk drugs</t>
        </is>
      </c>
      <c r="E249" s="31" t="inlineStr">
        <is>
          <t>smallcap</t>
        </is>
      </c>
      <c r="F249" s="31" t="n">
        <v>4475.16</v>
      </c>
      <c r="G249" s="31" t="n">
        <v>472.2</v>
      </c>
      <c r="H249" s="31" t="n">
        <v>-1.18</v>
      </c>
      <c r="I249" s="31" t="n">
        <v>242600</v>
      </c>
      <c r="J249" s="31" t="inlineStr">
        <is>
          <t>532815</t>
        </is>
      </c>
    </row>
    <row r="250">
      <c r="A250" s="31" t="inlineStr">
        <is>
          <t>RATNAVEER</t>
        </is>
      </c>
      <c r="B250" s="31" t="inlineStr">
        <is>
          <t>Ratnaveer Precision Engineering Ltd</t>
        </is>
      </c>
      <c r="C250" s="31" t="inlineStr">
        <is>
          <t>metals &amp; mining</t>
        </is>
      </c>
      <c r="D250" s="31" t="inlineStr">
        <is>
          <t>steel - medium / small</t>
        </is>
      </c>
      <c r="E250" s="31" t="inlineStr">
        <is>
          <t>smallcap</t>
        </is>
      </c>
      <c r="F250" s="31" t="n">
        <v>2848.04</v>
      </c>
      <c r="G250" s="31" t="n">
        <v>335.25</v>
      </c>
      <c r="H250" s="31" t="n">
        <v>-1.21</v>
      </c>
      <c r="I250" s="31" t="n">
        <v>1400875</v>
      </c>
      <c r="J250" s="31" t="inlineStr">
        <is>
          <t>543978</t>
        </is>
      </c>
    </row>
    <row r="251">
      <c r="A251" s="31" t="inlineStr">
        <is>
          <t>GANDHITUBE</t>
        </is>
      </c>
      <c r="B251" s="31" t="inlineStr">
        <is>
          <t>Gandhi Special Tubes Limited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smallcap</t>
        </is>
      </c>
      <c r="F251" s="31" t="n">
        <v>1121.28</v>
      </c>
      <c r="G251" s="31" t="n">
        <v>981.5</v>
      </c>
      <c r="H251" s="31" t="n">
        <v>-1.23</v>
      </c>
      <c r="I251" s="31" t="n">
        <v>6439</v>
      </c>
      <c r="J251" s="31" t="inlineStr">
        <is>
          <t>513108</t>
        </is>
      </c>
    </row>
    <row r="252">
      <c r="A252" s="31" t="inlineStr">
        <is>
          <t>DELTACORP</t>
        </is>
      </c>
      <c r="B252" s="31" t="inlineStr">
        <is>
          <t>Delta Corp Limited</t>
        </is>
      </c>
      <c r="C252" s="31" t="inlineStr">
        <is>
          <t>miscellaneous</t>
        </is>
      </c>
      <c r="D252" s="31" t="inlineStr">
        <is>
          <t>recreation / amusement parks</t>
        </is>
      </c>
      <c r="E252" s="31" t="inlineStr">
        <is>
          <t>smallcap</t>
        </is>
      </c>
      <c r="F252" s="31" t="n">
        <v>2287.57</v>
      </c>
      <c r="G252" s="31" t="n">
        <v>84.34</v>
      </c>
      <c r="H252" s="31" t="n">
        <v>-1.28</v>
      </c>
      <c r="I252" s="31" t="n">
        <v>61115839</v>
      </c>
      <c r="J252" s="31" t="inlineStr">
        <is>
          <t>532848</t>
        </is>
      </c>
    </row>
    <row r="253">
      <c r="A253" s="31" t="inlineStr">
        <is>
          <t>EBGNG</t>
        </is>
      </c>
      <c r="B253" s="31" t="inlineStr">
        <is>
          <t>GNG Electronics Ltd</t>
        </is>
      </c>
      <c r="C253" s="31" t="inlineStr">
        <is>
          <t>services</t>
        </is>
      </c>
      <c r="D253" s="31" t="inlineStr">
        <is>
          <t>trading</t>
        </is>
      </c>
      <c r="E253" s="31" t="inlineStr">
        <is>
          <t>midcap</t>
        </is>
      </c>
      <c r="F253" s="31" t="n">
        <v>7928.93</v>
      </c>
      <c r="G253" s="31" t="n">
        <v>685.15</v>
      </c>
      <c r="H253" s="31" t="n">
        <v>-1.48</v>
      </c>
      <c r="I253" s="31" t="n">
        <v>783243</v>
      </c>
      <c r="J253" s="31" t="inlineStr">
        <is>
          <t>544455</t>
        </is>
      </c>
    </row>
    <row r="254">
      <c r="A254" s="31" t="inlineStr">
        <is>
          <t>SAMBHV</t>
        </is>
      </c>
      <c r="B254" s="31" t="inlineStr">
        <is>
          <t>Sambhv Steel Tubes Ltd</t>
        </is>
      </c>
      <c r="C254" s="31" t="inlineStr">
        <is>
          <t>metals &amp; mining</t>
        </is>
      </c>
      <c r="D254" s="31" t="inlineStr">
        <is>
          <t>steel - medium / small</t>
        </is>
      </c>
      <c r="E254" s="31" t="inlineStr">
        <is>
          <t>smallcap</t>
        </is>
      </c>
      <c r="F254" s="31" t="n">
        <v>4852.06</v>
      </c>
      <c r="G254" s="31" t="n">
        <v>162.19</v>
      </c>
      <c r="H254" s="31" t="n">
        <v>-1.5</v>
      </c>
      <c r="I254" s="31" t="n">
        <v>1575550</v>
      </c>
      <c r="J254" s="31" t="inlineStr">
        <is>
          <t>544430</t>
        </is>
      </c>
    </row>
    <row r="255">
      <c r="A255" s="31" t="inlineStr">
        <is>
          <t>WELINV</t>
        </is>
      </c>
      <c r="B255" s="31" t="inlineStr">
        <is>
          <t>Welspun Investments And Commercials Limited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smallcap</t>
        </is>
      </c>
      <c r="F255" s="31" t="n">
        <v>905.58</v>
      </c>
      <c r="G255" s="31" t="n">
        <v>2440</v>
      </c>
      <c r="H255" s="31" t="n">
        <v>-1.53</v>
      </c>
      <c r="I255" s="31" t="n">
        <v>12</v>
      </c>
      <c r="J255" s="31" t="inlineStr">
        <is>
          <t>533252</t>
        </is>
      </c>
    </row>
    <row r="256">
      <c r="A256" s="31" t="inlineStr">
        <is>
          <t>NAZARA</t>
        </is>
      </c>
      <c r="B256" s="31" t="inlineStr">
        <is>
          <t>Nazara Technologies Ltd</t>
        </is>
      </c>
      <c r="C256" s="31" t="inlineStr">
        <is>
          <t>i.t</t>
        </is>
      </c>
      <c r="D256" s="31" t="inlineStr">
        <is>
          <t>telecommunications - service provider</t>
        </is>
      </c>
      <c r="E256" s="31" t="inlineStr">
        <is>
          <t>midcap</t>
        </is>
      </c>
      <c r="F256" s="31" t="n">
        <v>14841.57</v>
      </c>
      <c r="G256" s="31" t="n">
        <v>379.55</v>
      </c>
      <c r="H256" s="31" t="n">
        <v>-1.62</v>
      </c>
      <c r="I256" s="31" t="n">
        <v>732269</v>
      </c>
      <c r="J256" s="31" t="inlineStr">
        <is>
          <t>543280</t>
        </is>
      </c>
    </row>
    <row r="257">
      <c r="A257" s="31" t="inlineStr">
        <is>
          <t>GESHIP</t>
        </is>
      </c>
      <c r="B257" s="31" t="inlineStr">
        <is>
          <t>The Great Eastern Shipping Company Limited</t>
        </is>
      </c>
      <c r="C257" s="31" t="inlineStr">
        <is>
          <t>transportation</t>
        </is>
      </c>
      <c r="D257" s="31" t="inlineStr">
        <is>
          <t>shipping</t>
        </is>
      </c>
      <c r="E257" s="31" t="inlineStr">
        <is>
          <t>largecap</t>
        </is>
      </c>
      <c r="F257" s="31" t="n">
        <v>22261.68</v>
      </c>
      <c r="G257" s="31" t="n">
        <v>1532.6</v>
      </c>
      <c r="H257" s="31" t="n">
        <v>-1.71</v>
      </c>
      <c r="I257" s="31" t="n">
        <v>740133</v>
      </c>
      <c r="J257" s="31" t="inlineStr">
        <is>
          <t>500620</t>
        </is>
      </c>
    </row>
    <row r="258">
      <c r="A258" s="31" t="inlineStr">
        <is>
          <t>REDINGTON</t>
        </is>
      </c>
      <c r="B258" s="31" t="inlineStr">
        <is>
          <t>Redington (india) Limited</t>
        </is>
      </c>
      <c r="C258" s="31" t="inlineStr">
        <is>
          <t>services</t>
        </is>
      </c>
      <c r="D258" s="31" t="inlineStr">
        <is>
          <t>trading</t>
        </is>
      </c>
      <c r="E258" s="31" t="inlineStr">
        <is>
          <t>largecap</t>
        </is>
      </c>
      <c r="F258" s="31" t="n">
        <v>32267.74</v>
      </c>
      <c r="G258" s="31" t="n">
        <v>405.7</v>
      </c>
      <c r="H258" s="31" t="n">
        <v>-1.71</v>
      </c>
      <c r="I258" s="31" t="n">
        <v>2037976</v>
      </c>
      <c r="J258" s="31" t="inlineStr">
        <is>
          <t>532805</t>
        </is>
      </c>
    </row>
    <row r="259">
      <c r="A259" s="31" t="inlineStr">
        <is>
          <t>VENUSREM</t>
        </is>
      </c>
      <c r="B259" s="31" t="inlineStr">
        <is>
          <t>Venus Remedies Limited</t>
        </is>
      </c>
      <c r="C259" s="31" t="inlineStr">
        <is>
          <t>healthcare</t>
        </is>
      </c>
      <c r="D259" s="31" t="inlineStr">
        <is>
          <t>pharmaceuticals - indian - formulations</t>
        </is>
      </c>
      <c r="E259" s="31" t="inlineStr">
        <is>
          <t>smallcap</t>
        </is>
      </c>
      <c r="F259" s="31" t="n">
        <v>2376.65</v>
      </c>
      <c r="G259" s="31" t="n">
        <v>1746.7</v>
      </c>
      <c r="H259" s="31" t="n">
        <v>-1.76</v>
      </c>
      <c r="I259" s="31" t="n">
        <v>20737</v>
      </c>
      <c r="J259" s="31" t="inlineStr">
        <is>
          <t>526953</t>
        </is>
      </c>
    </row>
    <row r="260">
      <c r="A260" s="31" t="inlineStr">
        <is>
          <t>EMIL</t>
        </is>
      </c>
      <c r="B260" s="31" t="inlineStr">
        <is>
          <t>Electronics Mart India Ltd</t>
        </is>
      </c>
      <c r="C260" s="31" t="inlineStr">
        <is>
          <t>consumer discretionary</t>
        </is>
      </c>
      <c r="D260" s="31" t="inlineStr">
        <is>
          <t>trading</t>
        </is>
      </c>
      <c r="E260" s="31" t="inlineStr">
        <is>
          <t>midcap</t>
        </is>
      </c>
      <c r="F260" s="31" t="n">
        <v>7891.2</v>
      </c>
      <c r="G260" s="31" t="n">
        <v>201.42</v>
      </c>
      <c r="H260" s="31" t="n">
        <v>-1.79</v>
      </c>
      <c r="I260" s="31" t="n">
        <v>6266534</v>
      </c>
      <c r="J260" s="31" t="inlineStr">
        <is>
          <t>543626</t>
        </is>
      </c>
    </row>
    <row r="261">
      <c r="A261" s="31" t="inlineStr">
        <is>
          <t>CYIENT</t>
        </is>
      </c>
      <c r="B261" s="31" t="inlineStr">
        <is>
          <t>Cyient Limited</t>
        </is>
      </c>
      <c r="C261" s="31" t="inlineStr">
        <is>
          <t>i.t</t>
        </is>
      </c>
      <c r="D261" s="31" t="inlineStr">
        <is>
          <t>computers - software - medium / small</t>
        </is>
      </c>
      <c r="E261" s="31" t="inlineStr">
        <is>
          <t>midcap</t>
        </is>
      </c>
      <c r="F261" s="31" t="n">
        <v>11942.66</v>
      </c>
      <c r="G261" s="31" t="n">
        <v>1119.4</v>
      </c>
      <c r="H261" s="31" t="n">
        <v>-1.82</v>
      </c>
      <c r="I261" s="31" t="n">
        <v>550341</v>
      </c>
      <c r="J261" s="31" t="inlineStr">
        <is>
          <t>532175</t>
        </is>
      </c>
    </row>
    <row r="262">
      <c r="A262" s="31" t="inlineStr">
        <is>
          <t>MBECL</t>
        </is>
      </c>
      <c r="B262" s="31" t="inlineStr">
        <is>
          <t>Mcnally Bharat Engineering Company Limited</t>
        </is>
      </c>
      <c r="C262" s="31" t="inlineStr">
        <is>
          <t>realty</t>
        </is>
      </c>
      <c r="D262" s="31" t="inlineStr">
        <is>
          <t>engineering - turnkey services</t>
        </is>
      </c>
      <c r="E262" s="31" t="inlineStr">
        <is>
          <t>smallcap</t>
        </is>
      </c>
      <c r="F262" s="31" t="n">
        <v>1679.5</v>
      </c>
      <c r="G262" s="31" t="n">
        <v>493.8</v>
      </c>
      <c r="H262" s="31" t="n">
        <v>-1.99</v>
      </c>
      <c r="I262" s="31" t="n">
        <v>18808</v>
      </c>
      <c r="J262" s="31" t="inlineStr">
        <is>
          <t>532629</t>
        </is>
      </c>
    </row>
    <row r="263">
      <c r="A263" s="31" t="inlineStr">
        <is>
          <t>NINSYS</t>
        </is>
      </c>
      <c r="B263" s="31" t="inlineStr">
        <is>
          <t>NINtec Systems Ltd</t>
        </is>
      </c>
      <c r="C263" s="31" t="inlineStr">
        <is>
          <t>i.t</t>
        </is>
      </c>
      <c r="D263" s="31" t="inlineStr">
        <is>
          <t>computers - software - medium / small</t>
        </is>
      </c>
      <c r="E263" s="31" t="inlineStr">
        <is>
          <t>smallcap</t>
        </is>
      </c>
      <c r="F263" s="31" t="n">
        <v>1564.1</v>
      </c>
      <c r="G263" s="31" t="n">
        <v>822.55</v>
      </c>
      <c r="H263" s="31" t="n">
        <v>-2.31</v>
      </c>
      <c r="I263" s="31" t="n">
        <v>7334</v>
      </c>
      <c r="J263" s="31" t="inlineStr">
        <is>
          <t>539843</t>
        </is>
      </c>
    </row>
    <row r="264">
      <c r="A264" s="31" t="inlineStr">
        <is>
          <t>SGFIN</t>
        </is>
      </c>
      <c r="B264" s="31" t="inlineStr">
        <is>
          <t>SG Finserve Ltd</t>
        </is>
      </c>
      <c r="C264" s="31" t="inlineStr">
        <is>
          <t>financials</t>
        </is>
      </c>
      <c r="D264" s="31" t="inlineStr">
        <is>
          <t>finance &amp; investments</t>
        </is>
      </c>
      <c r="E264" s="31" t="inlineStr">
        <is>
          <t>smallcap</t>
        </is>
      </c>
      <c r="F264" s="31" t="n">
        <v>4467.35</v>
      </c>
      <c r="G264" s="31" t="n">
        <v>662.15</v>
      </c>
      <c r="H264" s="31" t="n">
        <v>-2.33</v>
      </c>
      <c r="I264" s="31" t="n">
        <v>371637</v>
      </c>
      <c r="J264" s="31" t="inlineStr">
        <is>
          <t>539199</t>
        </is>
      </c>
    </row>
    <row r="265">
      <c r="A265" s="31" t="inlineStr">
        <is>
          <t>5PAISA</t>
        </is>
      </c>
      <c r="B265" s="31" t="inlineStr">
        <is>
          <t>5Paisa Capital Ltd</t>
        </is>
      </c>
      <c r="C265" s="31" t="inlineStr">
        <is>
          <t>financials</t>
        </is>
      </c>
      <c r="D265" s="31" t="inlineStr">
        <is>
          <t>finance &amp; investments</t>
        </is>
      </c>
      <c r="E265" s="31" t="inlineStr">
        <is>
          <t>smallcap</t>
        </is>
      </c>
      <c r="F265" s="31" t="n">
        <v>1691.98</v>
      </c>
      <c r="G265" s="31" t="n">
        <v>349.7</v>
      </c>
      <c r="H265" s="31" t="n">
        <v>-3.1</v>
      </c>
      <c r="I265" s="31" t="n">
        <v>136027</v>
      </c>
      <c r="J265" s="31" t="inlineStr">
        <is>
          <t>540776</t>
        </is>
      </c>
    </row>
    <row r="266">
      <c r="A266" s="31" t="inlineStr">
        <is>
          <t>MACPOWER</t>
        </is>
      </c>
      <c r="B266" s="31" t="inlineStr">
        <is>
          <t>Macpower CNC Machines Ltd</t>
        </is>
      </c>
      <c r="C266" s="31" t="inlineStr">
        <is>
          <t>industrials</t>
        </is>
      </c>
      <c r="D266" s="31" t="inlineStr">
        <is>
          <t>engineering</t>
        </is>
      </c>
      <c r="E266" s="31" t="inlineStr">
        <is>
          <t>smallcap</t>
        </is>
      </c>
      <c r="F266" s="31" t="n">
        <v>2161.4</v>
      </c>
      <c r="G266" s="31" t="n">
        <v>2090.1</v>
      </c>
      <c r="H266" s="31" t="n">
        <v>-3.26</v>
      </c>
      <c r="I266" s="31" t="n">
        <v>44507</v>
      </c>
      <c r="J266" s="31" t="inlineStr">
        <is>
          <t>535057</t>
        </is>
      </c>
    </row>
    <row r="267">
      <c r="A267" s="31" t="inlineStr">
        <is>
          <t>SMCGLOBAL</t>
        </is>
      </c>
      <c r="B267" s="31" t="inlineStr">
        <is>
          <t>SMC Global Securities Ltd</t>
        </is>
      </c>
      <c r="C267" s="31" t="inlineStr">
        <is>
          <t>financials</t>
        </is>
      </c>
      <c r="D267" s="31" t="inlineStr">
        <is>
          <t>finance &amp; investments</t>
        </is>
      </c>
      <c r="E267" s="31" t="inlineStr">
        <is>
          <t>smallcap</t>
        </is>
      </c>
      <c r="F267" s="31" t="n">
        <v>2397.63</v>
      </c>
      <c r="G267" s="31" t="n">
        <v>110.55</v>
      </c>
      <c r="H267" s="31" t="n">
        <v>-3.45</v>
      </c>
      <c r="I267" s="31" t="n">
        <v>29982678</v>
      </c>
      <c r="J267" s="31" t="inlineStr">
        <is>
          <t>543263</t>
        </is>
      </c>
    </row>
    <row r="268">
      <c r="A268" s="31" t="inlineStr">
        <is>
          <t>PREMIERPOL</t>
        </is>
      </c>
      <c r="B268" s="31" t="inlineStr">
        <is>
          <t>Premier Polyfilm Limited</t>
        </is>
      </c>
      <c r="C268" s="31" t="inlineStr">
        <is>
          <t>plastic products</t>
        </is>
      </c>
      <c r="D268" s="31" t="inlineStr">
        <is>
          <t>plastics products</t>
        </is>
      </c>
      <c r="E268" s="31" t="inlineStr">
        <is>
          <t>smallcap</t>
        </is>
      </c>
      <c r="F268" s="31" t="n">
        <v>1063.56</v>
      </c>
      <c r="G268" s="31" t="n">
        <v>97.23</v>
      </c>
      <c r="H268" s="31" t="n">
        <v>-4.24</v>
      </c>
      <c r="I268" s="31" t="n">
        <v>803662</v>
      </c>
      <c r="J268" s="31" t="inlineStr">
        <is>
          <t>514354</t>
        </is>
      </c>
    </row>
    <row r="269">
      <c r="A269" s="31" t="inlineStr">
        <is>
          <t>SALSTEEL</t>
        </is>
      </c>
      <c r="B269" s="31" t="inlineStr">
        <is>
          <t>SAL Steel</t>
        </is>
      </c>
      <c r="C269" s="31" t="inlineStr">
        <is>
          <t>metals &amp; mining</t>
        </is>
      </c>
      <c r="D269" s="31" t="inlineStr">
        <is>
          <t>steel - sponge iron</t>
        </is>
      </c>
      <c r="E269" s="31" t="inlineStr">
        <is>
          <t>smallcap</t>
        </is>
      </c>
      <c r="F269" s="31" t="n">
        <v>1360.52</v>
      </c>
      <c r="G269" s="31" t="n">
        <v>89.59999999999999</v>
      </c>
      <c r="H269" s="31" t="n">
        <v>-4.66</v>
      </c>
      <c r="I269" s="31" t="n">
        <v>746781</v>
      </c>
      <c r="J269" s="31" t="inlineStr">
        <is>
          <t>532604</t>
        </is>
      </c>
    </row>
  </sheetData>
  <autoFilter ref="A1:J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SHANTIGOLD</t>
        </is>
      </c>
      <c r="E2" s="31" t="inlineStr">
        <is>
          <t>Shanti Gold International Ltd</t>
        </is>
      </c>
      <c r="F2" s="31" t="inlineStr">
        <is>
          <t>Diamond Gems and Jewellery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THELEELA</t>
        </is>
      </c>
      <c r="E3" s="31" t="inlineStr">
        <is>
          <t>Leela Palaces Hotels &amp; Resorts Ltd</t>
        </is>
      </c>
      <c r="F3" s="31" t="inlineStr">
        <is>
          <t>Hotels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14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OCCLLTD</t>
        </is>
      </c>
      <c r="E4" s="31" t="inlineStr">
        <is>
          <t>OCCL Ltd</t>
        </is>
      </c>
      <c r="F4" s="31" t="inlineStr">
        <is>
          <t>Chemicals Organic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18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TATVA</t>
        </is>
      </c>
      <c r="E5" s="31" t="inlineStr">
        <is>
          <t>Tatva Chintan Pharma Chem Ltd</t>
        </is>
      </c>
      <c r="F5" s="31" t="inlineStr">
        <is>
          <t>Specialty Chemicals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16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KINGFA</t>
        </is>
      </c>
      <c r="E6" s="31" t="inlineStr">
        <is>
          <t>Kingfa Science &amp; Technology (india) Limited</t>
        </is>
      </c>
      <c r="F6" s="31" t="inlineStr">
        <is>
          <t>Plastics Plastic and Plastic Products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26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LOTUSDEV</t>
        </is>
      </c>
      <c r="E7" s="31" t="inlineStr">
        <is>
          <t>Sri Lotus Developers &amp; Realty Ltd</t>
        </is>
      </c>
      <c r="F7" s="31" t="inlineStr">
        <is>
          <t>Construction Factories and Offices and Commercial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28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AETHER</t>
        </is>
      </c>
      <c r="E8" s="31" t="inlineStr">
        <is>
          <t>Aether Industries Ltd</t>
        </is>
      </c>
      <c r="F8" s="31" t="inlineStr">
        <is>
          <t>Specialty Chemicals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15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CUPID</t>
        </is>
      </c>
      <c r="E9" s="31" t="inlineStr">
        <is>
          <t>Cupid Limited</t>
        </is>
      </c>
      <c r="F9" s="31" t="inlineStr">
        <is>
          <t>Contraceptives and Protectives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25</v>
      </c>
      <c r="K9" s="31" t="n">
        <v>22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HFCL</t>
        </is>
      </c>
      <c r="E10" s="31" t="inlineStr">
        <is>
          <t>HFCL Ltd</t>
        </is>
      </c>
      <c r="F10" s="31" t="inlineStr">
        <is>
          <t>Telecommunications Equipment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12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DPABHUSHAN</t>
        </is>
      </c>
      <c r="E11" s="31" t="inlineStr">
        <is>
          <t>D.P. Abhushan Ltd</t>
        </is>
      </c>
      <c r="F11" s="31" t="inlineStr">
        <is>
          <t>Diamond Gems and Jewellery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28</v>
      </c>
      <c r="K11" s="31" t="n">
        <v>13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UNIMECH</t>
        </is>
      </c>
      <c r="E12" s="31" t="inlineStr">
        <is>
          <t>Unimech Aerospace and Manufacturing Ltd</t>
        </is>
      </c>
      <c r="F12" s="31" t="inlineStr">
        <is>
          <t>Engineering Heavy General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17</v>
      </c>
      <c r="K12" s="31" t="n">
        <v>29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BHEL</t>
        </is>
      </c>
      <c r="E13" s="31" t="inlineStr">
        <is>
          <t>Bharat Heavy Electricals Limited</t>
        </is>
      </c>
      <c r="F13" s="31" t="inlineStr">
        <is>
          <t>Capital Goods Engineering Heavy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22</v>
      </c>
      <c r="K13" s="31" t="n">
        <v>10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KMEW</t>
        </is>
      </c>
      <c r="E14" s="31" t="inlineStr">
        <is>
          <t>Knowledge Marine &amp; Engineering Works Ltd</t>
        </is>
      </c>
      <c r="F14" s="31" t="inlineStr">
        <is>
          <t>Shipping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19</v>
      </c>
      <c r="K14" s="31" t="n">
        <v>18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LAURUSLABS</t>
        </is>
      </c>
      <c r="E15" s="31" t="inlineStr">
        <is>
          <t>Laurus Labs Limited</t>
        </is>
      </c>
      <c r="F15" s="31" t="inlineStr">
        <is>
          <t>Pharma API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19</v>
      </c>
      <c r="K15" s="31" t="n">
        <v>29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DYNAMATECH</t>
        </is>
      </c>
      <c r="E16" s="31" t="inlineStr">
        <is>
          <t>Dynamatic Technologies Limited</t>
        </is>
      </c>
      <c r="F16" s="31" t="inlineStr">
        <is>
          <t>Aerospace and Defence Equipment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18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RPTECH</t>
        </is>
      </c>
      <c r="E17" s="31" t="inlineStr">
        <is>
          <t>Rashi Peripherals Ltd</t>
        </is>
      </c>
      <c r="F17" s="31" t="inlineStr">
        <is>
          <t>Trading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24</v>
      </c>
      <c r="K17" s="31" t="n">
        <v>12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JGCHEM</t>
        </is>
      </c>
      <c r="E18" s="31" t="inlineStr">
        <is>
          <t>J.G.Chemicals Ltd</t>
        </is>
      </c>
      <c r="F18" s="31" t="inlineStr">
        <is>
          <t>Chemicals Inorganic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20</v>
      </c>
      <c r="K18" s="31" t="n">
        <v>16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PREMIERPOL</t>
        </is>
      </c>
      <c r="E19" s="31" t="inlineStr">
        <is>
          <t>Premier Polyfilm Limited</t>
        </is>
      </c>
      <c r="F19" s="31" t="inlineStr">
        <is>
          <t>Plastics Sheets and Films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19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FCL</t>
        </is>
      </c>
      <c r="E20" s="31" t="inlineStr">
        <is>
          <t>Fineotex Chemical Limited</t>
        </is>
      </c>
      <c r="F20" s="31" t="inlineStr">
        <is>
          <t>Specialty Chemicals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27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PGIL</t>
        </is>
      </c>
      <c r="E21" s="31" t="inlineStr">
        <is>
          <t>Pearl Global Industries Limited</t>
        </is>
      </c>
      <c r="F21" s="31" t="inlineStr">
        <is>
          <t>Textiles Readymade Apparel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17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GNA</t>
        </is>
      </c>
      <c r="E22" s="31" t="inlineStr">
        <is>
          <t>Gna Axles Limited</t>
        </is>
      </c>
      <c r="F22" s="31" t="inlineStr">
        <is>
          <t>Auto Axles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14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VINCOFE</t>
        </is>
      </c>
      <c r="E23" s="31" t="inlineStr">
        <is>
          <t>Vintage Coffee &amp; Beverages Ltd</t>
        </is>
      </c>
      <c r="F23" s="31" t="inlineStr">
        <is>
          <t>FMCG Coffee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E2E</t>
        </is>
      </c>
      <c r="E24" s="31" t="inlineStr">
        <is>
          <t>E2E Networks Ltd</t>
        </is>
      </c>
      <c r="F24" s="31" t="inlineStr">
        <is>
          <t>unknown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0</v>
      </c>
      <c r="K24" s="31" t="n">
        <v>17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MBECL</t>
        </is>
      </c>
      <c r="E25" s="31" t="inlineStr">
        <is>
          <t>Mcnally Bharat Engineering Company Limited</t>
        </is>
      </c>
      <c r="F25" s="31" t="inlineStr">
        <is>
          <t>Engineering Turnkey Services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17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HONASA</t>
        </is>
      </c>
      <c r="E26" s="31" t="inlineStr">
        <is>
          <t>Honasa Consumer Ltd</t>
        </is>
      </c>
      <c r="F26" s="31" t="inlineStr">
        <is>
          <t>New age Platform E Retail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17</v>
      </c>
      <c r="K26" s="31" t="n">
        <v>3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BHAGERIA</t>
        </is>
      </c>
      <c r="E27" s="31" t="inlineStr">
        <is>
          <t>Bhageria Industries Limited</t>
        </is>
      </c>
      <c r="F27" s="31" t="inlineStr">
        <is>
          <t>Dyes and Pigments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LLOYDSENGG</t>
        </is>
      </c>
      <c r="E28" s="31" t="inlineStr">
        <is>
          <t>Lloyds Engineering Works Ltd</t>
        </is>
      </c>
      <c r="F28" s="31" t="inlineStr">
        <is>
          <t>Capital Goods Electrical Equipment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17</v>
      </c>
      <c r="K28" s="31" t="n">
        <v>10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BHAGYANGR</t>
        </is>
      </c>
      <c r="E29" s="31" t="inlineStr">
        <is>
          <t>Bhagyanagar India</t>
        </is>
      </c>
      <c r="F29" s="31" t="inlineStr">
        <is>
          <t>Recycling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14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BIRLACABLE</t>
        </is>
      </c>
      <c r="E30" s="31" t="inlineStr">
        <is>
          <t>Birla Cable Limited</t>
        </is>
      </c>
      <c r="F30" s="31" t="inlineStr">
        <is>
          <t>Cables Telecom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24</v>
      </c>
      <c r="K30" s="31" t="n">
        <v>28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FINCABLES</t>
        </is>
      </c>
      <c r="E31" s="31" t="inlineStr">
        <is>
          <t>Finolex Cables Limited</t>
        </is>
      </c>
      <c r="F31" s="31" t="inlineStr">
        <is>
          <t>Cables Telecom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27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FILATEX</t>
        </is>
      </c>
      <c r="E32" s="31" t="inlineStr">
        <is>
          <t>Filatex India Limited</t>
        </is>
      </c>
      <c r="F32" s="31" t="inlineStr">
        <is>
          <t>Textiles Manmade PFY and PSF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18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IOLCP</t>
        </is>
      </c>
      <c r="E33" s="31" t="inlineStr">
        <is>
          <t>Iol Chemicals And Pharmaceuticals Limited</t>
        </is>
      </c>
      <c r="F33" s="31" t="inlineStr">
        <is>
          <t>Pharma API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16</v>
      </c>
      <c r="K33" s="31" t="n">
        <v>28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SGFIN</t>
        </is>
      </c>
      <c r="E34" s="31" t="inlineStr">
        <is>
          <t>SG Finserve Ltd</t>
        </is>
      </c>
      <c r="F34" s="31" t="inlineStr">
        <is>
          <t>Finance and Investments MSME Lending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16</v>
      </c>
      <c r="K34" s="31" t="n">
        <v>3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SMCGLOBAL</t>
        </is>
      </c>
      <c r="E35" s="31" t="inlineStr">
        <is>
          <t>SMC Global Securities Ltd</t>
        </is>
      </c>
      <c r="F35" s="31" t="inlineStr">
        <is>
          <t>Finance Capital Markets Brokers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18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DELTACORP</t>
        </is>
      </c>
      <c r="E36" s="31" t="inlineStr">
        <is>
          <t>Delta Corp Limited</t>
        </is>
      </c>
      <c r="F36" s="31" t="inlineStr">
        <is>
          <t>Miscellaneous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MACPOWER</t>
        </is>
      </c>
      <c r="E37" s="31" t="inlineStr">
        <is>
          <t>Macpower CNC Machines Ltd</t>
        </is>
      </c>
      <c r="F37" s="31" t="inlineStr">
        <is>
          <t>CNC Machines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26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ARROWGREEN</t>
        </is>
      </c>
      <c r="E38" s="31" t="inlineStr">
        <is>
          <t>Arrow Greentech Limited</t>
        </is>
      </c>
      <c r="F38" s="31" t="inlineStr">
        <is>
          <t>Plastics Plastic and Plastic Products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25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MENONBE</t>
        </is>
      </c>
      <c r="E39" s="31" t="inlineStr">
        <is>
          <t>Menon Bearings Limited</t>
        </is>
      </c>
      <c r="F39" s="31" t="inlineStr">
        <is>
          <t>Bearings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20</v>
      </c>
      <c r="K39" s="31" t="n">
        <v>22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UNIVCABLES</t>
        </is>
      </c>
      <c r="E40" s="31" t="inlineStr">
        <is>
          <t>Universal Cables Limited</t>
        </is>
      </c>
      <c r="F40" s="31" t="inlineStr">
        <is>
          <t>Cables Power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16</v>
      </c>
      <c r="K40" s="31" t="n">
        <v>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MOREPENLAB</t>
        </is>
      </c>
      <c r="E41" s="31" t="inlineStr">
        <is>
          <t>Morepen Laboratories Limited</t>
        </is>
      </c>
      <c r="F41" s="31" t="inlineStr">
        <is>
          <t>unknown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0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WELSPUNLIV</t>
        </is>
      </c>
      <c r="E42" s="31" t="inlineStr">
        <is>
          <t>Welspun Living Ltd</t>
        </is>
      </c>
      <c r="F42" s="31" t="inlineStr">
        <is>
          <t>Textiles Home Textile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AZAD</t>
        </is>
      </c>
      <c r="E43" s="31" t="inlineStr">
        <is>
          <t>Azad Engineering Ltd</t>
        </is>
      </c>
      <c r="F43" s="31" t="inlineStr">
        <is>
          <t>Aerospace and Defence Equipment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22</v>
      </c>
      <c r="K43" s="31" t="n">
        <v>20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SHILPAMED</t>
        </is>
      </c>
      <c r="E44" s="31" t="inlineStr">
        <is>
          <t>Shilpa Medicare Limited</t>
        </is>
      </c>
      <c r="F44" s="31" t="inlineStr">
        <is>
          <t>Pharma API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18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DIVISLAB</t>
        </is>
      </c>
      <c r="E45" s="31" t="inlineStr">
        <is>
          <t>Divi's Laboratories Limited</t>
        </is>
      </c>
      <c r="F45" s="31" t="inlineStr">
        <is>
          <t>Pharma CRAMS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26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NRBBEARING</t>
        </is>
      </c>
      <c r="E46" s="31" t="inlineStr">
        <is>
          <t>Nrb Bearing Limited</t>
        </is>
      </c>
      <c r="F46" s="31" t="inlineStr">
        <is>
          <t>Bearings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17</v>
      </c>
      <c r="K46" s="31" t="n">
        <v>22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ENGINERSIN</t>
        </is>
      </c>
      <c r="E47" s="31" t="inlineStr">
        <is>
          <t>Engineers India Limited</t>
        </is>
      </c>
      <c r="F47" s="31" t="inlineStr">
        <is>
          <t>Infra Engineering General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WHEELS</t>
        </is>
      </c>
      <c r="E48" s="31" t="inlineStr">
        <is>
          <t>Wheels India Limited</t>
        </is>
      </c>
      <c r="F48" s="31" t="inlineStr">
        <is>
          <t>Auto Wheels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29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KRISHANA</t>
        </is>
      </c>
      <c r="E49" s="31" t="inlineStr">
        <is>
          <t>Krishana Phoschem Ltd</t>
        </is>
      </c>
      <c r="F49" s="31" t="inlineStr">
        <is>
          <t>Fertilisers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16</v>
      </c>
      <c r="K49" s="31" t="n">
        <v>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MARINE</t>
        </is>
      </c>
      <c r="E50" s="31" t="inlineStr">
        <is>
          <t>Marine Electricals (India) Ltd</t>
        </is>
      </c>
      <c r="F50" s="31" t="inlineStr">
        <is>
          <t>Shipping Proxy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VALIANTORG</t>
        </is>
      </c>
      <c r="E51" s="31" t="inlineStr">
        <is>
          <t>Valiant Organics Ltd</t>
        </is>
      </c>
      <c r="F51" s="31" t="inlineStr">
        <is>
          <t>Chemicals Organic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20</v>
      </c>
      <c r="K51" s="31" t="n">
        <v>23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AKUMS</t>
        </is>
      </c>
      <c r="E52" s="31" t="inlineStr">
        <is>
          <t>Akums Drugs &amp; Pharmaceuticals Ltd</t>
        </is>
      </c>
      <c r="F52" s="31" t="inlineStr">
        <is>
          <t>Pharma Formulations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17</v>
      </c>
      <c r="K52" s="31" t="n">
        <v>26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AARTIPHARM</t>
        </is>
      </c>
      <c r="E53" s="31" t="inlineStr">
        <is>
          <t>Aarti Pharmalabs Ltd</t>
        </is>
      </c>
      <c r="F53" s="31" t="inlineStr">
        <is>
          <t>Pharma API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ACMESOLAR</t>
        </is>
      </c>
      <c r="E54" s="31" t="inlineStr">
        <is>
          <t>ACME Solar Holdings Ltd</t>
        </is>
      </c>
      <c r="F54" s="31" t="inlineStr">
        <is>
          <t>Power Generation and Distribution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27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RAYMOND</t>
        </is>
      </c>
      <c r="E55" s="31" t="inlineStr">
        <is>
          <t>Raymond Limited</t>
        </is>
      </c>
      <c r="F55" s="31" t="inlineStr">
        <is>
          <t>Realty Construction and Contracting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26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QPOWER</t>
        </is>
      </c>
      <c r="E56" s="31" t="inlineStr">
        <is>
          <t>Quality Power Electrical Equipments Ltd</t>
        </is>
      </c>
      <c r="F56" s="31" t="inlineStr">
        <is>
          <t>Electrical Equipment and HVDC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18</v>
      </c>
      <c r="K56" s="31" t="n">
        <v>29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PANACHE</t>
        </is>
      </c>
      <c r="E57" s="31" t="inlineStr">
        <is>
          <t>Panache Digilife Ltd</t>
        </is>
      </c>
      <c r="F57" s="31" t="inlineStr">
        <is>
          <t>unknown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0</v>
      </c>
      <c r="K57" s="31" t="n">
        <v>17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GANDHAR</t>
        </is>
      </c>
      <c r="E58" s="31" t="inlineStr">
        <is>
          <t>Gandhar Oil Refinery (India) Ltd</t>
        </is>
      </c>
      <c r="F58" s="31" t="inlineStr">
        <is>
          <t>Refineries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22</v>
      </c>
      <c r="K58" s="31" t="n">
        <v>25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BODALCHEM</t>
        </is>
      </c>
      <c r="E59" s="31" t="inlineStr">
        <is>
          <t>Bodal Chemicals Limited</t>
        </is>
      </c>
      <c r="F59" s="31" t="inlineStr">
        <is>
          <t>Dyes and Pigments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AVALON</t>
        </is>
      </c>
      <c r="E60" s="31" t="inlineStr">
        <is>
          <t>Avalon Technologies Ltd</t>
        </is>
      </c>
      <c r="F60" s="31" t="inlineStr">
        <is>
          <t>EMS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19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JASH</t>
        </is>
      </c>
      <c r="E61" s="31" t="inlineStr">
        <is>
          <t>Jash Engineering Ltd</t>
        </is>
      </c>
      <c r="F61" s="31" t="inlineStr">
        <is>
          <t>Water Treatment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18</v>
      </c>
      <c r="K61" s="31" t="n">
        <v>20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OPTIEMUS</t>
        </is>
      </c>
      <c r="E62" s="31" t="inlineStr">
        <is>
          <t>Optiemus Infracom Ltd</t>
        </is>
      </c>
      <c r="F62" s="31" t="inlineStr">
        <is>
          <t>EMS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19</v>
      </c>
      <c r="K62" s="31" t="n">
        <v>14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TDPOWERSYS</t>
        </is>
      </c>
      <c r="E63" s="31" t="inlineStr">
        <is>
          <t>Td Power Systems Limited</t>
        </is>
      </c>
      <c r="F63" s="31" t="inlineStr">
        <is>
          <t>Capital Goods Gensets and Turbines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19</v>
      </c>
      <c r="K63" s="31" t="n">
        <v>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SKYGOLD</t>
        </is>
      </c>
      <c r="E64" s="31" t="inlineStr">
        <is>
          <t>Sky Gold Ltd</t>
        </is>
      </c>
      <c r="F64" s="31" t="inlineStr">
        <is>
          <t>Diamond Gems and Jewellery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27</v>
      </c>
      <c r="K64" s="31" t="n">
        <v>17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MMP</t>
        </is>
      </c>
      <c r="E65" s="31" t="inlineStr">
        <is>
          <t>MMP Industries Ltd</t>
        </is>
      </c>
      <c r="F65" s="31" t="inlineStr">
        <is>
          <t>Aluminium Products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MUKANDLTD</t>
        </is>
      </c>
      <c r="E66" s="31" t="inlineStr">
        <is>
          <t>Mukand Limited</t>
        </is>
      </c>
      <c r="F66" s="31" t="inlineStr">
        <is>
          <t>Steel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13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GCSL</t>
        </is>
      </c>
      <c r="E67" s="31" t="inlineStr">
        <is>
          <t>Gretex Corporate Services Ltd</t>
        </is>
      </c>
      <c r="F67" s="31" t="inlineStr">
        <is>
          <t>unknown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0</v>
      </c>
      <c r="K67" s="31" t="n">
        <v>19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SAMBHV</t>
        </is>
      </c>
      <c r="E68" s="31" t="inlineStr">
        <is>
          <t>Sambhv Steel Tubes Ltd</t>
        </is>
      </c>
      <c r="F68" s="31" t="inlineStr">
        <is>
          <t>Steel Tubes and Pipes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24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MODISONLTD</t>
        </is>
      </c>
      <c r="E69" s="31" t="inlineStr">
        <is>
          <t>Modison Ltd</t>
        </is>
      </c>
      <c r="F69" s="31" t="inlineStr">
        <is>
          <t>Capital Goods Electric General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18</v>
      </c>
      <c r="K69" s="31" t="n">
        <v>25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SOTL</t>
        </is>
      </c>
      <c r="E70" s="31" t="inlineStr">
        <is>
          <t>Savita Oil Technologies Limited</t>
        </is>
      </c>
      <c r="F70" s="31" t="inlineStr">
        <is>
          <t>Petrochemicals Others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13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AXISCADES</t>
        </is>
      </c>
      <c r="E71" s="31" t="inlineStr">
        <is>
          <t>AXISCADES Technologies Ltd</t>
        </is>
      </c>
      <c r="F71" s="31" t="inlineStr">
        <is>
          <t>Aerospace and Defence Equipment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20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ONEPOINT</t>
        </is>
      </c>
      <c r="E72" s="31" t="inlineStr">
        <is>
          <t>One Point One Solutions Ltd</t>
        </is>
      </c>
      <c r="F72" s="31" t="inlineStr">
        <is>
          <t>IT Enabled Services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24</v>
      </c>
      <c r="K72" s="31" t="n">
        <v>18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PRECWIRE</t>
        </is>
      </c>
      <c r="E73" s="31" t="inlineStr">
        <is>
          <t>Precision Wires India Limited</t>
        </is>
      </c>
      <c r="F73" s="31" t="inlineStr">
        <is>
          <t>Copper Wires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18</v>
      </c>
      <c r="K73" s="31" t="n">
        <v>20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MANINDS</t>
        </is>
      </c>
      <c r="E74" s="31" t="inlineStr">
        <is>
          <t>Man Industries (india) Limited</t>
        </is>
      </c>
      <c r="F74" s="31" t="inlineStr">
        <is>
          <t>Steel Tubes and Pipes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22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MANALIPETC</t>
        </is>
      </c>
      <c r="E75" s="31" t="inlineStr">
        <is>
          <t>Manali Petrochemicals Limited</t>
        </is>
      </c>
      <c r="F75" s="31" t="inlineStr">
        <is>
          <t>unknown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0</v>
      </c>
      <c r="K75" s="31" t="n">
        <v>22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FINEORG</t>
        </is>
      </c>
      <c r="E76" s="31" t="inlineStr">
        <is>
          <t>Fine Organic Industries Ltd</t>
        </is>
      </c>
      <c r="F76" s="31" t="inlineStr">
        <is>
          <t>unknown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0</v>
      </c>
      <c r="K76" s="31" t="n">
        <v>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TEGA</t>
        </is>
      </c>
      <c r="E77" s="31" t="inlineStr">
        <is>
          <t>Tega Industries Ltd</t>
        </is>
      </c>
      <c r="F77" s="31" t="inlineStr">
        <is>
          <t>Capital Goods Mining Equipment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18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STLTECH</t>
        </is>
      </c>
      <c r="E78" s="31" t="inlineStr">
        <is>
          <t>Sterlite Technologies Limited</t>
        </is>
      </c>
      <c r="F78" s="31" t="inlineStr">
        <is>
          <t>Cables Telecom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SBC</t>
        </is>
      </c>
      <c r="E79" s="31" t="inlineStr">
        <is>
          <t>SBC Exports Ltd</t>
        </is>
      </c>
      <c r="F79" s="31" t="inlineStr">
        <is>
          <t>Textiles Readymade Apparel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22</v>
      </c>
      <c r="K79" s="31" t="n">
        <v>29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GLOBAL</t>
        </is>
      </c>
      <c r="E80" s="31" t="inlineStr">
        <is>
          <t>Global Education Ltd</t>
        </is>
      </c>
      <c r="F80" s="31" t="inlineStr">
        <is>
          <t>unknown</t>
        </is>
      </c>
      <c r="G80" s="31" t="n">
        <v>2</v>
      </c>
      <c r="H80" s="31" t="inlineStr">
        <is>
          <t>52W Breakout</t>
        </is>
      </c>
      <c r="I80" s="31" t="inlineStr">
        <is>
          <t>Yes</t>
        </is>
      </c>
      <c r="J80" s="31" t="n">
        <v>0</v>
      </c>
      <c r="K80" s="31" t="n">
        <v>29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NAVINFLUOR</t>
        </is>
      </c>
      <c r="E81" s="31" t="inlineStr">
        <is>
          <t>Navin Fluorine International Limited</t>
        </is>
      </c>
      <c r="F81" s="31" t="inlineStr">
        <is>
          <t>Chemicals Fluorine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18</v>
      </c>
      <c r="K81" s="31" t="n">
        <v>17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SUNFLAG</t>
        </is>
      </c>
      <c r="E82" s="31" t="inlineStr">
        <is>
          <t>Sunflag Iron And Steel Company Limited</t>
        </is>
      </c>
      <c r="F82" s="31" t="inlineStr">
        <is>
          <t>Steel Products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18</v>
      </c>
      <c r="K82" s="31" t="n">
        <v>11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RAMRAT</t>
        </is>
      </c>
      <c r="E83" s="31" t="inlineStr">
        <is>
          <t>Ram Ratna Wires Ltd</t>
        </is>
      </c>
      <c r="F83" s="31" t="inlineStr">
        <is>
          <t>Copper Wires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28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AEROFLEX</t>
        </is>
      </c>
      <c r="E84" s="31" t="inlineStr">
        <is>
          <t>Aeroflex Industries Ltd</t>
        </is>
      </c>
      <c r="F84" s="31" t="inlineStr">
        <is>
          <t>Stainless Steel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17</v>
      </c>
      <c r="K84" s="31" t="n">
        <v>18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GNFC</t>
        </is>
      </c>
      <c r="E85" s="31" t="inlineStr">
        <is>
          <t>Gujarat Narmada Valley Fertilizers And Chemicals Limited</t>
        </is>
      </c>
      <c r="F85" s="31" t="inlineStr">
        <is>
          <t>Fertilisers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21</v>
      </c>
    </row>
  </sheetData>
  <autoFilter ref="A1:K85"/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IF(B2=0,"",RANK(B2,$B$2:$B$253,0))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6217.3</v>
      </c>
      <c r="I2" s="32" t="n">
        <v>958.25</v>
      </c>
      <c r="J2" s="32" t="n">
        <v>1.57</v>
      </c>
      <c r="K2" s="32" t="n">
        <v>188962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74.37</v>
      </c>
      <c r="P2" s="32" t="n">
        <v>68.18000000000001</v>
      </c>
      <c r="Q2" s="32" t="n">
        <v>718.49</v>
      </c>
      <c r="R2" s="31" t="inlineStr">
        <is>
          <t>Near 52W High Breakout</t>
        </is>
      </c>
      <c r="S2" s="31" t="inlineStr">
        <is>
          <t>Nifty IT</t>
        </is>
      </c>
      <c r="T2" s="32" t="n">
        <v>-20.99</v>
      </c>
      <c r="U2" s="32" t="n">
        <v>175.16</v>
      </c>
      <c r="V2" s="32" t="n">
        <v>248.25</v>
      </c>
      <c r="W2" s="32" t="n">
        <v>30.84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IF(B3=0,"",RANK(B3,$B$2:$B$253,0))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3054.32</v>
      </c>
      <c r="I3" s="32" t="n">
        <v>2829.7</v>
      </c>
      <c r="J3" s="32" t="n">
        <v>9.789999999999999</v>
      </c>
      <c r="K3" s="32" t="n">
        <v>142293</v>
      </c>
      <c r="L3" s="31" t="inlineStr"/>
      <c r="M3" s="31" t="inlineStr"/>
      <c r="N3" s="32">
        <f>IF(M3="Underperforming",-5,IF(L3&gt;=95,15,IF(L3&gt;=90,10,IF(L3&gt;=80,5,0))))</f>
        <v/>
      </c>
      <c r="O3" s="32" t="n">
        <v>68.06999999999999</v>
      </c>
      <c r="P3" s="32" t="n">
        <v>46.58</v>
      </c>
      <c r="Q3" s="32" t="n">
        <v>2027.23</v>
      </c>
      <c r="R3" s="31" t="inlineStr">
        <is>
          <t>Near 52W High Breakout</t>
        </is>
      </c>
      <c r="S3" s="31" t="inlineStr">
        <is>
          <t>Nifty Realty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IF(B4=0,"",RANK(B4,$B$2:$B$253,0))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FCL</t>
        </is>
      </c>
      <c r="D4" s="31" t="inlineStr">
        <is>
          <t>Fineotex Chemical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midcap</t>
        </is>
      </c>
      <c r="H4" s="32" t="n">
        <v>6291.8</v>
      </c>
      <c r="I4" s="32" t="n">
        <v>59.2</v>
      </c>
      <c r="J4" s="32" t="n">
        <v>9.57</v>
      </c>
      <c r="K4" s="32" t="n">
        <v>41395324</v>
      </c>
      <c r="L4" s="31" t="n">
        <v>84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73.42</v>
      </c>
      <c r="P4" s="32" t="n">
        <v>49.04</v>
      </c>
      <c r="Q4" s="32" t="n">
        <v>44.5</v>
      </c>
      <c r="R4" s="31" t="inlineStr">
        <is>
          <t>Near 52W High Breakout</t>
        </is>
      </c>
      <c r="S4" s="31" t="inlineStr">
        <is>
          <t>Nifty 50</t>
        </is>
      </c>
      <c r="T4" s="32" t="n">
        <v>-9.92</v>
      </c>
      <c r="U4" s="32" t="n">
        <v>142.21</v>
      </c>
      <c r="V4" s="32" t="n">
        <v>168.89</v>
      </c>
      <c r="W4" s="32" t="n">
        <v>34.84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IF(B5=0,"",RANK(B5,$B$2:$B$253,0))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JGCHEM</t>
        </is>
      </c>
      <c r="D5" s="31" t="inlineStr">
        <is>
          <t>J.G.Chemicals Ltd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2388.98</v>
      </c>
      <c r="I5" s="32" t="n">
        <v>665.45</v>
      </c>
      <c r="J5" s="32" t="n">
        <v>9.15</v>
      </c>
      <c r="K5" s="32" t="n">
        <v>750821</v>
      </c>
      <c r="L5" s="31" t="n">
        <v>62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73.17</v>
      </c>
      <c r="P5" s="32" t="n">
        <v>48.51</v>
      </c>
      <c r="Q5" s="32" t="n">
        <v>493.71</v>
      </c>
      <c r="R5" s="31" t="inlineStr">
        <is>
          <t>Near 52W High Breakout</t>
        </is>
      </c>
      <c r="S5" s="31" t="inlineStr">
        <is>
          <t>Nifty 50</t>
        </is>
      </c>
      <c r="T5" s="32" t="n">
        <v>-9.92</v>
      </c>
      <c r="U5" s="32" t="n">
        <v>56.97</v>
      </c>
      <c r="V5" s="32" t="n">
        <v>74.26000000000001</v>
      </c>
      <c r="W5" s="32" t="n">
        <v>21.31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IF(B6=0,"",RANK(B6,$B$2:$B$253,0))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INDOBORAX</t>
        </is>
      </c>
      <c r="D6" s="31" t="inlineStr">
        <is>
          <t>Indo Borax &amp; Chemicals Ltd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smallcap</t>
        </is>
      </c>
      <c r="H6" s="32" t="n">
        <v>1478.23</v>
      </c>
      <c r="I6" s="32" t="n">
        <v>491.75</v>
      </c>
      <c r="J6" s="32" t="n">
        <v>6.75</v>
      </c>
      <c r="K6" s="32" t="n">
        <v>194721</v>
      </c>
      <c r="L6" s="31" t="n">
        <v>69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67.54000000000001</v>
      </c>
      <c r="P6" s="32" t="n">
        <v>66.38</v>
      </c>
      <c r="Q6" s="32" t="n">
        <v>369.3</v>
      </c>
      <c r="R6" s="31" t="inlineStr">
        <is>
          <t>Near 52W High Breakout</t>
        </is>
      </c>
      <c r="S6" s="31" t="inlineStr">
        <is>
          <t>Nifty 50</t>
        </is>
      </c>
      <c r="T6" s="32" t="n">
        <v>-9.92</v>
      </c>
      <c r="U6" s="32" t="n">
        <v>127.7</v>
      </c>
      <c r="V6" s="32" t="n">
        <v>152.79</v>
      </c>
      <c r="W6" s="32" t="n">
        <v>24.53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IF(B7=0,"",RANK(B7,$B$2:$B$253,0))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SHANTIGOLD</t>
        </is>
      </c>
      <c r="D7" s="31" t="inlineStr">
        <is>
          <t>Shanti Gold International Ltd</t>
        </is>
      </c>
      <c r="E7" s="31" t="inlineStr">
        <is>
          <t>consumer discretionary</t>
        </is>
      </c>
      <c r="F7" s="31" t="inlineStr">
        <is>
          <t>diamond cutting / jewellery</t>
        </is>
      </c>
      <c r="G7" s="31" t="inlineStr">
        <is>
          <t>smallcap</t>
        </is>
      </c>
      <c r="H7" s="32" t="n">
        <v>2429.57</v>
      </c>
      <c r="I7" s="32" t="n">
        <v>336.65</v>
      </c>
      <c r="J7" s="32" t="n">
        <v>6.33</v>
      </c>
      <c r="K7" s="32" t="n">
        <v>4557739</v>
      </c>
      <c r="L7" s="31" t="n">
        <v>67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71.34</v>
      </c>
      <c r="P7" s="32" t="n">
        <v>43.69</v>
      </c>
      <c r="Q7" s="32" t="n">
        <v>249.67</v>
      </c>
      <c r="R7" s="31" t="inlineStr">
        <is>
          <t>Near 52W High Breakout</t>
        </is>
      </c>
      <c r="S7" s="31" t="inlineStr">
        <is>
          <t>Nifty 50</t>
        </is>
      </c>
      <c r="T7" s="32" t="n">
        <v>-9.92</v>
      </c>
      <c r="U7" s="32" t="n">
        <v>57.22</v>
      </c>
      <c r="V7" s="32" t="n">
        <v>74.54000000000001</v>
      </c>
      <c r="W7" s="32" t="n">
        <v>23.7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IF(B8=0,"",RANK(B8,$B$2:$B$253,0))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GNA</t>
        </is>
      </c>
      <c r="D8" s="31" t="inlineStr">
        <is>
          <t>Gna Axles Limited</t>
        </is>
      </c>
      <c r="E8" s="31" t="inlineStr">
        <is>
          <t>auto</t>
        </is>
      </c>
      <c r="F8" s="31" t="inlineStr">
        <is>
          <t>auto ancillaries</t>
        </is>
      </c>
      <c r="G8" s="31" t="inlineStr">
        <is>
          <t>smallcap</t>
        </is>
      </c>
      <c r="H8" s="32" t="n">
        <v>2511.67</v>
      </c>
      <c r="I8" s="32" t="n">
        <v>615.8</v>
      </c>
      <c r="J8" s="32" t="n">
        <v>5.26</v>
      </c>
      <c r="K8" s="32" t="n">
        <v>895341</v>
      </c>
      <c r="L8" s="31" t="inlineStr"/>
      <c r="M8" s="31" t="inlineStr"/>
      <c r="N8" s="32">
        <f>IF(M8="Underperforming",-5,IF(L8&gt;=95,15,IF(L8&gt;=90,10,IF(L8&gt;=80,5,0))))</f>
        <v/>
      </c>
      <c r="O8" s="32" t="n">
        <v>68.23</v>
      </c>
      <c r="P8" s="32" t="n">
        <v>51.93</v>
      </c>
      <c r="Q8" s="32" t="n">
        <v>461.57</v>
      </c>
      <c r="R8" s="31" t="inlineStr">
        <is>
          <t>Near 52W High Breakout</t>
        </is>
      </c>
      <c r="S8" s="31" t="inlineStr">
        <is>
          <t>Nifty Auto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IF(B9=0,"",RANK(B9,$B$2:$B$253,0))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PGIL</t>
        </is>
      </c>
      <c r="D9" s="31" t="inlineStr">
        <is>
          <t>Pearl Global Industries Limited</t>
        </is>
      </c>
      <c r="E9" s="31" t="inlineStr">
        <is>
          <t>readymade garments/apparels</t>
        </is>
      </c>
      <c r="F9" s="31" t="inlineStr">
        <is>
          <t>textiles - products</t>
        </is>
      </c>
      <c r="G9" s="31" t="inlineStr">
        <is>
          <t>midcap</t>
        </is>
      </c>
      <c r="H9" s="32" t="n">
        <v>11700.06</v>
      </c>
      <c r="I9" s="32" t="n">
        <v>1266.7</v>
      </c>
      <c r="J9" s="32" t="n">
        <v>0.02</v>
      </c>
      <c r="K9" s="32" t="n">
        <v>251443</v>
      </c>
      <c r="L9" s="31" t="n">
        <v>59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66.05</v>
      </c>
      <c r="P9" s="32" t="n">
        <v>59.01</v>
      </c>
      <c r="Q9" s="32" t="n">
        <v>1023.34</v>
      </c>
      <c r="R9" s="31" t="inlineStr">
        <is>
          <t>Near 52W High Breakout</t>
        </is>
      </c>
      <c r="S9" s="31" t="inlineStr">
        <is>
          <t>Nifty 50</t>
        </is>
      </c>
      <c r="T9" s="32" t="n">
        <v>-9.92</v>
      </c>
      <c r="U9" s="32" t="n">
        <v>96.31999999999999</v>
      </c>
      <c r="V9" s="32" t="n">
        <v>117.95</v>
      </c>
      <c r="W9" s="32" t="n">
        <v>20.5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IF(B10=0,"",RANK(B10,$B$2:$B$253,0))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ARIES</t>
        </is>
      </c>
      <c r="D10" s="31" t="inlineStr">
        <is>
          <t>Aries Agro Limited</t>
        </is>
      </c>
      <c r="E10" s="31" t="inlineStr">
        <is>
          <t>chemicals</t>
        </is>
      </c>
      <c r="F10" s="31" t="inlineStr">
        <is>
          <t>fertilizers</t>
        </is>
      </c>
      <c r="G10" s="31" t="inlineStr">
        <is>
          <t>smallcap</t>
        </is>
      </c>
      <c r="H10" s="32" t="n">
        <v>651.84</v>
      </c>
      <c r="I10" s="32" t="n">
        <v>499</v>
      </c>
      <c r="J10" s="32" t="n">
        <v>-0.45</v>
      </c>
      <c r="K10" s="32" t="n">
        <v>24527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74.55</v>
      </c>
      <c r="P10" s="32" t="n">
        <v>44.49</v>
      </c>
      <c r="Q10" s="32" t="n">
        <v>382.46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-9.92</v>
      </c>
      <c r="U10" s="32" t="n">
        <v>25.55</v>
      </c>
      <c r="V10" s="32" t="n">
        <v>39.39</v>
      </c>
      <c r="W10" s="32" t="n">
        <v>16.44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IF(B11=0,"",RANK(B11,$B$2:$B$253,0))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ORIENTBELL</t>
        </is>
      </c>
      <c r="D11" s="31" t="inlineStr">
        <is>
          <t>Orient Bell Limited</t>
        </is>
      </c>
      <c r="E11" s="31" t="inlineStr">
        <is>
          <t>building materials</t>
        </is>
      </c>
      <c r="F11" s="31" t="inlineStr">
        <is>
          <t>ceramics - tiles / sanitaryware</t>
        </is>
      </c>
      <c r="G11" s="31" t="inlineStr">
        <is>
          <t>smallcap</t>
        </is>
      </c>
      <c r="H11" s="32" t="n">
        <v>613.5700000000001</v>
      </c>
      <c r="I11" s="32" t="n">
        <v>413.55</v>
      </c>
      <c r="J11" s="32" t="n">
        <v>-0.85</v>
      </c>
      <c r="K11" s="32" t="n">
        <v>16464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67.11</v>
      </c>
      <c r="P11" s="32" t="n">
        <v>46.59</v>
      </c>
      <c r="Q11" s="32" t="n">
        <v>324.29</v>
      </c>
      <c r="R11" s="31" t="inlineStr">
        <is>
          <t>Near 52W High Breakout</t>
        </is>
      </c>
      <c r="S11" s="31" t="inlineStr">
        <is>
          <t>Nifty Infra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IF(B12=0,"",RANK(B12,$B$2:$B$253,0))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REDINGTON</t>
        </is>
      </c>
      <c r="D12" s="31" t="inlineStr">
        <is>
          <t>Redington (india) Limited</t>
        </is>
      </c>
      <c r="E12" s="31" t="inlineStr">
        <is>
          <t>services</t>
        </is>
      </c>
      <c r="F12" s="31" t="inlineStr">
        <is>
          <t>trading</t>
        </is>
      </c>
      <c r="G12" s="31" t="inlineStr">
        <is>
          <t>largecap</t>
        </is>
      </c>
      <c r="H12" s="32" t="n">
        <v>32267.74</v>
      </c>
      <c r="I12" s="32" t="n">
        <v>405.7</v>
      </c>
      <c r="J12" s="32" t="n">
        <v>-1.71</v>
      </c>
      <c r="K12" s="32" t="n">
        <v>2037976</v>
      </c>
      <c r="L12" s="31" t="n">
        <v>54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73.51000000000001</v>
      </c>
      <c r="P12" s="32" t="n">
        <v>51.47</v>
      </c>
      <c r="Q12" s="32" t="n">
        <v>322.1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-9.92</v>
      </c>
      <c r="U12" s="32" t="n">
        <v>42.92</v>
      </c>
      <c r="V12" s="32" t="n">
        <v>58.67</v>
      </c>
      <c r="W12" s="32" t="n">
        <v>18.81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IF(B13=0,"",RANK(B13,$B$2:$B$253,0))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PREMIERPOL</t>
        </is>
      </c>
      <c r="D13" s="31" t="inlineStr">
        <is>
          <t>Premier Polyfilm Limited</t>
        </is>
      </c>
      <c r="E13" s="31" t="inlineStr">
        <is>
          <t>plastic products</t>
        </is>
      </c>
      <c r="F13" s="31" t="inlineStr">
        <is>
          <t>plastics products</t>
        </is>
      </c>
      <c r="G13" s="31" t="inlineStr">
        <is>
          <t>smallcap</t>
        </is>
      </c>
      <c r="H13" s="32" t="n">
        <v>1063.56</v>
      </c>
      <c r="I13" s="32" t="n">
        <v>97.23</v>
      </c>
      <c r="J13" s="32" t="n">
        <v>-4.24</v>
      </c>
      <c r="K13" s="32" t="n">
        <v>803662</v>
      </c>
      <c r="L13" s="31" t="n">
        <v>79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65.93000000000001</v>
      </c>
      <c r="P13" s="32" t="n">
        <v>58.95</v>
      </c>
      <c r="Q13" s="32" t="n">
        <v>63.77</v>
      </c>
      <c r="R13" s="31" t="inlineStr">
        <is>
          <t>Near 52W High Breakout</t>
        </is>
      </c>
      <c r="S13" s="31" t="inlineStr">
        <is>
          <t>Nifty 50</t>
        </is>
      </c>
      <c r="T13" s="32" t="n">
        <v>-9.92</v>
      </c>
      <c r="U13" s="32" t="n">
        <v>117.72</v>
      </c>
      <c r="V13" s="32" t="n">
        <v>141.7</v>
      </c>
      <c r="W13" s="32" t="n">
        <v>29.83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IF(B14=0,"",RANK(B14,$B$2:$B$253,0))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E2E</t>
        </is>
      </c>
      <c r="D14" s="31" t="inlineStr">
        <is>
          <t>E2E Networks Ltd</t>
        </is>
      </c>
      <c r="E14" s="31" t="inlineStr">
        <is>
          <t>i.t</t>
        </is>
      </c>
      <c r="F14" s="31" t="inlineStr">
        <is>
          <t>computers - software - medium / small</t>
        </is>
      </c>
      <c r="G14" s="31" t="inlineStr">
        <is>
          <t>midcap</t>
        </is>
      </c>
      <c r="H14" s="32" t="n">
        <v>13487.11</v>
      </c>
      <c r="I14" s="32" t="n">
        <v>688.9</v>
      </c>
      <c r="J14" s="32" t="n">
        <v>5</v>
      </c>
      <c r="K14" s="32" t="n">
        <v>857233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74.83</v>
      </c>
      <c r="P14" s="32" t="n">
        <v>54.63</v>
      </c>
      <c r="Q14" s="32" t="n">
        <v>498.67</v>
      </c>
      <c r="R14" s="31" t="inlineStr">
        <is>
          <t>Near 52W High Breakout</t>
        </is>
      </c>
      <c r="S14" s="31" t="inlineStr">
        <is>
          <t>Nifty IT</t>
        </is>
      </c>
      <c r="T14" s="32" t="n">
        <v>-20.99</v>
      </c>
      <c r="U14" s="32" t="n">
        <v>102.15</v>
      </c>
      <c r="V14" s="32" t="n">
        <v>155.85</v>
      </c>
      <c r="W14" s="32" t="n">
        <v>37.74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IF(B15=0,"",RANK(B15,$B$2:$B$253,0))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AURUM</t>
        </is>
      </c>
      <c r="D15" s="31" t="inlineStr">
        <is>
          <t>Aurum Proptech Ltd</t>
        </is>
      </c>
      <c r="E15" s="31" t="inlineStr">
        <is>
          <t>i.t</t>
        </is>
      </c>
      <c r="F15" s="31" t="inlineStr">
        <is>
          <t>computers - software - medium / small</t>
        </is>
      </c>
      <c r="G15" s="31" t="inlineStr">
        <is>
          <t>smallcap</t>
        </is>
      </c>
      <c r="H15" s="32" t="n">
        <v>2159.14</v>
      </c>
      <c r="I15" s="32" t="n">
        <v>231.14</v>
      </c>
      <c r="J15" s="32" t="n">
        <v>3.37</v>
      </c>
      <c r="K15" s="32" t="n">
        <v>135512</v>
      </c>
      <c r="L15" s="31" t="n">
        <v>23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62.03</v>
      </c>
      <c r="P15" s="32" t="n">
        <v>48.08</v>
      </c>
      <c r="Q15" s="32" t="n">
        <v>188.07</v>
      </c>
      <c r="R15" s="31" t="inlineStr">
        <is>
          <t>Near 52W High Breakout</t>
        </is>
      </c>
      <c r="S15" s="31" t="inlineStr">
        <is>
          <t>Nifty IT</t>
        </is>
      </c>
      <c r="T15" s="32" t="n">
        <v>-20.99</v>
      </c>
      <c r="U15" s="32" t="n">
        <v>38.34</v>
      </c>
      <c r="V15" s="32" t="n">
        <v>75.08</v>
      </c>
      <c r="W15" s="32" t="n">
        <v>7.87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IF(B16=0,"",RANK(B16,$B$2:$B$253,0))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ICIL</t>
        </is>
      </c>
      <c r="D16" s="31" t="inlineStr">
        <is>
          <t>Indo Count Industries Limited</t>
        </is>
      </c>
      <c r="E16" s="31" t="inlineStr">
        <is>
          <t>textiles</t>
        </is>
      </c>
      <c r="F16" s="31" t="inlineStr">
        <is>
          <t>textiles - cotton/blended</t>
        </is>
      </c>
      <c r="G16" s="31" t="inlineStr">
        <is>
          <t>midcap</t>
        </is>
      </c>
      <c r="H16" s="32" t="n">
        <v>8837.18</v>
      </c>
      <c r="I16" s="32" t="n">
        <v>473.15</v>
      </c>
      <c r="J16" s="32" t="n">
        <v>6.04</v>
      </c>
      <c r="K16" s="32" t="n">
        <v>981220</v>
      </c>
      <c r="L16" s="31" t="n">
        <v>49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68.34999999999999</v>
      </c>
      <c r="P16" s="32" t="n">
        <v>51.65</v>
      </c>
      <c r="Q16" s="32" t="n">
        <v>348.48</v>
      </c>
      <c r="R16" s="31" t="inlineStr">
        <is>
          <t>Near 52W High Breakout</t>
        </is>
      </c>
      <c r="S16" s="31" t="inlineStr">
        <is>
          <t>Nifty 50</t>
        </is>
      </c>
      <c r="T16" s="32" t="n">
        <v>-9.92</v>
      </c>
      <c r="U16" s="32" t="n">
        <v>72.70999999999999</v>
      </c>
      <c r="V16" s="32" t="n">
        <v>91.73</v>
      </c>
      <c r="W16" s="32" t="n">
        <v>17.28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IF(B17=0,"",RANK(B17,$B$2:$B$253,0))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BIRLACABLE</t>
        </is>
      </c>
      <c r="D17" s="31" t="inlineStr">
        <is>
          <t>Birla Cable Limited</t>
        </is>
      </c>
      <c r="E17" s="31" t="inlineStr">
        <is>
          <t>industrials</t>
        </is>
      </c>
      <c r="F17" s="31" t="inlineStr">
        <is>
          <t>cables - telephone</t>
        </is>
      </c>
      <c r="G17" s="31" t="inlineStr">
        <is>
          <t>smallcap</t>
        </is>
      </c>
      <c r="H17" s="32" t="n">
        <v>1129.95</v>
      </c>
      <c r="I17" s="32" t="n">
        <v>395.45</v>
      </c>
      <c r="J17" s="32" t="n">
        <v>4.99</v>
      </c>
      <c r="K17" s="32" t="n">
        <v>459269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72.73999999999999</v>
      </c>
      <c r="P17" s="32" t="n">
        <v>54.7</v>
      </c>
      <c r="Q17" s="32" t="n">
        <v>293.42</v>
      </c>
      <c r="R17" s="31" t="inlineStr">
        <is>
          <t>Near 52W High Breakout</t>
        </is>
      </c>
      <c r="S17" s="31" t="inlineStr">
        <is>
          <t>Nifty Infra</t>
        </is>
      </c>
      <c r="T17" s="32" t="inlineStr"/>
      <c r="U17" s="32" t="inlineStr"/>
      <c r="V17" s="32" t="inlineStr"/>
      <c r="W17" s="32" t="inlineStr"/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IF(B18=0,"",RANK(B18,$B$2:$B$253,0))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ORBTEXP</t>
        </is>
      </c>
      <c r="D18" s="31" t="inlineStr">
        <is>
          <t>Orbit Exports Limited</t>
        </is>
      </c>
      <c r="E18" s="31" t="inlineStr">
        <is>
          <t>textiles</t>
        </is>
      </c>
      <c r="F18" s="31" t="inlineStr">
        <is>
          <t>textiles - processing</t>
        </is>
      </c>
      <c r="G18" s="31" t="inlineStr">
        <is>
          <t>smallcap</t>
        </is>
      </c>
      <c r="H18" s="32" t="n">
        <v>637.33</v>
      </c>
      <c r="I18" s="32" t="n">
        <v>246.85</v>
      </c>
      <c r="J18" s="32" t="n">
        <v>2.68</v>
      </c>
      <c r="K18" s="32" t="n">
        <v>8679</v>
      </c>
      <c r="L18" s="31" t="n">
        <v>16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62.29</v>
      </c>
      <c r="P18" s="32" t="n">
        <v>54.93</v>
      </c>
      <c r="Q18" s="32" t="n">
        <v>180.7</v>
      </c>
      <c r="R18" s="31" t="inlineStr">
        <is>
          <t>Near 52W High Breakout</t>
        </is>
      </c>
      <c r="S18" s="31" t="inlineStr">
        <is>
          <t>Nifty 50</t>
        </is>
      </c>
      <c r="T18" s="32" t="n">
        <v>-9.92</v>
      </c>
      <c r="U18" s="32" t="n">
        <v>12.87</v>
      </c>
      <c r="V18" s="32" t="n">
        <v>25.31</v>
      </c>
      <c r="W18" s="32" t="n">
        <v>5.44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IF(B19=0,"",RANK(B19,$B$2:$B$253,0))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SWANDEF</t>
        </is>
      </c>
      <c r="D19" s="31" t="inlineStr">
        <is>
          <t>Swan Defence and Heavy Industries Ltd</t>
        </is>
      </c>
      <c r="E19" s="31" t="inlineStr">
        <is>
          <t>transportation</t>
        </is>
      </c>
      <c r="F19" s="31" t="inlineStr">
        <is>
          <t>miscellaneous</t>
        </is>
      </c>
      <c r="G19" s="31" t="inlineStr">
        <is>
          <t>midcap</t>
        </is>
      </c>
      <c r="H19" s="32" t="n">
        <v>14375.91</v>
      </c>
      <c r="I19" s="32" t="n">
        <v>2760.2</v>
      </c>
      <c r="J19" s="32" t="n">
        <v>1.15</v>
      </c>
      <c r="K19" s="32" t="n">
        <v>23194</v>
      </c>
      <c r="L19" s="31" t="n">
        <v>96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67.72</v>
      </c>
      <c r="P19" s="32" t="n">
        <v>56.44</v>
      </c>
      <c r="Q19" s="32" t="n">
        <v>2111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-9.92</v>
      </c>
      <c r="U19" s="32" t="n">
        <v>333.86</v>
      </c>
      <c r="V19" s="32" t="n">
        <v>381.66</v>
      </c>
      <c r="W19" s="32" t="n">
        <v>51.95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More than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IF(B20=0,"",RANK(B20,$B$2:$B$253,0))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SPECIALITY</t>
        </is>
      </c>
      <c r="D20" s="31" t="inlineStr">
        <is>
          <t>Speciality Restaurants Limited</t>
        </is>
      </c>
      <c r="E20" s="31" t="inlineStr">
        <is>
          <t>services</t>
        </is>
      </c>
      <c r="F20" s="31" t="inlineStr">
        <is>
          <t>hotels</t>
        </is>
      </c>
      <c r="G20" s="31" t="inlineStr">
        <is>
          <t>smallcap</t>
        </is>
      </c>
      <c r="H20" s="32" t="n">
        <v>747.22</v>
      </c>
      <c r="I20" s="32" t="n">
        <v>156.32</v>
      </c>
      <c r="J20" s="32" t="n">
        <v>0.91</v>
      </c>
      <c r="K20" s="32" t="n">
        <v>14242</v>
      </c>
      <c r="L20" s="31" t="n">
        <v>30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70.84</v>
      </c>
      <c r="P20" s="32" t="n">
        <v>45.02</v>
      </c>
      <c r="Q20" s="32" t="n">
        <v>117.42</v>
      </c>
      <c r="R20" s="31" t="inlineStr">
        <is>
          <t>Near 52W High Breakout</t>
        </is>
      </c>
      <c r="S20" s="31" t="inlineStr">
        <is>
          <t>Nifty 50</t>
        </is>
      </c>
      <c r="T20" s="32" t="n">
        <v>-9.92</v>
      </c>
      <c r="U20" s="32" t="n">
        <v>13.45</v>
      </c>
      <c r="V20" s="32" t="n">
        <v>25.95</v>
      </c>
      <c r="W20" s="32" t="n">
        <v>9.76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IF(B21=0,"",RANK(B21,$B$2:$B$253,0))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DIFFNKG</t>
        </is>
      </c>
      <c r="D21" s="31" t="inlineStr">
        <is>
          <t>Diffusion Engineers Ltd</t>
        </is>
      </c>
      <c r="E21" s="31" t="inlineStr">
        <is>
          <t>industrials</t>
        </is>
      </c>
      <c r="F21" s="31" t="inlineStr">
        <is>
          <t>electrodes - welding equipment</t>
        </is>
      </c>
      <c r="G21" s="31" t="inlineStr">
        <is>
          <t>smallcap</t>
        </is>
      </c>
      <c r="H21" s="32" t="n">
        <v>1688.86</v>
      </c>
      <c r="I21" s="32" t="n">
        <v>454.1</v>
      </c>
      <c r="J21" s="32" t="n">
        <v>0.63</v>
      </c>
      <c r="K21" s="32" t="n">
        <v>279011</v>
      </c>
      <c r="L21" s="31" t="n">
        <v>24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61.59</v>
      </c>
      <c r="P21" s="32" t="n">
        <v>49.22</v>
      </c>
      <c r="Q21" s="32" t="n">
        <v>343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-9.92</v>
      </c>
      <c r="U21" s="32" t="n">
        <v>21.76</v>
      </c>
      <c r="V21" s="32" t="n">
        <v>35.17</v>
      </c>
      <c r="W21" s="32" t="n">
        <v>8.640000000000001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IF(B22=0,"",RANK(B22,$B$2:$B$253,0))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FINCABLES</t>
        </is>
      </c>
      <c r="D22" s="31" t="inlineStr">
        <is>
          <t>Finolex Cables Limited</t>
        </is>
      </c>
      <c r="E22" s="31" t="inlineStr">
        <is>
          <t>industrials</t>
        </is>
      </c>
      <c r="F22" s="31" t="inlineStr">
        <is>
          <t>cables - power</t>
        </is>
      </c>
      <c r="G22" s="31" t="inlineStr">
        <is>
          <t>largecap</t>
        </is>
      </c>
      <c r="H22" s="32" t="n">
        <v>22440.79</v>
      </c>
      <c r="I22" s="32" t="n">
        <v>1474</v>
      </c>
      <c r="J22" s="32" t="n">
        <v>0.46</v>
      </c>
      <c r="K22" s="32" t="n">
        <v>537623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71.66</v>
      </c>
      <c r="P22" s="32" t="n">
        <v>40.12</v>
      </c>
      <c r="Q22" s="32" t="n">
        <v>1143.65</v>
      </c>
      <c r="R22" s="31" t="inlineStr">
        <is>
          <t>Near 52W High Breakout</t>
        </is>
      </c>
      <c r="S22" s="31" t="inlineStr">
        <is>
          <t>Nifty Energy</t>
        </is>
      </c>
      <c r="T22" s="32" t="inlineStr"/>
      <c r="U22" s="32" t="inlineStr"/>
      <c r="V22" s="32" t="inlineStr"/>
      <c r="W22" s="32" t="inlineStr"/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IF(B23=0,"",RANK(B23,$B$2:$B$253,0))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KRYSTAL</t>
        </is>
      </c>
      <c r="D23" s="31" t="inlineStr">
        <is>
          <t>Krystal Integrated Services Ltd</t>
        </is>
      </c>
      <c r="E23" s="31" t="inlineStr">
        <is>
          <t>miscellaneous</t>
        </is>
      </c>
      <c r="F23" s="31" t="inlineStr">
        <is>
          <t>miscellaneous</t>
        </is>
      </c>
      <c r="G23" s="31" t="inlineStr">
        <is>
          <t>smallcap</t>
        </is>
      </c>
      <c r="H23" s="32" t="n">
        <v>914.67</v>
      </c>
      <c r="I23" s="32" t="n">
        <v>656.65</v>
      </c>
      <c r="J23" s="32" t="n">
        <v>0.31</v>
      </c>
      <c r="K23" s="32" t="n">
        <v>15827</v>
      </c>
      <c r="L23" s="31" t="n">
        <v>10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59.28</v>
      </c>
      <c r="P23" s="32" t="n">
        <v>43.38</v>
      </c>
      <c r="Q23" s="32" t="n">
        <v>524.17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-9.92</v>
      </c>
      <c r="U23" s="32" t="n">
        <v>7.54</v>
      </c>
      <c r="V23" s="32" t="n">
        <v>19.38</v>
      </c>
      <c r="W23" s="32" t="n">
        <v>3.75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IF(B24=0,"",RANK(B24,$B$2:$B$253,0))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SYRMA</t>
        </is>
      </c>
      <c r="D24" s="31" t="inlineStr">
        <is>
          <t>Syrma SGS Technology Ltd</t>
        </is>
      </c>
      <c r="E24" s="31" t="inlineStr">
        <is>
          <t>consumer discretionary</t>
        </is>
      </c>
      <c r="F24" s="31" t="inlineStr">
        <is>
          <t>electronics - components</t>
        </is>
      </c>
      <c r="G24" s="31" t="inlineStr">
        <is>
          <t>largecap</t>
        </is>
      </c>
      <c r="H24" s="32" t="n">
        <v>32788.9</v>
      </c>
      <c r="I24" s="32" t="n">
        <v>1685.1</v>
      </c>
      <c r="J24" s="32" t="n">
        <v>-0.9</v>
      </c>
      <c r="K24" s="32" t="n">
        <v>817702</v>
      </c>
      <c r="L24" s="31" t="n">
        <v>61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72.13</v>
      </c>
      <c r="P24" s="32" t="n">
        <v>59.66</v>
      </c>
      <c r="Q24" s="32" t="n">
        <v>1346.48</v>
      </c>
      <c r="R24" s="31" t="inlineStr">
        <is>
          <t>Near 52W High Breakout</t>
        </is>
      </c>
      <c r="S24" s="31" t="inlineStr">
        <is>
          <t>Nifty 50</t>
        </is>
      </c>
      <c r="T24" s="32" t="n">
        <v>-9.92</v>
      </c>
      <c r="U24" s="32" t="n">
        <v>99.94</v>
      </c>
      <c r="V24" s="32" t="n">
        <v>121.97</v>
      </c>
      <c r="W24" s="32" t="n">
        <v>21.15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IF(B25=0,"",RANK(B25,$B$2:$B$253,0))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GLAND</t>
        </is>
      </c>
      <c r="D25" s="31" t="inlineStr">
        <is>
          <t>Gland Pharma Ltd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largecap</t>
        </is>
      </c>
      <c r="H25" s="32" t="n">
        <v>48028.01</v>
      </c>
      <c r="I25" s="32" t="n">
        <v>3006.1</v>
      </c>
      <c r="J25" s="32" t="n">
        <v>3.25</v>
      </c>
      <c r="K25" s="32" t="n">
        <v>373873</v>
      </c>
      <c r="L25" s="31" t="n">
        <v>45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72.16</v>
      </c>
      <c r="P25" s="32" t="n">
        <v>62.51</v>
      </c>
      <c r="Q25" s="32" t="n">
        <v>2484.63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19.49</v>
      </c>
      <c r="U25" s="32" t="n">
        <v>57.47</v>
      </c>
      <c r="V25" s="32" t="n">
        <v>31.78</v>
      </c>
      <c r="W25" s="32" t="n">
        <v>15.54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IF(B26=0,"",RANK(B26,$B$2:$B$253,0))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BHAGERIA</t>
        </is>
      </c>
      <c r="D26" s="31" t="inlineStr">
        <is>
          <t>Bhageria Industries Limited</t>
        </is>
      </c>
      <c r="E26" s="31" t="inlineStr">
        <is>
          <t>chemicals</t>
        </is>
      </c>
      <c r="F26" s="31" t="inlineStr">
        <is>
          <t>dyes and pigments</t>
        </is>
      </c>
      <c r="G26" s="31" t="inlineStr">
        <is>
          <t>smallcap</t>
        </is>
      </c>
      <c r="H26" s="32" t="n">
        <v>1591.49</v>
      </c>
      <c r="I26" s="32" t="n">
        <v>393.55</v>
      </c>
      <c r="J26" s="32" t="n">
        <v>7.93</v>
      </c>
      <c r="K26" s="32" t="n">
        <v>361311</v>
      </c>
      <c r="L26" s="31" t="n">
        <v>91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80.3</v>
      </c>
      <c r="P26" s="32" t="n">
        <v>46.3</v>
      </c>
      <c r="Q26" s="32" t="n">
        <v>298.79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-9.92</v>
      </c>
      <c r="U26" s="32" t="n">
        <v>114.46</v>
      </c>
      <c r="V26" s="32" t="n">
        <v>138.09</v>
      </c>
      <c r="W26" s="32" t="n">
        <v>38.62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IF(B27=0,"",RANK(B27,$B$2:$B$253,0))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FILATEX</t>
        </is>
      </c>
      <c r="D27" s="31" t="inlineStr">
        <is>
          <t>Filatex India Limited</t>
        </is>
      </c>
      <c r="E27" s="31" t="inlineStr">
        <is>
          <t>textiles</t>
        </is>
      </c>
      <c r="F27" s="31" t="inlineStr">
        <is>
          <t>textiles - manmade</t>
        </is>
      </c>
      <c r="G27" s="31" t="inlineStr">
        <is>
          <t>smallcap</t>
        </is>
      </c>
      <c r="H27" s="32" t="n">
        <v>4613.32</v>
      </c>
      <c r="I27" s="32" t="n">
        <v>111.36</v>
      </c>
      <c r="J27" s="32" t="n">
        <v>7.19</v>
      </c>
      <c r="K27" s="32" t="n">
        <v>4466335</v>
      </c>
      <c r="L27" s="31" t="n">
        <v>87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83.48999999999999</v>
      </c>
      <c r="P27" s="32" t="n">
        <v>53.91</v>
      </c>
      <c r="Q27" s="32" t="n">
        <v>83.61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-9.92</v>
      </c>
      <c r="U27" s="32" t="n">
        <v>106.63</v>
      </c>
      <c r="V27" s="32" t="n">
        <v>129.39</v>
      </c>
      <c r="W27" s="32" t="n">
        <v>36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IF(B28=0,"",RANK(B28,$B$2:$B$253,0))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IGPL</t>
        </is>
      </c>
      <c r="D28" s="31" t="inlineStr">
        <is>
          <t>Ig Petrochemicals Limited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1706.03</v>
      </c>
      <c r="I28" s="32" t="n">
        <v>589.5</v>
      </c>
      <c r="J28" s="32" t="n">
        <v>6.41</v>
      </c>
      <c r="K28" s="32" t="n">
        <v>175561</v>
      </c>
      <c r="L28" s="31" t="n">
        <v>46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68.33</v>
      </c>
      <c r="P28" s="32" t="n">
        <v>36.54</v>
      </c>
      <c r="Q28" s="32" t="n">
        <v>460.88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-9.92</v>
      </c>
      <c r="U28" s="32" t="n">
        <v>38.93</v>
      </c>
      <c r="V28" s="32" t="n">
        <v>54.23</v>
      </c>
      <c r="W28" s="32" t="n">
        <v>15.59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IF(B29=0,"",RANK(B29,$B$2:$B$253,0))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GRWRHITECH</t>
        </is>
      </c>
      <c r="D29" s="31" t="inlineStr">
        <is>
          <t>Garware Hi Tech Films Ltd</t>
        </is>
      </c>
      <c r="E29" s="31" t="inlineStr">
        <is>
          <t>industrials</t>
        </is>
      </c>
      <c r="F29" s="31" t="inlineStr">
        <is>
          <t>packaging</t>
        </is>
      </c>
      <c r="G29" s="31" t="inlineStr">
        <is>
          <t>midcap</t>
        </is>
      </c>
      <c r="H29" s="32" t="n">
        <v>15624.95</v>
      </c>
      <c r="I29" s="32" t="n">
        <v>7102.5</v>
      </c>
      <c r="J29" s="32" t="n">
        <v>5.61</v>
      </c>
      <c r="K29" s="32" t="n">
        <v>91391</v>
      </c>
      <c r="L29" s="31" t="n">
        <v>66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67.48</v>
      </c>
      <c r="P29" s="32" t="n">
        <v>54.99</v>
      </c>
      <c r="Q29" s="32" t="n">
        <v>5608.72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-9.92</v>
      </c>
      <c r="U29" s="32" t="n">
        <v>141.87</v>
      </c>
      <c r="V29" s="32" t="n">
        <v>168.52</v>
      </c>
      <c r="W29" s="32" t="n">
        <v>23.41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IF(B30=0,"",RANK(B30,$B$2:$B$253,0))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KPIL</t>
        </is>
      </c>
      <c r="D30" s="31" t="inlineStr">
        <is>
          <t>Kalpataru Projects International Ltd</t>
        </is>
      </c>
      <c r="E30" s="31" t="inlineStr">
        <is>
          <t>realty</t>
        </is>
      </c>
      <c r="F30" s="31" t="inlineStr">
        <is>
          <t>transmisson line towers / equipment</t>
        </is>
      </c>
      <c r="G30" s="31" t="inlineStr">
        <is>
          <t>largecap</t>
        </is>
      </c>
      <c r="H30" s="32" t="n">
        <v>23546.12</v>
      </c>
      <c r="I30" s="32" t="n">
        <v>1451.5</v>
      </c>
      <c r="J30" s="32" t="n">
        <v>5.27</v>
      </c>
      <c r="K30" s="32" t="n">
        <v>652356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63.1</v>
      </c>
      <c r="P30" s="32" t="n">
        <v>31.95</v>
      </c>
      <c r="Q30" s="32" t="n">
        <v>1195.83</v>
      </c>
      <c r="R30" s="31" t="inlineStr">
        <is>
          <t>Near 52W High Breakout</t>
        </is>
      </c>
      <c r="S30" s="31" t="inlineStr">
        <is>
          <t>Nifty Realty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IF(B31=0,"",RANK(B31,$B$2:$B$253,0))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BHAGYANGR</t>
        </is>
      </c>
      <c r="D31" s="31" t="inlineStr">
        <is>
          <t>Bhagyanagar India</t>
        </is>
      </c>
      <c r="E31" s="31" t="inlineStr">
        <is>
          <t>power &amp; utilities</t>
        </is>
      </c>
      <c r="F31" s="31" t="inlineStr">
        <is>
          <t>power generation and supply</t>
        </is>
      </c>
      <c r="G31" s="31" t="inlineStr">
        <is>
          <t>smallcap</t>
        </is>
      </c>
      <c r="H31" s="32" t="n">
        <v>1381.23</v>
      </c>
      <c r="I31" s="32" t="n">
        <v>432.95</v>
      </c>
      <c r="J31" s="32" t="n">
        <v>5</v>
      </c>
      <c r="K31" s="32" t="n">
        <v>149876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64.7</v>
      </c>
      <c r="P31" s="32" t="n">
        <v>61.57</v>
      </c>
      <c r="Q31" s="32" t="n">
        <v>313.83</v>
      </c>
      <c r="R31" s="31" t="inlineStr">
        <is>
          <t>Near 52W High Breakout</t>
        </is>
      </c>
      <c r="S31" s="31" t="inlineStr">
        <is>
          <t>Nifty IT</t>
        </is>
      </c>
      <c r="T31" s="32" t="n">
        <v>-20.99</v>
      </c>
      <c r="U31" s="32" t="n">
        <v>331.53</v>
      </c>
      <c r="V31" s="32" t="n">
        <v>446.14</v>
      </c>
      <c r="W31" s="32" t="n">
        <v>42.14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IF(B32=0,"",RANK(B32,$B$2:$B$253,0))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KRONOX</t>
        </is>
      </c>
      <c r="D32" s="31" t="inlineStr">
        <is>
          <t>Kronox Lab Sciences Ltd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smallcap</t>
        </is>
      </c>
      <c r="H32" s="32" t="n">
        <v>730.24</v>
      </c>
      <c r="I32" s="32" t="n">
        <v>206.65</v>
      </c>
      <c r="J32" s="32" t="n">
        <v>5</v>
      </c>
      <c r="K32" s="32" t="n">
        <v>39741</v>
      </c>
      <c r="L32" s="31" t="n">
        <v>44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64.51000000000001</v>
      </c>
      <c r="P32" s="32" t="n">
        <v>51.03</v>
      </c>
      <c r="Q32" s="32" t="n">
        <v>146.68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-9.92</v>
      </c>
      <c r="U32" s="32" t="n">
        <v>36.47</v>
      </c>
      <c r="V32" s="32" t="n">
        <v>51.5</v>
      </c>
      <c r="W32" s="32" t="n">
        <v>15.16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Between 12 to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IF(B33=0,"",RANK(B33,$B$2:$B$253,0))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IBULLSLTD</t>
        </is>
      </c>
      <c r="D33" s="31" t="inlineStr">
        <is>
          <t>Indiabulls Limited</t>
        </is>
      </c>
      <c r="E33" s="31" t="inlineStr">
        <is>
          <t>miscellaneous</t>
        </is>
      </c>
      <c r="F33" s="31" t="inlineStr">
        <is>
          <t>diversified - medium / small</t>
        </is>
      </c>
      <c r="G33" s="31" t="inlineStr">
        <is>
          <t>midcap</t>
        </is>
      </c>
      <c r="H33" s="32" t="n">
        <v>6867.49</v>
      </c>
      <c r="I33" s="32" t="n">
        <v>30.95</v>
      </c>
      <c r="J33" s="32" t="n">
        <v>4.99</v>
      </c>
      <c r="K33" s="32" t="n">
        <v>18672512</v>
      </c>
      <c r="L33" s="31" t="n">
        <v>69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65.91</v>
      </c>
      <c r="P33" s="32" t="n">
        <v>38.5</v>
      </c>
      <c r="Q33" s="32" t="n">
        <v>21.86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-9.92</v>
      </c>
      <c r="U33" s="32" t="n">
        <v>79.42</v>
      </c>
      <c r="V33" s="32" t="n">
        <v>99.19</v>
      </c>
      <c r="W33" s="32" t="n">
        <v>24.39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IF(B34=0,"",RANK(B34,$B$2:$B$253,0))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OCCLLTD</t>
        </is>
      </c>
      <c r="D34" s="31" t="inlineStr">
        <is>
          <t>OCCL Ltd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987.97</v>
      </c>
      <c r="I34" s="32" t="n">
        <v>207.59</v>
      </c>
      <c r="J34" s="32" t="n">
        <v>4.95</v>
      </c>
      <c r="K34" s="32" t="n">
        <v>193602</v>
      </c>
      <c r="L34" s="31" t="n">
        <v>75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79.7</v>
      </c>
      <c r="P34" s="32" t="n">
        <v>49.76</v>
      </c>
      <c r="Q34" s="32" t="n">
        <v>158.67</v>
      </c>
      <c r="R34" s="31" t="inlineStr">
        <is>
          <t>Near 52W High Breakout</t>
        </is>
      </c>
      <c r="S34" s="31" t="inlineStr">
        <is>
          <t>Nifty 50</t>
        </is>
      </c>
      <c r="T34" s="32" t="n">
        <v>-9.92</v>
      </c>
      <c r="U34" s="32" t="n">
        <v>65.79000000000001</v>
      </c>
      <c r="V34" s="32" t="n">
        <v>84.06</v>
      </c>
      <c r="W34" s="32" t="n">
        <v>28.83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IF(B35=0,"",RANK(B35,$B$2:$B$253,0))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WSTCSTPAPR</t>
        </is>
      </c>
      <c r="D35" s="31" t="inlineStr">
        <is>
          <t>West Coast Paper Mills Limited</t>
        </is>
      </c>
      <c r="E35" s="31" t="inlineStr">
        <is>
          <t>building materials</t>
        </is>
      </c>
      <c r="F35" s="31" t="inlineStr">
        <is>
          <t>paper</t>
        </is>
      </c>
      <c r="G35" s="31" t="inlineStr">
        <is>
          <t>smallcap</t>
        </is>
      </c>
      <c r="H35" s="32" t="n">
        <v>4740.66</v>
      </c>
      <c r="I35" s="32" t="n">
        <v>753.05</v>
      </c>
      <c r="J35" s="32" t="n">
        <v>4.92</v>
      </c>
      <c r="K35" s="32" t="n">
        <v>254433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73.25</v>
      </c>
      <c r="P35" s="32" t="n">
        <v>64.05</v>
      </c>
      <c r="Q35" s="32" t="n">
        <v>611.05</v>
      </c>
      <c r="R35" s="31" t="inlineStr">
        <is>
          <t>Near 52W High Breakout</t>
        </is>
      </c>
      <c r="S35" s="31" t="inlineStr">
        <is>
          <t>Nifty Infra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IF(B36=0,"",RANK(B36,$B$2:$B$253,0))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SSWL</t>
        </is>
      </c>
      <c r="D36" s="31" t="inlineStr">
        <is>
          <t>Steel Strips Wheels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midcap</t>
        </is>
      </c>
      <c r="H36" s="32" t="n">
        <v>6453.04</v>
      </c>
      <c r="I36" s="32" t="n">
        <v>424.7</v>
      </c>
      <c r="J36" s="32" t="n">
        <v>3.45</v>
      </c>
      <c r="K36" s="32" t="n">
        <v>2408881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84.91</v>
      </c>
      <c r="P36" s="32" t="n">
        <v>49.86</v>
      </c>
      <c r="Q36" s="32" t="n">
        <v>334.32</v>
      </c>
      <c r="R36" s="31" t="inlineStr">
        <is>
          <t>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IF(B37=0,"",RANK(B37,$B$2:$B$253,0))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QUADFUTURE</t>
        </is>
      </c>
      <c r="D37" s="31" t="inlineStr">
        <is>
          <t>Quadrant Future Tek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smallcap</t>
        </is>
      </c>
      <c r="H37" s="32" t="n">
        <v>2117</v>
      </c>
      <c r="I37" s="32" t="n">
        <v>547.4</v>
      </c>
      <c r="J37" s="32" t="n">
        <v>3.43</v>
      </c>
      <c r="K37" s="32" t="n">
        <v>515075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70.16</v>
      </c>
      <c r="P37" s="32" t="n">
        <v>40.99</v>
      </c>
      <c r="Q37" s="32" t="n">
        <v>392.73</v>
      </c>
      <c r="R37" s="31" t="inlineStr">
        <is>
          <t>Near 52W High Breakout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IF(B38=0,"",RANK(B38,$B$2:$B$253,0))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VINCOFE</t>
        </is>
      </c>
      <c r="D38" s="31" t="inlineStr">
        <is>
          <t>Vintage Coffee &amp; Beverages Ltd</t>
        </is>
      </c>
      <c r="E38" s="31" t="inlineStr">
        <is>
          <t>consumer discretionary</t>
        </is>
      </c>
      <c r="F38" s="31" t="inlineStr">
        <is>
          <t>trading</t>
        </is>
      </c>
      <c r="G38" s="31" t="inlineStr">
        <is>
          <t>smallcap</t>
        </is>
      </c>
      <c r="H38" s="32" t="n">
        <v>2660.12</v>
      </c>
      <c r="I38" s="32" t="n">
        <v>187.21</v>
      </c>
      <c r="J38" s="32" t="n">
        <v>2.53</v>
      </c>
      <c r="K38" s="32" t="n">
        <v>1459907</v>
      </c>
      <c r="L38" s="31" t="n">
        <v>31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66.76000000000001</v>
      </c>
      <c r="P38" s="32" t="n">
        <v>30.24</v>
      </c>
      <c r="Q38" s="32" t="n">
        <v>141.34</v>
      </c>
      <c r="R38" s="31" t="inlineStr">
        <is>
          <t>Near 52W High Breakout</t>
        </is>
      </c>
      <c r="S38" s="31" t="inlineStr">
        <is>
          <t>Nifty 50</t>
        </is>
      </c>
      <c r="T38" s="32" t="n">
        <v>-9.92</v>
      </c>
      <c r="U38" s="32" t="n">
        <v>33.81</v>
      </c>
      <c r="V38" s="32" t="n">
        <v>48.55</v>
      </c>
      <c r="W38" s="32" t="n">
        <v>10.11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IF(B39=0,"",RANK(B39,$B$2:$B$253,0))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SANGAMIND</t>
        </is>
      </c>
      <c r="D39" s="31" t="inlineStr">
        <is>
          <t>Sangam (india) Limited</t>
        </is>
      </c>
      <c r="E39" s="31" t="inlineStr">
        <is>
          <t>textiles</t>
        </is>
      </c>
      <c r="F39" s="31" t="inlineStr">
        <is>
          <t>textiles - spinning - synthetic / blended</t>
        </is>
      </c>
      <c r="G39" s="31" t="inlineStr">
        <is>
          <t>smallcap</t>
        </is>
      </c>
      <c r="H39" s="32" t="n">
        <v>3174.33</v>
      </c>
      <c r="I39" s="32" t="n">
        <v>642.4</v>
      </c>
      <c r="J39" s="32" t="n">
        <v>1.69</v>
      </c>
      <c r="K39" s="32" t="n">
        <v>30921</v>
      </c>
      <c r="L39" s="31" t="n">
        <v>35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68.31</v>
      </c>
      <c r="P39" s="32" t="n">
        <v>45.87</v>
      </c>
      <c r="Q39" s="32" t="n">
        <v>507.45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-9.92</v>
      </c>
      <c r="U39" s="32" t="n">
        <v>49.79</v>
      </c>
      <c r="V39" s="32" t="n">
        <v>66.3</v>
      </c>
      <c r="W39" s="32" t="n">
        <v>11.84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IF(B40=0,"",RANK(B40,$B$2:$B$253,0))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RML</t>
        </is>
      </c>
      <c r="D40" s="31" t="inlineStr">
        <is>
          <t>Rane (madras) Limited</t>
        </is>
      </c>
      <c r="E40" s="31" t="inlineStr">
        <is>
          <t>auto</t>
        </is>
      </c>
      <c r="F40" s="31" t="inlineStr">
        <is>
          <t>auto ancillaries</t>
        </is>
      </c>
      <c r="G40" s="31" t="inlineStr">
        <is>
          <t>smallcap</t>
        </is>
      </c>
      <c r="H40" s="32" t="n">
        <v>3792.37</v>
      </c>
      <c r="I40" s="32" t="n">
        <v>1394.4</v>
      </c>
      <c r="J40" s="32" t="n">
        <v>1.62</v>
      </c>
      <c r="K40" s="32" t="n">
        <v>99854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69.45999999999999</v>
      </c>
      <c r="P40" s="32" t="n">
        <v>57.78</v>
      </c>
      <c r="Q40" s="32" t="n">
        <v>1051.02</v>
      </c>
      <c r="R40" s="31" t="inlineStr">
        <is>
          <t>Near 52W High Breakout</t>
        </is>
      </c>
      <c r="S40" s="31" t="inlineStr">
        <is>
          <t>Nifty Auto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IF(B41=0,"",RANK(B41,$B$2:$B$253,0))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MOLDTECH</t>
        </is>
      </c>
      <c r="D41" s="31" t="inlineStr">
        <is>
          <t>Mold-tek Technologies Limited</t>
        </is>
      </c>
      <c r="E41" s="31" t="inlineStr">
        <is>
          <t>realty</t>
        </is>
      </c>
      <c r="F41" s="31" t="inlineStr">
        <is>
          <t>engineering - turnkey services</t>
        </is>
      </c>
      <c r="G41" s="31" t="inlineStr">
        <is>
          <t>smallcap</t>
        </is>
      </c>
      <c r="H41" s="32" t="n">
        <v>614.99</v>
      </c>
      <c r="I41" s="32" t="n">
        <v>216.72</v>
      </c>
      <c r="J41" s="32" t="n">
        <v>1.51</v>
      </c>
      <c r="K41" s="32" t="n">
        <v>52216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72.16</v>
      </c>
      <c r="P41" s="32" t="n">
        <v>47.08</v>
      </c>
      <c r="Q41" s="32" t="n">
        <v>158.04</v>
      </c>
      <c r="R41" s="31" t="inlineStr">
        <is>
          <t>Near 52W High Breakout</t>
        </is>
      </c>
      <c r="S41" s="31" t="inlineStr">
        <is>
          <t>Nifty Realty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IF(B42=0,"",RANK(B42,$B$2:$B$253,0))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THELEELA</t>
        </is>
      </c>
      <c r="D42" s="31" t="inlineStr">
        <is>
          <t>Leela Palaces Hotels &amp; Resorts Ltd</t>
        </is>
      </c>
      <c r="E42" s="31" t="inlineStr">
        <is>
          <t>services</t>
        </is>
      </c>
      <c r="F42" s="31" t="inlineStr">
        <is>
          <t>hotels</t>
        </is>
      </c>
      <c r="G42" s="31" t="inlineStr">
        <is>
          <t>midcap</t>
        </is>
      </c>
      <c r="H42" s="32" t="n">
        <v>19289.41</v>
      </c>
      <c r="I42" s="32" t="n">
        <v>582.7</v>
      </c>
      <c r="J42" s="32" t="n">
        <v>0.88</v>
      </c>
      <c r="K42" s="32" t="n">
        <v>514330</v>
      </c>
      <c r="L42" s="31" t="n">
        <v>25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71.31</v>
      </c>
      <c r="P42" s="32" t="n">
        <v>41.94</v>
      </c>
      <c r="Q42" s="32" t="n">
        <v>476.25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-9.92</v>
      </c>
      <c r="U42" s="32" t="n">
        <v>28.67</v>
      </c>
      <c r="V42" s="32" t="n">
        <v>42.85</v>
      </c>
      <c r="W42" s="32" t="n">
        <v>8.82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IF(B43=0,"",RANK(B43,$B$2:$B$253,0))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CASTROLIND</t>
        </is>
      </c>
      <c r="D43" s="31" t="inlineStr">
        <is>
          <t>Castrol India Limited</t>
        </is>
      </c>
      <c r="E43" s="31" t="inlineStr">
        <is>
          <t>chemicals</t>
        </is>
      </c>
      <c r="F43" s="31" t="inlineStr">
        <is>
          <t>chemicals</t>
        </is>
      </c>
      <c r="G43" s="31" t="inlineStr">
        <is>
          <t>midcap</t>
        </is>
      </c>
      <c r="H43" s="32" t="n">
        <v>19733.98</v>
      </c>
      <c r="I43" s="32" t="n">
        <v>200.2</v>
      </c>
      <c r="J43" s="32" t="n">
        <v>0.35</v>
      </c>
      <c r="K43" s="32" t="n">
        <v>1863669</v>
      </c>
      <c r="L43" s="31" t="n">
        <v>11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71.14</v>
      </c>
      <c r="P43" s="32" t="n">
        <v>45.52</v>
      </c>
      <c r="Q43" s="32" t="n">
        <v>184.24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-9.92</v>
      </c>
      <c r="U43" s="32" t="n">
        <v>6.15</v>
      </c>
      <c r="V43" s="32" t="n">
        <v>17.85</v>
      </c>
      <c r="W43" s="32" t="n">
        <v>3.89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IF(B44=0,"",RANK(B44,$B$2:$B$253,0))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NRL</t>
        </is>
      </c>
      <c r="D44" s="31" t="inlineStr">
        <is>
          <t>Nupur Recyclers Ltd</t>
        </is>
      </c>
      <c r="E44" s="31" t="inlineStr">
        <is>
          <t>services</t>
        </is>
      </c>
      <c r="F44" s="31" t="inlineStr">
        <is>
          <t>trading</t>
        </is>
      </c>
      <c r="G44" s="31" t="inlineStr">
        <is>
          <t>smallcap</t>
        </is>
      </c>
      <c r="H44" s="32" t="n">
        <v>1084.38</v>
      </c>
      <c r="I44" s="32" t="n">
        <v>157</v>
      </c>
      <c r="J44" s="32" t="n">
        <v>0</v>
      </c>
      <c r="K44" s="32" t="n">
        <v>66546</v>
      </c>
      <c r="L44" s="31" t="n">
        <v>86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86.77</v>
      </c>
      <c r="P44" s="32" t="n">
        <v>77.98999999999999</v>
      </c>
      <c r="Q44" s="32" t="n">
        <v>134.94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-9.92</v>
      </c>
      <c r="U44" s="32" t="n">
        <v>121.56</v>
      </c>
      <c r="V44" s="32" t="n">
        <v>145.97</v>
      </c>
      <c r="W44" s="32" t="n">
        <v>35.82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IF(B45=0,"",RANK(B45,$B$2:$B$253,0))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APARINDS</t>
        </is>
      </c>
      <c r="D45" s="31" t="inlineStr">
        <is>
          <t>Apar Industries Limited</t>
        </is>
      </c>
      <c r="E45" s="31" t="inlineStr">
        <is>
          <t>industrials</t>
        </is>
      </c>
      <c r="F45" s="31" t="inlineStr">
        <is>
          <t>electric equipment</t>
        </is>
      </c>
      <c r="G45" s="31" t="inlineStr">
        <is>
          <t>largecap</t>
        </is>
      </c>
      <c r="H45" s="32" t="n">
        <v>75797.3</v>
      </c>
      <c r="I45" s="32" t="n">
        <v>18016</v>
      </c>
      <c r="J45" s="32" t="n">
        <v>-0.48</v>
      </c>
      <c r="K45" s="32" t="n">
        <v>94494</v>
      </c>
      <c r="L45" s="31" t="n">
        <v>66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68.03</v>
      </c>
      <c r="P45" s="32" t="n">
        <v>43.73</v>
      </c>
      <c r="Q45" s="32" t="n">
        <v>14550.9</v>
      </c>
      <c r="R45" s="31" t="inlineStr">
        <is>
          <t>Near 52W High Breakout</t>
        </is>
      </c>
      <c r="S45" s="31" t="inlineStr">
        <is>
          <t>Nifty 50</t>
        </is>
      </c>
      <c r="T45" s="32" t="n">
        <v>-9.92</v>
      </c>
      <c r="U45" s="32" t="n">
        <v>115.61</v>
      </c>
      <c r="V45" s="32" t="n">
        <v>139.36</v>
      </c>
      <c r="W45" s="32" t="n">
        <v>23.46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IF(B46=0,"",RANK(B46,$B$2:$B$253,0))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LLOYDSENGG</t>
        </is>
      </c>
      <c r="D46" s="31" t="inlineStr">
        <is>
          <t>Lloyds Engineering Works Ltd</t>
        </is>
      </c>
      <c r="E46" s="31" t="inlineStr">
        <is>
          <t>industrials</t>
        </is>
      </c>
      <c r="F46" s="31" t="inlineStr">
        <is>
          <t>engineering</t>
        </is>
      </c>
      <c r="G46" s="31" t="inlineStr">
        <is>
          <t>midcap</t>
        </is>
      </c>
      <c r="H46" s="32" t="n">
        <v>15851.62</v>
      </c>
      <c r="I46" s="32" t="n">
        <v>101.15</v>
      </c>
      <c r="J46" s="32" t="n">
        <v>-1.03</v>
      </c>
      <c r="K46" s="32" t="n">
        <v>10878549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70.52</v>
      </c>
      <c r="P46" s="32" t="n">
        <v>44.85</v>
      </c>
      <c r="Q46" s="32" t="n">
        <v>77.09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-9.92</v>
      </c>
      <c r="U46" s="32" t="n">
        <v>61.43</v>
      </c>
      <c r="V46" s="32" t="n">
        <v>79.22</v>
      </c>
      <c r="W46" s="32" t="n">
        <v>16.9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IF(B47=0,"",RANK(B47,$B$2:$B$253,0))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MBECL</t>
        </is>
      </c>
      <c r="D47" s="31" t="inlineStr">
        <is>
          <t>Mcnally Bharat Engineering Company Limited</t>
        </is>
      </c>
      <c r="E47" s="31" t="inlineStr">
        <is>
          <t>realty</t>
        </is>
      </c>
      <c r="F47" s="31" t="inlineStr">
        <is>
          <t>engineering - turnkey services</t>
        </is>
      </c>
      <c r="G47" s="31" t="inlineStr">
        <is>
          <t>smallcap</t>
        </is>
      </c>
      <c r="H47" s="32" t="n">
        <v>1679.5</v>
      </c>
      <c r="I47" s="32" t="n">
        <v>493.8</v>
      </c>
      <c r="J47" s="32" t="n">
        <v>-1.99</v>
      </c>
      <c r="K47" s="32" t="n">
        <v>18808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99.90000000000001</v>
      </c>
      <c r="P47" s="32" t="n">
        <v>74.89</v>
      </c>
      <c r="Q47" s="32" t="n">
        <v>419.67</v>
      </c>
      <c r="R47" s="31" t="inlineStr">
        <is>
          <t>Volume Spike &amp; Near 52W High Breakout</t>
        </is>
      </c>
      <c r="S47" s="31" t="inlineStr">
        <is>
          <t>Nifty Realty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IF(B48=0,"",RANK(B48,$B$2:$B$253,0))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MOREPENLAB</t>
        </is>
      </c>
      <c r="D48" s="31" t="inlineStr">
        <is>
          <t>Morepen Laboratories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midcap</t>
        </is>
      </c>
      <c r="H48" s="32" t="n">
        <v>7413.27</v>
      </c>
      <c r="I48" s="32" t="n">
        <v>143.96</v>
      </c>
      <c r="J48" s="32" t="n">
        <v>6.41</v>
      </c>
      <c r="K48" s="32" t="n">
        <v>22422554</v>
      </c>
      <c r="L48" s="31" t="n">
        <v>97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91.39</v>
      </c>
      <c r="P48" s="32" t="n">
        <v>57.4</v>
      </c>
      <c r="Q48" s="32" t="n">
        <v>110.15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19.49</v>
      </c>
      <c r="U48" s="32" t="n">
        <v>189.27</v>
      </c>
      <c r="V48" s="32" t="n">
        <v>142.07</v>
      </c>
      <c r="W48" s="32" t="n">
        <v>60.94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IF(B49=0,"",RANK(B49,$B$2:$B$253,0))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IOLCP</t>
        </is>
      </c>
      <c r="D49" s="31" t="inlineStr">
        <is>
          <t>Iol Chemicals And Pharmaceuticals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midcap</t>
        </is>
      </c>
      <c r="H49" s="32" t="n">
        <v>6038.15</v>
      </c>
      <c r="I49" s="32" t="n">
        <v>214.9</v>
      </c>
      <c r="J49" s="32" t="n">
        <v>4.47</v>
      </c>
      <c r="K49" s="32" t="n">
        <v>3889322</v>
      </c>
      <c r="L49" s="31" t="n">
        <v>74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79.70999999999999</v>
      </c>
      <c r="P49" s="32" t="n">
        <v>78.31999999999999</v>
      </c>
      <c r="Q49" s="32" t="n">
        <v>159.18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19.49</v>
      </c>
      <c r="U49" s="32" t="n">
        <v>113.67</v>
      </c>
      <c r="V49" s="32" t="n">
        <v>78.81</v>
      </c>
      <c r="W49" s="32" t="n">
        <v>28.53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IF(B50=0,"",RANK(B50,$B$2:$B$253,0))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INDSWFTLAB</t>
        </is>
      </c>
      <c r="D50" s="31" t="inlineStr">
        <is>
          <t>Ind-swift Laboratories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smallcap</t>
        </is>
      </c>
      <c r="H50" s="32" t="n">
        <v>3354.54</v>
      </c>
      <c r="I50" s="32" t="n">
        <v>400.45</v>
      </c>
      <c r="J50" s="32" t="n">
        <v>3.81</v>
      </c>
      <c r="K50" s="32" t="n">
        <v>369560</v>
      </c>
      <c r="L50" s="31" t="n">
        <v>95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82.44</v>
      </c>
      <c r="P50" s="32" t="n">
        <v>76.05</v>
      </c>
      <c r="Q50" s="32" t="n">
        <v>298.01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19.49</v>
      </c>
      <c r="U50" s="32" t="n">
        <v>282.36</v>
      </c>
      <c r="V50" s="32" t="n">
        <v>219.98</v>
      </c>
      <c r="W50" s="32" t="n">
        <v>48.43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IF(B51=0,"",RANK(B51,$B$2:$B$253,0))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MAWANASUG</t>
        </is>
      </c>
      <c r="D51" s="31" t="inlineStr">
        <is>
          <t>Mawana Sugars Limited</t>
        </is>
      </c>
      <c r="E51" s="31" t="inlineStr">
        <is>
          <t>fmcg</t>
        </is>
      </c>
      <c r="F51" s="31" t="inlineStr">
        <is>
          <t>sugar</t>
        </is>
      </c>
      <c r="G51" s="31" t="inlineStr">
        <is>
          <t>smallcap</t>
        </is>
      </c>
      <c r="H51" s="32" t="n">
        <v>570.95</v>
      </c>
      <c r="I51" s="32" t="n">
        <v>147.89</v>
      </c>
      <c r="J51" s="32" t="n">
        <v>1.32</v>
      </c>
      <c r="K51" s="32" t="n">
        <v>436659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64.5</v>
      </c>
      <c r="P51" s="32" t="n">
        <v>44.09</v>
      </c>
      <c r="Q51" s="32" t="n">
        <v>108.27</v>
      </c>
      <c r="R51" s="31" t="inlineStr">
        <is>
          <t>Near 52W High Breakout</t>
        </is>
      </c>
      <c r="S51" s="31" t="inlineStr">
        <is>
          <t>Nifty FMCG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IF(B52=0,"",RANK(B52,$B$2:$B$253,0))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URBANCO</t>
        </is>
      </c>
      <c r="D52" s="31" t="inlineStr">
        <is>
          <t>Urban Company Ltd</t>
        </is>
      </c>
      <c r="E52" s="31" t="inlineStr">
        <is>
          <t>i.t</t>
        </is>
      </c>
      <c r="F52" s="31" t="inlineStr">
        <is>
          <t>miscellaneous</t>
        </is>
      </c>
      <c r="G52" s="31" t="inlineStr">
        <is>
          <t>largecap</t>
        </is>
      </c>
      <c r="H52" s="32" t="n">
        <v>24611.66</v>
      </c>
      <c r="I52" s="32" t="n">
        <v>173.54</v>
      </c>
      <c r="J52" s="32" t="n">
        <v>8.74</v>
      </c>
      <c r="K52" s="32" t="n">
        <v>23975368</v>
      </c>
      <c r="L52" s="31" t="n">
        <v>27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61.96</v>
      </c>
      <c r="P52" s="32" t="n">
        <v>37.35</v>
      </c>
      <c r="Q52" s="32" t="n">
        <v>138.25</v>
      </c>
      <c r="R52" s="31" t="inlineStr">
        <is>
          <t>Near 52W High Breakout</t>
        </is>
      </c>
      <c r="S52" s="31" t="inlineStr">
        <is>
          <t>Nifty IT</t>
        </is>
      </c>
      <c r="T52" s="32" t="n">
        <v>-20.99</v>
      </c>
      <c r="U52" s="32" t="n">
        <v>10.72</v>
      </c>
      <c r="V52" s="32" t="n">
        <v>40.13</v>
      </c>
      <c r="W52" s="32" t="n">
        <v>9.17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IF(B53=0,"",RANK(B53,$B$2:$B$253,0))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UNIVCABLES</t>
        </is>
      </c>
      <c r="D53" s="31" t="inlineStr">
        <is>
          <t>Universal Cables Limited</t>
        </is>
      </c>
      <c r="E53" s="31" t="inlineStr">
        <is>
          <t>industrials</t>
        </is>
      </c>
      <c r="F53" s="31" t="inlineStr">
        <is>
          <t>cables - power</t>
        </is>
      </c>
      <c r="G53" s="31" t="inlineStr">
        <is>
          <t>midcap</t>
        </is>
      </c>
      <c r="H53" s="32" t="n">
        <v>5274.39</v>
      </c>
      <c r="I53" s="32" t="n">
        <v>1649.2</v>
      </c>
      <c r="J53" s="32" t="n">
        <v>8.49</v>
      </c>
      <c r="K53" s="32" t="n">
        <v>374840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67.04000000000001</v>
      </c>
      <c r="P53" s="32" t="n">
        <v>52.99</v>
      </c>
      <c r="Q53" s="32" t="n">
        <v>1224.66</v>
      </c>
      <c r="R53" s="31" t="inlineStr">
        <is>
          <t>Near 52W High Breakout</t>
        </is>
      </c>
      <c r="S53" s="31" t="inlineStr">
        <is>
          <t>Nifty Energy</t>
        </is>
      </c>
      <c r="T53" s="32" t="inlineStr"/>
      <c r="U53" s="32" t="inlineStr"/>
      <c r="V53" s="32" t="inlineStr"/>
      <c r="W53" s="32" t="inlineStr"/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IF(B54=0,"",RANK(B54,$B$2:$B$253,0))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AETHER</t>
        </is>
      </c>
      <c r="D54" s="31" t="inlineStr">
        <is>
          <t>Aether Industries Ltd</t>
        </is>
      </c>
      <c r="E54" s="31" t="inlineStr">
        <is>
          <t>chemicals</t>
        </is>
      </c>
      <c r="F54" s="31" t="inlineStr">
        <is>
          <t>chemicals</t>
        </is>
      </c>
      <c r="G54" s="31" t="inlineStr">
        <is>
          <t>largecap</t>
        </is>
      </c>
      <c r="H54" s="32" t="n">
        <v>22043.56</v>
      </c>
      <c r="I54" s="32" t="n">
        <v>1799.8</v>
      </c>
      <c r="J54" s="32" t="n">
        <v>8.359999999999999</v>
      </c>
      <c r="K54" s="32" t="n">
        <v>1456255</v>
      </c>
      <c r="L54" s="31" t="n">
        <v>67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70.19</v>
      </c>
      <c r="P54" s="32" t="n">
        <v>61.31</v>
      </c>
      <c r="Q54" s="32" t="n">
        <v>1435.74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-9.92</v>
      </c>
      <c r="U54" s="32" t="n">
        <v>139.91</v>
      </c>
      <c r="V54" s="32" t="n">
        <v>166.34</v>
      </c>
      <c r="W54" s="32" t="n">
        <v>23.6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IF(B55=0,"",RANK(B55,$B$2:$B$253,0))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HONASA</t>
        </is>
      </c>
      <c r="D55" s="31" t="inlineStr">
        <is>
          <t>Honasa Consumer Ltd</t>
        </is>
      </c>
      <c r="E55" s="31" t="inlineStr">
        <is>
          <t>services</t>
        </is>
      </c>
      <c r="F55" s="31" t="inlineStr">
        <is>
          <t>trading</t>
        </is>
      </c>
      <c r="G55" s="31" t="inlineStr">
        <is>
          <t>midcap</t>
        </is>
      </c>
      <c r="H55" s="32" t="n">
        <v>14413.53</v>
      </c>
      <c r="I55" s="32" t="n">
        <v>478.3</v>
      </c>
      <c r="J55" s="32" t="n">
        <v>8.19</v>
      </c>
      <c r="K55" s="32" t="n">
        <v>24467750</v>
      </c>
      <c r="L55" s="31" t="n">
        <v>34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62.2</v>
      </c>
      <c r="P55" s="32" t="n">
        <v>53.42</v>
      </c>
      <c r="Q55" s="32" t="n">
        <v>394.26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-9.92</v>
      </c>
      <c r="U55" s="32" t="n">
        <v>64.91</v>
      </c>
      <c r="V55" s="32" t="n">
        <v>83.06999999999999</v>
      </c>
      <c r="W55" s="32" t="n">
        <v>11.81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IF(B56=0,"",RANK(B56,$B$2:$B$253,0))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MENONBE</t>
        </is>
      </c>
      <c r="D56" s="31" t="inlineStr">
        <is>
          <t>Menon Bearings Limited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smallcap</t>
        </is>
      </c>
      <c r="H56" s="32" t="n">
        <v>1602.74</v>
      </c>
      <c r="I56" s="32" t="n">
        <v>304.95</v>
      </c>
      <c r="J56" s="32" t="n">
        <v>6.63</v>
      </c>
      <c r="K56" s="32" t="n">
        <v>189774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70.62</v>
      </c>
      <c r="P56" s="32" t="n">
        <v>70.31999999999999</v>
      </c>
      <c r="Q56" s="32" t="n">
        <v>230.36</v>
      </c>
      <c r="R56" s="31" t="inlineStr">
        <is>
          <t>Earnings / Momentum Support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IF(B57=0,"",RANK(B57,$B$2:$B$253,0))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RBZJEWEL</t>
        </is>
      </c>
      <c r="D57" s="31" t="inlineStr">
        <is>
          <t>RBZ Jewellers Ltd</t>
        </is>
      </c>
      <c r="E57" s="31" t="inlineStr">
        <is>
          <t>consumer discretionary</t>
        </is>
      </c>
      <c r="F57" s="31" t="inlineStr">
        <is>
          <t>diamond cutting / jewellery</t>
        </is>
      </c>
      <c r="G57" s="31" t="inlineStr">
        <is>
          <t>smallcap</t>
        </is>
      </c>
      <c r="H57" s="32" t="n">
        <v>748.12</v>
      </c>
      <c r="I57" s="32" t="n">
        <v>196.15</v>
      </c>
      <c r="J57" s="32" t="n">
        <v>4.88</v>
      </c>
      <c r="K57" s="32" t="n">
        <v>109729</v>
      </c>
      <c r="L57" s="31" t="n">
        <v>36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64.62</v>
      </c>
      <c r="P57" s="32" t="n">
        <v>36.61</v>
      </c>
      <c r="Q57" s="32" t="n">
        <v>142.46</v>
      </c>
      <c r="R57" s="31" t="inlineStr">
        <is>
          <t>Near 52W High Breakout</t>
        </is>
      </c>
      <c r="S57" s="31" t="inlineStr">
        <is>
          <t>Nifty 50</t>
        </is>
      </c>
      <c r="T57" s="32" t="n">
        <v>-9.92</v>
      </c>
      <c r="U57" s="32" t="n">
        <v>34.64</v>
      </c>
      <c r="V57" s="32" t="n">
        <v>49.47</v>
      </c>
      <c r="W57" s="32" t="n">
        <v>12.16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IF(B58=0,"",RANK(B58,$B$2:$B$253,0))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AZAD</t>
        </is>
      </c>
      <c r="D58" s="31" t="inlineStr">
        <is>
          <t>Azad Engineering Ltd</t>
        </is>
      </c>
      <c r="E58" s="31" t="inlineStr">
        <is>
          <t>aerospace &amp; defence</t>
        </is>
      </c>
      <c r="F58" s="31" t="inlineStr">
        <is>
          <t>engineering</t>
        </is>
      </c>
      <c r="G58" s="31" t="inlineStr">
        <is>
          <t>midcap</t>
        </is>
      </c>
      <c r="H58" s="32" t="n">
        <v>18904.37</v>
      </c>
      <c r="I58" s="32" t="n">
        <v>3062.6</v>
      </c>
      <c r="J58" s="32" t="n">
        <v>4.63</v>
      </c>
      <c r="K58" s="32" t="n">
        <v>1329869</v>
      </c>
      <c r="L58" s="31" t="n">
        <v>55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71.08</v>
      </c>
      <c r="P58" s="32" t="n">
        <v>44.67</v>
      </c>
      <c r="Q58" s="32" t="n">
        <v>2349.13</v>
      </c>
      <c r="R58" s="31" t="inlineStr">
        <is>
          <t>Near 52W High Breakout</t>
        </is>
      </c>
      <c r="S58" s="31" t="inlineStr">
        <is>
          <t>Nifty 50</t>
        </is>
      </c>
      <c r="T58" s="32" t="n">
        <v>-9.92</v>
      </c>
      <c r="U58" s="32" t="n">
        <v>84.92</v>
      </c>
      <c r="V58" s="32" t="n">
        <v>105.29</v>
      </c>
      <c r="W58" s="32" t="n">
        <v>19.18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IF(B59=0,"",RANK(B59,$B$2:$B$253,0))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TATVA</t>
        </is>
      </c>
      <c r="D59" s="31" t="inlineStr">
        <is>
          <t>Tatva Chintan Pharma Chem Ltd</t>
        </is>
      </c>
      <c r="E59" s="31" t="inlineStr">
        <is>
          <t>chemicals</t>
        </is>
      </c>
      <c r="F59" s="31" t="inlineStr">
        <is>
          <t>chemicals</t>
        </is>
      </c>
      <c r="G59" s="31" t="inlineStr">
        <is>
          <t>smallcap</t>
        </is>
      </c>
      <c r="H59" s="32" t="n">
        <v>4208.23</v>
      </c>
      <c r="I59" s="32" t="n">
        <v>1877.4</v>
      </c>
      <c r="J59" s="32" t="n">
        <v>4.36</v>
      </c>
      <c r="K59" s="32" t="n">
        <v>132614</v>
      </c>
      <c r="L59" s="31" t="n">
        <v>62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68.95</v>
      </c>
      <c r="P59" s="32" t="n">
        <v>41.75</v>
      </c>
      <c r="Q59" s="32" t="n">
        <v>1418.42</v>
      </c>
      <c r="R59" s="31" t="inlineStr">
        <is>
          <t>Near 52W High Breakout</t>
        </is>
      </c>
      <c r="S59" s="31" t="inlineStr">
        <is>
          <t>Nifty 50</t>
        </is>
      </c>
      <c r="T59" s="32" t="n">
        <v>-9.92</v>
      </c>
      <c r="U59" s="32" t="n">
        <v>75.8</v>
      </c>
      <c r="V59" s="32" t="n">
        <v>95.17</v>
      </c>
      <c r="W59" s="32" t="n">
        <v>21.43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IF(B60=0,"",RANK(B60,$B$2:$B$253,0))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KINGFA</t>
        </is>
      </c>
      <c r="D60" s="31" t="inlineStr">
        <is>
          <t>Kingfa Science &amp; Technology (india) Limited</t>
        </is>
      </c>
      <c r="E60" s="31" t="inlineStr">
        <is>
          <t>plastic products</t>
        </is>
      </c>
      <c r="F60" s="31" t="inlineStr">
        <is>
          <t>plastics products</t>
        </is>
      </c>
      <c r="G60" s="31" t="inlineStr">
        <is>
          <t>midcap</t>
        </is>
      </c>
      <c r="H60" s="32" t="n">
        <v>9037.42</v>
      </c>
      <c r="I60" s="32" t="n">
        <v>6932</v>
      </c>
      <c r="J60" s="32" t="n">
        <v>3.94</v>
      </c>
      <c r="K60" s="32" t="n">
        <v>24558</v>
      </c>
      <c r="L60" s="31" t="n">
        <v>47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75.05</v>
      </c>
      <c r="P60" s="32" t="n">
        <v>45.04</v>
      </c>
      <c r="Q60" s="32" t="n">
        <v>5620.77</v>
      </c>
      <c r="R60" s="31" t="inlineStr">
        <is>
          <t>Near 52W High Breakout</t>
        </is>
      </c>
      <c r="S60" s="31" t="inlineStr">
        <is>
          <t>Nifty 50</t>
        </is>
      </c>
      <c r="T60" s="32" t="n">
        <v>-9.92</v>
      </c>
      <c r="U60" s="32" t="n">
        <v>49.06</v>
      </c>
      <c r="V60" s="32" t="n">
        <v>65.48</v>
      </c>
      <c r="W60" s="32" t="n">
        <v>16.35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IF(B61=0,"",RANK(B61,$B$2:$B$253,0))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ARROWGREEN</t>
        </is>
      </c>
      <c r="D61" s="31" t="inlineStr">
        <is>
          <t>Arrow Greentech Limited</t>
        </is>
      </c>
      <c r="E61" s="31" t="inlineStr">
        <is>
          <t>plastic products</t>
        </is>
      </c>
      <c r="F61" s="31" t="inlineStr">
        <is>
          <t>plastics products</t>
        </is>
      </c>
      <c r="G61" s="31" t="inlineStr">
        <is>
          <t>smallcap</t>
        </is>
      </c>
      <c r="H61" s="32" t="n">
        <v>1295.37</v>
      </c>
      <c r="I61" s="32" t="n">
        <v>891.75</v>
      </c>
      <c r="J61" s="32" t="n">
        <v>3.87</v>
      </c>
      <c r="K61" s="32" t="n">
        <v>60698</v>
      </c>
      <c r="L61" s="31" t="n">
        <v>51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68.34</v>
      </c>
      <c r="P61" s="32" t="n">
        <v>49.96</v>
      </c>
      <c r="Q61" s="32" t="n">
        <v>671.24</v>
      </c>
      <c r="R61" s="31" t="inlineStr">
        <is>
          <t>Near 52W High Breakout</t>
        </is>
      </c>
      <c r="S61" s="31" t="inlineStr">
        <is>
          <t>Nifty 50</t>
        </is>
      </c>
      <c r="T61" s="32" t="n">
        <v>-9.92</v>
      </c>
      <c r="U61" s="32" t="n">
        <v>69.7</v>
      </c>
      <c r="V61" s="32" t="n">
        <v>88.39</v>
      </c>
      <c r="W61" s="32" t="n">
        <v>17.89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IF(B62=0,"",RANK(B62,$B$2:$B$253,0))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WELSPUNLIV</t>
        </is>
      </c>
      <c r="D62" s="31" t="inlineStr">
        <is>
          <t>Welspun Living Ltd</t>
        </is>
      </c>
      <c r="E62" s="31" t="inlineStr">
        <is>
          <t>textiles</t>
        </is>
      </c>
      <c r="F62" s="31" t="inlineStr">
        <is>
          <t>textiles - products</t>
        </is>
      </c>
      <c r="G62" s="31" t="inlineStr">
        <is>
          <t>largecap</t>
        </is>
      </c>
      <c r="H62" s="32" t="n">
        <v>21754.82</v>
      </c>
      <c r="I62" s="32" t="n">
        <v>237.86</v>
      </c>
      <c r="J62" s="32" t="n">
        <v>3.3</v>
      </c>
      <c r="K62" s="32" t="n">
        <v>4609322</v>
      </c>
      <c r="L62" s="31" t="n">
        <v>68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83.36</v>
      </c>
      <c r="P62" s="32" t="n">
        <v>46.62</v>
      </c>
      <c r="Q62" s="32" t="n">
        <v>193.32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-9.92</v>
      </c>
      <c r="U62" s="32" t="n">
        <v>93.86</v>
      </c>
      <c r="V62" s="32" t="n">
        <v>115.22</v>
      </c>
      <c r="W62" s="32" t="n">
        <v>24.33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IF(B63=0,"",RANK(B63,$B$2:$B$253,0))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LOTUSDEV</t>
        </is>
      </c>
      <c r="D63" s="31" t="inlineStr">
        <is>
          <t>Sri Lotus Developers &amp; Realty Ltd</t>
        </is>
      </c>
      <c r="E63" s="31" t="inlineStr">
        <is>
          <t>realty</t>
        </is>
      </c>
      <c r="F63" s="31" t="inlineStr">
        <is>
          <t>construction</t>
        </is>
      </c>
      <c r="G63" s="31" t="inlineStr">
        <is>
          <t>midcap</t>
        </is>
      </c>
      <c r="H63" s="32" t="n">
        <v>11626.25</v>
      </c>
      <c r="I63" s="32" t="n">
        <v>244.73</v>
      </c>
      <c r="J63" s="32" t="n">
        <v>2.88</v>
      </c>
      <c r="K63" s="32" t="n">
        <v>1512350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73.64</v>
      </c>
      <c r="P63" s="32" t="n">
        <v>33.1</v>
      </c>
      <c r="Q63" s="32" t="n">
        <v>188.97</v>
      </c>
      <c r="R63" s="31" t="inlineStr">
        <is>
          <t>Near 52W High Breakout</t>
        </is>
      </c>
      <c r="S63" s="31" t="inlineStr">
        <is>
          <t>Nifty Realty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IF(B64=0,"",RANK(B64,$B$2:$B$253,0))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PLASTIBLEN</t>
        </is>
      </c>
      <c r="D64" s="31" t="inlineStr">
        <is>
          <t>Plastiblends India Limited</t>
        </is>
      </c>
      <c r="E64" s="31" t="inlineStr">
        <is>
          <t>chemicals</t>
        </is>
      </c>
      <c r="F64" s="31" t="inlineStr">
        <is>
          <t>chemicals</t>
        </is>
      </c>
      <c r="G64" s="31" t="inlineStr">
        <is>
          <t>smallcap</t>
        </is>
      </c>
      <c r="H64" s="32" t="n">
        <v>514.04</v>
      </c>
      <c r="I64" s="32" t="n">
        <v>202.4</v>
      </c>
      <c r="J64" s="32" t="n">
        <v>2.33</v>
      </c>
      <c r="K64" s="32" t="n">
        <v>54146</v>
      </c>
      <c r="L64" s="31" t="n">
        <v>18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62.3</v>
      </c>
      <c r="P64" s="32" t="n">
        <v>35.52</v>
      </c>
      <c r="Q64" s="32" t="n">
        <v>158.05</v>
      </c>
      <c r="R64" s="31" t="inlineStr">
        <is>
          <t>Near 52W High Breakout</t>
        </is>
      </c>
      <c r="S64" s="31" t="inlineStr">
        <is>
          <t>Nifty 50</t>
        </is>
      </c>
      <c r="T64" s="32" t="n">
        <v>-9.92</v>
      </c>
      <c r="U64" s="32" t="n">
        <v>11.91</v>
      </c>
      <c r="V64" s="32" t="n">
        <v>24.24</v>
      </c>
      <c r="W64" s="32" t="n">
        <v>5.93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IF(B65=0,"",RANK(B65,$B$2:$B$253,0))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KABRAEXTRU</t>
        </is>
      </c>
      <c r="D65" s="31" t="inlineStr">
        <is>
          <t>Kabra Extrusion Technik Limited</t>
        </is>
      </c>
      <c r="E65" s="31" t="inlineStr">
        <is>
          <t>industrials</t>
        </is>
      </c>
      <c r="F65" s="31" t="inlineStr">
        <is>
          <t>engineering</t>
        </is>
      </c>
      <c r="G65" s="31" t="inlineStr">
        <is>
          <t>smallcap</t>
        </is>
      </c>
      <c r="H65" s="32" t="n">
        <v>2795.73</v>
      </c>
      <c r="I65" s="32" t="n">
        <v>815.7</v>
      </c>
      <c r="J65" s="32" t="n">
        <v>2.04</v>
      </c>
      <c r="K65" s="32" t="n">
        <v>51133</v>
      </c>
      <c r="L65" s="31" t="n">
        <v>98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77.31</v>
      </c>
      <c r="P65" s="32" t="n">
        <v>74.59</v>
      </c>
      <c r="Q65" s="32" t="n">
        <v>624.66</v>
      </c>
      <c r="R65" s="31" t="inlineStr">
        <is>
          <t>Near 52W High Breakout</t>
        </is>
      </c>
      <c r="S65" s="31" t="inlineStr">
        <is>
          <t>Nifty 50</t>
        </is>
      </c>
      <c r="T65" s="32" t="n">
        <v>-9.92</v>
      </c>
      <c r="U65" s="32" t="n">
        <v>222.22</v>
      </c>
      <c r="V65" s="32" t="n">
        <v>257.72</v>
      </c>
      <c r="W65" s="32" t="n">
        <v>75.05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IF(B66=0,"",RANK(B66,$B$2:$B$253,0))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ACE</t>
        </is>
      </c>
      <c r="D66" s="31" t="inlineStr">
        <is>
          <t>Action Construction Equipment Limited</t>
        </is>
      </c>
      <c r="E66" s="31" t="inlineStr">
        <is>
          <t>industrials</t>
        </is>
      </c>
      <c r="F66" s="31" t="inlineStr">
        <is>
          <t>engineering</t>
        </is>
      </c>
      <c r="G66" s="31" t="inlineStr">
        <is>
          <t>midcap</t>
        </is>
      </c>
      <c r="H66" s="32" t="n">
        <v>14617.46</v>
      </c>
      <c r="I66" s="32" t="n">
        <v>1252.2</v>
      </c>
      <c r="J66" s="32" t="n">
        <v>2.01</v>
      </c>
      <c r="K66" s="32" t="n">
        <v>197550</v>
      </c>
      <c r="L66" s="31" t="n">
        <v>28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72.75</v>
      </c>
      <c r="P66" s="32" t="n">
        <v>40.22</v>
      </c>
      <c r="Q66" s="32" t="n">
        <v>1024.65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-9.92</v>
      </c>
      <c r="U66" s="32" t="n">
        <v>17.35</v>
      </c>
      <c r="V66" s="32" t="n">
        <v>30.28</v>
      </c>
      <c r="W66" s="32" t="n">
        <v>9.49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IF(B67=0,"",RANK(B67,$B$2:$B$253,0))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BLUSPRING</t>
        </is>
      </c>
      <c r="D67" s="31" t="inlineStr">
        <is>
          <t>Bluspring Enterprises Ltd</t>
        </is>
      </c>
      <c r="E67" s="31" t="inlineStr">
        <is>
          <t>miscellaneous</t>
        </is>
      </c>
      <c r="F67" s="31" t="inlineStr">
        <is>
          <t>diversified - large</t>
        </is>
      </c>
      <c r="G67" s="31" t="inlineStr">
        <is>
          <t>smallcap</t>
        </is>
      </c>
      <c r="H67" s="32" t="n">
        <v>2150.75</v>
      </c>
      <c r="I67" s="32" t="n">
        <v>144.53</v>
      </c>
      <c r="J67" s="32" t="n">
        <v>0.42</v>
      </c>
      <c r="K67" s="32" t="n">
        <v>139531</v>
      </c>
      <c r="L67" s="31" t="n">
        <v>64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68.17</v>
      </c>
      <c r="P67" s="32" t="n">
        <v>59.84</v>
      </c>
      <c r="Q67" s="32" t="n">
        <v>103.01</v>
      </c>
      <c r="R67" s="31" t="inlineStr">
        <is>
          <t>Near 52W High Breakout</t>
        </is>
      </c>
      <c r="S67" s="31" t="inlineStr">
        <is>
          <t>Nifty 50</t>
        </is>
      </c>
      <c r="T67" s="32" t="n">
        <v>-9.92</v>
      </c>
      <c r="U67" s="32" t="n">
        <v>77.40000000000001</v>
      </c>
      <c r="V67" s="32" t="n">
        <v>96.95</v>
      </c>
      <c r="W67" s="32" t="n">
        <v>22.14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IF(B68=0,"",RANK(B68,$B$2:$B$253,0))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HITECHCORP</t>
        </is>
      </c>
      <c r="D68" s="31" t="inlineStr">
        <is>
          <t>Hitech Corporation</t>
        </is>
      </c>
      <c r="E68" s="31" t="inlineStr">
        <is>
          <t>industrials</t>
        </is>
      </c>
      <c r="F68" s="31" t="inlineStr">
        <is>
          <t>packaging</t>
        </is>
      </c>
      <c r="G68" s="31" t="inlineStr">
        <is>
          <t>smallcap</t>
        </is>
      </c>
      <c r="H68" s="32" t="n">
        <v>587.41</v>
      </c>
      <c r="I68" s="32" t="n">
        <v>342.4</v>
      </c>
      <c r="J68" s="32" t="n">
        <v>0.12</v>
      </c>
      <c r="K68" s="32" t="n">
        <v>30000</v>
      </c>
      <c r="L68" s="31" t="n">
        <v>63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79.06</v>
      </c>
      <c r="P68" s="32" t="n">
        <v>65.37</v>
      </c>
      <c r="Q68" s="32" t="n">
        <v>290.57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-9.92</v>
      </c>
      <c r="U68" s="32" t="n">
        <v>74.70999999999999</v>
      </c>
      <c r="V68" s="32" t="n">
        <v>93.95</v>
      </c>
      <c r="W68" s="32" t="n">
        <v>21.64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IF(B69=0,"",RANK(B69,$B$2:$B$253,0))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GALAPREC</t>
        </is>
      </c>
      <c r="D69" s="31" t="inlineStr">
        <is>
          <t>Gala Precision Engineering Ltd</t>
        </is>
      </c>
      <c r="E69" s="31" t="inlineStr">
        <is>
          <t>castings, forgings &amp; fasteners</t>
        </is>
      </c>
      <c r="F69" s="31" t="inlineStr">
        <is>
          <t>fasteners</t>
        </is>
      </c>
      <c r="G69" s="31" t="inlineStr">
        <is>
          <t>smallcap</t>
        </is>
      </c>
      <c r="H69" s="32" t="n">
        <v>1486.81</v>
      </c>
      <c r="I69" s="32" t="n">
        <v>1161</v>
      </c>
      <c r="J69" s="32" t="n">
        <v>0.08</v>
      </c>
      <c r="K69" s="32" t="n">
        <v>11857</v>
      </c>
      <c r="L69" s="31" t="n">
        <v>32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64.73</v>
      </c>
      <c r="P69" s="32" t="n">
        <v>44.11</v>
      </c>
      <c r="Q69" s="32" t="n">
        <v>891.78</v>
      </c>
      <c r="R69" s="31" t="inlineStr">
        <is>
          <t>Near 52W High Breakout</t>
        </is>
      </c>
      <c r="S69" s="31" t="inlineStr">
        <is>
          <t>Nifty 50</t>
        </is>
      </c>
      <c r="T69" s="32" t="n">
        <v>-9.92</v>
      </c>
      <c r="U69" s="32" t="n">
        <v>49.18</v>
      </c>
      <c r="V69" s="32" t="n">
        <v>65.62</v>
      </c>
      <c r="W69" s="32" t="n">
        <v>10.24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IF(B70=0,"",RANK(B70,$B$2:$B$253,0))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CPPLUS</t>
        </is>
      </c>
      <c r="D70" s="31" t="inlineStr">
        <is>
          <t>Aditya Infotech Ltd</t>
        </is>
      </c>
      <c r="E70" s="31" t="inlineStr">
        <is>
          <t>consumer discretionary</t>
        </is>
      </c>
      <c r="F70" s="31" t="inlineStr">
        <is>
          <t>trading</t>
        </is>
      </c>
      <c r="G70" s="31" t="inlineStr">
        <is>
          <t>largecap</t>
        </is>
      </c>
      <c r="H70" s="32" t="n">
        <v>47016.45</v>
      </c>
      <c r="I70" s="32" t="n">
        <v>3976</v>
      </c>
      <c r="J70" s="32" t="n">
        <v>-0.34</v>
      </c>
      <c r="K70" s="32" t="n">
        <v>432803</v>
      </c>
      <c r="L70" s="31" t="n">
        <v>76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67.41</v>
      </c>
      <c r="P70" s="32" t="n">
        <v>43.87</v>
      </c>
      <c r="Q70" s="32" t="n">
        <v>2944.71</v>
      </c>
      <c r="R70" s="31" t="inlineStr">
        <is>
          <t>Near 52W High Breakout</t>
        </is>
      </c>
      <c r="S70" s="31" t="inlineStr">
        <is>
          <t>Nifty 50</t>
        </is>
      </c>
      <c r="T70" s="32" t="n">
        <v>-9.92</v>
      </c>
      <c r="U70" s="32" t="n">
        <v>185.93</v>
      </c>
      <c r="V70" s="32" t="n">
        <v>217.43</v>
      </c>
      <c r="W70" s="32" t="n">
        <v>29.27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IF(B71=0,"",RANK(B71,$B$2:$B$253,0))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DELTACORP</t>
        </is>
      </c>
      <c r="D71" s="31" t="inlineStr">
        <is>
          <t>Delta Corp Limited</t>
        </is>
      </c>
      <c r="E71" s="31" t="inlineStr">
        <is>
          <t>miscellaneous</t>
        </is>
      </c>
      <c r="F71" s="31" t="inlineStr">
        <is>
          <t>recreation / amusement parks</t>
        </is>
      </c>
      <c r="G71" s="31" t="inlineStr">
        <is>
          <t>smallcap</t>
        </is>
      </c>
      <c r="H71" s="32" t="n">
        <v>2287.57</v>
      </c>
      <c r="I71" s="32" t="n">
        <v>84.34</v>
      </c>
      <c r="J71" s="32" t="n">
        <v>-1.28</v>
      </c>
      <c r="K71" s="32" t="n">
        <v>61115839</v>
      </c>
      <c r="L71" s="31" t="n">
        <v>26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67.25</v>
      </c>
      <c r="P71" s="32" t="n">
        <v>24.89</v>
      </c>
      <c r="Q71" s="32" t="n">
        <v>60.13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-9.92</v>
      </c>
      <c r="U71" s="32" t="n">
        <v>7.2</v>
      </c>
      <c r="V71" s="32" t="n">
        <v>19.01</v>
      </c>
      <c r="W71" s="32" t="n">
        <v>8.92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IF(B72=0,"",RANK(B72,$B$2:$B$253,0))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MACPOWER</t>
        </is>
      </c>
      <c r="D72" s="31" t="inlineStr">
        <is>
          <t>Macpower CNC Machines Ltd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2161.4</v>
      </c>
      <c r="I72" s="32" t="n">
        <v>2090.1</v>
      </c>
      <c r="J72" s="32" t="n">
        <v>-3.26</v>
      </c>
      <c r="K72" s="32" t="n">
        <v>44507</v>
      </c>
      <c r="L72" s="31" t="n">
        <v>81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71.64</v>
      </c>
      <c r="P72" s="32" t="n">
        <v>57.16</v>
      </c>
      <c r="Q72" s="32" t="n">
        <v>1531.96</v>
      </c>
      <c r="R72" s="31" t="inlineStr">
        <is>
          <t>Near 52W High Breakout</t>
        </is>
      </c>
      <c r="S72" s="31" t="inlineStr">
        <is>
          <t>Nifty 50</t>
        </is>
      </c>
      <c r="T72" s="32" t="n">
        <v>-9.92</v>
      </c>
      <c r="U72" s="32" t="n">
        <v>148.35</v>
      </c>
      <c r="V72" s="32" t="n">
        <v>175.72</v>
      </c>
      <c r="W72" s="32" t="n">
        <v>31.98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IF(B73=0,"",RANK(B73,$B$2:$B$253,0))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CUPID</t>
        </is>
      </c>
      <c r="D73" s="31" t="inlineStr">
        <is>
          <t>Cupid Limited</t>
        </is>
      </c>
      <c r="E73" s="31" t="inlineStr">
        <is>
          <t>fmcg</t>
        </is>
      </c>
      <c r="F73" s="31" t="inlineStr">
        <is>
          <t>personal care - indian</t>
        </is>
      </c>
      <c r="G73" s="31" t="inlineStr">
        <is>
          <t>largecap</t>
        </is>
      </c>
      <c r="H73" s="32" t="n">
        <v>41697.93</v>
      </c>
      <c r="I73" s="32" t="n">
        <v>324.2</v>
      </c>
      <c r="J73" s="32" t="n">
        <v>4.55</v>
      </c>
      <c r="K73" s="32" t="n">
        <v>24176893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83.75</v>
      </c>
      <c r="P73" s="32" t="n">
        <v>65.77</v>
      </c>
      <c r="Q73" s="32" t="n">
        <v>247.98</v>
      </c>
      <c r="R73" s="31" t="inlineStr">
        <is>
          <t>Near 52W High Breakout</t>
        </is>
      </c>
      <c r="S73" s="31" t="inlineStr">
        <is>
          <t>Nifty FMCG</t>
        </is>
      </c>
      <c r="T73" s="32" t="inlineStr"/>
      <c r="U73" s="32" t="inlineStr"/>
      <c r="V73" s="32" t="inlineStr"/>
      <c r="W73" s="32" t="inlineStr"/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IF(B74=0,"",RANK(B74,$B$2:$B$253,0))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SHILPAMED</t>
        </is>
      </c>
      <c r="D74" s="31" t="inlineStr">
        <is>
          <t>Shilpa Medicare Limited</t>
        </is>
      </c>
      <c r="E74" s="31" t="inlineStr">
        <is>
          <t>healthcare</t>
        </is>
      </c>
      <c r="F74" s="31" t="inlineStr">
        <is>
          <t>pharmaceuticals - indian - formulations</t>
        </is>
      </c>
      <c r="G74" s="31" t="inlineStr">
        <is>
          <t>largecap</t>
        </is>
      </c>
      <c r="H74" s="32" t="n">
        <v>20168.4</v>
      </c>
      <c r="I74" s="32" t="n">
        <v>1073.7</v>
      </c>
      <c r="J74" s="32" t="n">
        <v>4.12</v>
      </c>
      <c r="K74" s="32" t="n">
        <v>587086</v>
      </c>
      <c r="L74" s="31" t="n">
        <v>92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91.67</v>
      </c>
      <c r="P74" s="32" t="n">
        <v>83.67</v>
      </c>
      <c r="Q74" s="32" t="n">
        <v>865.77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19.49</v>
      </c>
      <c r="U74" s="32" t="n">
        <v>192.9</v>
      </c>
      <c r="V74" s="32" t="n">
        <v>145.12</v>
      </c>
      <c r="W74" s="32" t="n">
        <v>42.68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IF(B75=0,"",RANK(B75,$B$2:$B$253,0))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DIVISLAB</t>
        </is>
      </c>
      <c r="D75" s="31" t="inlineStr">
        <is>
          <t>Divi's Laboratories Limited</t>
        </is>
      </c>
      <c r="E75" s="31" t="inlineStr">
        <is>
          <t>healthcare</t>
        </is>
      </c>
      <c r="F75" s="31" t="inlineStr">
        <is>
          <t>pharmaceuticals - indian - bulk drugs</t>
        </is>
      </c>
      <c r="G75" s="31" t="inlineStr">
        <is>
          <t>largecap</t>
        </is>
      </c>
      <c r="H75" s="32" t="n">
        <v>244124.91</v>
      </c>
      <c r="I75" s="32" t="n">
        <v>9550</v>
      </c>
      <c r="J75" s="32" t="n">
        <v>3.85</v>
      </c>
      <c r="K75" s="32" t="n">
        <v>465106</v>
      </c>
      <c r="L75" s="31" t="n">
        <v>50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77.95</v>
      </c>
      <c r="P75" s="32" t="n">
        <v>57.36</v>
      </c>
      <c r="Q75" s="32" t="n">
        <v>8352.870000000001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19.49</v>
      </c>
      <c r="U75" s="32" t="n">
        <v>48.11</v>
      </c>
      <c r="V75" s="32" t="n">
        <v>23.95</v>
      </c>
      <c r="W75" s="32" t="n">
        <v>17.39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IF(B76=0,"",RANK(B76,$B$2:$B$253,0))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LALPATHLAB</t>
        </is>
      </c>
      <c r="D76" s="31" t="inlineStr">
        <is>
          <t>Dr. Lal Path Labs Ltd.</t>
        </is>
      </c>
      <c r="E76" s="31" t="inlineStr">
        <is>
          <t>healthcare</t>
        </is>
      </c>
      <c r="F76" s="31" t="inlineStr">
        <is>
          <t>healthcare</t>
        </is>
      </c>
      <c r="G76" s="31" t="inlineStr">
        <is>
          <t>largecap</t>
        </is>
      </c>
      <c r="H76" s="32" t="n">
        <v>33046.43</v>
      </c>
      <c r="I76" s="32" t="n">
        <v>1964.2</v>
      </c>
      <c r="J76" s="32" t="n">
        <v>-0.36</v>
      </c>
      <c r="K76" s="32" t="n">
        <v>245709</v>
      </c>
      <c r="L76" s="31" t="n">
        <v>26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67.40000000000001</v>
      </c>
      <c r="P76" s="32" t="n">
        <v>48.91</v>
      </c>
      <c r="Q76" s="32" t="n">
        <v>1680.12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19.49</v>
      </c>
      <c r="U76" s="32" t="n">
        <v>28.11</v>
      </c>
      <c r="V76" s="32" t="n">
        <v>7.21</v>
      </c>
      <c r="W76" s="32" t="n">
        <v>8.92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IF(B77=0,"",RANK(B77,$B$2:$B$253,0))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ALKYLAMINE</t>
        </is>
      </c>
      <c r="D77" s="31" t="inlineStr">
        <is>
          <t>Alkyl Amines Chemicals Limited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midcap</t>
        </is>
      </c>
      <c r="H77" s="32" t="n">
        <v>8850.33</v>
      </c>
      <c r="I77" s="32" t="n">
        <v>1962.2</v>
      </c>
      <c r="J77" s="32" t="n">
        <v>13.4</v>
      </c>
      <c r="K77" s="32" t="n">
        <v>3134700</v>
      </c>
      <c r="L77" s="31" t="n">
        <v>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58.3</v>
      </c>
      <c r="P77" s="32" t="n">
        <v>30.77</v>
      </c>
      <c r="Q77" s="32" t="n">
        <v>1561.3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-9.92</v>
      </c>
      <c r="U77" s="32" t="n">
        <v>7.06</v>
      </c>
      <c r="V77" s="32" t="n">
        <v>18.85</v>
      </c>
      <c r="W77" s="32" t="n">
        <v>3.14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IF(B78=0,"",RANK(B78,$B$2:$B$253,0))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RRKABEL</t>
        </is>
      </c>
      <c r="D78" s="31" t="inlineStr">
        <is>
          <t>R R Kabel Ltd</t>
        </is>
      </c>
      <c r="E78" s="31" t="inlineStr">
        <is>
          <t>industrials</t>
        </is>
      </c>
      <c r="F78" s="31" t="inlineStr">
        <is>
          <t>cables - power</t>
        </is>
      </c>
      <c r="G78" s="31" t="inlineStr">
        <is>
          <t>largecap</t>
        </is>
      </c>
      <c r="H78" s="32" t="n">
        <v>29950.34</v>
      </c>
      <c r="I78" s="32" t="n">
        <v>2789.7</v>
      </c>
      <c r="J78" s="32" t="n">
        <v>5.35</v>
      </c>
      <c r="K78" s="32" t="n">
        <v>917457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66.41</v>
      </c>
      <c r="P78" s="32" t="n">
        <v>49.66</v>
      </c>
      <c r="Q78" s="32" t="n">
        <v>2306.05</v>
      </c>
      <c r="R78" s="31" t="inlineStr">
        <is>
          <t>Near 52W High Breakout</t>
        </is>
      </c>
      <c r="S78" s="31" t="inlineStr">
        <is>
          <t>Nifty Energy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IF(B79=0,"",RANK(B79,$B$2:$B$253,0))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HFCL</t>
        </is>
      </c>
      <c r="D79" s="31" t="inlineStr">
        <is>
          <t>HFCL Ltd</t>
        </is>
      </c>
      <c r="E79" s="31" t="inlineStr">
        <is>
          <t>telecom</t>
        </is>
      </c>
      <c r="F79" s="31" t="inlineStr">
        <is>
          <t>cables - telephone</t>
        </is>
      </c>
      <c r="G79" s="31" t="inlineStr">
        <is>
          <t>largecap</t>
        </is>
      </c>
      <c r="H79" s="32" t="n">
        <v>38306.39</v>
      </c>
      <c r="I79" s="32" t="n">
        <v>262.78</v>
      </c>
      <c r="J79" s="32" t="n">
        <v>5</v>
      </c>
      <c r="K79" s="32" t="n">
        <v>6656282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71.79000000000001</v>
      </c>
      <c r="P79" s="32" t="n">
        <v>49.57</v>
      </c>
      <c r="Q79" s="32" t="n">
        <v>191.2</v>
      </c>
      <c r="R79" s="31" t="inlineStr">
        <is>
          <t>Near 52W High Breakout</t>
        </is>
      </c>
      <c r="S79" s="31" t="inlineStr">
        <is>
          <t>Nifty Infra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IF(B80=0,"",RANK(B80,$B$2:$B$253,0))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VALIANTORG</t>
        </is>
      </c>
      <c r="D80" s="31" t="inlineStr">
        <is>
          <t>Valiant Organics Ltd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1333.47</v>
      </c>
      <c r="I80" s="32" t="n">
        <v>496.8</v>
      </c>
      <c r="J80" s="32" t="n">
        <v>4.45</v>
      </c>
      <c r="K80" s="32" t="n">
        <v>262872</v>
      </c>
      <c r="L80" s="31" t="n">
        <v>75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76.81</v>
      </c>
      <c r="P80" s="32" t="n">
        <v>47.78</v>
      </c>
      <c r="Q80" s="32" t="n">
        <v>372.62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-9.92</v>
      </c>
      <c r="U80" s="32" t="n">
        <v>56.97</v>
      </c>
      <c r="V80" s="32" t="n">
        <v>74.26000000000001</v>
      </c>
      <c r="W80" s="32" t="n">
        <v>29.11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IF(B81=0,"",RANK(B81,$B$2:$B$253,0))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KRISHANA</t>
        </is>
      </c>
      <c r="D81" s="31" t="inlineStr">
        <is>
          <t>Krishana Phoschem Ltd</t>
        </is>
      </c>
      <c r="E81" s="31" t="inlineStr">
        <is>
          <t>chemicals</t>
        </is>
      </c>
      <c r="F81" s="31" t="inlineStr">
        <is>
          <t>fertilizers</t>
        </is>
      </c>
      <c r="G81" s="31" t="inlineStr">
        <is>
          <t>smallcap</t>
        </is>
      </c>
      <c r="H81" s="32" t="n">
        <v>1148.94</v>
      </c>
      <c r="I81" s="32" t="n">
        <v>193.66</v>
      </c>
      <c r="J81" s="32" t="n">
        <v>4.21</v>
      </c>
      <c r="K81" s="32" t="n">
        <v>1697639</v>
      </c>
      <c r="L81" s="31" t="n">
        <v>58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69.66</v>
      </c>
      <c r="P81" s="32" t="n">
        <v>52.02</v>
      </c>
      <c r="Q81" s="32" t="n">
        <v>153.66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-9.92</v>
      </c>
      <c r="U81" s="32" t="n">
        <v>69.87</v>
      </c>
      <c r="V81" s="32" t="n">
        <v>88.58</v>
      </c>
      <c r="W81" s="32" t="n">
        <v>20.17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IF(B82=0,"",RANK(B82,$B$2:$B$253,0))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WHEELS</t>
        </is>
      </c>
      <c r="D82" s="31" t="inlineStr">
        <is>
          <t>Wheels India Limited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midcap</t>
        </is>
      </c>
      <c r="H82" s="32" t="n">
        <v>5391.39</v>
      </c>
      <c r="I82" s="32" t="n">
        <v>2289</v>
      </c>
      <c r="J82" s="32" t="n">
        <v>3.73</v>
      </c>
      <c r="K82" s="32" t="n">
        <v>120884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75.95999999999999</v>
      </c>
      <c r="P82" s="32" t="n">
        <v>60.26</v>
      </c>
      <c r="Q82" s="32" t="n">
        <v>1696.06</v>
      </c>
      <c r="R82" s="31" t="inlineStr">
        <is>
          <t>Near 52W High Breakout</t>
        </is>
      </c>
      <c r="S82" s="31" t="inlineStr">
        <is>
          <t>Nifty Auto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IF(B83=0,"",RANK(B83,$B$2:$B$253,0))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SHREEPUSHK</t>
        </is>
      </c>
      <c r="D83" s="31" t="inlineStr">
        <is>
          <t>Shree Pushkar Chemicals &amp; Fertilisers Limited</t>
        </is>
      </c>
      <c r="E83" s="31" t="inlineStr">
        <is>
          <t>chemicals</t>
        </is>
      </c>
      <c r="F83" s="31" t="inlineStr">
        <is>
          <t>dyes and pigments</t>
        </is>
      </c>
      <c r="G83" s="31" t="inlineStr">
        <is>
          <t>smallcap</t>
        </is>
      </c>
      <c r="H83" s="32" t="n">
        <v>1599.26</v>
      </c>
      <c r="I83" s="32" t="n">
        <v>510.1</v>
      </c>
      <c r="J83" s="32" t="n">
        <v>3.14</v>
      </c>
      <c r="K83" s="32" t="n">
        <v>51539</v>
      </c>
      <c r="L83" s="31" t="n">
        <v>29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68.03</v>
      </c>
      <c r="P83" s="32" t="n">
        <v>44.84</v>
      </c>
      <c r="Q83" s="32" t="n">
        <v>386.32</v>
      </c>
      <c r="R83" s="31" t="inlineStr">
        <is>
          <t>Near 52W High Breakout</t>
        </is>
      </c>
      <c r="S83" s="31" t="inlineStr">
        <is>
          <t>Nifty 50</t>
        </is>
      </c>
      <c r="T83" s="32" t="n">
        <v>-9.92</v>
      </c>
      <c r="U83" s="32" t="n">
        <v>23.18</v>
      </c>
      <c r="V83" s="32" t="n">
        <v>36.76</v>
      </c>
      <c r="W83" s="32" t="n">
        <v>9.5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IF(B84=0,"",RANK(B84,$B$2:$B$253,0))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FOSECOIND</t>
        </is>
      </c>
      <c r="D84" s="31" t="inlineStr">
        <is>
          <t>Foseco India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smallcap</t>
        </is>
      </c>
      <c r="H84" s="32" t="n">
        <v>4748.85</v>
      </c>
      <c r="I84" s="32" t="n">
        <v>6440</v>
      </c>
      <c r="J84" s="32" t="n">
        <v>2.21</v>
      </c>
      <c r="K84" s="32" t="n">
        <v>10288</v>
      </c>
      <c r="L84" s="31" t="n">
        <v>24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65.48</v>
      </c>
      <c r="P84" s="32" t="n">
        <v>38.38</v>
      </c>
      <c r="Q84" s="32" t="n">
        <v>5244.59</v>
      </c>
      <c r="R84" s="31" t="inlineStr">
        <is>
          <t>Near 52W High Breakout</t>
        </is>
      </c>
      <c r="S84" s="31" t="inlineStr">
        <is>
          <t>Nifty 50</t>
        </is>
      </c>
      <c r="T84" s="32" t="n">
        <v>-9.92</v>
      </c>
      <c r="U84" s="32" t="n">
        <v>17.68</v>
      </c>
      <c r="V84" s="32" t="n">
        <v>30.64</v>
      </c>
      <c r="W84" s="32" t="n">
        <v>8.74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IF(B85=0,"",RANK(B85,$B$2:$B$253,0))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MARINE</t>
        </is>
      </c>
      <c r="D85" s="31" t="inlineStr">
        <is>
          <t>Marine Electricals (India) Ltd</t>
        </is>
      </c>
      <c r="E85" s="31" t="inlineStr">
        <is>
          <t>industrials</t>
        </is>
      </c>
      <c r="F85" s="31" t="inlineStr">
        <is>
          <t>electric equipment</t>
        </is>
      </c>
      <c r="G85" s="31" t="inlineStr">
        <is>
          <t>midcap</t>
        </is>
      </c>
      <c r="H85" s="32" t="n">
        <v>6565.49</v>
      </c>
      <c r="I85" s="32" t="n">
        <v>478.85</v>
      </c>
      <c r="J85" s="32" t="n">
        <v>2.07</v>
      </c>
      <c r="K85" s="32" t="n">
        <v>2220066</v>
      </c>
      <c r="L85" s="31" t="n">
        <v>91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75.98</v>
      </c>
      <c r="P85" s="32" t="n">
        <v>49.89</v>
      </c>
      <c r="Q85" s="32" t="n">
        <v>352.67</v>
      </c>
      <c r="R85" s="31" t="inlineStr">
        <is>
          <t>Near 52W High Breakout</t>
        </is>
      </c>
      <c r="S85" s="31" t="inlineStr">
        <is>
          <t>Nifty 50</t>
        </is>
      </c>
      <c r="T85" s="32" t="n">
        <v>-9.92</v>
      </c>
      <c r="U85" s="32" t="n">
        <v>127.36</v>
      </c>
      <c r="V85" s="32" t="n">
        <v>152.41</v>
      </c>
      <c r="W85" s="32" t="n">
        <v>39.24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IF(B86=0,"",RANK(B86,$B$2:$B$253,0))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DPABHUSHAN</t>
        </is>
      </c>
      <c r="D86" s="31" t="inlineStr">
        <is>
          <t>D.P. Abhushan Ltd</t>
        </is>
      </c>
      <c r="E86" s="31" t="inlineStr">
        <is>
          <t>consumer discretionary</t>
        </is>
      </c>
      <c r="F86" s="31" t="inlineStr">
        <is>
          <t>trading</t>
        </is>
      </c>
      <c r="G86" s="31" t="inlineStr">
        <is>
          <t>smallcap</t>
        </is>
      </c>
      <c r="H86" s="32" t="n">
        <v>4863.49</v>
      </c>
      <c r="I86" s="32" t="n">
        <v>2174</v>
      </c>
      <c r="J86" s="32" t="n">
        <v>2.04</v>
      </c>
      <c r="K86" s="32" t="n">
        <v>530780</v>
      </c>
      <c r="L86" s="31" t="n">
        <v>78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79.73999999999999</v>
      </c>
      <c r="P86" s="32" t="n">
        <v>38.83</v>
      </c>
      <c r="Q86" s="32" t="n">
        <v>1635.67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-9.92</v>
      </c>
      <c r="U86" s="32" t="n">
        <v>52.35</v>
      </c>
      <c r="V86" s="32" t="n">
        <v>69.13</v>
      </c>
      <c r="W86" s="32" t="n">
        <v>29.77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IF(B87=0,"",RANK(B87,$B$2:$B$253,0))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TBZ</t>
        </is>
      </c>
      <c r="D87" s="31" t="inlineStr">
        <is>
          <t>Tribhovandas Bhimji Zaveri Limited</t>
        </is>
      </c>
      <c r="E87" s="31" t="inlineStr">
        <is>
          <t>consumer discretionary</t>
        </is>
      </c>
      <c r="F87" s="31" t="inlineStr">
        <is>
          <t>diamond cutting / jewellery</t>
        </is>
      </c>
      <c r="G87" s="31" t="inlineStr">
        <is>
          <t>smallcap</t>
        </is>
      </c>
      <c r="H87" s="32" t="n">
        <v>3989.82</v>
      </c>
      <c r="I87" s="32" t="n">
        <v>608.85</v>
      </c>
      <c r="J87" s="32" t="n">
        <v>1.83</v>
      </c>
      <c r="K87" s="32" t="n">
        <v>394826</v>
      </c>
      <c r="L87" s="31" t="n">
        <v>97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83.11</v>
      </c>
      <c r="P87" s="32" t="n">
        <v>65.87</v>
      </c>
      <c r="Q87" s="32" t="n">
        <v>494.82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-9.92</v>
      </c>
      <c r="U87" s="32" t="n">
        <v>231.44</v>
      </c>
      <c r="V87" s="32" t="n">
        <v>267.95</v>
      </c>
      <c r="W87" s="32" t="n">
        <v>74.68000000000001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IF(B88=0,"",RANK(B88,$B$2:$B$253,0))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ENGINERSIN</t>
        </is>
      </c>
      <c r="D88" s="31" t="inlineStr">
        <is>
          <t>Engineers India Limited</t>
        </is>
      </c>
      <c r="E88" s="31" t="inlineStr">
        <is>
          <t>realty</t>
        </is>
      </c>
      <c r="F88" s="31" t="inlineStr">
        <is>
          <t>engineering - turnkey services</t>
        </is>
      </c>
      <c r="G88" s="31" t="inlineStr">
        <is>
          <t>midcap</t>
        </is>
      </c>
      <c r="H88" s="32" t="n">
        <v>17302.47</v>
      </c>
      <c r="I88" s="32" t="n">
        <v>313.3</v>
      </c>
      <c r="J88" s="32" t="n">
        <v>1.77</v>
      </c>
      <c r="K88" s="32" t="n">
        <v>5178995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71.94</v>
      </c>
      <c r="P88" s="32" t="n">
        <v>22.79</v>
      </c>
      <c r="Q88" s="32" t="n">
        <v>253</v>
      </c>
      <c r="R88" s="31" t="inlineStr">
        <is>
          <t>Near 52W High Breakout</t>
        </is>
      </c>
      <c r="S88" s="31" t="inlineStr">
        <is>
          <t>Nifty Realty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IF(B89=0,"",RANK(B89,$B$2:$B$253,0))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STEELCAS</t>
        </is>
      </c>
      <c r="D89" s="31" t="inlineStr">
        <is>
          <t>Steelcast Ltd</t>
        </is>
      </c>
      <c r="E89" s="31" t="inlineStr">
        <is>
          <t>castings, forgings &amp; fasteners</t>
        </is>
      </c>
      <c r="F89" s="31" t="inlineStr">
        <is>
          <t>castings &amp; forgings</t>
        </is>
      </c>
      <c r="G89" s="31" t="inlineStr">
        <is>
          <t>smallcap</t>
        </is>
      </c>
      <c r="H89" s="32" t="n">
        <v>3680.64</v>
      </c>
      <c r="I89" s="32" t="n">
        <v>369.6</v>
      </c>
      <c r="J89" s="32" t="n">
        <v>1.62</v>
      </c>
      <c r="K89" s="32" t="n">
        <v>88203</v>
      </c>
      <c r="L89" s="31" t="n">
        <v>44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67.34999999999999</v>
      </c>
      <c r="P89" s="32" t="n">
        <v>41.96</v>
      </c>
      <c r="Q89" s="32" t="n">
        <v>279.74</v>
      </c>
      <c r="R89" s="31" t="inlineStr">
        <is>
          <t>Near 52W High Breakout</t>
        </is>
      </c>
      <c r="S89" s="31" t="inlineStr">
        <is>
          <t>Nifty 50</t>
        </is>
      </c>
      <c r="T89" s="32" t="n">
        <v>-9.92</v>
      </c>
      <c r="U89" s="32" t="n">
        <v>67.23</v>
      </c>
      <c r="V89" s="32" t="n">
        <v>85.65000000000001</v>
      </c>
      <c r="W89" s="32" t="n">
        <v>15.37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Between 12 to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IF(B90=0,"",RANK(B90,$B$2:$B$253,0))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NRBBEARING</t>
        </is>
      </c>
      <c r="D90" s="31" t="inlineStr">
        <is>
          <t>Nrb Bearing Limited</t>
        </is>
      </c>
      <c r="E90" s="31" t="inlineStr">
        <is>
          <t>industrials</t>
        </is>
      </c>
      <c r="F90" s="31" t="inlineStr">
        <is>
          <t>bearings</t>
        </is>
      </c>
      <c r="G90" s="31" t="inlineStr">
        <is>
          <t>midcap</t>
        </is>
      </c>
      <c r="H90" s="32" t="n">
        <v>5192.14</v>
      </c>
      <c r="I90" s="32" t="n">
        <v>536.95</v>
      </c>
      <c r="J90" s="32" t="n">
        <v>0.23</v>
      </c>
      <c r="K90" s="32" t="n">
        <v>201725</v>
      </c>
      <c r="L90" s="31" t="n">
        <v>66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73.93000000000001</v>
      </c>
      <c r="P90" s="32" t="n">
        <v>50.97</v>
      </c>
      <c r="Q90" s="32" t="n">
        <v>423.23</v>
      </c>
      <c r="R90" s="31" t="inlineStr">
        <is>
          <t>Near 52W High Breakout</t>
        </is>
      </c>
      <c r="S90" s="31" t="inlineStr">
        <is>
          <t>Nifty 50</t>
        </is>
      </c>
      <c r="T90" s="32" t="n">
        <v>-9.92</v>
      </c>
      <c r="U90" s="32" t="n">
        <v>102.7</v>
      </c>
      <c r="V90" s="32" t="n">
        <v>125.03</v>
      </c>
      <c r="W90" s="32" t="n">
        <v>22.93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IF(B91=0,"",RANK(B91,$B$2:$B$253,0))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MAZDA</t>
        </is>
      </c>
      <c r="D91" s="31" t="inlineStr">
        <is>
          <t>Mazda Limited</t>
        </is>
      </c>
      <c r="E91" s="31" t="inlineStr">
        <is>
          <t>industrials</t>
        </is>
      </c>
      <c r="F91" s="31" t="inlineStr">
        <is>
          <t>engineering</t>
        </is>
      </c>
      <c r="G91" s="31" t="inlineStr">
        <is>
          <t>smallcap</t>
        </is>
      </c>
      <c r="H91" s="32" t="n">
        <v>566.51</v>
      </c>
      <c r="I91" s="32" t="n">
        <v>283.4</v>
      </c>
      <c r="J91" s="32" t="n">
        <v>0.18</v>
      </c>
      <c r="K91" s="32" t="n">
        <v>18785</v>
      </c>
      <c r="L91" s="31" t="n">
        <v>14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67.19</v>
      </c>
      <c r="P91" s="32" t="n">
        <v>36.32</v>
      </c>
      <c r="Q91" s="32" t="n">
        <v>219.59</v>
      </c>
      <c r="R91" s="31" t="inlineStr">
        <is>
          <t>Near 52W High Breakout</t>
        </is>
      </c>
      <c r="S91" s="31" t="inlineStr">
        <is>
          <t>Nifty 50</t>
        </is>
      </c>
      <c r="T91" s="32" t="n">
        <v>-9.92</v>
      </c>
      <c r="U91" s="32" t="n">
        <v>-1.23</v>
      </c>
      <c r="V91" s="32" t="n">
        <v>9.65</v>
      </c>
      <c r="W91" s="32" t="n">
        <v>5.06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IF(B92=0,"",RANK(B92,$B$2:$B$253,0))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NRAIL</t>
        </is>
      </c>
      <c r="D92" s="31" t="inlineStr">
        <is>
          <t>N R Agarwal Industries Ltd</t>
        </is>
      </c>
      <c r="E92" s="31" t="inlineStr">
        <is>
          <t>building materials</t>
        </is>
      </c>
      <c r="F92" s="31" t="inlineStr">
        <is>
          <t>paper</t>
        </is>
      </c>
      <c r="G92" s="31" t="inlineStr">
        <is>
          <t>smallcap</t>
        </is>
      </c>
      <c r="H92" s="32" t="n">
        <v>1125.56</v>
      </c>
      <c r="I92" s="32" t="n">
        <v>658.25</v>
      </c>
      <c r="J92" s="32" t="n">
        <v>-0.47</v>
      </c>
      <c r="K92" s="32" t="n">
        <v>11965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69.2</v>
      </c>
      <c r="P92" s="32" t="n">
        <v>46.21</v>
      </c>
      <c r="Q92" s="32" t="n">
        <v>503.42</v>
      </c>
      <c r="R92" s="31" t="inlineStr">
        <is>
          <t>Near 52W High Breakout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IF(B93=0,"",RANK(B93,$B$2:$B$253,0))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CYIENTDLM</t>
        </is>
      </c>
      <c r="D93" s="31" t="inlineStr">
        <is>
          <t>Cyient DLM Ltd</t>
        </is>
      </c>
      <c r="E93" s="31" t="inlineStr">
        <is>
          <t>aerospace &amp; defence</t>
        </is>
      </c>
      <c r="F93" s="31" t="inlineStr">
        <is>
          <t>electronics - components</t>
        </is>
      </c>
      <c r="G93" s="31" t="inlineStr">
        <is>
          <t>midcap</t>
        </is>
      </c>
      <c r="H93" s="32" t="n">
        <v>7516.02</v>
      </c>
      <c r="I93" s="32" t="n">
        <v>939</v>
      </c>
      <c r="J93" s="32" t="n">
        <v>-0.82</v>
      </c>
      <c r="K93" s="32" t="n">
        <v>235010</v>
      </c>
      <c r="L93" s="31" t="n">
        <v>88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83.67</v>
      </c>
      <c r="P93" s="32" t="n">
        <v>78.73</v>
      </c>
      <c r="Q93" s="32" t="n">
        <v>725.53</v>
      </c>
      <c r="R93" s="31" t="inlineStr">
        <is>
          <t>Near 52W High Breakout</t>
        </is>
      </c>
      <c r="S93" s="31" t="inlineStr">
        <is>
          <t>Nifty 50</t>
        </is>
      </c>
      <c r="T93" s="32" t="n">
        <v>-9.92</v>
      </c>
      <c r="U93" s="32" t="n">
        <v>99.22</v>
      </c>
      <c r="V93" s="32" t="n">
        <v>121.16</v>
      </c>
      <c r="W93" s="32" t="n">
        <v>36.26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IF(B94=0,"",RANK(B94,$B$2:$B$253,0))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ROLEXRINGS</t>
        </is>
      </c>
      <c r="D94" s="31" t="inlineStr">
        <is>
          <t>Rolex Rings Ltd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midcap</t>
        </is>
      </c>
      <c r="H94" s="32" t="n">
        <v>5168.07</v>
      </c>
      <c r="I94" s="32" t="n">
        <v>188.18</v>
      </c>
      <c r="J94" s="32" t="n">
        <v>-0.84</v>
      </c>
      <c r="K94" s="32" t="n">
        <v>2424946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63.78</v>
      </c>
      <c r="P94" s="32" t="n">
        <v>45.55</v>
      </c>
      <c r="Q94" s="32" t="n">
        <v>152.41</v>
      </c>
      <c r="R94" s="31" t="inlineStr">
        <is>
          <t>Near 52W High Breakout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IF(B95=0,"",RANK(B95,$B$2:$B$253,0))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DBOL</t>
        </is>
      </c>
      <c r="D95" s="31" t="inlineStr">
        <is>
          <t>Dhampur Bio Organics Ltd</t>
        </is>
      </c>
      <c r="E95" s="31" t="inlineStr">
        <is>
          <t>fmcg</t>
        </is>
      </c>
      <c r="F95" s="31" t="inlineStr">
        <is>
          <t>sugar</t>
        </is>
      </c>
      <c r="G95" s="31" t="inlineStr">
        <is>
          <t>smallcap</t>
        </is>
      </c>
      <c r="H95" s="32" t="n">
        <v>830.04</v>
      </c>
      <c r="I95" s="32" t="n">
        <v>137.9</v>
      </c>
      <c r="J95" s="32" t="n">
        <v>10.29</v>
      </c>
      <c r="K95" s="32" t="n">
        <v>1202685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65.84999999999999</v>
      </c>
      <c r="P95" s="32" t="n">
        <v>34.94</v>
      </c>
      <c r="Q95" s="32" t="n">
        <v>101.5</v>
      </c>
      <c r="R95" s="31" t="inlineStr">
        <is>
          <t>Near 52W High Breakout</t>
        </is>
      </c>
      <c r="S95" s="31" t="inlineStr">
        <is>
          <t>Nifty FMCG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IF(B96=0,"",RANK(B96,$B$2:$B$253,0))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AVADHSUGAR</t>
        </is>
      </c>
      <c r="D96" s="31" t="inlineStr">
        <is>
          <t>Avadh Sugar &amp; Energy</t>
        </is>
      </c>
      <c r="E96" s="31" t="inlineStr">
        <is>
          <t>fmcg</t>
        </is>
      </c>
      <c r="F96" s="31" t="inlineStr">
        <is>
          <t>sugar</t>
        </is>
      </c>
      <c r="G96" s="31" t="inlineStr">
        <is>
          <t>smallcap</t>
        </is>
      </c>
      <c r="H96" s="32" t="n">
        <v>1682.25</v>
      </c>
      <c r="I96" s="32" t="n">
        <v>873.3</v>
      </c>
      <c r="J96" s="32" t="n">
        <v>3.92</v>
      </c>
      <c r="K96" s="32" t="n">
        <v>523457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73.55</v>
      </c>
      <c r="P96" s="32" t="n">
        <v>57.84</v>
      </c>
      <c r="Q96" s="32" t="n">
        <v>651.6799999999999</v>
      </c>
      <c r="R96" s="31" t="inlineStr">
        <is>
          <t>Near 52W High Breakout</t>
        </is>
      </c>
      <c r="S96" s="31" t="inlineStr">
        <is>
          <t>Nifty FMCG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B2C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More than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IF(B97=0,"",RANK(B97,$B$2:$B$253,0))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AARTIPHARM</t>
        </is>
      </c>
      <c r="D97" s="33" t="inlineStr">
        <is>
          <t>Aarti Pharmalabs Ltd</t>
        </is>
      </c>
      <c r="E97" s="31" t="inlineStr">
        <is>
          <t>healthcare</t>
        </is>
      </c>
      <c r="F97" s="31" t="inlineStr">
        <is>
          <t>pharmaceuticals - indian - bulk drugs &amp; formln</t>
        </is>
      </c>
      <c r="G97" s="31" t="inlineStr">
        <is>
          <t>midcap</t>
        </is>
      </c>
      <c r="H97" s="32" t="n">
        <v>8583.75</v>
      </c>
      <c r="I97" s="32" t="n">
        <v>975</v>
      </c>
      <c r="J97" s="32" t="n">
        <v>3</v>
      </c>
      <c r="K97" s="32" t="n">
        <v>537274</v>
      </c>
      <c r="L97" s="31" t="n">
        <v>36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71.33</v>
      </c>
      <c r="P97" s="32" t="n">
        <v>28.39</v>
      </c>
      <c r="Q97" s="32" t="n">
        <v>750.38</v>
      </c>
      <c r="R97" s="31" t="inlineStr">
        <is>
          <t>Near 52W High Breakout</t>
        </is>
      </c>
      <c r="S97" s="31" t="inlineStr">
        <is>
          <t>Nifty Pharma</t>
        </is>
      </c>
      <c r="T97" s="32" t="n">
        <v>19.49</v>
      </c>
      <c r="U97" s="32" t="n">
        <v>17.81</v>
      </c>
      <c r="V97" s="32" t="n">
        <v>-1.41</v>
      </c>
      <c r="W97" s="32" t="n">
        <v>12.15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IF(B98=0,"",RANK(B98,$B$2:$B$253,0))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AKUMS</t>
        </is>
      </c>
      <c r="D98" s="31" t="inlineStr">
        <is>
          <t>Akums Drugs &amp; Pharmaceuticals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midcap</t>
        </is>
      </c>
      <c r="H98" s="32" t="n">
        <v>12612.77</v>
      </c>
      <c r="I98" s="32" t="n">
        <v>814.65</v>
      </c>
      <c r="J98" s="32" t="n">
        <v>1.66</v>
      </c>
      <c r="K98" s="32" t="n">
        <v>128317</v>
      </c>
      <c r="L98" s="31" t="n">
        <v>48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76</v>
      </c>
      <c r="P98" s="32" t="n">
        <v>66.14</v>
      </c>
      <c r="Q98" s="32" t="n">
        <v>679.1900000000001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19.49</v>
      </c>
      <c r="U98" s="32" t="n">
        <v>83.45999999999999</v>
      </c>
      <c r="V98" s="32" t="n">
        <v>53.53</v>
      </c>
      <c r="W98" s="32" t="n">
        <v>16.9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IF(B99=0,"",RANK(B99,$B$2:$B$253,0))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SYNCOMF</t>
        </is>
      </c>
      <c r="D99" s="31" t="inlineStr">
        <is>
          <t>Syncom Formulations (India)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smallcap</t>
        </is>
      </c>
      <c r="H99" s="32" t="n">
        <v>2175.16</v>
      </c>
      <c r="I99" s="32" t="n">
        <v>23.22</v>
      </c>
      <c r="J99" s="32" t="n">
        <v>0.35</v>
      </c>
      <c r="K99" s="32" t="n">
        <v>15329504</v>
      </c>
      <c r="L99" s="31" t="n">
        <v>65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75.05</v>
      </c>
      <c r="P99" s="32" t="n">
        <v>37.45</v>
      </c>
      <c r="Q99" s="32" t="n">
        <v>17.2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19.49</v>
      </c>
      <c r="U99" s="32" t="n">
        <v>37.34</v>
      </c>
      <c r="V99" s="32" t="n">
        <v>14.94</v>
      </c>
      <c r="W99" s="32" t="n">
        <v>22.85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IF(B100=0,"",RANK(B100,$B$2:$B$253,0))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NPST</t>
        </is>
      </c>
      <c r="D100" s="31" t="inlineStr">
        <is>
          <t>Network People Services Technologies Ltd</t>
        </is>
      </c>
      <c r="E100" s="31" t="inlineStr">
        <is>
          <t>i.t</t>
        </is>
      </c>
      <c r="F100" s="31" t="inlineStr">
        <is>
          <t>computers - software - medium / small</t>
        </is>
      </c>
      <c r="G100" s="31" t="inlineStr">
        <is>
          <t>smallcap</t>
        </is>
      </c>
      <c r="H100" s="32" t="n">
        <v>3825.32</v>
      </c>
      <c r="I100" s="32" t="n">
        <v>1835.5</v>
      </c>
      <c r="J100" s="32" t="n">
        <v>0.11</v>
      </c>
      <c r="K100" s="32" t="n">
        <v>67123</v>
      </c>
      <c r="L100" s="31" t="n">
        <v>11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63.58</v>
      </c>
      <c r="P100" s="32" t="n">
        <v>33.07</v>
      </c>
      <c r="Q100" s="32" t="n">
        <v>1285.21</v>
      </c>
      <c r="R100" s="31" t="inlineStr">
        <is>
          <t>Near 52W High Breakout</t>
        </is>
      </c>
      <c r="S100" s="31" t="inlineStr">
        <is>
          <t>Nifty IT</t>
        </is>
      </c>
      <c r="T100" s="32" t="n">
        <v>-20.99</v>
      </c>
      <c r="U100" s="32" t="n">
        <v>-3.21</v>
      </c>
      <c r="V100" s="32" t="n">
        <v>22.5</v>
      </c>
      <c r="W100" s="32" t="n">
        <v>3.93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Between 1.5 to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IF(B101=0,"",RANK(B101,$B$2:$B$253,0))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SUNDROP</t>
        </is>
      </c>
      <c r="D101" s="31" t="inlineStr">
        <is>
          <t>Sundrop Brands Ltd</t>
        </is>
      </c>
      <c r="E101" s="31" t="inlineStr">
        <is>
          <t>fmcg</t>
        </is>
      </c>
      <c r="F101" s="31" t="inlineStr">
        <is>
          <t>food - processing - indian</t>
        </is>
      </c>
      <c r="G101" s="31" t="inlineStr">
        <is>
          <t>smallcap</t>
        </is>
      </c>
      <c r="H101" s="32" t="n">
        <v>2821.99</v>
      </c>
      <c r="I101" s="32" t="n">
        <v>746.8</v>
      </c>
      <c r="J101" s="32" t="n">
        <v>-0.24</v>
      </c>
      <c r="K101" s="32" t="n">
        <v>28219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63.61</v>
      </c>
      <c r="P101" s="32" t="n">
        <v>23.85</v>
      </c>
      <c r="Q101" s="32" t="n">
        <v>623.3099999999999</v>
      </c>
      <c r="R101" s="31" t="inlineStr">
        <is>
          <t>Near 52W High Breakout</t>
        </is>
      </c>
      <c r="S101" s="31" t="inlineStr">
        <is>
          <t>Nifty FMCG</t>
        </is>
      </c>
      <c r="T101" s="32" t="inlineStr"/>
      <c r="U101" s="32" t="inlineStr"/>
      <c r="V101" s="32" t="inlineStr"/>
      <c r="W101" s="32" t="inlineStr"/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B2C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IF(B102=0,"",RANK(B102,$B$2:$B$253,0))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VENUSREM</t>
        </is>
      </c>
      <c r="D102" s="31" t="inlineStr">
        <is>
          <t>Venus Remedies Limited</t>
        </is>
      </c>
      <c r="E102" s="31" t="inlineStr">
        <is>
          <t>healthcare</t>
        </is>
      </c>
      <c r="F102" s="31" t="inlineStr">
        <is>
          <t>pharmaceuticals - indian - formulations</t>
        </is>
      </c>
      <c r="G102" s="31" t="inlineStr">
        <is>
          <t>smallcap</t>
        </is>
      </c>
      <c r="H102" s="32" t="n">
        <v>2376.65</v>
      </c>
      <c r="I102" s="32" t="n">
        <v>1746.7</v>
      </c>
      <c r="J102" s="32" t="n">
        <v>-1.76</v>
      </c>
      <c r="K102" s="32" t="n">
        <v>20737</v>
      </c>
      <c r="L102" s="31" t="n">
        <v>83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60.98</v>
      </c>
      <c r="P102" s="32" t="n">
        <v>42.68</v>
      </c>
      <c r="Q102" s="32" t="n">
        <v>1244.65</v>
      </c>
      <c r="R102" s="31" t="inlineStr">
        <is>
          <t>Earnings / Momentum Support</t>
        </is>
      </c>
      <c r="S102" s="31" t="inlineStr">
        <is>
          <t>Nifty Pharma</t>
        </is>
      </c>
      <c r="T102" s="32" t="n">
        <v>19.49</v>
      </c>
      <c r="U102" s="32" t="n">
        <v>281.83</v>
      </c>
      <c r="V102" s="32" t="n">
        <v>219.54</v>
      </c>
      <c r="W102" s="32" t="n">
        <v>34.39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IF(B103=0,"",RANK(B103,$B$2:$B$253,0))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DMCC</t>
        </is>
      </c>
      <c r="D103" s="31" t="inlineStr">
        <is>
          <t>DMCC Speciality Chemicals Ltd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smallcap</t>
        </is>
      </c>
      <c r="H103" s="32" t="n">
        <v>795.83</v>
      </c>
      <c r="I103" s="32" t="n">
        <v>355.8</v>
      </c>
      <c r="J103" s="32" t="n">
        <v>11.5</v>
      </c>
      <c r="K103" s="32" t="n">
        <v>2942524</v>
      </c>
      <c r="L103" s="31" t="n">
        <v>37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70.69</v>
      </c>
      <c r="P103" s="32" t="n">
        <v>37.87</v>
      </c>
      <c r="Q103" s="32" t="n">
        <v>265.36</v>
      </c>
      <c r="R103" s="31" t="inlineStr">
        <is>
          <t>Volume Spike &amp; Near 52W High Breakout</t>
        </is>
      </c>
      <c r="S103" s="31" t="inlineStr">
        <is>
          <t>Nifty 50</t>
        </is>
      </c>
      <c r="T103" s="32" t="n">
        <v>-9.92</v>
      </c>
      <c r="U103" s="32" t="n">
        <v>16.7</v>
      </c>
      <c r="V103" s="32" t="n">
        <v>29.56</v>
      </c>
      <c r="W103" s="32" t="n">
        <v>12.27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IF(B104=0,"",RANK(B104,$B$2:$B$253,0))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MAYURUNIQ</t>
        </is>
      </c>
      <c r="D104" s="31" t="inlineStr">
        <is>
          <t>Mayur Uniquoters Ltd</t>
        </is>
      </c>
      <c r="E104" s="31" t="inlineStr">
        <is>
          <t>consumer discretionary</t>
        </is>
      </c>
      <c r="F104" s="31" t="inlineStr">
        <is>
          <t>leather / leather products</t>
        </is>
      </c>
      <c r="G104" s="31" t="inlineStr">
        <is>
          <t>smallcap</t>
        </is>
      </c>
      <c r="H104" s="32" t="n">
        <v>3070.14</v>
      </c>
      <c r="I104" s="32" t="n">
        <v>761.15</v>
      </c>
      <c r="J104" s="32" t="n">
        <v>7.73</v>
      </c>
      <c r="K104" s="32" t="n">
        <v>181493</v>
      </c>
      <c r="L104" s="31" t="n">
        <v>28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57.26</v>
      </c>
      <c r="P104" s="32" t="n">
        <v>38.59</v>
      </c>
      <c r="Q104" s="32" t="n">
        <v>634.75</v>
      </c>
      <c r="R104" s="31" t="inlineStr">
        <is>
          <t>Earnings / Momentum Support</t>
        </is>
      </c>
      <c r="S104" s="31" t="inlineStr">
        <is>
          <t>Nifty 50</t>
        </is>
      </c>
      <c r="T104" s="32" t="n">
        <v>-9.92</v>
      </c>
      <c r="U104" s="32" t="n">
        <v>56.07</v>
      </c>
      <c r="V104" s="32" t="n">
        <v>73.26000000000001</v>
      </c>
      <c r="W104" s="32" t="n">
        <v>9.42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IF(B105=0,"",RANK(B105,$B$2:$B$253,0))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KMEW</t>
        </is>
      </c>
      <c r="D105" s="31" t="inlineStr">
        <is>
          <t>Knowledge Marine &amp; Engineering Works Ltd</t>
        </is>
      </c>
      <c r="E105" s="31" t="inlineStr">
        <is>
          <t>transportation</t>
        </is>
      </c>
      <c r="F105" s="31" t="inlineStr">
        <is>
          <t>miscellaneous</t>
        </is>
      </c>
      <c r="G105" s="31" t="inlineStr">
        <is>
          <t>midcap</t>
        </is>
      </c>
      <c r="H105" s="32" t="n">
        <v>7314.9</v>
      </c>
      <c r="I105" s="32" t="n">
        <v>3202.3</v>
      </c>
      <c r="J105" s="32" t="n">
        <v>7.01</v>
      </c>
      <c r="K105" s="32" t="n">
        <v>268808</v>
      </c>
      <c r="L105" s="31" t="n">
        <v>77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77.65000000000001</v>
      </c>
      <c r="P105" s="32" t="n">
        <v>58.42</v>
      </c>
      <c r="Q105" s="32" t="n">
        <v>2351.31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-9.92</v>
      </c>
      <c r="U105" s="32" t="n">
        <v>169.74</v>
      </c>
      <c r="V105" s="32" t="n">
        <v>199.45</v>
      </c>
      <c r="W105" s="32" t="n">
        <v>29.69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IF(B106=0,"",RANK(B106,$B$2:$B$253,0))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BHEL</t>
        </is>
      </c>
      <c r="D106" s="31" t="inlineStr">
        <is>
          <t>Bharat Heavy Electricals Limited</t>
        </is>
      </c>
      <c r="E106" s="31" t="inlineStr">
        <is>
          <t>industrials</t>
        </is>
      </c>
      <c r="F106" s="31" t="inlineStr">
        <is>
          <t>electric equipment</t>
        </is>
      </c>
      <c r="G106" s="31" t="inlineStr">
        <is>
          <t>largecap</t>
        </is>
      </c>
      <c r="H106" s="32" t="n">
        <v>149380.52</v>
      </c>
      <c r="I106" s="32" t="n">
        <v>452</v>
      </c>
      <c r="J106" s="32" t="n">
        <v>5.36</v>
      </c>
      <c r="K106" s="32" t="n">
        <v>22865195</v>
      </c>
      <c r="L106" s="31" t="n">
        <v>50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66.92</v>
      </c>
      <c r="P106" s="32" t="n">
        <v>35.79</v>
      </c>
      <c r="Q106" s="32" t="n">
        <v>367.82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-9.92</v>
      </c>
      <c r="U106" s="32" t="n">
        <v>89.22</v>
      </c>
      <c r="V106" s="32" t="n">
        <v>110.07</v>
      </c>
      <c r="W106" s="32" t="n">
        <v>17.31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Between 1.5 to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IF(B107=0,"",RANK(B107,$B$2:$B$253,0))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MIDHANI</t>
        </is>
      </c>
      <c r="D107" s="31" t="inlineStr">
        <is>
          <t>Mishra Dhatu Nigam Ltd</t>
        </is>
      </c>
      <c r="E107" s="31" t="inlineStr">
        <is>
          <t>aerospace &amp; defence</t>
        </is>
      </c>
      <c r="F107" s="31" t="inlineStr">
        <is>
          <t>steel - medium / small</t>
        </is>
      </c>
      <c r="G107" s="31" t="inlineStr">
        <is>
          <t>midcap</t>
        </is>
      </c>
      <c r="H107" s="32" t="n">
        <v>8244.83</v>
      </c>
      <c r="I107" s="32" t="n">
        <v>462.35</v>
      </c>
      <c r="J107" s="32" t="n">
        <v>5.06</v>
      </c>
      <c r="K107" s="32" t="n">
        <v>2140471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62.11</v>
      </c>
      <c r="P107" s="32" t="n">
        <v>29.01</v>
      </c>
      <c r="Q107" s="32" t="n">
        <v>350.77</v>
      </c>
      <c r="R107" s="31" t="inlineStr">
        <is>
          <t>Near 52W High Breakout</t>
        </is>
      </c>
      <c r="S107" s="31" t="inlineStr">
        <is>
          <t>Nifty Metal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IF(B108=0,"",RANK(B108,$B$2:$B$253,0))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PANACHE</t>
        </is>
      </c>
      <c r="D108" s="31" t="inlineStr">
        <is>
          <t>Panache Digilife Ltd</t>
        </is>
      </c>
      <c r="E108" s="31" t="inlineStr">
        <is>
          <t>i.t</t>
        </is>
      </c>
      <c r="F108" s="31" t="inlineStr">
        <is>
          <t>computers - hardware</t>
        </is>
      </c>
      <c r="G108" s="31" t="inlineStr">
        <is>
          <t>smallcap</t>
        </is>
      </c>
      <c r="H108" s="32" t="n">
        <v>867.88</v>
      </c>
      <c r="I108" s="32" t="n">
        <v>569</v>
      </c>
      <c r="J108" s="32" t="n">
        <v>4.99</v>
      </c>
      <c r="K108" s="32" t="n">
        <v>7672</v>
      </c>
      <c r="L108" s="31" t="n">
        <v>42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73.92</v>
      </c>
      <c r="P108" s="32" t="n">
        <v>39.12</v>
      </c>
      <c r="Q108" s="32" t="n">
        <v>457.68</v>
      </c>
      <c r="R108" s="31" t="inlineStr">
        <is>
          <t>Near 52W High Breakout</t>
        </is>
      </c>
      <c r="S108" s="31" t="inlineStr">
        <is>
          <t>Nifty IT</t>
        </is>
      </c>
      <c r="T108" s="32" t="n">
        <v>-20.99</v>
      </c>
      <c r="U108" s="32" t="n">
        <v>27.58</v>
      </c>
      <c r="V108" s="32" t="n">
        <v>61.46</v>
      </c>
      <c r="W108" s="32" t="n">
        <v>14.07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IF(B109=0,"",RANK(B109,$B$2:$B$253,0))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ACMESOLAR</t>
        </is>
      </c>
      <c r="D109" s="31" t="inlineStr">
        <is>
          <t>ACME Solar Holdings Ltd</t>
        </is>
      </c>
      <c r="E109" s="31" t="inlineStr">
        <is>
          <t>realty</t>
        </is>
      </c>
      <c r="F109" s="31" t="inlineStr">
        <is>
          <t>engineering - turnkey services</t>
        </is>
      </c>
      <c r="G109" s="31" t="inlineStr">
        <is>
          <t>largecap</t>
        </is>
      </c>
      <c r="H109" s="32" t="n">
        <v>30229.48</v>
      </c>
      <c r="I109" s="32" t="n">
        <v>448.2</v>
      </c>
      <c r="J109" s="32" t="n">
        <v>4.81</v>
      </c>
      <c r="K109" s="32" t="n">
        <v>887494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70.95999999999999</v>
      </c>
      <c r="P109" s="32" t="n">
        <v>54.52</v>
      </c>
      <c r="Q109" s="32" t="n">
        <v>352</v>
      </c>
      <c r="R109" s="31" t="inlineStr">
        <is>
          <t>Near 52W High Breakout</t>
        </is>
      </c>
      <c r="S109" s="31" t="inlineStr">
        <is>
          <t>Nifty Realty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More than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IF(B110=0,"",RANK(B110,$B$2:$B$253,0))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GALAXYSURF</t>
        </is>
      </c>
      <c r="D110" s="31" t="inlineStr">
        <is>
          <t>Galaxy Surfactants Ltd</t>
        </is>
      </c>
      <c r="E110" s="31" t="inlineStr">
        <is>
          <t>chemicals</t>
        </is>
      </c>
      <c r="F110" s="31" t="inlineStr">
        <is>
          <t>chemicals</t>
        </is>
      </c>
      <c r="G110" s="31" t="inlineStr">
        <is>
          <t>midcap</t>
        </is>
      </c>
      <c r="H110" s="32" t="n">
        <v>8278.68</v>
      </c>
      <c r="I110" s="32" t="n">
        <v>2442.4</v>
      </c>
      <c r="J110" s="32" t="n">
        <v>4.6</v>
      </c>
      <c r="K110" s="32" t="n">
        <v>99858</v>
      </c>
      <c r="L110" s="31" t="n">
        <v>21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65.59</v>
      </c>
      <c r="P110" s="32" t="n">
        <v>31.65</v>
      </c>
      <c r="Q110" s="32" t="n">
        <v>1985.33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-9.92</v>
      </c>
      <c r="U110" s="32" t="n">
        <v>9.51</v>
      </c>
      <c r="V110" s="32" t="n">
        <v>21.57</v>
      </c>
      <c r="W110" s="32" t="n">
        <v>7.33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IF(B111=0,"",RANK(B111,$B$2:$B$253,0))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SOMANYCERA</t>
        </is>
      </c>
      <c r="D111" s="31" t="inlineStr">
        <is>
          <t>Somany Ceramics Limited</t>
        </is>
      </c>
      <c r="E111" s="31" t="inlineStr">
        <is>
          <t>building materials</t>
        </is>
      </c>
      <c r="F111" s="31" t="inlineStr">
        <is>
          <t>ceramics - tiles / sanitaryware</t>
        </is>
      </c>
      <c r="G111" s="31" t="inlineStr">
        <is>
          <t>smallcap</t>
        </is>
      </c>
      <c r="H111" s="32" t="n">
        <v>2505.47</v>
      </c>
      <c r="I111" s="32" t="n">
        <v>625</v>
      </c>
      <c r="J111" s="32" t="n">
        <v>2.31</v>
      </c>
      <c r="K111" s="32" t="n">
        <v>129420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73.08</v>
      </c>
      <c r="P111" s="32" t="n">
        <v>34.08</v>
      </c>
      <c r="Q111" s="32" t="n">
        <v>509</v>
      </c>
      <c r="R111" s="31" t="inlineStr">
        <is>
          <t>Near 52W High Breakout</t>
        </is>
      </c>
      <c r="S111" s="31" t="inlineStr">
        <is>
          <t>Nifty Infra</t>
        </is>
      </c>
      <c r="T111" s="32" t="inlineStr"/>
      <c r="U111" s="32" t="inlineStr"/>
      <c r="V111" s="32" t="inlineStr"/>
      <c r="W111" s="32" t="inlineStr"/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IF(B112=0,"",RANK(B112,$B$2:$B$253,0))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SHREEJISPG</t>
        </is>
      </c>
      <c r="D112" s="31" t="inlineStr">
        <is>
          <t>Shreeji Shipping Global Ltd</t>
        </is>
      </c>
      <c r="E112" s="31" t="inlineStr">
        <is>
          <t>transportation</t>
        </is>
      </c>
      <c r="F112" s="31" t="inlineStr">
        <is>
          <t>shipping</t>
        </is>
      </c>
      <c r="G112" s="31" t="inlineStr">
        <is>
          <t>midcap</t>
        </is>
      </c>
      <c r="H112" s="32" t="n">
        <v>12705.18</v>
      </c>
      <c r="I112" s="32" t="n">
        <v>796.5</v>
      </c>
      <c r="J112" s="32" t="n">
        <v>2.14</v>
      </c>
      <c r="K112" s="32" t="n">
        <v>1125084</v>
      </c>
      <c r="L112" s="31" t="n">
        <v>90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84.53</v>
      </c>
      <c r="P112" s="32" t="n">
        <v>56.76</v>
      </c>
      <c r="Q112" s="32" t="n">
        <v>669.0599999999999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-9.92</v>
      </c>
      <c r="U112" s="32" t="n">
        <v>216.54</v>
      </c>
      <c r="V112" s="32" t="n">
        <v>251.41</v>
      </c>
      <c r="W112" s="32" t="n">
        <v>37.85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IF(B113=0,"",RANK(B113,$B$2:$B$253,0))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SPECTRUM</t>
        </is>
      </c>
      <c r="D113" s="31" t="inlineStr">
        <is>
          <t>Spectrum Electrical Industries Ltd</t>
        </is>
      </c>
      <c r="E113" s="31" t="inlineStr">
        <is>
          <t>industrials</t>
        </is>
      </c>
      <c r="F113" s="31" t="inlineStr">
        <is>
          <t>electric equipment</t>
        </is>
      </c>
      <c r="G113" s="31" t="inlineStr">
        <is>
          <t>midcap</t>
        </is>
      </c>
      <c r="H113" s="32" t="n">
        <v>6560.05</v>
      </c>
      <c r="I113" s="32" t="n">
        <v>3915.9</v>
      </c>
      <c r="J113" s="32" t="n">
        <v>2</v>
      </c>
      <c r="K113" s="32" t="n">
        <v>19949</v>
      </c>
      <c r="L113" s="31" t="n">
        <v>96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85.28</v>
      </c>
      <c r="P113" s="32" t="n">
        <v>66.02</v>
      </c>
      <c r="Q113" s="32" t="n">
        <v>2981.04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-9.92</v>
      </c>
      <c r="U113" s="32" t="n">
        <v>192.45</v>
      </c>
      <c r="V113" s="32" t="n">
        <v>224.67</v>
      </c>
      <c r="W113" s="32" t="n">
        <v>51.75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IF(B114=0,"",RANK(B114,$B$2:$B$253,0))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QPOWER</t>
        </is>
      </c>
      <c r="D114" s="31" t="inlineStr">
        <is>
          <t>Quality Power Electrical Equipments Ltd</t>
        </is>
      </c>
      <c r="E114" s="31" t="inlineStr">
        <is>
          <t>industrials</t>
        </is>
      </c>
      <c r="F114" s="31" t="inlineStr">
        <is>
          <t>electric equipment</t>
        </is>
      </c>
      <c r="G114" s="31" t="inlineStr">
        <is>
          <t>midcap</t>
        </is>
      </c>
      <c r="H114" s="32" t="n">
        <v>12547.49</v>
      </c>
      <c r="I114" s="32" t="n">
        <v>1648.8</v>
      </c>
      <c r="J114" s="32" t="n">
        <v>1.77</v>
      </c>
      <c r="K114" s="32" t="n">
        <v>334224</v>
      </c>
      <c r="L114" s="31" t="n">
        <v>59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70.23999999999999</v>
      </c>
      <c r="P114" s="32" t="n">
        <v>21.16</v>
      </c>
      <c r="Q114" s="32" t="n">
        <v>1227.69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-9.92</v>
      </c>
      <c r="U114" s="32" t="n">
        <v>65.45</v>
      </c>
      <c r="V114" s="32" t="n">
        <v>83.68000000000001</v>
      </c>
      <c r="W114" s="32" t="n">
        <v>20.55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IF(B115=0,"",RANK(B115,$B$2:$B$253,0))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UNIMECH</t>
        </is>
      </c>
      <c r="D115" s="31" t="inlineStr">
        <is>
          <t>Unimech Aerospace and Manufacturing Ltd</t>
        </is>
      </c>
      <c r="E115" s="31" t="inlineStr">
        <is>
          <t>aerospace &amp; defence</t>
        </is>
      </c>
      <c r="F115" s="31" t="inlineStr">
        <is>
          <t>engineering</t>
        </is>
      </c>
      <c r="G115" s="31" t="inlineStr">
        <is>
          <t>midcap</t>
        </is>
      </c>
      <c r="H115" s="32" t="n">
        <v>9383.6</v>
      </c>
      <c r="I115" s="32" t="n">
        <v>1873.1</v>
      </c>
      <c r="J115" s="32" t="n">
        <v>1.52</v>
      </c>
      <c r="K115" s="32" t="n">
        <v>288002</v>
      </c>
      <c r="L115" s="31" t="n">
        <v>74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82.78</v>
      </c>
      <c r="P115" s="32" t="n">
        <v>50.18</v>
      </c>
      <c r="Q115" s="32" t="n">
        <v>1445.68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-9.92</v>
      </c>
      <c r="U115" s="32" t="n">
        <v>95.38</v>
      </c>
      <c r="V115" s="32" t="n">
        <v>116.9</v>
      </c>
      <c r="W115" s="32" t="n">
        <v>28.71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IF(B116=0,"",RANK(B116,$B$2:$B$253,0))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INDORAMA</t>
        </is>
      </c>
      <c r="D116" s="31" t="inlineStr">
        <is>
          <t>Indo Rama Synthetics (india) Limited</t>
        </is>
      </c>
      <c r="E116" s="31" t="inlineStr">
        <is>
          <t>textiles</t>
        </is>
      </c>
      <c r="F116" s="31" t="inlineStr">
        <is>
          <t>textiles - manmade</t>
        </is>
      </c>
      <c r="G116" s="31" t="inlineStr">
        <is>
          <t>smallcap</t>
        </is>
      </c>
      <c r="H116" s="32" t="n">
        <v>2446.37</v>
      </c>
      <c r="I116" s="32" t="n">
        <v>95.09999999999999</v>
      </c>
      <c r="J116" s="32" t="n">
        <v>1.51</v>
      </c>
      <c r="K116" s="32" t="n">
        <v>603328</v>
      </c>
      <c r="L116" s="31" t="n">
        <v>88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79.98999999999999</v>
      </c>
      <c r="P116" s="32" t="n">
        <v>67.43000000000001</v>
      </c>
      <c r="Q116" s="32" t="n">
        <v>71.33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-9.92</v>
      </c>
      <c r="U116" s="32" t="n">
        <v>59.64</v>
      </c>
      <c r="V116" s="32" t="n">
        <v>77.23</v>
      </c>
      <c r="W116" s="32" t="n">
        <v>37.09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More than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IF(B117=0,"",RANK(B117,$B$2:$B$253,0))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RGL</t>
        </is>
      </c>
      <c r="D117" s="31" t="inlineStr">
        <is>
          <t>Renaissance Global Ltd</t>
        </is>
      </c>
      <c r="E117" s="31" t="inlineStr">
        <is>
          <t>consumer discretionary</t>
        </is>
      </c>
      <c r="F117" s="31" t="inlineStr">
        <is>
          <t>diamond cutting / jewellery</t>
        </is>
      </c>
      <c r="G117" s="31" t="inlineStr">
        <is>
          <t>smallcap</t>
        </is>
      </c>
      <c r="H117" s="32" t="n">
        <v>1734.22</v>
      </c>
      <c r="I117" s="32" t="n">
        <v>163.62</v>
      </c>
      <c r="J117" s="32" t="n">
        <v>1.3</v>
      </c>
      <c r="K117" s="32" t="n">
        <v>465586</v>
      </c>
      <c r="L117" s="31" t="n">
        <v>39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72.88</v>
      </c>
      <c r="P117" s="32" t="n">
        <v>37.62</v>
      </c>
      <c r="Q117" s="32" t="n">
        <v>127.77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-9.92</v>
      </c>
      <c r="U117" s="32" t="n">
        <v>20.79</v>
      </c>
      <c r="V117" s="32" t="n">
        <v>34.1</v>
      </c>
      <c r="W117" s="32" t="n">
        <v>12.69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IF(B118=0,"",RANK(B118,$B$2:$B$253,0))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USHAMART</t>
        </is>
      </c>
      <c r="D118" s="31" t="inlineStr">
        <is>
          <t>Usha Martin Limited</t>
        </is>
      </c>
      <c r="E118" s="31" t="inlineStr">
        <is>
          <t>metals &amp; mining</t>
        </is>
      </c>
      <c r="F118" s="31" t="inlineStr">
        <is>
          <t>steel - medium / small</t>
        </is>
      </c>
      <c r="G118" s="31" t="inlineStr">
        <is>
          <t>midcap</t>
        </is>
      </c>
      <c r="H118" s="32" t="n">
        <v>15557.08</v>
      </c>
      <c r="I118" s="32" t="n">
        <v>516.7</v>
      </c>
      <c r="J118" s="32" t="n">
        <v>1.21</v>
      </c>
      <c r="K118" s="32" t="n">
        <v>819697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58.47</v>
      </c>
      <c r="P118" s="32" t="n">
        <v>41.06</v>
      </c>
      <c r="Q118" s="32" t="n">
        <v>418.51</v>
      </c>
      <c r="R118" s="31" t="inlineStr">
        <is>
          <t>Near 52W High Breakout</t>
        </is>
      </c>
      <c r="S118" s="31" t="inlineStr">
        <is>
          <t>Nifty Metal</t>
        </is>
      </c>
      <c r="T118" s="32" t="inlineStr"/>
      <c r="U118" s="32" t="inlineStr"/>
      <c r="V118" s="32" t="inlineStr"/>
      <c r="W118" s="32" t="inlineStr"/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Cyclical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Volatile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IF(B119=0,"",RANK(B119,$B$2:$B$253,0))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JSWINFRA</t>
        </is>
      </c>
      <c r="D119" s="31" t="inlineStr">
        <is>
          <t>JSW Infrastructure Ltd</t>
        </is>
      </c>
      <c r="E119" s="31" t="inlineStr">
        <is>
          <t>transportation</t>
        </is>
      </c>
      <c r="F119" s="31" t="inlineStr">
        <is>
          <t>miscellaneous</t>
        </is>
      </c>
      <c r="G119" s="31" t="inlineStr">
        <is>
          <t>largecap</t>
        </is>
      </c>
      <c r="H119" s="32" t="n">
        <v>83740.25999999999</v>
      </c>
      <c r="I119" s="32" t="n">
        <v>363.05</v>
      </c>
      <c r="J119" s="32" t="n">
        <v>1.02</v>
      </c>
      <c r="K119" s="32" t="n">
        <v>2318315</v>
      </c>
      <c r="L119" s="31" t="n">
        <v>20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67.56</v>
      </c>
      <c r="P119" s="32" t="n">
        <v>41.74</v>
      </c>
      <c r="Q119" s="32" t="n">
        <v>299.03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-9.92</v>
      </c>
      <c r="U119" s="32" t="n">
        <v>18.61</v>
      </c>
      <c r="V119" s="32" t="n">
        <v>31.68</v>
      </c>
      <c r="W119" s="32" t="n">
        <v>6.19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IF(B120=0,"",RANK(B120,$B$2:$B$253,0))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CARBORUNIV</t>
        </is>
      </c>
      <c r="D120" s="31" t="inlineStr">
        <is>
          <t>Carborundum Universal Limited</t>
        </is>
      </c>
      <c r="E120" s="31" t="inlineStr">
        <is>
          <t>industrials</t>
        </is>
      </c>
      <c r="F120" s="31" t="inlineStr">
        <is>
          <t>abrasives and grinding wheels</t>
        </is>
      </c>
      <c r="G120" s="31" t="inlineStr">
        <is>
          <t>largecap</t>
        </is>
      </c>
      <c r="H120" s="32" t="n">
        <v>24146.96</v>
      </c>
      <c r="I120" s="32" t="n">
        <v>1269.6</v>
      </c>
      <c r="J120" s="32" t="n">
        <v>0.16</v>
      </c>
      <c r="K120" s="32" t="n">
        <v>377930</v>
      </c>
      <c r="L120" s="31" t="n">
        <v>32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65.09</v>
      </c>
      <c r="P120" s="32" t="n">
        <v>45.91</v>
      </c>
      <c r="Q120" s="32" t="n">
        <v>985.95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-9.92</v>
      </c>
      <c r="U120" s="32" t="n">
        <v>36</v>
      </c>
      <c r="V120" s="32" t="n">
        <v>50.98</v>
      </c>
      <c r="W120" s="32" t="n">
        <v>10.49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IF(B121=0,"",RANK(B121,$B$2:$B$253,0))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KROSS</t>
        </is>
      </c>
      <c r="D121" s="31" t="inlineStr">
        <is>
          <t>Kross Ltd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smallcap</t>
        </is>
      </c>
      <c r="H121" s="32" t="n">
        <v>1635.96</v>
      </c>
      <c r="I121" s="32" t="n">
        <v>253.2</v>
      </c>
      <c r="J121" s="32" t="n">
        <v>-0.16</v>
      </c>
      <c r="K121" s="32" t="n">
        <v>458241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65.54000000000001</v>
      </c>
      <c r="P121" s="32" t="n">
        <v>38.75</v>
      </c>
      <c r="Q121" s="32" t="n">
        <v>204.49</v>
      </c>
      <c r="R121" s="31" t="inlineStr">
        <is>
          <t>Earnings / Momentum Support</t>
        </is>
      </c>
      <c r="S121" s="31" t="inlineStr">
        <is>
          <t>Nifty Auto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IF(B122=0,"",RANK(B122,$B$2:$B$253,0))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RAYMOND</t>
        </is>
      </c>
      <c r="D122" s="31" t="inlineStr">
        <is>
          <t>Raymond Limited</t>
        </is>
      </c>
      <c r="E122" s="31" t="inlineStr">
        <is>
          <t>transportation</t>
        </is>
      </c>
      <c r="F122" s="31" t="inlineStr">
        <is>
          <t>transport - airlines</t>
        </is>
      </c>
      <c r="G122" s="31" t="inlineStr">
        <is>
          <t>midcap</t>
        </is>
      </c>
      <c r="H122" s="32" t="n">
        <v>8659.25</v>
      </c>
      <c r="I122" s="32" t="n">
        <v>1294.3</v>
      </c>
      <c r="J122" s="32" t="n">
        <v>-0.49</v>
      </c>
      <c r="K122" s="32" t="n">
        <v>1955260</v>
      </c>
      <c r="L122" s="31" t="n">
        <v>95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87</v>
      </c>
      <c r="P122" s="32" t="n">
        <v>59.06</v>
      </c>
      <c r="Q122" s="32" t="n">
        <v>1005.84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-9.92</v>
      </c>
      <c r="U122" s="32" t="n">
        <v>123.33</v>
      </c>
      <c r="V122" s="32" t="n">
        <v>147.93</v>
      </c>
      <c r="W122" s="32" t="n">
        <v>47.68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IF(B123=0,"",RANK(B123,$B$2:$B$253,0))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EBGNG</t>
        </is>
      </c>
      <c r="D123" s="31" t="inlineStr">
        <is>
          <t>GNG Electronics Ltd</t>
        </is>
      </c>
      <c r="E123" s="31" t="inlineStr">
        <is>
          <t>services</t>
        </is>
      </c>
      <c r="F123" s="31" t="inlineStr">
        <is>
          <t>trading</t>
        </is>
      </c>
      <c r="G123" s="31" t="inlineStr">
        <is>
          <t>midcap</t>
        </is>
      </c>
      <c r="H123" s="32" t="n">
        <v>7928.93</v>
      </c>
      <c r="I123" s="32" t="n">
        <v>685.15</v>
      </c>
      <c r="J123" s="32" t="n">
        <v>-1.48</v>
      </c>
      <c r="K123" s="32" t="n">
        <v>783243</v>
      </c>
      <c r="L123" s="31" t="n">
        <v>56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64.84999999999999</v>
      </c>
      <c r="P123" s="32" t="n">
        <v>37.91</v>
      </c>
      <c r="Q123" s="32" t="n">
        <v>500.31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-9.92</v>
      </c>
      <c r="U123" s="32" t="n">
        <v>104.4</v>
      </c>
      <c r="V123" s="32" t="n">
        <v>126.92</v>
      </c>
      <c r="W123" s="32" t="n">
        <v>19.85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IF(B124=0,"",RANK(B124,$B$2:$B$253,0))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NAZARA</t>
        </is>
      </c>
      <c r="D124" s="31" t="inlineStr">
        <is>
          <t>Nazara Technologies Ltd</t>
        </is>
      </c>
      <c r="E124" s="31" t="inlineStr">
        <is>
          <t>i.t</t>
        </is>
      </c>
      <c r="F124" s="31" t="inlineStr">
        <is>
          <t>telecommunications - service provider</t>
        </is>
      </c>
      <c r="G124" s="31" t="inlineStr">
        <is>
          <t>midcap</t>
        </is>
      </c>
      <c r="H124" s="32" t="n">
        <v>14841.57</v>
      </c>
      <c r="I124" s="32" t="n">
        <v>379.55</v>
      </c>
      <c r="J124" s="32" t="n">
        <v>-1.62</v>
      </c>
      <c r="K124" s="32" t="n">
        <v>732269</v>
      </c>
      <c r="L124" s="31" t="n">
        <v>41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72.48</v>
      </c>
      <c r="P124" s="32" t="n">
        <v>34.73</v>
      </c>
      <c r="Q124" s="32" t="n">
        <v>316.41</v>
      </c>
      <c r="R124" s="31" t="inlineStr">
        <is>
          <t>Near 52W High Breakout</t>
        </is>
      </c>
      <c r="S124" s="31" t="inlineStr">
        <is>
          <t>Nifty IT</t>
        </is>
      </c>
      <c r="T124" s="32" t="n">
        <v>-20.99</v>
      </c>
      <c r="U124" s="32" t="n">
        <v>43.25</v>
      </c>
      <c r="V124" s="32" t="n">
        <v>81.3</v>
      </c>
      <c r="W124" s="32" t="n">
        <v>13.11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Oligopoly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IF(B125=0,"",RANK(B125,$B$2:$B$253,0))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DALMIASUG</t>
        </is>
      </c>
      <c r="D125" s="31" t="inlineStr">
        <is>
          <t>Dalmia Bharat Sugar And Industries Limited</t>
        </is>
      </c>
      <c r="E125" s="31" t="inlineStr">
        <is>
          <t>fmcg</t>
        </is>
      </c>
      <c r="F125" s="31" t="inlineStr">
        <is>
          <t>sugar</t>
        </is>
      </c>
      <c r="G125" s="31" t="inlineStr">
        <is>
          <t>smallcap</t>
        </is>
      </c>
      <c r="H125" s="32" t="n">
        <v>3481.6</v>
      </c>
      <c r="I125" s="32" t="n">
        <v>453</v>
      </c>
      <c r="J125" s="32" t="n">
        <v>5.31</v>
      </c>
      <c r="K125" s="32" t="n">
        <v>806757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59.56</v>
      </c>
      <c r="P125" s="32" t="n">
        <v>41.14</v>
      </c>
      <c r="Q125" s="32" t="n">
        <v>356.37</v>
      </c>
      <c r="R125" s="31" t="inlineStr">
        <is>
          <t>Earnings / Momentum Support</t>
        </is>
      </c>
      <c r="S125" s="31" t="inlineStr">
        <is>
          <t>Nifty FMCG</t>
        </is>
      </c>
      <c r="T125" s="32" t="inlineStr"/>
      <c r="U125" s="32" t="inlineStr"/>
      <c r="V125" s="32" t="inlineStr"/>
      <c r="W125" s="32" t="inlineStr"/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IF(B126=0,"",RANK(B126,$B$2:$B$253,0))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NGLFINE</t>
        </is>
      </c>
      <c r="D126" s="31" t="inlineStr">
        <is>
          <t>NGL Fine Chem Ltd</t>
        </is>
      </c>
      <c r="E126" s="31" t="inlineStr">
        <is>
          <t>healthcare</t>
        </is>
      </c>
      <c r="F126" s="31" t="inlineStr">
        <is>
          <t>pharmaceuticals - indian - bulk drugs</t>
        </is>
      </c>
      <c r="G126" s="31" t="inlineStr">
        <is>
          <t>smallcap</t>
        </is>
      </c>
      <c r="H126" s="32" t="n">
        <v>1846.18</v>
      </c>
      <c r="I126" s="32" t="n">
        <v>3122.1</v>
      </c>
      <c r="J126" s="32" t="n">
        <v>4.48</v>
      </c>
      <c r="K126" s="32" t="n">
        <v>18062</v>
      </c>
      <c r="L126" s="31" t="n">
        <v>50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60.09</v>
      </c>
      <c r="P126" s="32" t="n">
        <v>34.03</v>
      </c>
      <c r="Q126" s="32" t="n">
        <v>2467.31</v>
      </c>
      <c r="R126" s="31" t="inlineStr">
        <is>
          <t>Earnings / Momentum Support</t>
        </is>
      </c>
      <c r="S126" s="31" t="inlineStr">
        <is>
          <t>Nifty Pharma</t>
        </is>
      </c>
      <c r="T126" s="32" t="n">
        <v>19.49</v>
      </c>
      <c r="U126" s="32" t="n">
        <v>102.83</v>
      </c>
      <c r="V126" s="32" t="n">
        <v>69.73999999999999</v>
      </c>
      <c r="W126" s="32" t="n">
        <v>17.8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IF(B127=0,"",RANK(B127,$B$2:$B$253,0))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LAURUSLABS</t>
        </is>
      </c>
      <c r="D127" s="31" t="inlineStr">
        <is>
          <t>Laurus Labs Limited</t>
        </is>
      </c>
      <c r="E127" s="31" t="inlineStr">
        <is>
          <t>healthcare</t>
        </is>
      </c>
      <c r="F127" s="31" t="inlineStr">
        <is>
          <t>pharmaceuticals - indian - bulk drugs &amp; formln</t>
        </is>
      </c>
      <c r="G127" s="31" t="inlineStr">
        <is>
          <t>largecap</t>
        </is>
      </c>
      <c r="H127" s="32" t="n">
        <v>106504.8</v>
      </c>
      <c r="I127" s="32" t="n">
        <v>2050</v>
      </c>
      <c r="J127" s="32" t="n">
        <v>3.99</v>
      </c>
      <c r="K127" s="32" t="n">
        <v>2197316</v>
      </c>
      <c r="L127" s="31" t="n">
        <v>71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77.31999999999999</v>
      </c>
      <c r="P127" s="32" t="n">
        <v>77.48</v>
      </c>
      <c r="Q127" s="32" t="n">
        <v>1756.38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19.49</v>
      </c>
      <c r="U127" s="32" t="n">
        <v>134.24</v>
      </c>
      <c r="V127" s="32" t="n">
        <v>96.03</v>
      </c>
      <c r="W127" s="32" t="n">
        <v>26.36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IF(B128=0,"",RANK(B128,$B$2:$B$253,0))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ABDL</t>
        </is>
      </c>
      <c r="D128" s="31" t="inlineStr">
        <is>
          <t>Allied Blenders &amp; Distillers Ltd</t>
        </is>
      </c>
      <c r="E128" s="31" t="inlineStr">
        <is>
          <t>fmcg</t>
        </is>
      </c>
      <c r="F128" s="31" t="inlineStr">
        <is>
          <t>breweries &amp; distilleries</t>
        </is>
      </c>
      <c r="G128" s="31" t="inlineStr">
        <is>
          <t>midcap</t>
        </is>
      </c>
      <c r="H128" s="32" t="n">
        <v>19488.8</v>
      </c>
      <c r="I128" s="32" t="n">
        <v>714.65</v>
      </c>
      <c r="J128" s="32" t="n">
        <v>2.57</v>
      </c>
      <c r="K128" s="32" t="n">
        <v>701809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66.41</v>
      </c>
      <c r="P128" s="32" t="n">
        <v>26.4</v>
      </c>
      <c r="Q128" s="32" t="n">
        <v>556.87</v>
      </c>
      <c r="R128" s="31" t="inlineStr">
        <is>
          <t>Near 52W High Breakout</t>
        </is>
      </c>
      <c r="S128" s="31" t="inlineStr">
        <is>
          <t>Nifty FMCG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IF(B129=0,"",RANK(B129,$B$2:$B$253,0))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BAFNAPH</t>
        </is>
      </c>
      <c r="D129" s="31" t="inlineStr">
        <is>
          <t>Bafna Pharmaceuticals Ltd</t>
        </is>
      </c>
      <c r="E129" s="31" t="inlineStr">
        <is>
          <t>healthcare</t>
        </is>
      </c>
      <c r="F129" s="31" t="inlineStr">
        <is>
          <t>pharmaceuticals - indian - formulations</t>
        </is>
      </c>
      <c r="G129" s="31" t="inlineStr">
        <is>
          <t>smallcap</t>
        </is>
      </c>
      <c r="H129" s="32" t="n">
        <v>913.84</v>
      </c>
      <c r="I129" s="32" t="n">
        <v>394</v>
      </c>
      <c r="J129" s="32" t="n">
        <v>1.99</v>
      </c>
      <c r="K129" s="32" t="n">
        <v>480</v>
      </c>
      <c r="L129" s="31" t="n">
        <v>93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81.52</v>
      </c>
      <c r="P129" s="32" t="n">
        <v>63.28</v>
      </c>
      <c r="Q129" s="32" t="n">
        <v>322.3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19.49</v>
      </c>
      <c r="U129" s="32" t="n">
        <v>147.46</v>
      </c>
      <c r="V129" s="32" t="n">
        <v>107.09</v>
      </c>
      <c r="W129" s="32" t="n">
        <v>43.82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IF(B130=0,"",RANK(B130,$B$2:$B$253,0))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SUNTV</t>
        </is>
      </c>
      <c r="D130" s="31" t="inlineStr">
        <is>
          <t>Sun Tv Network Limited</t>
        </is>
      </c>
      <c r="E130" s="31" t="inlineStr">
        <is>
          <t>media</t>
        </is>
      </c>
      <c r="F130" s="31" t="inlineStr">
        <is>
          <t>entertainment / electronic media software</t>
        </is>
      </c>
      <c r="G130" s="31" t="inlineStr">
        <is>
          <t>largecap</t>
        </is>
      </c>
      <c r="H130" s="32" t="n">
        <v>24703.19</v>
      </c>
      <c r="I130" s="32" t="n">
        <v>632.1</v>
      </c>
      <c r="J130" s="32" t="n">
        <v>0.84</v>
      </c>
      <c r="K130" s="32" t="n">
        <v>1439793</v>
      </c>
      <c r="L130" s="31" t="n">
        <v>25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68.05</v>
      </c>
      <c r="P130" s="32" t="n">
        <v>20.71</v>
      </c>
      <c r="Q130" s="32" t="n">
        <v>497.26</v>
      </c>
      <c r="R130" s="31" t="inlineStr">
        <is>
          <t>Near 52W High Breakout</t>
        </is>
      </c>
      <c r="S130" s="31" t="inlineStr">
        <is>
          <t>Nifty IT</t>
        </is>
      </c>
      <c r="T130" s="32" t="n">
        <v>-20.99</v>
      </c>
      <c r="U130" s="32" t="n">
        <v>12.01</v>
      </c>
      <c r="V130" s="32" t="n">
        <v>41.76</v>
      </c>
      <c r="W130" s="32" t="n">
        <v>8.859999999999999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Between 12 to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IF(B131=0,"",RANK(B131,$B$2:$B$253,0))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OPTIEMUS</t>
        </is>
      </c>
      <c r="D131" s="31" t="inlineStr">
        <is>
          <t>Optiemus Infracom Ltd</t>
        </is>
      </c>
      <c r="E131" s="31" t="inlineStr">
        <is>
          <t>telecom</t>
        </is>
      </c>
      <c r="F131" s="31" t="inlineStr">
        <is>
          <t>trading</t>
        </is>
      </c>
      <c r="G131" s="31" t="inlineStr">
        <is>
          <t>midcap</t>
        </is>
      </c>
      <c r="H131" s="32" t="n">
        <v>7088.89</v>
      </c>
      <c r="I131" s="32" t="n">
        <v>889.9</v>
      </c>
      <c r="J131" s="32" t="n">
        <v>13.19</v>
      </c>
      <c r="K131" s="32" t="n">
        <v>10818595</v>
      </c>
      <c r="L131" s="31" t="n">
        <v>68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79.83</v>
      </c>
      <c r="P131" s="32" t="n">
        <v>45.72</v>
      </c>
      <c r="Q131" s="32" t="n">
        <v>671.78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-9.92</v>
      </c>
      <c r="U131" s="32" t="n">
        <v>30.56</v>
      </c>
      <c r="V131" s="32" t="n">
        <v>44.94</v>
      </c>
      <c r="W131" s="32" t="n">
        <v>24.33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IF(B132=0,"",RANK(B132,$B$2:$B$253,0))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YUKEN</t>
        </is>
      </c>
      <c r="D132" s="31" t="inlineStr">
        <is>
          <t>Yuken India Ltd</t>
        </is>
      </c>
      <c r="E132" s="31" t="inlineStr">
        <is>
          <t>industrials</t>
        </is>
      </c>
      <c r="F132" s="31" t="inlineStr">
        <is>
          <t>engineering</t>
        </is>
      </c>
      <c r="G132" s="31" t="inlineStr">
        <is>
          <t>smallcap</t>
        </is>
      </c>
      <c r="H132" s="32" t="n">
        <v>1533.63</v>
      </c>
      <c r="I132" s="32" t="n">
        <v>1238.6</v>
      </c>
      <c r="J132" s="32" t="n">
        <v>9.710000000000001</v>
      </c>
      <c r="K132" s="32" t="n">
        <v>282354</v>
      </c>
      <c r="L132" s="31" t="n">
        <v>60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80.75</v>
      </c>
      <c r="P132" s="32" t="n">
        <v>40.03</v>
      </c>
      <c r="Q132" s="32" t="n">
        <v>961.38</v>
      </c>
      <c r="R132" s="31" t="inlineStr">
        <is>
          <t>Volume Spike &amp; Near 52W High Breakout</t>
        </is>
      </c>
      <c r="S132" s="31" t="inlineStr">
        <is>
          <t>Nifty 50</t>
        </is>
      </c>
      <c r="T132" s="32" t="n">
        <v>-9.92</v>
      </c>
      <c r="U132" s="32" t="n">
        <v>32.3</v>
      </c>
      <c r="V132" s="32" t="n">
        <v>46.88</v>
      </c>
      <c r="W132" s="32" t="n">
        <v>20.68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IF(B133=0,"",RANK(B133,$B$2:$B$253,0))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JAMNAAUTO</t>
        </is>
      </c>
      <c r="D133" s="31" t="inlineStr">
        <is>
          <t>Jamna Auto Industries Limited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midcap</t>
        </is>
      </c>
      <c r="H133" s="32" t="n">
        <v>5375.13</v>
      </c>
      <c r="I133" s="32" t="n">
        <v>144.21</v>
      </c>
      <c r="J133" s="32" t="n">
        <v>7.26</v>
      </c>
      <c r="K133" s="32" t="n">
        <v>6124884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58.63</v>
      </c>
      <c r="P133" s="32" t="n">
        <v>33.81</v>
      </c>
      <c r="Q133" s="32" t="n">
        <v>108.11</v>
      </c>
      <c r="R133" s="31" t="inlineStr">
        <is>
          <t>Near 52W High Breakout</t>
        </is>
      </c>
      <c r="S133" s="31" t="inlineStr">
        <is>
          <t>Nifty Auto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IF(B134=0,"",RANK(B134,$B$2:$B$253,0))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AVALON</t>
        </is>
      </c>
      <c r="D134" s="31" t="inlineStr">
        <is>
          <t>Avalon Technologies Ltd</t>
        </is>
      </c>
      <c r="E134" s="31" t="inlineStr">
        <is>
          <t>consumer discretionary</t>
        </is>
      </c>
      <c r="F134" s="31" t="inlineStr">
        <is>
          <t>electronics - components</t>
        </is>
      </c>
      <c r="G134" s="31" t="inlineStr">
        <is>
          <t>midcap</t>
        </is>
      </c>
      <c r="H134" s="32" t="n">
        <v>15074.74</v>
      </c>
      <c r="I134" s="32" t="n">
        <v>2400.4</v>
      </c>
      <c r="J134" s="32" t="n">
        <v>6.39</v>
      </c>
      <c r="K134" s="32" t="n">
        <v>565942</v>
      </c>
      <c r="L134" s="31" t="n">
        <v>71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72.45</v>
      </c>
      <c r="P134" s="32" t="n">
        <v>49.43</v>
      </c>
      <c r="Q134" s="32" t="n">
        <v>1886.77</v>
      </c>
      <c r="R134" s="31" t="inlineStr">
        <is>
          <t>Earnings / Momentum Support</t>
        </is>
      </c>
      <c r="S134" s="31" t="inlineStr">
        <is>
          <t>Nifty 50</t>
        </is>
      </c>
      <c r="T134" s="32" t="n">
        <v>-9.92</v>
      </c>
      <c r="U134" s="32" t="n">
        <v>95.09</v>
      </c>
      <c r="V134" s="32" t="n">
        <v>116.58</v>
      </c>
      <c r="W134" s="32" t="n">
        <v>25.84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IF(B135=0,"",RANK(B135,$B$2:$B$253,0))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YASHO</t>
        </is>
      </c>
      <c r="D135" s="31" t="inlineStr">
        <is>
          <t>Yasho Industries Ltd</t>
        </is>
      </c>
      <c r="E135" s="31" t="inlineStr">
        <is>
          <t>chemicals</t>
        </is>
      </c>
      <c r="F135" s="31" t="inlineStr">
        <is>
          <t>chemicals</t>
        </is>
      </c>
      <c r="G135" s="31" t="inlineStr">
        <is>
          <t>smallcap</t>
        </is>
      </c>
      <c r="H135" s="32" t="n">
        <v>4874.56</v>
      </c>
      <c r="I135" s="32" t="n">
        <v>4282.8</v>
      </c>
      <c r="J135" s="32" t="n">
        <v>5.93</v>
      </c>
      <c r="K135" s="32" t="n">
        <v>33512</v>
      </c>
      <c r="L135" s="31" t="n">
        <v>87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73.29000000000001</v>
      </c>
      <c r="P135" s="32" t="n">
        <v>69.75</v>
      </c>
      <c r="Q135" s="32" t="n">
        <v>3263.41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-9.92</v>
      </c>
      <c r="U135" s="32" t="n">
        <v>161.6</v>
      </c>
      <c r="V135" s="32" t="n">
        <v>190.42</v>
      </c>
      <c r="W135" s="32" t="n">
        <v>35.93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IF(B136=0,"",RANK(B136,$B$2:$B$253,0))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EIMCOELECO</t>
        </is>
      </c>
      <c r="D136" s="31" t="inlineStr">
        <is>
          <t>Eimco Elecon (india) Limited</t>
        </is>
      </c>
      <c r="E136" s="31" t="inlineStr">
        <is>
          <t>industrials</t>
        </is>
      </c>
      <c r="F136" s="31" t="inlineStr">
        <is>
          <t>engineering</t>
        </is>
      </c>
      <c r="G136" s="31" t="inlineStr">
        <is>
          <t>smallcap</t>
        </is>
      </c>
      <c r="H136" s="32" t="n">
        <v>1293.21</v>
      </c>
      <c r="I136" s="32" t="n">
        <v>2371.8</v>
      </c>
      <c r="J136" s="32" t="n">
        <v>5.79</v>
      </c>
      <c r="K136" s="32" t="n">
        <v>81588</v>
      </c>
      <c r="L136" s="31" t="n">
        <v>39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71.98999999999999</v>
      </c>
      <c r="P136" s="32" t="n">
        <v>60</v>
      </c>
      <c r="Q136" s="32" t="n">
        <v>1892.56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-9.92</v>
      </c>
      <c r="U136" s="32" t="n">
        <v>22.65</v>
      </c>
      <c r="V136" s="32" t="n">
        <v>36.17</v>
      </c>
      <c r="W136" s="32" t="n">
        <v>12.71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IF(B137=0,"",RANK(B137,$B$2:$B$253,0))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PANAMAPET</t>
        </is>
      </c>
      <c r="D137" s="31" t="inlineStr">
        <is>
          <t>Panama Petrochem Limited</t>
        </is>
      </c>
      <c r="E137" s="31" t="inlineStr">
        <is>
          <t>energy</t>
        </is>
      </c>
      <c r="F137" s="31" t="inlineStr">
        <is>
          <t>petrochemicals</t>
        </is>
      </c>
      <c r="G137" s="31" t="inlineStr">
        <is>
          <t>smallcap</t>
        </is>
      </c>
      <c r="H137" s="32" t="n">
        <v>2917</v>
      </c>
      <c r="I137" s="32" t="n">
        <v>504.1</v>
      </c>
      <c r="J137" s="32" t="n">
        <v>4.54</v>
      </c>
      <c r="K137" s="32" t="n">
        <v>627296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63.88</v>
      </c>
      <c r="P137" s="32" t="n">
        <v>63.65</v>
      </c>
      <c r="Q137" s="32" t="n">
        <v>366.26</v>
      </c>
      <c r="R137" s="31" t="inlineStr">
        <is>
          <t>Near 52W High Breakout</t>
        </is>
      </c>
      <c r="S137" s="31" t="inlineStr">
        <is>
          <t>Nifty Energy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Oligopoly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IF(B138=0,"",RANK(B138,$B$2:$B$253,0))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GRAPHITE</t>
        </is>
      </c>
      <c r="D138" s="31" t="inlineStr">
        <is>
          <t>Graphite India Limited</t>
        </is>
      </c>
      <c r="E138" s="31" t="inlineStr">
        <is>
          <t>industrials</t>
        </is>
      </c>
      <c r="F138" s="31" t="inlineStr">
        <is>
          <t>electrodes - graphites</t>
        </is>
      </c>
      <c r="G138" s="31" t="inlineStr">
        <is>
          <t>midcap</t>
        </is>
      </c>
      <c r="H138" s="32" t="n">
        <v>15950.46</v>
      </c>
      <c r="I138" s="32" t="n">
        <v>851.2</v>
      </c>
      <c r="J138" s="32" t="n">
        <v>4.26</v>
      </c>
      <c r="K138" s="32" t="n">
        <v>2456818</v>
      </c>
      <c r="L138" s="31" t="n">
        <v>52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67.06</v>
      </c>
      <c r="P138" s="32" t="n">
        <v>21.14</v>
      </c>
      <c r="Q138" s="32" t="n">
        <v>657.15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-9.92</v>
      </c>
      <c r="U138" s="32" t="n">
        <v>52.78</v>
      </c>
      <c r="V138" s="32" t="n">
        <v>69.61</v>
      </c>
      <c r="W138" s="32" t="n">
        <v>18.01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IF(B139=0,"",RANK(B139,$B$2:$B$253,0))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TEXINFRA</t>
        </is>
      </c>
      <c r="D139" s="31" t="inlineStr">
        <is>
          <t>Texmaco Infrastructure &amp; Holdings Limited</t>
        </is>
      </c>
      <c r="E139" s="31" t="inlineStr">
        <is>
          <t>realty</t>
        </is>
      </c>
      <c r="F139" s="31" t="inlineStr">
        <is>
          <t>construction</t>
        </is>
      </c>
      <c r="G139" s="31" t="inlineStr">
        <is>
          <t>smallcap</t>
        </is>
      </c>
      <c r="H139" s="32" t="n">
        <v>1535.87</v>
      </c>
      <c r="I139" s="32" t="n">
        <v>125.42</v>
      </c>
      <c r="J139" s="32" t="n">
        <v>4.06</v>
      </c>
      <c r="K139" s="32" t="n">
        <v>587316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72.01000000000001</v>
      </c>
      <c r="P139" s="32" t="n">
        <v>41.83</v>
      </c>
      <c r="Q139" s="32" t="n">
        <v>101.87</v>
      </c>
      <c r="R139" s="31" t="inlineStr">
        <is>
          <t>Near 52W High Breakout</t>
        </is>
      </c>
      <c r="S139" s="31" t="inlineStr">
        <is>
          <t>Nifty Realty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IF(B140=0,"",RANK(B140,$B$2:$B$253,0))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SKYGOLD</t>
        </is>
      </c>
      <c r="D140" s="31" t="inlineStr">
        <is>
          <t>Sky Gold Ltd</t>
        </is>
      </c>
      <c r="E140" s="31" t="inlineStr">
        <is>
          <t>consumer discretionary</t>
        </is>
      </c>
      <c r="F140" s="31" t="inlineStr">
        <is>
          <t>diamond cutting / jewellery</t>
        </is>
      </c>
      <c r="G140" s="31" t="inlineStr">
        <is>
          <t>midcap</t>
        </is>
      </c>
      <c r="H140" s="32" t="n">
        <v>12791.03</v>
      </c>
      <c r="I140" s="32" t="n">
        <v>857.65</v>
      </c>
      <c r="J140" s="32" t="n">
        <v>3.84</v>
      </c>
      <c r="K140" s="32" t="n">
        <v>4153944</v>
      </c>
      <c r="L140" s="31" t="n">
        <v>79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75.73999999999999</v>
      </c>
      <c r="P140" s="32" t="n">
        <v>68.34999999999999</v>
      </c>
      <c r="Q140" s="32" t="n">
        <v>656.53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-9.92</v>
      </c>
      <c r="U140" s="32" t="n">
        <v>150.3</v>
      </c>
      <c r="V140" s="32" t="n">
        <v>177.87</v>
      </c>
      <c r="W140" s="32" t="n">
        <v>29.81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IF(B141=0,"",RANK(B141,$B$2:$B$253,0))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RUBYMILLS</t>
        </is>
      </c>
      <c r="D141" s="31" t="inlineStr">
        <is>
          <t>The Ruby Mills Limited</t>
        </is>
      </c>
      <c r="E141" s="31" t="inlineStr">
        <is>
          <t>textiles</t>
        </is>
      </c>
      <c r="F141" s="31" t="inlineStr">
        <is>
          <t>textiles - composite</t>
        </is>
      </c>
      <c r="G141" s="31" t="inlineStr">
        <is>
          <t>smallcap</t>
        </is>
      </c>
      <c r="H141" s="32" t="n">
        <v>1652.6</v>
      </c>
      <c r="I141" s="32" t="n">
        <v>512.8</v>
      </c>
      <c r="J141" s="32" t="n">
        <v>3.76</v>
      </c>
      <c r="K141" s="32" t="n">
        <v>22847</v>
      </c>
      <c r="L141" s="31" t="n">
        <v>73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79.59</v>
      </c>
      <c r="P141" s="32" t="n">
        <v>53.88</v>
      </c>
      <c r="Q141" s="32" t="n">
        <v>375.91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-9.92</v>
      </c>
      <c r="U141" s="32" t="n">
        <v>131.75</v>
      </c>
      <c r="V141" s="32" t="n">
        <v>157.28</v>
      </c>
      <c r="W141" s="32" t="n">
        <v>27.68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IF(B142=0,"",RANK(B142,$B$2:$B$253,0))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BODALCHEM</t>
        </is>
      </c>
      <c r="D142" s="31" t="inlineStr">
        <is>
          <t>Bodal Chemicals Limited</t>
        </is>
      </c>
      <c r="E142" s="31" t="inlineStr">
        <is>
          <t>chemicals</t>
        </is>
      </c>
      <c r="F142" s="31" t="inlineStr">
        <is>
          <t>dyes and pigments</t>
        </is>
      </c>
      <c r="G142" s="31" t="inlineStr">
        <is>
          <t>smallcap</t>
        </is>
      </c>
      <c r="H142" s="32" t="n">
        <v>2270.77</v>
      </c>
      <c r="I142" s="32" t="n">
        <v>186.57</v>
      </c>
      <c r="J142" s="32" t="n">
        <v>3.48</v>
      </c>
      <c r="K142" s="32" t="n">
        <v>564786</v>
      </c>
      <c r="L142" s="31" t="n">
        <v>99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81.15000000000001</v>
      </c>
      <c r="P142" s="32" t="n">
        <v>51.6</v>
      </c>
      <c r="Q142" s="32" t="n">
        <v>155.48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-9.92</v>
      </c>
      <c r="U142" s="32" t="n">
        <v>207.92</v>
      </c>
      <c r="V142" s="32" t="n">
        <v>241.85</v>
      </c>
      <c r="W142" s="32" t="n">
        <v>88.83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IF(B143=0,"",RANK(B143,$B$2:$B$253,0))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GREENPLY</t>
        </is>
      </c>
      <c r="D143" s="31" t="inlineStr">
        <is>
          <t>Greenply Industries Limited</t>
        </is>
      </c>
      <c r="E143" s="31" t="inlineStr">
        <is>
          <t>building materials</t>
        </is>
      </c>
      <c r="F143" s="31" t="inlineStr">
        <is>
          <t>miscellaneous</t>
        </is>
      </c>
      <c r="G143" s="31" t="inlineStr">
        <is>
          <t>smallcap</t>
        </is>
      </c>
      <c r="H143" s="32" t="n">
        <v>3852.6</v>
      </c>
      <c r="I143" s="32" t="n">
        <v>315.3</v>
      </c>
      <c r="J143" s="32" t="n">
        <v>2.22</v>
      </c>
      <c r="K143" s="32" t="n">
        <v>196749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61.43</v>
      </c>
      <c r="P143" s="32" t="n">
        <v>19.76</v>
      </c>
      <c r="Q143" s="32" t="n">
        <v>247.27</v>
      </c>
      <c r="R143" s="31" t="inlineStr">
        <is>
          <t>Near 52W High Breakout</t>
        </is>
      </c>
      <c r="S143" s="31" t="inlineStr">
        <is>
          <t>Nifty Infra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IF(B144=0,"",RANK(B144,$B$2:$B$253,0))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ALICON</t>
        </is>
      </c>
      <c r="D144" s="31" t="inlineStr">
        <is>
          <t>Alicon Castalloy Limited</t>
        </is>
      </c>
      <c r="E144" s="31" t="inlineStr">
        <is>
          <t>castings, forgings &amp; fasteners</t>
        </is>
      </c>
      <c r="F144" s="31" t="inlineStr">
        <is>
          <t>castings &amp; forgings</t>
        </is>
      </c>
      <c r="G144" s="31" t="inlineStr">
        <is>
          <t>smallcap</t>
        </is>
      </c>
      <c r="H144" s="32" t="n">
        <v>1393.28</v>
      </c>
      <c r="I144" s="32" t="n">
        <v>866.9</v>
      </c>
      <c r="J144" s="32" t="n">
        <v>2.11</v>
      </c>
      <c r="K144" s="32" t="n">
        <v>59587</v>
      </c>
      <c r="L144" s="31" t="n">
        <v>29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68.39</v>
      </c>
      <c r="P144" s="32" t="n">
        <v>22.33</v>
      </c>
      <c r="Q144" s="32" t="n">
        <v>666.02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-9.92</v>
      </c>
      <c r="U144" s="32" t="n">
        <v>2.34</v>
      </c>
      <c r="V144" s="32" t="n">
        <v>13.62</v>
      </c>
      <c r="W144" s="32" t="n">
        <v>9.56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Between 1.5 to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IF(B145=0,"",RANK(B145,$B$2:$B$253,0))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GANDHAR</t>
        </is>
      </c>
      <c r="D145" s="31" t="inlineStr">
        <is>
          <t>Gandhar Oil Refinery (India) Ltd</t>
        </is>
      </c>
      <c r="E145" s="31" t="inlineStr">
        <is>
          <t>energy</t>
        </is>
      </c>
      <c r="F145" s="31" t="inlineStr">
        <is>
          <t>refineries</t>
        </is>
      </c>
      <c r="G145" s="31" t="inlineStr">
        <is>
          <t>smallcap</t>
        </is>
      </c>
      <c r="H145" s="32" t="n">
        <v>2726.43</v>
      </c>
      <c r="I145" s="32" t="n">
        <v>282.5</v>
      </c>
      <c r="J145" s="32" t="n">
        <v>1.42</v>
      </c>
      <c r="K145" s="32" t="n">
        <v>417903</v>
      </c>
      <c r="L145" s="31" t="inlineStr"/>
      <c r="M145" s="31" t="inlineStr"/>
      <c r="N145" s="32">
        <f>IF(M145="Underperforming",-5,IF(L145&gt;=95,15,IF(L145&gt;=90,10,IF(L145&gt;=80,5,0))))</f>
        <v/>
      </c>
      <c r="O145" s="32" t="n">
        <v>69.39</v>
      </c>
      <c r="P145" s="32" t="n">
        <v>78.01000000000001</v>
      </c>
      <c r="Q145" s="32" t="n">
        <v>217.69</v>
      </c>
      <c r="R145" s="31" t="inlineStr">
        <is>
          <t>Near 52W High Breakout</t>
        </is>
      </c>
      <c r="S145" s="31" t="inlineStr">
        <is>
          <t>Nifty Energy</t>
        </is>
      </c>
      <c r="T145" s="32" t="inlineStr"/>
      <c r="U145" s="32" t="inlineStr"/>
      <c r="V145" s="32" t="inlineStr"/>
      <c r="W145" s="32" t="inlineStr"/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Oligopoly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Cyclical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Volatile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IF(B146=0,"",RANK(B146,$B$2:$B$253,0))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TDPOWERSYS</t>
        </is>
      </c>
      <c r="D146" s="31" t="inlineStr">
        <is>
          <t>Td Power Systems Limited</t>
        </is>
      </c>
      <c r="E146" s="31" t="inlineStr">
        <is>
          <t>industrials</t>
        </is>
      </c>
      <c r="F146" s="31" t="inlineStr">
        <is>
          <t>electric equipment</t>
        </is>
      </c>
      <c r="G146" s="31" t="inlineStr">
        <is>
          <t>midcap</t>
        </is>
      </c>
      <c r="H146" s="32" t="n">
        <v>12699.81</v>
      </c>
      <c r="I146" s="32" t="n">
        <v>816</v>
      </c>
      <c r="J146" s="32" t="n">
        <v>0.38</v>
      </c>
      <c r="K146" s="32" t="n">
        <v>2739151</v>
      </c>
      <c r="L146" s="31" t="n">
        <v>81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69.87</v>
      </c>
      <c r="P146" s="32" t="n">
        <v>19.23</v>
      </c>
      <c r="Q146" s="32" t="n">
        <v>591.59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-9.92</v>
      </c>
      <c r="U146" s="32" t="n">
        <v>172.42</v>
      </c>
      <c r="V146" s="32" t="n">
        <v>202.43</v>
      </c>
      <c r="W146" s="32" t="n">
        <v>31.63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IF(B147=0,"",RANK(B147,$B$2:$B$253,0))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ASHIANA</t>
        </is>
      </c>
      <c r="D147" s="31" t="inlineStr">
        <is>
          <t>Ashiana Housing Limited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smallcap</t>
        </is>
      </c>
      <c r="H147" s="32" t="n">
        <v>3856.13</v>
      </c>
      <c r="I147" s="32" t="n">
        <v>382.95</v>
      </c>
      <c r="J147" s="32" t="n">
        <v>-0.17</v>
      </c>
      <c r="K147" s="32" t="n">
        <v>29815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58.26</v>
      </c>
      <c r="P147" s="32" t="n">
        <v>32.08</v>
      </c>
      <c r="Q147" s="32" t="n">
        <v>306.41</v>
      </c>
      <c r="R147" s="31" t="inlineStr">
        <is>
          <t>Near 52W High Breakout</t>
        </is>
      </c>
      <c r="S147" s="31" t="inlineStr">
        <is>
          <t>Nifty Realty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IF(B148=0,"",RANK(B148,$B$2:$B$253,0))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JASH</t>
        </is>
      </c>
      <c r="D148" s="31" t="inlineStr">
        <is>
          <t>Jash Engineering Ltd</t>
        </is>
      </c>
      <c r="E148" s="31" t="inlineStr">
        <is>
          <t>industrials</t>
        </is>
      </c>
      <c r="F148" s="31" t="inlineStr">
        <is>
          <t>engineering</t>
        </is>
      </c>
      <c r="G148" s="31" t="inlineStr">
        <is>
          <t>smallcap</t>
        </is>
      </c>
      <c r="H148" s="32" t="n">
        <v>3779.62</v>
      </c>
      <c r="I148" s="32" t="n">
        <v>594.95</v>
      </c>
      <c r="J148" s="32" t="n">
        <v>-0.53</v>
      </c>
      <c r="K148" s="32" t="n">
        <v>176581</v>
      </c>
      <c r="L148" s="31" t="n">
        <v>23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68.08</v>
      </c>
      <c r="P148" s="32" t="n">
        <v>21.74</v>
      </c>
      <c r="Q148" s="32" t="n">
        <v>463.56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-9.92</v>
      </c>
      <c r="U148" s="32" t="n">
        <v>24.09</v>
      </c>
      <c r="V148" s="32" t="n">
        <v>37.76</v>
      </c>
      <c r="W148" s="32" t="n">
        <v>7.94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IF(B149=0,"",RANK(B149,$B$2:$B$253,0))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ATLANTAELE</t>
        </is>
      </c>
      <c r="D149" s="31" t="inlineStr">
        <is>
          <t>Atlanta Electricals Ltd</t>
        </is>
      </c>
      <c r="E149" s="31" t="inlineStr">
        <is>
          <t>industrials</t>
        </is>
      </c>
      <c r="F149" s="31" t="inlineStr">
        <is>
          <t>electric equipment</t>
        </is>
      </c>
      <c r="G149" s="31" t="inlineStr">
        <is>
          <t>midcap</t>
        </is>
      </c>
      <c r="H149" s="32" t="n">
        <v>14478.87</v>
      </c>
      <c r="I149" s="32" t="n">
        <v>1869.3</v>
      </c>
      <c r="J149" s="32" t="n">
        <v>-0.72</v>
      </c>
      <c r="K149" s="32" t="n">
        <v>339216</v>
      </c>
      <c r="L149" s="31" t="n">
        <v>57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59.49</v>
      </c>
      <c r="P149" s="32" t="n">
        <v>22.82</v>
      </c>
      <c r="Q149" s="32" t="n">
        <v>1313.27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-9.92</v>
      </c>
      <c r="U149" s="32" t="n">
        <v>107.43</v>
      </c>
      <c r="V149" s="32" t="n">
        <v>130.29</v>
      </c>
      <c r="W149" s="32" t="n">
        <v>20.09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IF(B150=0,"",RANK(B150,$B$2:$B$253,0))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SIGMAADV</t>
        </is>
      </c>
      <c r="D150" s="31" t="inlineStr">
        <is>
          <t>Sigma Advanced System Ltd</t>
        </is>
      </c>
      <c r="E150" s="31" t="inlineStr">
        <is>
          <t>aerospace &amp; defence</t>
        </is>
      </c>
      <c r="F150" s="31" t="inlineStr">
        <is>
          <t>electronics - components</t>
        </is>
      </c>
      <c r="G150" s="31" t="inlineStr">
        <is>
          <t>largecap</t>
        </is>
      </c>
      <c r="H150" s="32" t="n">
        <v>21424.44</v>
      </c>
      <c r="I150" s="32" t="n">
        <v>1119.4</v>
      </c>
      <c r="J150" s="32" t="n">
        <v>-0.99</v>
      </c>
      <c r="K150" s="32" t="n">
        <v>385103</v>
      </c>
      <c r="L150" s="31" t="n">
        <v>98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86.54000000000001</v>
      </c>
      <c r="P150" s="32" t="n">
        <v>63.12</v>
      </c>
      <c r="Q150" s="32" t="n">
        <v>851.33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-9.92</v>
      </c>
      <c r="U150" s="32" t="n">
        <v>608.12</v>
      </c>
      <c r="V150" s="32" t="n">
        <v>686.14</v>
      </c>
      <c r="W150" s="32" t="n">
        <v>84.83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IF(B151=0,"",RANK(B151,$B$2:$B$253,0))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BOSCH-HCIL</t>
        </is>
      </c>
      <c r="D151" s="31" t="inlineStr">
        <is>
          <t>Bosch Home Comfort India Ltd</t>
        </is>
      </c>
      <c r="E151" s="31" t="inlineStr">
        <is>
          <t>consumer discretionary</t>
        </is>
      </c>
      <c r="F151" s="31" t="inlineStr">
        <is>
          <t>air-conditioners</t>
        </is>
      </c>
      <c r="G151" s="31" t="inlineStr">
        <is>
          <t>midcap</t>
        </is>
      </c>
      <c r="H151" s="32" t="n">
        <v>5433.28</v>
      </c>
      <c r="I151" s="32" t="n">
        <v>1976.9</v>
      </c>
      <c r="J151" s="32" t="n">
        <v>-1.07</v>
      </c>
      <c r="K151" s="32" t="n">
        <v>35164</v>
      </c>
      <c r="L151" s="31" t="n">
        <v>41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72.23999999999999</v>
      </c>
      <c r="P151" s="32" t="n">
        <v>39.88</v>
      </c>
      <c r="Q151" s="32" t="n">
        <v>1594.14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-9.92</v>
      </c>
      <c r="U151" s="32" t="n">
        <v>14.39</v>
      </c>
      <c r="V151" s="32" t="n">
        <v>26.99</v>
      </c>
      <c r="W151" s="32" t="n">
        <v>14.01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IF(B152=0,"",RANK(B152,$B$2:$B$253,0))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KILITCH</t>
        </is>
      </c>
      <c r="D152" s="31" t="inlineStr">
        <is>
          <t>Kilitch Drugs (india) Limited</t>
        </is>
      </c>
      <c r="E152" s="31" t="inlineStr">
        <is>
          <t>healthcare</t>
        </is>
      </c>
      <c r="F152" s="31" t="inlineStr">
        <is>
          <t>pharmaceuticals - indian - formulations</t>
        </is>
      </c>
      <c r="G152" s="31" t="inlineStr">
        <is>
          <t>smallcap</t>
        </is>
      </c>
      <c r="H152" s="32" t="n">
        <v>817.1900000000001</v>
      </c>
      <c r="I152" s="32" t="n">
        <v>260.7</v>
      </c>
      <c r="J152" s="32" t="n">
        <v>11.53</v>
      </c>
      <c r="K152" s="32" t="n">
        <v>661834</v>
      </c>
      <c r="L152" s="31" t="n">
        <v>56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74.05</v>
      </c>
      <c r="P152" s="32" t="n">
        <v>28.84</v>
      </c>
      <c r="Q152" s="32" t="n">
        <v>197.12</v>
      </c>
      <c r="R152" s="31" t="inlineStr">
        <is>
          <t>Volume Spike &amp; Near 52W High Breakout</t>
        </is>
      </c>
      <c r="S152" s="31" t="inlineStr">
        <is>
          <t>Nifty Pharma</t>
        </is>
      </c>
      <c r="T152" s="32" t="n">
        <v>19.49</v>
      </c>
      <c r="U152" s="32" t="n">
        <v>44.33</v>
      </c>
      <c r="V152" s="32" t="n">
        <v>20.79</v>
      </c>
      <c r="W152" s="32" t="n">
        <v>19.39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IF(B153=0,"",RANK(B153,$B$2:$B$253,0))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ADFFOODS</t>
        </is>
      </c>
      <c r="D153" s="31" t="inlineStr">
        <is>
          <t>Adf Foods Limited</t>
        </is>
      </c>
      <c r="E153" s="31" t="inlineStr">
        <is>
          <t>fmcg</t>
        </is>
      </c>
      <c r="F153" s="31" t="inlineStr">
        <is>
          <t>food - processing - indian</t>
        </is>
      </c>
      <c r="G153" s="31" t="inlineStr">
        <is>
          <t>smallcap</t>
        </is>
      </c>
      <c r="H153" s="32" t="n">
        <v>3099.8</v>
      </c>
      <c r="I153" s="32" t="n">
        <v>293.1</v>
      </c>
      <c r="J153" s="32" t="n">
        <v>3.88</v>
      </c>
      <c r="K153" s="32" t="n">
        <v>487913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58.87</v>
      </c>
      <c r="P153" s="32" t="n">
        <v>27.28</v>
      </c>
      <c r="Q153" s="32" t="n">
        <v>243.4</v>
      </c>
      <c r="R153" s="31" t="inlineStr">
        <is>
          <t>Earnings / Momentum Support</t>
        </is>
      </c>
      <c r="S153" s="31" t="inlineStr">
        <is>
          <t>Nifty FMCG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Between 12 to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IF(B154=0,"",RANK(B154,$B$2:$B$253,0))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MANKIND</t>
        </is>
      </c>
      <c r="D154" s="33" t="inlineStr">
        <is>
          <t>Mankind Pharma Ltd</t>
        </is>
      </c>
      <c r="E154" s="31" t="inlineStr">
        <is>
          <t>healthcare</t>
        </is>
      </c>
      <c r="F154" s="31" t="inlineStr">
        <is>
          <t>pharmaceuticals - indian - bulk drugs &amp; formln</t>
        </is>
      </c>
      <c r="G154" s="31" t="inlineStr">
        <is>
          <t>largecap</t>
        </is>
      </c>
      <c r="H154" s="32" t="n">
        <v>102381.7</v>
      </c>
      <c r="I154" s="32" t="n">
        <v>2500</v>
      </c>
      <c r="J154" s="32" t="n">
        <v>0.85</v>
      </c>
      <c r="K154" s="32" t="n">
        <v>297524</v>
      </c>
      <c r="L154" s="31" t="n">
        <v>5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58.23</v>
      </c>
      <c r="P154" s="32" t="n">
        <v>21.67</v>
      </c>
      <c r="Q154" s="32" t="n">
        <v>2162.18</v>
      </c>
      <c r="R154" s="31" t="inlineStr">
        <is>
          <t>Near 52W High Breakout</t>
        </is>
      </c>
      <c r="S154" s="31" t="inlineStr">
        <is>
          <t>Nifty Pharma</t>
        </is>
      </c>
      <c r="T154" s="32" t="n">
        <v>19.49</v>
      </c>
      <c r="U154" s="32" t="n">
        <v>1.63</v>
      </c>
      <c r="V154" s="32" t="n">
        <v>-14.95</v>
      </c>
      <c r="W154" s="32" t="n">
        <v>0.68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Between 1.5 to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IF(B155=0,"",RANK(B155,$B$2:$B$253,0))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NEOGEN</t>
        </is>
      </c>
      <c r="D155" s="31" t="inlineStr">
        <is>
          <t>Neogen Chemicals Ltd</t>
        </is>
      </c>
      <c r="E155" s="31" t="inlineStr">
        <is>
          <t>chemicals</t>
        </is>
      </c>
      <c r="F155" s="31" t="inlineStr">
        <is>
          <t>chemicals</t>
        </is>
      </c>
      <c r="G155" s="31" t="inlineStr">
        <is>
          <t>midcap</t>
        </is>
      </c>
      <c r="H155" s="32" t="n">
        <v>6943.41</v>
      </c>
      <c r="I155" s="32" t="n">
        <v>2429.2</v>
      </c>
      <c r="J155" s="32" t="n">
        <v>5.11</v>
      </c>
      <c r="K155" s="32" t="n">
        <v>91934</v>
      </c>
      <c r="L155" s="31" t="n">
        <v>46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68.08</v>
      </c>
      <c r="P155" s="32" t="n">
        <v>59.45</v>
      </c>
      <c r="Q155" s="32" t="n">
        <v>1899.53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-9.92</v>
      </c>
      <c r="U155" s="32" t="n">
        <v>60.91</v>
      </c>
      <c r="V155" s="32" t="n">
        <v>78.64</v>
      </c>
      <c r="W155" s="32" t="n">
        <v>16.29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IF(B156=0,"",RANK(B156,$B$2:$B$253,0))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STLNETWORK</t>
        </is>
      </c>
      <c r="D156" s="31" t="inlineStr">
        <is>
          <t>STL Networks Ltd</t>
        </is>
      </c>
      <c r="E156" s="31" t="inlineStr">
        <is>
          <t>telecom-service</t>
        </is>
      </c>
      <c r="F156" s="31" t="inlineStr">
        <is>
          <t>telecommunications - service provider</t>
        </is>
      </c>
      <c r="G156" s="31" t="inlineStr">
        <is>
          <t>smallcap</t>
        </is>
      </c>
      <c r="H156" s="32" t="n">
        <v>2188.54</v>
      </c>
      <c r="I156" s="32" t="n">
        <v>47.08</v>
      </c>
      <c r="J156" s="32" t="n">
        <v>5</v>
      </c>
      <c r="K156" s="32" t="n">
        <v>6587304</v>
      </c>
      <c r="L156" s="31" t="n">
        <v>82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70.81999999999999</v>
      </c>
      <c r="P156" s="32" t="n">
        <v>37.67</v>
      </c>
      <c r="Q156" s="32" t="n">
        <v>42.07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-9.92</v>
      </c>
      <c r="U156" s="32" t="n">
        <v>64.09999999999999</v>
      </c>
      <c r="V156" s="32" t="n">
        <v>82.18000000000001</v>
      </c>
      <c r="W156" s="32" t="n">
        <v>32.34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Oligopoly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Between 0.7 to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IF(B157=0,"",RANK(B157,$B$2:$B$253,0))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MODISONLTD</t>
        </is>
      </c>
      <c r="D157" s="31" t="inlineStr">
        <is>
          <t>Modison Ltd</t>
        </is>
      </c>
      <c r="E157" s="31" t="inlineStr">
        <is>
          <t>industrials</t>
        </is>
      </c>
      <c r="F157" s="31" t="inlineStr">
        <is>
          <t>electric equipment</t>
        </is>
      </c>
      <c r="G157" s="31" t="inlineStr">
        <is>
          <t>smallcap</t>
        </is>
      </c>
      <c r="H157" s="32" t="n">
        <v>1518.5</v>
      </c>
      <c r="I157" s="32" t="n">
        <v>491.3</v>
      </c>
      <c r="J157" s="32" t="n">
        <v>4.99</v>
      </c>
      <c r="K157" s="32" t="n">
        <v>57126</v>
      </c>
      <c r="L157" s="31" t="n">
        <v>94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73.43000000000001</v>
      </c>
      <c r="P157" s="32" t="n">
        <v>56.64</v>
      </c>
      <c r="Q157" s="32" t="n">
        <v>360.06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-9.92</v>
      </c>
      <c r="U157" s="32" t="n">
        <v>210.06</v>
      </c>
      <c r="V157" s="32" t="n">
        <v>244.22</v>
      </c>
      <c r="W157" s="32" t="n">
        <v>46.64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IF(B158=0,"",RANK(B158,$B$2:$B$253,0))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MMP</t>
        </is>
      </c>
      <c r="D158" s="31" t="inlineStr">
        <is>
          <t>MMP Industries Ltd</t>
        </is>
      </c>
      <c r="E158" s="31" t="inlineStr">
        <is>
          <t>metals &amp; mining</t>
        </is>
      </c>
      <c r="F158" s="31" t="inlineStr">
        <is>
          <t>aluminium and aluminium products</t>
        </is>
      </c>
      <c r="G158" s="31" t="inlineStr">
        <is>
          <t>smallcap</t>
        </is>
      </c>
      <c r="H158" s="32" t="n">
        <v>1188.97</v>
      </c>
      <c r="I158" s="32" t="n">
        <v>480.55</v>
      </c>
      <c r="J158" s="32" t="n">
        <v>2.67</v>
      </c>
      <c r="K158" s="32" t="n">
        <v>51091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80.38</v>
      </c>
      <c r="P158" s="32" t="n">
        <v>61.77</v>
      </c>
      <c r="Q158" s="32" t="n">
        <v>359.86</v>
      </c>
      <c r="R158" s="31" t="inlineStr">
        <is>
          <t>Near 52W High Breakout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IF(B159=0,"",RANK(B159,$B$2:$B$253,0))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RAYMONDREL</t>
        </is>
      </c>
      <c r="D159" s="31" t="inlineStr">
        <is>
          <t>Raymond Realty Ltd</t>
        </is>
      </c>
      <c r="E159" s="31" t="inlineStr">
        <is>
          <t>realty</t>
        </is>
      </c>
      <c r="F159" s="31" t="inlineStr">
        <is>
          <t>construction</t>
        </is>
      </c>
      <c r="G159" s="31" t="inlineStr">
        <is>
          <t>smallcap</t>
        </is>
      </c>
      <c r="H159" s="32" t="n">
        <v>4605.9</v>
      </c>
      <c r="I159" s="32" t="n">
        <v>707.8</v>
      </c>
      <c r="J159" s="32" t="n">
        <v>2.31</v>
      </c>
      <c r="K159" s="32" t="n">
        <v>2765917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59.07</v>
      </c>
      <c r="P159" s="32" t="n">
        <v>29.89</v>
      </c>
      <c r="Q159" s="32" t="n">
        <v>490.87</v>
      </c>
      <c r="R159" s="31" t="inlineStr">
        <is>
          <t>Near 52W High Breakout</t>
        </is>
      </c>
      <c r="S159" s="31" t="inlineStr">
        <is>
          <t>Nifty Realty</t>
        </is>
      </c>
      <c r="T159" s="32" t="inlineStr"/>
      <c r="U159" s="32" t="inlineStr"/>
      <c r="V159" s="32" t="inlineStr"/>
      <c r="W159" s="32" t="inlineStr"/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IF(B160=0,"",RANK(B160,$B$2:$B$253,0))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BIL</t>
        </is>
      </c>
      <c r="D160" s="31" t="inlineStr">
        <is>
          <t>Bhartiya International Limited</t>
        </is>
      </c>
      <c r="E160" s="31" t="inlineStr">
        <is>
          <t>consumer discretionary</t>
        </is>
      </c>
      <c r="F160" s="31" t="inlineStr">
        <is>
          <t>leather / leather products</t>
        </is>
      </c>
      <c r="G160" s="31" t="inlineStr">
        <is>
          <t>smallcap</t>
        </is>
      </c>
      <c r="H160" s="32" t="n">
        <v>1436.46</v>
      </c>
      <c r="I160" s="32" t="n">
        <v>1092.85</v>
      </c>
      <c r="J160" s="32" t="n">
        <v>2.03</v>
      </c>
      <c r="K160" s="32" t="n">
        <v>27873</v>
      </c>
      <c r="L160" s="31" t="n">
        <v>53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70.38</v>
      </c>
      <c r="P160" s="32" t="n">
        <v>31.89</v>
      </c>
      <c r="Q160" s="32" t="n">
        <v>811.4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-9.92</v>
      </c>
      <c r="U160" s="32" t="n">
        <v>37.05</v>
      </c>
      <c r="V160" s="32" t="n">
        <v>52.15</v>
      </c>
      <c r="W160" s="32" t="n">
        <v>18.55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IF(B161=0,"",RANK(B161,$B$2:$B$253,0))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ORIENTHOT</t>
        </is>
      </c>
      <c r="D161" s="31" t="inlineStr">
        <is>
          <t>Oriental Hotels Limited</t>
        </is>
      </c>
      <c r="E161" s="31" t="inlineStr">
        <is>
          <t>services</t>
        </is>
      </c>
      <c r="F161" s="31" t="inlineStr">
        <is>
          <t>hotels</t>
        </is>
      </c>
      <c r="G161" s="31" t="inlineStr">
        <is>
          <t>smallcap</t>
        </is>
      </c>
      <c r="H161" s="32" t="n">
        <v>2515.93</v>
      </c>
      <c r="I161" s="32" t="n">
        <v>143.61</v>
      </c>
      <c r="J161" s="32" t="n">
        <v>1.95</v>
      </c>
      <c r="K161" s="32" t="n">
        <v>869875</v>
      </c>
      <c r="L161" s="31" t="n">
        <v>16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63.55</v>
      </c>
      <c r="P161" s="32" t="n">
        <v>39.37</v>
      </c>
      <c r="Q161" s="32" t="n">
        <v>111.46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-9.92</v>
      </c>
      <c r="U161" s="32" t="n">
        <v>11.99</v>
      </c>
      <c r="V161" s="32" t="n">
        <v>24.33</v>
      </c>
      <c r="W161" s="32" t="n">
        <v>5.36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IF(B162=0,"",RANK(B162,$B$2:$B$253,0))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GRINDWELL</t>
        </is>
      </c>
      <c r="D162" s="31" t="inlineStr">
        <is>
          <t>Grindwell Norton Limited</t>
        </is>
      </c>
      <c r="E162" s="31" t="inlineStr">
        <is>
          <t>industrials</t>
        </is>
      </c>
      <c r="F162" s="31" t="inlineStr">
        <is>
          <t>abrasives and grinding wheels</t>
        </is>
      </c>
      <c r="G162" s="31" t="inlineStr">
        <is>
          <t>largecap</t>
        </is>
      </c>
      <c r="H162" s="32" t="n">
        <v>22190.5</v>
      </c>
      <c r="I162" s="32" t="n">
        <v>2033.1</v>
      </c>
      <c r="J162" s="32" t="n">
        <v>1.44</v>
      </c>
      <c r="K162" s="32" t="n">
        <v>40139</v>
      </c>
      <c r="L162" s="31" t="n">
        <v>12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56.92</v>
      </c>
      <c r="P162" s="32" t="n">
        <v>43.61</v>
      </c>
      <c r="Q162" s="32" t="n">
        <v>1754.36</v>
      </c>
      <c r="R162" s="31" t="inlineStr">
        <is>
          <t>Earnings / Momentum Support</t>
        </is>
      </c>
      <c r="S162" s="31" t="inlineStr">
        <is>
          <t>Nifty 50</t>
        </is>
      </c>
      <c r="T162" s="32" t="n">
        <v>-9.92</v>
      </c>
      <c r="U162" s="32" t="n">
        <v>21.82</v>
      </c>
      <c r="V162" s="32" t="n">
        <v>35.24</v>
      </c>
      <c r="W162" s="32" t="n">
        <v>4.76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IF(B163=0,"",RANK(B163,$B$2:$B$253,0))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DYNAMATECH</t>
        </is>
      </c>
      <c r="D163" s="31" t="inlineStr">
        <is>
          <t>Dynamatic Technologies Limited</t>
        </is>
      </c>
      <c r="E163" s="31" t="inlineStr">
        <is>
          <t>aerospace &amp; defence</t>
        </is>
      </c>
      <c r="F163" s="31" t="inlineStr">
        <is>
          <t>engineering</t>
        </is>
      </c>
      <c r="G163" s="31" t="inlineStr">
        <is>
          <t>midcap</t>
        </is>
      </c>
      <c r="H163" s="32" t="n">
        <v>9678.49</v>
      </c>
      <c r="I163" s="32" t="n">
        <v>14279</v>
      </c>
      <c r="J163" s="32" t="n">
        <v>0.2</v>
      </c>
      <c r="K163" s="32" t="n">
        <v>25746</v>
      </c>
      <c r="L163" s="31" t="n">
        <v>58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73.09</v>
      </c>
      <c r="P163" s="32" t="n">
        <v>32.59</v>
      </c>
      <c r="Q163" s="32" t="n">
        <v>11169.01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-9.92</v>
      </c>
      <c r="U163" s="32" t="n">
        <v>83.36</v>
      </c>
      <c r="V163" s="32" t="n">
        <v>103.56</v>
      </c>
      <c r="W163" s="32" t="n">
        <v>20.24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IF(B164=0,"",RANK(B164,$B$2:$B$253,0))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MUKANDLTD</t>
        </is>
      </c>
      <c r="D164" s="31" t="inlineStr">
        <is>
          <t>Mukand Limited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smallcap</t>
        </is>
      </c>
      <c r="H164" s="32" t="n">
        <v>2632.71</v>
      </c>
      <c r="I164" s="32" t="n">
        <v>181.55</v>
      </c>
      <c r="J164" s="32" t="n">
        <v>-0.36</v>
      </c>
      <c r="K164" s="32" t="n">
        <v>476026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74.40000000000001</v>
      </c>
      <c r="P164" s="32" t="n">
        <v>42.94</v>
      </c>
      <c r="Q164" s="32" t="n">
        <v>144.13</v>
      </c>
      <c r="R164" s="31" t="inlineStr">
        <is>
          <t>Near 52W High Breakout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IF(B165=0,"",RANK(B165,$B$2:$B$253,0))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GANDHITUBE</t>
        </is>
      </c>
      <c r="D165" s="31" t="inlineStr">
        <is>
          <t>Gandhi Special Tubes Limited</t>
        </is>
      </c>
      <c r="E165" s="31" t="inlineStr">
        <is>
          <t>metals &amp; mining</t>
        </is>
      </c>
      <c r="F165" s="31" t="inlineStr">
        <is>
          <t>steel - medium / small</t>
        </is>
      </c>
      <c r="G165" s="31" t="inlineStr">
        <is>
          <t>smallcap</t>
        </is>
      </c>
      <c r="H165" s="32" t="n">
        <v>1121.28</v>
      </c>
      <c r="I165" s="32" t="n">
        <v>981.5</v>
      </c>
      <c r="J165" s="32" t="n">
        <v>-1.23</v>
      </c>
      <c r="K165" s="32" t="n">
        <v>6439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70.47</v>
      </c>
      <c r="P165" s="32" t="n">
        <v>38.31</v>
      </c>
      <c r="Q165" s="32" t="n">
        <v>814.6900000000001</v>
      </c>
      <c r="R165" s="31" t="inlineStr">
        <is>
          <t>Near 52W High Breakout</t>
        </is>
      </c>
      <c r="S165" s="31" t="inlineStr">
        <is>
          <t>Nifty Metal</t>
        </is>
      </c>
      <c r="T165" s="32" t="inlineStr"/>
      <c r="U165" s="32" t="inlineStr"/>
      <c r="V165" s="32" t="inlineStr"/>
      <c r="W165" s="32" t="inlineStr"/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IF(B166=0,"",RANK(B166,$B$2:$B$253,0))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SAMBHV</t>
        </is>
      </c>
      <c r="D166" s="31" t="inlineStr">
        <is>
          <t>Sambhv Steel Tubes Ltd</t>
        </is>
      </c>
      <c r="E166" s="31" t="inlineStr">
        <is>
          <t>metals &amp; mining</t>
        </is>
      </c>
      <c r="F166" s="31" t="inlineStr">
        <is>
          <t>steel - medium / small</t>
        </is>
      </c>
      <c r="G166" s="31" t="inlineStr">
        <is>
          <t>smallcap</t>
        </is>
      </c>
      <c r="H166" s="32" t="n">
        <v>4852.06</v>
      </c>
      <c r="I166" s="32" t="n">
        <v>162.19</v>
      </c>
      <c r="J166" s="32" t="n">
        <v>-1.5</v>
      </c>
      <c r="K166" s="32" t="n">
        <v>1575550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79.2</v>
      </c>
      <c r="P166" s="32" t="n">
        <v>49.27</v>
      </c>
      <c r="Q166" s="32" t="n">
        <v>127.12</v>
      </c>
      <c r="R166" s="31" t="inlineStr">
        <is>
          <t>Near 52W High Breakout</t>
        </is>
      </c>
      <c r="S166" s="31" t="inlineStr">
        <is>
          <t>Nifty Metal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IF(B167=0,"",RANK(B167,$B$2:$B$253,0))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GESHIP</t>
        </is>
      </c>
      <c r="D167" s="31" t="inlineStr">
        <is>
          <t>The Great Eastern Shipping Company Limited</t>
        </is>
      </c>
      <c r="E167" s="31" t="inlineStr">
        <is>
          <t>transportation</t>
        </is>
      </c>
      <c r="F167" s="31" t="inlineStr">
        <is>
          <t>shipping</t>
        </is>
      </c>
      <c r="G167" s="31" t="inlineStr">
        <is>
          <t>largecap</t>
        </is>
      </c>
      <c r="H167" s="32" t="n">
        <v>22261.68</v>
      </c>
      <c r="I167" s="32" t="n">
        <v>1532.6</v>
      </c>
      <c r="J167" s="32" t="n">
        <v>-1.71</v>
      </c>
      <c r="K167" s="32" t="n">
        <v>740133</v>
      </c>
      <c r="L167" s="31" t="n">
        <v>33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61.43</v>
      </c>
      <c r="P167" s="32" t="n">
        <v>25.84</v>
      </c>
      <c r="Q167" s="32" t="n">
        <v>1221.55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-9.92</v>
      </c>
      <c r="U167" s="32" t="n">
        <v>50.61</v>
      </c>
      <c r="V167" s="32" t="n">
        <v>67.20999999999999</v>
      </c>
      <c r="W167" s="32" t="n">
        <v>10.74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IF(B168=0,"",RANK(B168,$B$2:$B$253,0))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EMIL</t>
        </is>
      </c>
      <c r="D168" s="31" t="inlineStr">
        <is>
          <t>Electronics Mart India Ltd</t>
        </is>
      </c>
      <c r="E168" s="31" t="inlineStr">
        <is>
          <t>consumer discretionary</t>
        </is>
      </c>
      <c r="F168" s="31" t="inlineStr">
        <is>
          <t>trading</t>
        </is>
      </c>
      <c r="G168" s="31" t="inlineStr">
        <is>
          <t>midcap</t>
        </is>
      </c>
      <c r="H168" s="32" t="n">
        <v>7891.2</v>
      </c>
      <c r="I168" s="32" t="n">
        <v>201.42</v>
      </c>
      <c r="J168" s="32" t="n">
        <v>-1.79</v>
      </c>
      <c r="K168" s="32" t="n">
        <v>6266534</v>
      </c>
      <c r="L168" s="31" t="n">
        <v>60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73.23999999999999</v>
      </c>
      <c r="P168" s="32" t="n">
        <v>45.83</v>
      </c>
      <c r="Q168" s="32" t="n">
        <v>155.11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-9.92</v>
      </c>
      <c r="U168" s="32" t="n">
        <v>39.81</v>
      </c>
      <c r="V168" s="32" t="n">
        <v>55.21</v>
      </c>
      <c r="W168" s="32" t="n">
        <v>20.94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IF(B169=0,"",RANK(B169,$B$2:$B$253,0))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PARAGMILK</t>
        </is>
      </c>
      <c r="D169" s="31" t="inlineStr">
        <is>
          <t>Parag Milk Foods Limited</t>
        </is>
      </c>
      <c r="E169" s="31" t="inlineStr">
        <is>
          <t>fmcg</t>
        </is>
      </c>
      <c r="F169" s="31" t="inlineStr">
        <is>
          <t>food - processing - indian</t>
        </is>
      </c>
      <c r="G169" s="31" t="inlineStr">
        <is>
          <t>smallcap</t>
        </is>
      </c>
      <c r="H169" s="32" t="n">
        <v>3529.63</v>
      </c>
      <c r="I169" s="32" t="n">
        <v>308.7</v>
      </c>
      <c r="J169" s="32" t="n">
        <v>9.859999999999999</v>
      </c>
      <c r="K169" s="32" t="n">
        <v>7377044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73.40000000000001</v>
      </c>
      <c r="P169" s="32" t="n">
        <v>22.6</v>
      </c>
      <c r="Q169" s="32" t="n">
        <v>236.03</v>
      </c>
      <c r="R169" s="31" t="inlineStr">
        <is>
          <t>Earnings / Momentum Support</t>
        </is>
      </c>
      <c r="S169" s="31" t="inlineStr">
        <is>
          <t>Nifty FMCG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IF(B170=0,"",RANK(B170,$B$2:$B$253,0))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BAJAJHIND</t>
        </is>
      </c>
      <c r="D170" s="31" t="inlineStr">
        <is>
          <t>Bajaj Hindusthan Sugar Limited</t>
        </is>
      </c>
      <c r="E170" s="31" t="inlineStr">
        <is>
          <t>fmcg</t>
        </is>
      </c>
      <c r="F170" s="31" t="inlineStr">
        <is>
          <t>sugar</t>
        </is>
      </c>
      <c r="G170" s="31" t="inlineStr">
        <is>
          <t>smallcap</t>
        </is>
      </c>
      <c r="H170" s="32" t="n">
        <v>4771.77</v>
      </c>
      <c r="I170" s="32" t="n">
        <v>21.33</v>
      </c>
      <c r="J170" s="32" t="n">
        <v>6.86</v>
      </c>
      <c r="K170" s="32" t="n">
        <v>31059329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56.8</v>
      </c>
      <c r="P170" s="32" t="n">
        <v>25.81</v>
      </c>
      <c r="Q170" s="32" t="n">
        <v>16.78</v>
      </c>
      <c r="R170" s="31" t="inlineStr">
        <is>
          <t>Earnings / Momentum Support</t>
        </is>
      </c>
      <c r="S170" s="31" t="inlineStr">
        <is>
          <t>Nifty FMCG</t>
        </is>
      </c>
      <c r="T170" s="32" t="inlineStr"/>
      <c r="U170" s="32" t="inlineStr"/>
      <c r="V170" s="32" t="inlineStr"/>
      <c r="W170" s="32" t="inlineStr"/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B2C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IF(B171=0,"",RANK(B171,$B$2:$B$253,0))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DHAMPURSUG</t>
        </is>
      </c>
      <c r="D171" s="31" t="inlineStr">
        <is>
          <t>Dhampur Sugar Mills Limited</t>
        </is>
      </c>
      <c r="E171" s="31" t="inlineStr">
        <is>
          <t>fmcg</t>
        </is>
      </c>
      <c r="F171" s="31" t="inlineStr">
        <is>
          <t>sugar</t>
        </is>
      </c>
      <c r="G171" s="31" t="inlineStr">
        <is>
          <t>smallcap</t>
        </is>
      </c>
      <c r="H171" s="32" t="n">
        <v>1137.26</v>
      </c>
      <c r="I171" s="32" t="n">
        <v>188.81</v>
      </c>
      <c r="J171" s="32" t="n">
        <v>6.76</v>
      </c>
      <c r="K171" s="32" t="n">
        <v>3999385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66.75</v>
      </c>
      <c r="P171" s="32" t="n">
        <v>25.69</v>
      </c>
      <c r="Q171" s="32" t="n">
        <v>141.01</v>
      </c>
      <c r="R171" s="31" t="inlineStr">
        <is>
          <t>Near 52W High Breakout</t>
        </is>
      </c>
      <c r="S171" s="31" t="inlineStr">
        <is>
          <t>Nifty FMCG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B2C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IF(B172=0,"",RANK(B172,$B$2:$B$253,0))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MANORAMA</t>
        </is>
      </c>
      <c r="D172" s="31" t="inlineStr">
        <is>
          <t>Manorama Industries Ltd</t>
        </is>
      </c>
      <c r="E172" s="31" t="inlineStr">
        <is>
          <t>fmcg</t>
        </is>
      </c>
      <c r="F172" s="31" t="inlineStr">
        <is>
          <t>food - processing - indian</t>
        </is>
      </c>
      <c r="G172" s="31" t="inlineStr">
        <is>
          <t>midcap</t>
        </is>
      </c>
      <c r="H172" s="32" t="n">
        <v>11612.71</v>
      </c>
      <c r="I172" s="32" t="n">
        <v>1985.6</v>
      </c>
      <c r="J172" s="32" t="n">
        <v>2.09</v>
      </c>
      <c r="K172" s="32" t="n">
        <v>207581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66.87</v>
      </c>
      <c r="P172" s="32" t="n">
        <v>31.37</v>
      </c>
      <c r="Q172" s="32" t="n">
        <v>1631.36</v>
      </c>
      <c r="R172" s="31" t="inlineStr">
        <is>
          <t>Near 52W High Breakout</t>
        </is>
      </c>
      <c r="S172" s="31" t="inlineStr">
        <is>
          <t>Nifty FMCG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IF(B173=0,"",RANK(B173,$B$2:$B$253,0))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UGARSUGAR</t>
        </is>
      </c>
      <c r="D173" s="31" t="inlineStr">
        <is>
          <t>The Ugar Sugar Works Limited</t>
        </is>
      </c>
      <c r="E173" s="31" t="inlineStr">
        <is>
          <t>fmcg</t>
        </is>
      </c>
      <c r="F173" s="31" t="inlineStr">
        <is>
          <t>sugar</t>
        </is>
      </c>
      <c r="G173" s="31" t="inlineStr">
        <is>
          <t>smallcap</t>
        </is>
      </c>
      <c r="H173" s="32" t="n">
        <v>661.95</v>
      </c>
      <c r="I173" s="32" t="n">
        <v>59.26</v>
      </c>
      <c r="J173" s="32" t="n">
        <v>0.71</v>
      </c>
      <c r="K173" s="32" t="n">
        <v>228982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66.04000000000001</v>
      </c>
      <c r="P173" s="32" t="n">
        <v>39.67</v>
      </c>
      <c r="Q173" s="32" t="n">
        <v>44.96</v>
      </c>
      <c r="R173" s="31" t="inlineStr">
        <is>
          <t>Earnings / Momentum Support</t>
        </is>
      </c>
      <c r="S173" s="31" t="inlineStr">
        <is>
          <t>Nifty FMCG</t>
        </is>
      </c>
      <c r="T173" s="32" t="inlineStr"/>
      <c r="U173" s="32" t="inlineStr"/>
      <c r="V173" s="32" t="inlineStr"/>
      <c r="W173" s="32" t="inlineStr"/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B2C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IF(B174=0,"",RANK(B174,$B$2:$B$253,0))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ONEPOINT</t>
        </is>
      </c>
      <c r="D174" s="31" t="inlineStr">
        <is>
          <t>One Point One Solutions Ltd</t>
        </is>
      </c>
      <c r="E174" s="31" t="inlineStr">
        <is>
          <t>i.t</t>
        </is>
      </c>
      <c r="F174" s="31" t="inlineStr">
        <is>
          <t>computers - software - medium / small</t>
        </is>
      </c>
      <c r="G174" s="31" t="inlineStr">
        <is>
          <t>smallcap</t>
        </is>
      </c>
      <c r="H174" s="32" t="n">
        <v>2059.58</v>
      </c>
      <c r="I174" s="32" t="n">
        <v>78.65000000000001</v>
      </c>
      <c r="J174" s="32" t="n">
        <v>0.41</v>
      </c>
      <c r="K174" s="32" t="n">
        <v>1960862</v>
      </c>
      <c r="L174" s="31" t="n">
        <v>57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75.51000000000001</v>
      </c>
      <c r="P174" s="32" t="n">
        <v>19.2</v>
      </c>
      <c r="Q174" s="32" t="n">
        <v>62.04</v>
      </c>
      <c r="R174" s="31" t="inlineStr">
        <is>
          <t>Near 52W High Breakout</t>
        </is>
      </c>
      <c r="S174" s="31" t="inlineStr">
        <is>
          <t>Nifty IT</t>
        </is>
      </c>
      <c r="T174" s="32" t="n">
        <v>-20.99</v>
      </c>
      <c r="U174" s="32" t="n">
        <v>58.22</v>
      </c>
      <c r="V174" s="32" t="n">
        <v>100.24</v>
      </c>
      <c r="W174" s="32" t="n">
        <v>20.16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IF(B175=0,"",RANK(B175,$B$2:$B$253,0))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AXISCADES</t>
        </is>
      </c>
      <c r="D175" s="31" t="inlineStr">
        <is>
          <t>AXISCADES Technologies Ltd</t>
        </is>
      </c>
      <c r="E175" s="31" t="inlineStr">
        <is>
          <t>aerospace &amp; defence</t>
        </is>
      </c>
      <c r="F175" s="31" t="inlineStr">
        <is>
          <t>computers - software - medium / small</t>
        </is>
      </c>
      <c r="G175" s="31" t="inlineStr">
        <is>
          <t>midcap</t>
        </is>
      </c>
      <c r="H175" s="32" t="n">
        <v>9706.85</v>
      </c>
      <c r="I175" s="32" t="n">
        <v>2288.5</v>
      </c>
      <c r="J175" s="32" t="n">
        <v>0.27</v>
      </c>
      <c r="K175" s="32" t="n">
        <v>141367</v>
      </c>
      <c r="L175" s="31" t="n">
        <v>49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70.40000000000001</v>
      </c>
      <c r="P175" s="32" t="n">
        <v>15.25</v>
      </c>
      <c r="Q175" s="32" t="n">
        <v>1722.45</v>
      </c>
      <c r="R175" s="31" t="inlineStr">
        <is>
          <t>Near 52W High Breakout</t>
        </is>
      </c>
      <c r="S175" s="31" t="inlineStr">
        <is>
          <t>Nifty IT</t>
        </is>
      </c>
      <c r="T175" s="32" t="n">
        <v>-20.99</v>
      </c>
      <c r="U175" s="32" t="n">
        <v>37.13</v>
      </c>
      <c r="V175" s="32" t="n">
        <v>73.56</v>
      </c>
      <c r="W175" s="32" t="n">
        <v>16.98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IF(B176=0,"",RANK(B176,$B$2:$B$253,0))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SMSPHARMA</t>
        </is>
      </c>
      <c r="D176" s="31" t="inlineStr">
        <is>
          <t>Sms Pharmaceuticals Limited</t>
        </is>
      </c>
      <c r="E176" s="31" t="inlineStr">
        <is>
          <t>healthcare</t>
        </is>
      </c>
      <c r="F176" s="31" t="inlineStr">
        <is>
          <t>pharmaceuticals - indian - bulk drugs</t>
        </is>
      </c>
      <c r="G176" s="31" t="inlineStr">
        <is>
          <t>smallcap</t>
        </is>
      </c>
      <c r="H176" s="32" t="n">
        <v>4475.16</v>
      </c>
      <c r="I176" s="32" t="n">
        <v>472.2</v>
      </c>
      <c r="J176" s="32" t="n">
        <v>-1.18</v>
      </c>
      <c r="K176" s="32" t="n">
        <v>242600</v>
      </c>
      <c r="L176" s="31" t="n">
        <v>45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66.51000000000001</v>
      </c>
      <c r="P176" s="32" t="n">
        <v>36.22</v>
      </c>
      <c r="Q176" s="32" t="n">
        <v>360.36</v>
      </c>
      <c r="R176" s="31" t="inlineStr">
        <is>
          <t>Near 52W High Breakout</t>
        </is>
      </c>
      <c r="S176" s="31" t="inlineStr">
        <is>
          <t>Nifty Pharma</t>
        </is>
      </c>
      <c r="T176" s="32" t="n">
        <v>19.49</v>
      </c>
      <c r="U176" s="32" t="n">
        <v>72.08</v>
      </c>
      <c r="V176" s="32" t="n">
        <v>44</v>
      </c>
      <c r="W176" s="32" t="n">
        <v>15.56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IF(B177=0,"",RANK(B177,$B$2:$B$253,0))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NINSYS</t>
        </is>
      </c>
      <c r="D177" s="31" t="inlineStr">
        <is>
          <t>NINtec Systems Ltd</t>
        </is>
      </c>
      <c r="E177" s="31" t="inlineStr">
        <is>
          <t>i.t</t>
        </is>
      </c>
      <c r="F177" s="31" t="inlineStr">
        <is>
          <t>computers - software - medium / small</t>
        </is>
      </c>
      <c r="G177" s="31" t="inlineStr">
        <is>
          <t>smallcap</t>
        </is>
      </c>
      <c r="H177" s="32" t="n">
        <v>1564.1</v>
      </c>
      <c r="I177" s="32" t="n">
        <v>822.55</v>
      </c>
      <c r="J177" s="32" t="n">
        <v>-2.31</v>
      </c>
      <c r="K177" s="32" t="n">
        <v>7334</v>
      </c>
      <c r="L177" s="31" t="n">
        <v>53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68.48</v>
      </c>
      <c r="P177" s="32" t="n">
        <v>39.02</v>
      </c>
      <c r="Q177" s="32" t="n">
        <v>702.16</v>
      </c>
      <c r="R177" s="31" t="inlineStr">
        <is>
          <t>Earnings / Momentum Support</t>
        </is>
      </c>
      <c r="S177" s="31" t="inlineStr">
        <is>
          <t>Nifty IT</t>
        </is>
      </c>
      <c r="T177" s="32" t="n">
        <v>-20.99</v>
      </c>
      <c r="U177" s="32" t="n">
        <v>85.66</v>
      </c>
      <c r="V177" s="32" t="n">
        <v>134.97</v>
      </c>
      <c r="W177" s="32" t="n">
        <v>18.63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IF(B178=0,"",RANK(B178,$B$2:$B$253,0))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MOBIKWIK</t>
        </is>
      </c>
      <c r="D178" s="31" t="inlineStr">
        <is>
          <t>One Mobikwik Systems Ltd</t>
        </is>
      </c>
      <c r="E178" s="31" t="inlineStr">
        <is>
          <t>i.t</t>
        </is>
      </c>
      <c r="F178" s="31" t="inlineStr">
        <is>
          <t>miscellaneous</t>
        </is>
      </c>
      <c r="G178" s="31" t="inlineStr">
        <is>
          <t>smallcap</t>
        </is>
      </c>
      <c r="H178" s="32" t="n">
        <v>1589.03</v>
      </c>
      <c r="I178" s="32" t="n">
        <v>242.14</v>
      </c>
      <c r="J178" s="32" t="n">
        <v>20</v>
      </c>
      <c r="K178" s="32" t="n">
        <v>58640687</v>
      </c>
      <c r="L178" s="31" t="n">
        <v>3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63.92</v>
      </c>
      <c r="P178" s="32" t="n">
        <v>18.5</v>
      </c>
      <c r="Q178" s="32" t="n">
        <v>179.51</v>
      </c>
      <c r="R178" s="31" t="inlineStr">
        <is>
          <t>Volume Spike / Accumulation</t>
        </is>
      </c>
      <c r="S178" s="31" t="inlineStr">
        <is>
          <t>Nifty IT</t>
        </is>
      </c>
      <c r="T178" s="32" t="n">
        <v>-20.99</v>
      </c>
      <c r="U178" s="32" t="n">
        <v>-14.21</v>
      </c>
      <c r="V178" s="32" t="n">
        <v>8.58</v>
      </c>
      <c r="W178" s="32" t="n">
        <v>0.03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IF(B179=0,"",RANK(B179,$B$2:$B$253,0))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LXCHEM</t>
        </is>
      </c>
      <c r="D179" s="31" t="inlineStr">
        <is>
          <t>Laxmi Organic Industries Ltd</t>
        </is>
      </c>
      <c r="E179" s="31" t="inlineStr">
        <is>
          <t>chemicals</t>
        </is>
      </c>
      <c r="F179" s="31" t="inlineStr">
        <is>
          <t>chemicals</t>
        </is>
      </c>
      <c r="G179" s="31" t="inlineStr">
        <is>
          <t>smallcap</t>
        </is>
      </c>
      <c r="H179" s="32" t="n">
        <v>4908.86</v>
      </c>
      <c r="I179" s="32" t="n">
        <v>188.86</v>
      </c>
      <c r="J179" s="32" t="n">
        <v>6.65</v>
      </c>
      <c r="K179" s="32" t="n">
        <v>4355804</v>
      </c>
      <c r="L179" s="31" t="n">
        <v>13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66.48</v>
      </c>
      <c r="P179" s="32" t="n">
        <v>39.95</v>
      </c>
      <c r="Q179" s="32" t="n">
        <v>144.14</v>
      </c>
      <c r="R179" s="31" t="inlineStr">
        <is>
          <t>Earnings / Momentum Support</t>
        </is>
      </c>
      <c r="S179" s="31" t="inlineStr">
        <is>
          <t>Nifty 50</t>
        </is>
      </c>
      <c r="T179" s="32" t="n">
        <v>-9.92</v>
      </c>
      <c r="U179" s="32" t="n">
        <v>-7.36</v>
      </c>
      <c r="V179" s="32" t="n">
        <v>2.84</v>
      </c>
      <c r="W179" s="32" t="n">
        <v>4.8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IF(B180=0,"",RANK(B180,$B$2:$B$253,0))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SOTL</t>
        </is>
      </c>
      <c r="D180" s="31" t="inlineStr">
        <is>
          <t>Savita Oil Technologies Limited</t>
        </is>
      </c>
      <c r="E180" s="31" t="inlineStr">
        <is>
          <t>energy</t>
        </is>
      </c>
      <c r="F180" s="31" t="inlineStr">
        <is>
          <t>petrochemicals</t>
        </is>
      </c>
      <c r="G180" s="31" t="inlineStr">
        <is>
          <t>smallcap</t>
        </is>
      </c>
      <c r="H180" s="32" t="n">
        <v>4985.71</v>
      </c>
      <c r="I180" s="32" t="n">
        <v>775.5</v>
      </c>
      <c r="J180" s="32" t="n">
        <v>6.64</v>
      </c>
      <c r="K180" s="32" t="n">
        <v>523424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69.16</v>
      </c>
      <c r="P180" s="32" t="n">
        <v>65.31999999999999</v>
      </c>
      <c r="Q180" s="32" t="n">
        <v>537</v>
      </c>
      <c r="R180" s="31" t="inlineStr">
        <is>
          <t>Near 52W High Breakout</t>
        </is>
      </c>
      <c r="S180" s="31" t="inlineStr">
        <is>
          <t>Nifty Energy</t>
        </is>
      </c>
      <c r="T180" s="32" t="inlineStr"/>
      <c r="U180" s="32" t="inlineStr"/>
      <c r="V180" s="32" t="inlineStr"/>
      <c r="W180" s="32" t="inlineStr"/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IF(B181=0,"",RANK(B181,$B$2:$B$253,0))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FINEORG</t>
        </is>
      </c>
      <c r="D181" s="31" t="inlineStr">
        <is>
          <t>Fine Organic Industries Ltd</t>
        </is>
      </c>
      <c r="E181" s="31" t="inlineStr">
        <is>
          <t>chemicals</t>
        </is>
      </c>
      <c r="F181" s="31" t="inlineStr">
        <is>
          <t>chemicals</t>
        </is>
      </c>
      <c r="G181" s="31" t="inlineStr">
        <is>
          <t>midcap</t>
        </is>
      </c>
      <c r="H181" s="32" t="n">
        <v>15973.85</v>
      </c>
      <c r="I181" s="32" t="n">
        <v>5537</v>
      </c>
      <c r="J181" s="32" t="n">
        <v>6.28</v>
      </c>
      <c r="K181" s="32" t="n">
        <v>79818</v>
      </c>
      <c r="L181" s="31" t="n">
        <v>20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66.19</v>
      </c>
      <c r="P181" s="32" t="n">
        <v>14.95</v>
      </c>
      <c r="Q181" s="32" t="n">
        <v>4601.91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-9.92</v>
      </c>
      <c r="U181" s="32" t="n">
        <v>19.13</v>
      </c>
      <c r="V181" s="32" t="n">
        <v>32.26</v>
      </c>
      <c r="W181" s="32" t="n">
        <v>6.07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Between 12 to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IF(B182=0,"",RANK(B182,$B$2:$B$253,0))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MANALIPETC</t>
        </is>
      </c>
      <c r="D182" s="31" t="inlineStr">
        <is>
          <t>Manali Petrochemicals Limited</t>
        </is>
      </c>
      <c r="E182" s="31" t="inlineStr">
        <is>
          <t>energy</t>
        </is>
      </c>
      <c r="F182" s="31" t="inlineStr">
        <is>
          <t>petrochemicals</t>
        </is>
      </c>
      <c r="G182" s="31" t="inlineStr">
        <is>
          <t>smallcap</t>
        </is>
      </c>
      <c r="H182" s="32" t="n">
        <v>1499.66</v>
      </c>
      <c r="I182" s="32" t="n">
        <v>92.36</v>
      </c>
      <c r="J182" s="32" t="n">
        <v>5.93</v>
      </c>
      <c r="K182" s="32" t="n">
        <v>10482494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70.78</v>
      </c>
      <c r="P182" s="32" t="n">
        <v>44.8</v>
      </c>
      <c r="Q182" s="32" t="n">
        <v>67.69</v>
      </c>
      <c r="R182" s="31" t="inlineStr">
        <is>
          <t>Near 52W High Breakout</t>
        </is>
      </c>
      <c r="S182" s="31" t="inlineStr">
        <is>
          <t>Nifty Energy</t>
        </is>
      </c>
      <c r="T182" s="32" t="inlineStr"/>
      <c r="U182" s="32" t="inlineStr"/>
      <c r="V182" s="32" t="inlineStr"/>
      <c r="W182" s="32" t="inlineStr"/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Oligopoly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Cyclical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Volatile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IF(B183=0,"",RANK(B183,$B$2:$B$253,0))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RKFORGE</t>
        </is>
      </c>
      <c r="D183" s="31" t="inlineStr">
        <is>
          <t>Ramkrishna Forgings Limited</t>
        </is>
      </c>
      <c r="E183" s="31" t="inlineStr">
        <is>
          <t>castings, forgings &amp; fasteners</t>
        </is>
      </c>
      <c r="F183" s="31" t="inlineStr">
        <is>
          <t>castings &amp; forgings</t>
        </is>
      </c>
      <c r="G183" s="31" t="inlineStr">
        <is>
          <t>midcap</t>
        </is>
      </c>
      <c r="H183" s="32" t="n">
        <v>12760.1</v>
      </c>
      <c r="I183" s="32" t="n">
        <v>732.65</v>
      </c>
      <c r="J183" s="32" t="n">
        <v>4.6</v>
      </c>
      <c r="K183" s="32" t="n">
        <v>992145</v>
      </c>
      <c r="L183" s="31" t="n">
        <v>38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64.5</v>
      </c>
      <c r="P183" s="32" t="n">
        <v>23.16</v>
      </c>
      <c r="Q183" s="32" t="n">
        <v>605.79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-9.92</v>
      </c>
      <c r="U183" s="32" t="n">
        <v>32.94</v>
      </c>
      <c r="V183" s="32" t="n">
        <v>47.59</v>
      </c>
      <c r="W183" s="32" t="n">
        <v>12.52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IF(B184=0,"",RANK(B184,$B$2:$B$253,0))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MANINDS</t>
        </is>
      </c>
      <c r="D184" s="31" t="inlineStr">
        <is>
          <t>Man Industries (india) Limited</t>
        </is>
      </c>
      <c r="E184" s="31" t="inlineStr">
        <is>
          <t>metals &amp; mining</t>
        </is>
      </c>
      <c r="F184" s="31" t="inlineStr">
        <is>
          <t>steel - medium / small</t>
        </is>
      </c>
      <c r="G184" s="31" t="inlineStr">
        <is>
          <t>midcap</t>
        </is>
      </c>
      <c r="H184" s="32" t="n">
        <v>6662.73</v>
      </c>
      <c r="I184" s="32" t="n">
        <v>922.05</v>
      </c>
      <c r="J184" s="32" t="n">
        <v>3.81</v>
      </c>
      <c r="K184" s="32" t="n">
        <v>456249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71.39</v>
      </c>
      <c r="P184" s="32" t="n">
        <v>45.59</v>
      </c>
      <c r="Q184" s="32" t="n">
        <v>760.7</v>
      </c>
      <c r="R184" s="31" t="inlineStr">
        <is>
          <t>Earnings / Momentum Support</t>
        </is>
      </c>
      <c r="S184" s="31" t="inlineStr">
        <is>
          <t>Nifty Metal</t>
        </is>
      </c>
      <c r="T184" s="32" t="inlineStr"/>
      <c r="U184" s="32" t="inlineStr"/>
      <c r="V184" s="32" t="inlineStr"/>
      <c r="W184" s="32" t="inlineStr"/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IF(B185=0,"",RANK(B185,$B$2:$B$253,0))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PRIMO</t>
        </is>
      </c>
      <c r="D185" s="31" t="inlineStr">
        <is>
          <t>Primo Chemicals Ltd</t>
        </is>
      </c>
      <c r="E185" s="31" t="inlineStr">
        <is>
          <t>chemicals</t>
        </is>
      </c>
      <c r="F185" s="31" t="inlineStr">
        <is>
          <t>chlor alkali / soda ash</t>
        </is>
      </c>
      <c r="G185" s="31" t="inlineStr">
        <is>
          <t>smallcap</t>
        </is>
      </c>
      <c r="H185" s="32" t="n">
        <v>632.03</v>
      </c>
      <c r="I185" s="32" t="n">
        <v>26.97</v>
      </c>
      <c r="J185" s="32" t="n">
        <v>3.41</v>
      </c>
      <c r="K185" s="32" t="n">
        <v>433840</v>
      </c>
      <c r="L185" s="31" t="n">
        <v>17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58.28</v>
      </c>
      <c r="P185" s="32" t="n">
        <v>20.69</v>
      </c>
      <c r="Q185" s="32" t="n">
        <v>17.59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-9.92</v>
      </c>
      <c r="U185" s="32" t="n">
        <v>15.11</v>
      </c>
      <c r="V185" s="32" t="n">
        <v>27.79</v>
      </c>
      <c r="W185" s="32" t="n">
        <v>5.46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IF(B186=0,"",RANK(B186,$B$2:$B$253,0))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LOKESHMACH</t>
        </is>
      </c>
      <c r="D186" s="31" t="inlineStr">
        <is>
          <t>Lokesh Machines Limited</t>
        </is>
      </c>
      <c r="E186" s="31" t="inlineStr">
        <is>
          <t>industrials</t>
        </is>
      </c>
      <c r="F186" s="31" t="inlineStr">
        <is>
          <t>engineering</t>
        </is>
      </c>
      <c r="G186" s="31" t="inlineStr">
        <is>
          <t>smallcap</t>
        </is>
      </c>
      <c r="H186" s="32" t="n">
        <v>972.6799999999999</v>
      </c>
      <c r="I186" s="32" t="n">
        <v>455.7</v>
      </c>
      <c r="J186" s="32" t="n">
        <v>2.12</v>
      </c>
      <c r="K186" s="32" t="n">
        <v>687289</v>
      </c>
      <c r="L186" s="31" t="n">
        <v>74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77.97</v>
      </c>
      <c r="P186" s="32" t="n">
        <v>40.26</v>
      </c>
      <c r="Q186" s="32" t="n">
        <v>341.83</v>
      </c>
      <c r="R186" s="31" t="inlineStr">
        <is>
          <t>Volume Spike &amp; Near 52W High Breakout</t>
        </is>
      </c>
      <c r="S186" s="31" t="inlineStr">
        <is>
          <t>Nifty 50</t>
        </is>
      </c>
      <c r="T186" s="32" t="n">
        <v>-9.92</v>
      </c>
      <c r="U186" s="32" t="n">
        <v>138.27</v>
      </c>
      <c r="V186" s="32" t="n">
        <v>164.53</v>
      </c>
      <c r="W186" s="32" t="n">
        <v>28.02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IF(B187=0,"",RANK(B187,$B$2:$B$253,0))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SVLL</t>
        </is>
      </c>
      <c r="D187" s="31" t="inlineStr">
        <is>
          <t>Shree Vasu Logistics Ltd</t>
        </is>
      </c>
      <c r="E187" s="31" t="inlineStr">
        <is>
          <t>transportation</t>
        </is>
      </c>
      <c r="F187" s="31" t="inlineStr">
        <is>
          <t>miscellaneous</t>
        </is>
      </c>
      <c r="G187" s="31" t="inlineStr">
        <is>
          <t>smallcap</t>
        </is>
      </c>
      <c r="H187" s="32" t="n">
        <v>945.01</v>
      </c>
      <c r="I187" s="32" t="n">
        <v>835.6</v>
      </c>
      <c r="J187" s="32" t="n">
        <v>1.63</v>
      </c>
      <c r="K187" s="32" t="n">
        <v>2740</v>
      </c>
      <c r="L187" s="31" t="n">
        <v>22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62.9</v>
      </c>
      <c r="P187" s="32" t="n">
        <v>38.89</v>
      </c>
      <c r="Q187" s="32" t="n">
        <v>619.6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-9.92</v>
      </c>
      <c r="U187" s="32" t="n">
        <v>6.72</v>
      </c>
      <c r="V187" s="32" t="n">
        <v>18.47</v>
      </c>
      <c r="W187" s="32" t="n">
        <v>7.52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More than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IF(B188=0,"",RANK(B188,$B$2:$B$253,0))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STLTECH</t>
        </is>
      </c>
      <c r="D188" s="31" t="inlineStr">
        <is>
          <t>Sterlite Technologies Limited</t>
        </is>
      </c>
      <c r="E188" s="31" t="inlineStr">
        <is>
          <t>industrials</t>
        </is>
      </c>
      <c r="F188" s="31" t="inlineStr">
        <is>
          <t>cables - telephone</t>
        </is>
      </c>
      <c r="G188" s="31" t="inlineStr">
        <is>
          <t>largecap</t>
        </is>
      </c>
      <c r="H188" s="32" t="n">
        <v>51453.85</v>
      </c>
      <c r="I188" s="32" t="n">
        <v>1016.7</v>
      </c>
      <c r="J188" s="32" t="n">
        <v>1.54</v>
      </c>
      <c r="K188" s="32" t="n">
        <v>3447000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80.06</v>
      </c>
      <c r="P188" s="32" t="n">
        <v>71.38</v>
      </c>
      <c r="Q188" s="32" t="n">
        <v>750.41</v>
      </c>
      <c r="R188" s="31" t="inlineStr">
        <is>
          <t>Near 52W High Breakout</t>
        </is>
      </c>
      <c r="S188" s="31" t="inlineStr">
        <is>
          <t>Nifty Infra</t>
        </is>
      </c>
      <c r="T188" s="32" t="inlineStr"/>
      <c r="U188" s="32" t="inlineStr"/>
      <c r="V188" s="32" t="inlineStr"/>
      <c r="W188" s="32" t="inlineStr"/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IF(B189=0,"",RANK(B189,$B$2:$B$253,0))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PRECWIRE</t>
        </is>
      </c>
      <c r="D189" s="31" t="inlineStr">
        <is>
          <t>Precision Wires India Limited</t>
        </is>
      </c>
      <c r="E189" s="31" t="inlineStr">
        <is>
          <t>metals &amp; mining</t>
        </is>
      </c>
      <c r="F189" s="31" t="inlineStr">
        <is>
          <t>mining / minerals / metals</t>
        </is>
      </c>
      <c r="G189" s="31" t="inlineStr">
        <is>
          <t>midcap</t>
        </is>
      </c>
      <c r="H189" s="32" t="n">
        <v>9275.68</v>
      </c>
      <c r="I189" s="32" t="n">
        <v>515.15</v>
      </c>
      <c r="J189" s="32" t="n">
        <v>1.53</v>
      </c>
      <c r="K189" s="32" t="n">
        <v>371870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67.62</v>
      </c>
      <c r="P189" s="32" t="n">
        <v>37.33</v>
      </c>
      <c r="Q189" s="32" t="n">
        <v>381.6</v>
      </c>
      <c r="R189" s="31" t="inlineStr">
        <is>
          <t>Near 52W High Breakout</t>
        </is>
      </c>
      <c r="S189" s="31" t="inlineStr">
        <is>
          <t>Nifty Metal</t>
        </is>
      </c>
      <c r="T189" s="32" t="inlineStr"/>
      <c r="U189" s="32" t="inlineStr"/>
      <c r="V189" s="32" t="inlineStr"/>
      <c r="W189" s="32" t="inlineStr"/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IF(B190=0,"",RANK(B190,$B$2:$B$253,0))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SATIA</t>
        </is>
      </c>
      <c r="D190" s="31" t="inlineStr">
        <is>
          <t>Satia Industries Ltd</t>
        </is>
      </c>
      <c r="E190" s="31" t="inlineStr">
        <is>
          <t>building materials</t>
        </is>
      </c>
      <c r="F190" s="31" t="inlineStr">
        <is>
          <t>paper</t>
        </is>
      </c>
      <c r="G190" s="31" t="inlineStr">
        <is>
          <t>smallcap</t>
        </is>
      </c>
      <c r="H190" s="32" t="n">
        <v>685.1</v>
      </c>
      <c r="I190" s="32" t="n">
        <v>69.26000000000001</v>
      </c>
      <c r="J190" s="32" t="n">
        <v>1.09</v>
      </c>
      <c r="K190" s="32" t="n">
        <v>81400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60.62</v>
      </c>
      <c r="P190" s="32" t="n">
        <v>12.56</v>
      </c>
      <c r="Q190" s="32" t="n">
        <v>54.68</v>
      </c>
      <c r="R190" s="31" t="inlineStr">
        <is>
          <t>Earnings / Momentum Support</t>
        </is>
      </c>
      <c r="S190" s="31" t="inlineStr">
        <is>
          <t>Nifty Infra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IF(B191=0,"",RANK(B191,$B$2:$B$253,0))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RPEL</t>
        </is>
      </c>
      <c r="D191" s="31" t="inlineStr">
        <is>
          <t>Raghav Productivity Enhancers Ltd</t>
        </is>
      </c>
      <c r="E191" s="31" t="inlineStr">
        <is>
          <t>building materials</t>
        </is>
      </c>
      <c r="F191" s="31" t="inlineStr">
        <is>
          <t>refractories / intermediates</t>
        </is>
      </c>
      <c r="G191" s="31" t="inlineStr">
        <is>
          <t>midcap</t>
        </is>
      </c>
      <c r="H191" s="32" t="n">
        <v>8382.129999999999</v>
      </c>
      <c r="I191" s="32" t="n">
        <v>1835.6</v>
      </c>
      <c r="J191" s="32" t="n">
        <v>0.5600000000000001</v>
      </c>
      <c r="K191" s="32" t="n">
        <v>51137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74.77</v>
      </c>
      <c r="P191" s="32" t="n">
        <v>61.99</v>
      </c>
      <c r="Q191" s="32" t="n">
        <v>1367.96</v>
      </c>
      <c r="R191" s="31" t="inlineStr">
        <is>
          <t>Near 52W High Breakout</t>
        </is>
      </c>
      <c r="S191" s="31" t="inlineStr">
        <is>
          <t>Nifty Infra</t>
        </is>
      </c>
      <c r="T191" s="32" t="inlineStr"/>
      <c r="U191" s="32" t="inlineStr"/>
      <c r="V191" s="32" t="inlineStr"/>
      <c r="W191" s="32" t="inlineStr"/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IF(B192=0,"",RANK(B192,$B$2:$B$253,0))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HARSHA</t>
        </is>
      </c>
      <c r="D192" s="31" t="inlineStr">
        <is>
          <t>Harsha Engineers International Ltd</t>
        </is>
      </c>
      <c r="E192" s="31" t="inlineStr">
        <is>
          <t>industrials</t>
        </is>
      </c>
      <c r="F192" s="31" t="inlineStr">
        <is>
          <t>engineering</t>
        </is>
      </c>
      <c r="G192" s="31" t="inlineStr">
        <is>
          <t>smallcap</t>
        </is>
      </c>
      <c r="H192" s="32" t="n">
        <v>4208.97</v>
      </c>
      <c r="I192" s="32" t="n">
        <v>464.65</v>
      </c>
      <c r="J192" s="32" t="n">
        <v>0.51</v>
      </c>
      <c r="K192" s="32" t="n">
        <v>78390</v>
      </c>
      <c r="L192" s="31" t="n">
        <v>18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62.17</v>
      </c>
      <c r="P192" s="32" t="n">
        <v>34.12</v>
      </c>
      <c r="Q192" s="32" t="n">
        <v>381.96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-9.92</v>
      </c>
      <c r="U192" s="32" t="n">
        <v>19.36</v>
      </c>
      <c r="V192" s="32" t="n">
        <v>32.51</v>
      </c>
      <c r="W192" s="32" t="n">
        <v>5.73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IF(B193=0,"",RANK(B193,$B$2:$B$253,0))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SHIVALIK</t>
        </is>
      </c>
      <c r="D193" s="33" t="inlineStr">
        <is>
          <t>Shivalik Rasayan Ltd</t>
        </is>
      </c>
      <c r="E193" s="31" t="inlineStr">
        <is>
          <t>chemicals</t>
        </is>
      </c>
      <c r="F193" s="31" t="inlineStr">
        <is>
          <t>pesticides / agrochemicals - indian</t>
        </is>
      </c>
      <c r="G193" s="31" t="inlineStr">
        <is>
          <t>smallcap</t>
        </is>
      </c>
      <c r="H193" s="32" t="n">
        <v>601.6900000000001</v>
      </c>
      <c r="I193" s="32" t="n">
        <v>386.25</v>
      </c>
      <c r="J193" s="32" t="n">
        <v>2.92</v>
      </c>
      <c r="K193" s="32" t="n">
        <v>78286</v>
      </c>
      <c r="L193" s="31" t="n">
        <v>52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66.95</v>
      </c>
      <c r="P193" s="32" t="n">
        <v>33.66</v>
      </c>
      <c r="Q193" s="32" t="n">
        <v>281.03</v>
      </c>
      <c r="R193" s="31" t="inlineStr">
        <is>
          <t>Earnings / Momentum Support</t>
        </is>
      </c>
      <c r="S193" s="31" t="inlineStr">
        <is>
          <t>Nifty 50</t>
        </is>
      </c>
      <c r="T193" s="32" t="n">
        <v>-9.92</v>
      </c>
      <c r="U193" s="32" t="n">
        <v>-10.19</v>
      </c>
      <c r="V193" s="32" t="n">
        <v>-0.29</v>
      </c>
      <c r="W193" s="32" t="n">
        <v>18.33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Monopoly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Shallow Cyclical (2 to 3 Years Growth)</t>
        </is>
      </c>
      <c r="AG193" s="31">
        <f>IF(AF193="Structural (10 Years Consistency)",10,IF(AF193="Shallow Cyclical (2 to 3 years growth)",5,0))</f>
        <v/>
      </c>
      <c r="AH193" s="31" t="inlineStr">
        <is>
          <t>Yes due to Product Mix change or Operating Leverage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Fully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Yes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Between 1.5 to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IF(B194=0,"",RANK(B194,$B$2:$B$253,0))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KOPRAN</t>
        </is>
      </c>
      <c r="D194" s="31" t="inlineStr">
        <is>
          <t>Kopran Limited</t>
        </is>
      </c>
      <c r="E194" s="31" t="inlineStr">
        <is>
          <t>healthcare</t>
        </is>
      </c>
      <c r="F194" s="31" t="inlineStr">
        <is>
          <t>pharmaceuticals - indian - bulk drugs &amp; formln</t>
        </is>
      </c>
      <c r="G194" s="31" t="inlineStr">
        <is>
          <t>smallcap</t>
        </is>
      </c>
      <c r="H194" s="32" t="n">
        <v>1297.43</v>
      </c>
      <c r="I194" s="32" t="n">
        <v>269.6</v>
      </c>
      <c r="J194" s="32" t="n">
        <v>0.33</v>
      </c>
      <c r="K194" s="32" t="n">
        <v>359825</v>
      </c>
      <c r="L194" s="31" t="n">
        <v>55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71.87</v>
      </c>
      <c r="P194" s="32" t="n">
        <v>45.75</v>
      </c>
      <c r="Q194" s="32" t="n">
        <v>214.34</v>
      </c>
      <c r="R194" s="31" t="inlineStr">
        <is>
          <t>Earnings / Momentum Support</t>
        </is>
      </c>
      <c r="S194" s="31" t="inlineStr">
        <is>
          <t>Nifty Pharma</t>
        </is>
      </c>
      <c r="T194" s="32" t="n">
        <v>19.49</v>
      </c>
      <c r="U194" s="32" t="n">
        <v>58.06</v>
      </c>
      <c r="V194" s="32" t="n">
        <v>32.27</v>
      </c>
      <c r="W194" s="32" t="n">
        <v>19.04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Yes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IF(B195=0,"",RANK(B195,$B$2:$B$253,0))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CYIENT</t>
        </is>
      </c>
      <c r="D195" s="31" t="inlineStr">
        <is>
          <t>Cyient Limited</t>
        </is>
      </c>
      <c r="E195" s="31" t="inlineStr">
        <is>
          <t>i.t</t>
        </is>
      </c>
      <c r="F195" s="31" t="inlineStr">
        <is>
          <t>computers - software - medium / small</t>
        </is>
      </c>
      <c r="G195" s="31" t="inlineStr">
        <is>
          <t>midcap</t>
        </is>
      </c>
      <c r="H195" s="32" t="n">
        <v>11942.66</v>
      </c>
      <c r="I195" s="32" t="n">
        <v>1119.4</v>
      </c>
      <c r="J195" s="32" t="n">
        <v>-1.82</v>
      </c>
      <c r="K195" s="32" t="n">
        <v>550341</v>
      </c>
      <c r="L195" s="31" t="n">
        <v>22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66.23999999999999</v>
      </c>
      <c r="P195" s="32" t="n">
        <v>26.9</v>
      </c>
      <c r="Q195" s="32" t="n">
        <v>887.24</v>
      </c>
      <c r="R195" s="31" t="inlineStr">
        <is>
          <t>Earnings / Momentum Support</t>
        </is>
      </c>
      <c r="S195" s="31" t="inlineStr">
        <is>
          <t>Nifty IT</t>
        </is>
      </c>
      <c r="T195" s="32" t="n">
        <v>-20.99</v>
      </c>
      <c r="U195" s="32" t="n">
        <v>-3.61</v>
      </c>
      <c r="V195" s="32" t="n">
        <v>21.99</v>
      </c>
      <c r="W195" s="32" t="n">
        <v>7.38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IF(B196=0,"",RANK(B196,$B$2:$B$253,0))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INDOAMIN</t>
        </is>
      </c>
      <c r="D196" s="31" t="inlineStr">
        <is>
          <t>Indo Amines Ltd</t>
        </is>
      </c>
      <c r="E196" s="31" t="inlineStr">
        <is>
          <t>chemicals</t>
        </is>
      </c>
      <c r="F196" s="31" t="inlineStr">
        <is>
          <t>chemicals</t>
        </is>
      </c>
      <c r="G196" s="31" t="inlineStr">
        <is>
          <t>smallcap</t>
        </is>
      </c>
      <c r="H196" s="32" t="n">
        <v>1040.25</v>
      </c>
      <c r="I196" s="32" t="n">
        <v>161.16</v>
      </c>
      <c r="J196" s="32" t="n">
        <v>12.46</v>
      </c>
      <c r="K196" s="32" t="n">
        <v>8043089</v>
      </c>
      <c r="L196" s="31" t="n">
        <v>30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71.84</v>
      </c>
      <c r="P196" s="32" t="n">
        <v>24.44</v>
      </c>
      <c r="Q196" s="32" t="n">
        <v>121.9</v>
      </c>
      <c r="R196" s="31" t="inlineStr">
        <is>
          <t>Volume Spike &amp; Near 52W High Breakout</t>
        </is>
      </c>
      <c r="S196" s="31" t="inlineStr">
        <is>
          <t>Nifty 50</t>
        </is>
      </c>
      <c r="T196" s="32" t="n">
        <v>-9.92</v>
      </c>
      <c r="U196" s="32" t="n">
        <v>18.64</v>
      </c>
      <c r="V196" s="32" t="n">
        <v>31.71</v>
      </c>
      <c r="W196" s="32" t="n">
        <v>10.1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IF(B197=0,"",RANK(B197,$B$2:$B$253,0))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ASTRAMICRO</t>
        </is>
      </c>
      <c r="D197" s="31" t="inlineStr">
        <is>
          <t>Astra Microwave Products Limited</t>
        </is>
      </c>
      <c r="E197" s="31" t="inlineStr">
        <is>
          <t>aerospace &amp; defence</t>
        </is>
      </c>
      <c r="F197" s="31" t="inlineStr">
        <is>
          <t>telecommunications - equipment</t>
        </is>
      </c>
      <c r="G197" s="31" t="inlineStr">
        <is>
          <t>midcap</t>
        </is>
      </c>
      <c r="H197" s="32" t="n">
        <v>15682.07</v>
      </c>
      <c r="I197" s="32" t="n">
        <v>1705.9</v>
      </c>
      <c r="J197" s="32" t="n">
        <v>3.28</v>
      </c>
      <c r="K197" s="32" t="n">
        <v>571464</v>
      </c>
      <c r="L197" s="31" t="n">
        <v>35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61.82</v>
      </c>
      <c r="P197" s="32" t="n">
        <v>42.03</v>
      </c>
      <c r="Q197" s="32" t="n">
        <v>1487.2</v>
      </c>
      <c r="R197" s="31" t="inlineStr">
        <is>
          <t>Earnings / Momentum Support</t>
        </is>
      </c>
      <c r="S197" s="31" t="inlineStr">
        <is>
          <t>Nifty 50</t>
        </is>
      </c>
      <c r="T197" s="32" t="n">
        <v>-9.92</v>
      </c>
      <c r="U197" s="32" t="n">
        <v>56.64</v>
      </c>
      <c r="V197" s="32" t="n">
        <v>73.90000000000001</v>
      </c>
      <c r="W197" s="32" t="n">
        <v>12.08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Oligopoly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IF(B198=0,"",RANK(B198,$B$2:$B$253,0))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GMMPFAUDLR</t>
        </is>
      </c>
      <c r="D198" s="31" t="inlineStr">
        <is>
          <t>GMM Pfaudler Ltd</t>
        </is>
      </c>
      <c r="E198" s="31" t="inlineStr">
        <is>
          <t>industrials</t>
        </is>
      </c>
      <c r="F198" s="31" t="inlineStr">
        <is>
          <t>engineering</t>
        </is>
      </c>
      <c r="G198" s="31" t="inlineStr">
        <is>
          <t>midcap</t>
        </is>
      </c>
      <c r="H198" s="32" t="n">
        <v>6233.77</v>
      </c>
      <c r="I198" s="32" t="n">
        <v>1425.7</v>
      </c>
      <c r="J198" s="32" t="n">
        <v>2.82</v>
      </c>
      <c r="K198" s="32" t="n">
        <v>228112</v>
      </c>
      <c r="L198" s="31" t="n">
        <v>77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74.23999999999999</v>
      </c>
      <c r="P198" s="32" t="n">
        <v>41.03</v>
      </c>
      <c r="Q198" s="32" t="n">
        <v>1219.17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-9.92</v>
      </c>
      <c r="U198" s="32" t="n">
        <v>34.87</v>
      </c>
      <c r="V198" s="32" t="n">
        <v>49.73</v>
      </c>
      <c r="W198" s="32" t="n">
        <v>29.4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IF(B199=0,"",RANK(B199,$B$2:$B$253,0))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PTCIL</t>
        </is>
      </c>
      <c r="D199" s="31" t="inlineStr">
        <is>
          <t>PTC Industries Ltd</t>
        </is>
      </c>
      <c r="E199" s="31" t="inlineStr">
        <is>
          <t>castings, forgings &amp; fasteners</t>
        </is>
      </c>
      <c r="F199" s="31" t="inlineStr">
        <is>
          <t>castings &amp; forgings</t>
        </is>
      </c>
      <c r="G199" s="31" t="inlineStr">
        <is>
          <t>largecap</t>
        </is>
      </c>
      <c r="H199" s="32" t="n">
        <v>33778.21</v>
      </c>
      <c r="I199" s="32" t="n">
        <v>23125</v>
      </c>
      <c r="J199" s="32" t="n">
        <v>2.64</v>
      </c>
      <c r="K199" s="32" t="n">
        <v>20786</v>
      </c>
      <c r="L199" s="31" t="n">
        <v>42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68.13</v>
      </c>
      <c r="P199" s="32" t="n">
        <v>42.78</v>
      </c>
      <c r="Q199" s="32" t="n">
        <v>19367.39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-9.92</v>
      </c>
      <c r="U199" s="32" t="n">
        <v>42.33</v>
      </c>
      <c r="V199" s="32" t="n">
        <v>58.01</v>
      </c>
      <c r="W199" s="32" t="n">
        <v>14.61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IF(B200=0,"",RANK(B200,$B$2:$B$253,0))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TEGA</t>
        </is>
      </c>
      <c r="D200" s="31" t="inlineStr">
        <is>
          <t>Tega Industries Ltd</t>
        </is>
      </c>
      <c r="E200" s="31" t="inlineStr">
        <is>
          <t>industrials</t>
        </is>
      </c>
      <c r="F200" s="31" t="inlineStr">
        <is>
          <t>engineering</t>
        </is>
      </c>
      <c r="G200" s="31" t="inlineStr">
        <is>
          <t>midcap</t>
        </is>
      </c>
      <c r="H200" s="32" t="n">
        <v>15507.11</v>
      </c>
      <c r="I200" s="32" t="n">
        <v>2092.5</v>
      </c>
      <c r="J200" s="32" t="n">
        <v>1.38</v>
      </c>
      <c r="K200" s="32" t="n">
        <v>249989</v>
      </c>
      <c r="L200" s="31" t="n">
        <v>21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65.31</v>
      </c>
      <c r="P200" s="32" t="n">
        <v>17.58</v>
      </c>
      <c r="Q200" s="32" t="n">
        <v>1606.71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-9.92</v>
      </c>
      <c r="U200" s="32" t="n">
        <v>7.72</v>
      </c>
      <c r="V200" s="32" t="n">
        <v>19.59</v>
      </c>
      <c r="W200" s="32" t="n">
        <v>7.24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IF(B201=0,"",RANK(B201,$B$2:$B$253,0))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LLOYDSENT</t>
        </is>
      </c>
      <c r="D201" s="31" t="inlineStr">
        <is>
          <t>Lloyds Enterprises Ltd</t>
        </is>
      </c>
      <c r="E201" s="31" t="inlineStr">
        <is>
          <t>services</t>
        </is>
      </c>
      <c r="F201" s="31" t="inlineStr">
        <is>
          <t>trading</t>
        </is>
      </c>
      <c r="G201" s="31" t="inlineStr">
        <is>
          <t>midcap</t>
        </is>
      </c>
      <c r="H201" s="32" t="n">
        <v>12155.93</v>
      </c>
      <c r="I201" s="32" t="n">
        <v>78.83</v>
      </c>
      <c r="J201" s="32" t="n">
        <v>-1</v>
      </c>
      <c r="K201" s="32" t="n">
        <v>3341137</v>
      </c>
      <c r="L201" s="31" t="n">
        <v>10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57.5</v>
      </c>
      <c r="P201" s="32" t="n">
        <v>30.99</v>
      </c>
      <c r="Q201" s="32" t="n">
        <v>62.93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-9.92</v>
      </c>
      <c r="U201" s="32" t="n">
        <v>11.83</v>
      </c>
      <c r="V201" s="32" t="n">
        <v>24.15</v>
      </c>
      <c r="W201" s="32" t="n">
        <v>3.43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IF(B202=0,"",RANK(B202,$B$2:$B$253,0))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VENKEYS</t>
        </is>
      </c>
      <c r="D202" s="31" t="inlineStr">
        <is>
          <t>Venky's (india) Limited</t>
        </is>
      </c>
      <c r="E202" s="31" t="inlineStr">
        <is>
          <t>fmcg</t>
        </is>
      </c>
      <c r="F202" s="31" t="inlineStr">
        <is>
          <t>miscellaneous</t>
        </is>
      </c>
      <c r="G202" s="31" t="inlineStr">
        <is>
          <t>smallcap</t>
        </is>
      </c>
      <c r="H202" s="32" t="n">
        <v>2314.13</v>
      </c>
      <c r="I202" s="32" t="n">
        <v>1694.8</v>
      </c>
      <c r="J202" s="32" t="n">
        <v>3.17</v>
      </c>
      <c r="K202" s="32" t="n">
        <v>49857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59.63</v>
      </c>
      <c r="P202" s="32" t="n">
        <v>49.28</v>
      </c>
      <c r="Q202" s="32" t="n">
        <v>1410.17</v>
      </c>
      <c r="R202" s="31" t="inlineStr">
        <is>
          <t>Earnings / Momentum Support</t>
        </is>
      </c>
      <c r="S202" s="31" t="inlineStr">
        <is>
          <t>Nifty FMCG</t>
        </is>
      </c>
      <c r="T202" s="32" t="inlineStr"/>
      <c r="U202" s="32" t="inlineStr"/>
      <c r="V202" s="32" t="inlineStr"/>
      <c r="W202" s="32" t="inlineStr"/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IF(B203=0,"",RANK(B203,$B$2:$B$253,0))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UTTAMSUGAR</t>
        </is>
      </c>
      <c r="D203" s="31" t="inlineStr">
        <is>
          <t>Uttam Sugar Mills Limited</t>
        </is>
      </c>
      <c r="E203" s="31" t="inlineStr">
        <is>
          <t>fmcg</t>
        </is>
      </c>
      <c r="F203" s="31" t="inlineStr">
        <is>
          <t>sugar</t>
        </is>
      </c>
      <c r="G203" s="31" t="inlineStr">
        <is>
          <t>smallcap</t>
        </is>
      </c>
      <c r="H203" s="32" t="n">
        <v>1123.93</v>
      </c>
      <c r="I203" s="32" t="n">
        <v>302.8</v>
      </c>
      <c r="J203" s="32" t="n">
        <v>2.75</v>
      </c>
      <c r="K203" s="32" t="n">
        <v>427890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60.24</v>
      </c>
      <c r="P203" s="32" t="n">
        <v>29.72</v>
      </c>
      <c r="Q203" s="32" t="n">
        <v>223.18</v>
      </c>
      <c r="R203" s="31" t="inlineStr">
        <is>
          <t>Earnings / Momentum Support</t>
        </is>
      </c>
      <c r="S203" s="31" t="inlineStr">
        <is>
          <t>Nifty FMCG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IF(B204=0,"",RANK(B204,$B$2:$B$253,0))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APOLLO</t>
        </is>
      </c>
      <c r="D204" s="31" t="inlineStr">
        <is>
          <t>Apollo Micro Systems Ltd</t>
        </is>
      </c>
      <c r="E204" s="31" t="inlineStr">
        <is>
          <t>aerospace &amp; defence</t>
        </is>
      </c>
      <c r="F204" s="31" t="inlineStr">
        <is>
          <t>electronics - components</t>
        </is>
      </c>
      <c r="G204" s="31" t="inlineStr">
        <is>
          <t>midcap</t>
        </is>
      </c>
      <c r="H204" s="32" t="n">
        <v>14927.15</v>
      </c>
      <c r="I204" s="32" t="n">
        <v>408.05</v>
      </c>
      <c r="J204" s="32" t="n">
        <v>1.58</v>
      </c>
      <c r="K204" s="32" t="n">
        <v>3344430</v>
      </c>
      <c r="L204" s="31" t="n">
        <v>27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57.86</v>
      </c>
      <c r="P204" s="32" t="n">
        <v>29.85</v>
      </c>
      <c r="Q204" s="32" t="n">
        <v>315.26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-9.92</v>
      </c>
      <c r="U204" s="32" t="n">
        <v>28.6</v>
      </c>
      <c r="V204" s="32" t="n">
        <v>42.77</v>
      </c>
      <c r="W204" s="32" t="n">
        <v>9.17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Oligopoly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B2C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Fully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Yes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Between 1.5 to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IF(B205=0,"",RANK(B205,$B$2:$B$253,0))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ZIMLAB</t>
        </is>
      </c>
      <c r="D205" s="31" t="inlineStr">
        <is>
          <t>Zim Laboratories Ltd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smallcap</t>
        </is>
      </c>
      <c r="H205" s="32" t="n">
        <v>734.16</v>
      </c>
      <c r="I205" s="32" t="n">
        <v>138.57</v>
      </c>
      <c r="J205" s="32" t="n">
        <v>1.07</v>
      </c>
      <c r="K205" s="32" t="n">
        <v>63618</v>
      </c>
      <c r="L205" s="31" t="n">
        <v>58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69.62</v>
      </c>
      <c r="P205" s="32" t="n">
        <v>57.07</v>
      </c>
      <c r="Q205" s="32" t="n">
        <v>102.34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19.49</v>
      </c>
      <c r="U205" s="32" t="n">
        <v>94.59</v>
      </c>
      <c r="V205" s="32" t="n">
        <v>62.85</v>
      </c>
      <c r="W205" s="32" t="n">
        <v>20.44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IF(B206=0,"",RANK(B206,$B$2:$B$253,0))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DIACABS</t>
        </is>
      </c>
      <c r="D206" s="31" t="inlineStr">
        <is>
          <t>Diamond Power Infrastructure Ltd</t>
        </is>
      </c>
      <c r="E206" s="31" t="inlineStr">
        <is>
          <t>industrials</t>
        </is>
      </c>
      <c r="F206" s="31" t="inlineStr">
        <is>
          <t>cables - power</t>
        </is>
      </c>
      <c r="G206" s="31" t="inlineStr">
        <is>
          <t>largecap</t>
        </is>
      </c>
      <c r="H206" s="32" t="n">
        <v>20980.33</v>
      </c>
      <c r="I206" s="32" t="n">
        <v>368.3</v>
      </c>
      <c r="J206" s="32" t="n">
        <v>4.99</v>
      </c>
      <c r="K206" s="32" t="n">
        <v>1146404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72.63</v>
      </c>
      <c r="P206" s="32" t="n">
        <v>67.05</v>
      </c>
      <c r="Q206" s="32" t="n">
        <v>277.29</v>
      </c>
      <c r="R206" s="31" t="inlineStr">
        <is>
          <t>Near 52W High Breakout</t>
        </is>
      </c>
      <c r="S206" s="31" t="inlineStr">
        <is>
          <t>Nifty Energy</t>
        </is>
      </c>
      <c r="T206" s="32" t="inlineStr"/>
      <c r="U206" s="32" t="inlineStr"/>
      <c r="V206" s="32" t="inlineStr"/>
      <c r="W206" s="32" t="inlineStr"/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IF(B207=0,"",RANK(B207,$B$2:$B$253,0))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GLOBAL</t>
        </is>
      </c>
      <c r="D207" s="31" t="inlineStr">
        <is>
          <t>Global Education Ltd</t>
        </is>
      </c>
      <c r="E207" s="31" t="inlineStr">
        <is>
          <t>services</t>
        </is>
      </c>
      <c r="F207" s="31" t="inlineStr">
        <is>
          <t>miscellaneous</t>
        </is>
      </c>
      <c r="G207" s="31" t="inlineStr">
        <is>
          <t>smallcap</t>
        </is>
      </c>
      <c r="H207" s="32" t="n">
        <v>708.04</v>
      </c>
      <c r="I207" s="32" t="n">
        <v>142.62</v>
      </c>
      <c r="J207" s="32" t="n">
        <v>2.53</v>
      </c>
      <c r="K207" s="32" t="n">
        <v>209802</v>
      </c>
      <c r="L207" s="31" t="n">
        <v>72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78.38</v>
      </c>
      <c r="P207" s="32" t="n">
        <v>33.32</v>
      </c>
      <c r="Q207" s="32" t="n">
        <v>110.89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-9.92</v>
      </c>
      <c r="U207" s="32" t="n">
        <v>132.91</v>
      </c>
      <c r="V207" s="32" t="n">
        <v>158.57</v>
      </c>
      <c r="W207" s="32" t="n">
        <v>27.52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Less than 50%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IF(B208=0,"",RANK(B208,$B$2:$B$253,0))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UDS</t>
        </is>
      </c>
      <c r="D208" s="33" t="inlineStr">
        <is>
          <t>Updater Services Ltd</t>
        </is>
      </c>
      <c r="E208" s="31" t="inlineStr">
        <is>
          <t>miscellaneous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1411.51</v>
      </c>
      <c r="I208" s="32" t="n">
        <v>215.4</v>
      </c>
      <c r="J208" s="32" t="n">
        <v>2.17</v>
      </c>
      <c r="K208" s="32" t="n">
        <v>141225</v>
      </c>
      <c r="L208" s="31" t="n">
        <v>7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57.13</v>
      </c>
      <c r="P208" s="32" t="n">
        <v>37.22</v>
      </c>
      <c r="Q208" s="32" t="n">
        <v>187.75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-9.92</v>
      </c>
      <c r="U208" s="32" t="n">
        <v>-11.76</v>
      </c>
      <c r="V208" s="32" t="n">
        <v>-2.03</v>
      </c>
      <c r="W208" s="32" t="n">
        <v>1.45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IF(B209=0,"",RANK(B209,$B$2:$B$253,0))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VENUSPIPES</t>
        </is>
      </c>
      <c r="D209" s="31" t="inlineStr">
        <is>
          <t>Venus Pipes &amp; Tubes Ltd</t>
        </is>
      </c>
      <c r="E209" s="31" t="inlineStr">
        <is>
          <t>metals &amp; mining</t>
        </is>
      </c>
      <c r="F209" s="31" t="inlineStr">
        <is>
          <t>steel - medium / small</t>
        </is>
      </c>
      <c r="G209" s="31" t="inlineStr">
        <is>
          <t>smallcap</t>
        </is>
      </c>
      <c r="H209" s="32" t="n">
        <v>4570.8</v>
      </c>
      <c r="I209" s="32" t="n">
        <v>2240.3</v>
      </c>
      <c r="J209" s="32" t="n">
        <v>1.54</v>
      </c>
      <c r="K209" s="32" t="n">
        <v>80155</v>
      </c>
      <c r="L209" s="31" t="inlineStr"/>
      <c r="M209" s="31" t="inlineStr"/>
      <c r="N209" s="32">
        <f>IF(M209="Underperforming",-5,IF(L209&gt;=95,15,IF(L209&gt;=90,10,IF(L209&gt;=80,5,0))))</f>
        <v/>
      </c>
      <c r="O209" s="32" t="n">
        <v>73.7</v>
      </c>
      <c r="P209" s="32" t="n">
        <v>40.89</v>
      </c>
      <c r="Q209" s="32" t="n">
        <v>1780.37</v>
      </c>
      <c r="R209" s="31" t="inlineStr">
        <is>
          <t>Near 52W High Breakout</t>
        </is>
      </c>
      <c r="S209" s="31" t="inlineStr">
        <is>
          <t>Nifty Metal</t>
        </is>
      </c>
      <c r="T209" s="32" t="inlineStr"/>
      <c r="U209" s="32" t="inlineStr"/>
      <c r="V209" s="32" t="inlineStr"/>
      <c r="W209" s="32" t="inlineStr"/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IF(B210=0,"",RANK(B210,$B$2:$B$253,0))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MTARTECH</t>
        </is>
      </c>
      <c r="D210" s="31" t="inlineStr">
        <is>
          <t>MTAR Technologies Ltd</t>
        </is>
      </c>
      <c r="E210" s="31" t="inlineStr">
        <is>
          <t>aerospace &amp; defence</t>
        </is>
      </c>
      <c r="F210" s="31" t="inlineStr">
        <is>
          <t>engineering</t>
        </is>
      </c>
      <c r="G210" s="31" t="inlineStr">
        <is>
          <t>largecap</t>
        </is>
      </c>
      <c r="H210" s="32" t="n">
        <v>23543.39</v>
      </c>
      <c r="I210" s="32" t="n">
        <v>7718.5</v>
      </c>
      <c r="J210" s="32" t="n">
        <v>0.84</v>
      </c>
      <c r="K210" s="32" t="n">
        <v>98802</v>
      </c>
      <c r="L210" s="31" t="n">
        <v>89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63.1</v>
      </c>
      <c r="P210" s="32" t="n">
        <v>18.24</v>
      </c>
      <c r="Q210" s="32" t="n">
        <v>5489.17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-9.92</v>
      </c>
      <c r="U210" s="32" t="n">
        <v>310.41</v>
      </c>
      <c r="V210" s="32" t="n">
        <v>355.62</v>
      </c>
      <c r="W210" s="32" t="n">
        <v>37.14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IF(B211=0,"",RANK(B211,$B$2:$B$253,0))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SUDARSCHEM</t>
        </is>
      </c>
      <c r="D211" s="31" t="inlineStr">
        <is>
          <t>Sudarshan Chemical Industries Limited</t>
        </is>
      </c>
      <c r="E211" s="31" t="inlineStr">
        <is>
          <t>chemicals</t>
        </is>
      </c>
      <c r="F211" s="31" t="inlineStr">
        <is>
          <t>dyes and pigments</t>
        </is>
      </c>
      <c r="G211" s="31" t="inlineStr">
        <is>
          <t>midcap</t>
        </is>
      </c>
      <c r="H211" s="32" t="n">
        <v>9664.9</v>
      </c>
      <c r="I211" s="32" t="n">
        <v>1238.6</v>
      </c>
      <c r="J211" s="32" t="n">
        <v>0.76</v>
      </c>
      <c r="K211" s="32" t="n">
        <v>87536</v>
      </c>
      <c r="L211" s="31" t="n">
        <v>19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64.86</v>
      </c>
      <c r="P211" s="32" t="n">
        <v>42.04</v>
      </c>
      <c r="Q211" s="32" t="n">
        <v>985.52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-9.92</v>
      </c>
      <c r="U211" s="32" t="n">
        <v>-5.18</v>
      </c>
      <c r="V211" s="32" t="n">
        <v>5.27</v>
      </c>
      <c r="W211" s="32" t="n">
        <v>5.99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IF(B212=0,"",RANK(B212,$B$2:$B$253,0))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ROSSTECH</t>
        </is>
      </c>
      <c r="D212" s="31" t="inlineStr">
        <is>
          <t>Rossell Techsys Ltd</t>
        </is>
      </c>
      <c r="E212" s="31" t="inlineStr">
        <is>
          <t>aerospace &amp; defence</t>
        </is>
      </c>
      <c r="F212" s="31" t="inlineStr">
        <is>
          <t>engineering</t>
        </is>
      </c>
      <c r="G212" s="31" t="inlineStr">
        <is>
          <t>midcap</t>
        </is>
      </c>
      <c r="H212" s="32" t="n">
        <v>6058.58</v>
      </c>
      <c r="I212" s="32" t="n">
        <v>1612.1</v>
      </c>
      <c r="J212" s="32" t="n">
        <v>0.3</v>
      </c>
      <c r="K212" s="32" t="n">
        <v>506905</v>
      </c>
      <c r="L212" s="31" t="n">
        <v>83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82.78</v>
      </c>
      <c r="P212" s="32" t="n">
        <v>35.2</v>
      </c>
      <c r="Q212" s="32" t="n">
        <v>1209.95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-9.92</v>
      </c>
      <c r="U212" s="32" t="n">
        <v>131.31</v>
      </c>
      <c r="V212" s="32" t="n">
        <v>156.79</v>
      </c>
      <c r="W212" s="32" t="n">
        <v>34.24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IF(B213=0,"",RANK(B213,$B$2:$B$253,0))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PREMEXPLN</t>
        </is>
      </c>
      <c r="D213" s="31" t="inlineStr">
        <is>
          <t>Premier Explosives Limited</t>
        </is>
      </c>
      <c r="E213" s="31" t="inlineStr">
        <is>
          <t>aerospace &amp; defence</t>
        </is>
      </c>
      <c r="F213" s="31" t="inlineStr">
        <is>
          <t>chemicals</t>
        </is>
      </c>
      <c r="G213" s="31" t="inlineStr">
        <is>
          <t>smallcap</t>
        </is>
      </c>
      <c r="H213" s="32" t="n">
        <v>3682.91</v>
      </c>
      <c r="I213" s="32" t="n">
        <v>685.1</v>
      </c>
      <c r="J213" s="32" t="n">
        <v>0.01</v>
      </c>
      <c r="K213" s="32" t="n">
        <v>270918</v>
      </c>
      <c r="L213" s="31" t="n">
        <v>9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58.79</v>
      </c>
      <c r="P213" s="32" t="n">
        <v>30.72</v>
      </c>
      <c r="Q213" s="32" t="n">
        <v>560.62</v>
      </c>
      <c r="R213" s="31" t="inlineStr">
        <is>
          <t>Earnings / Momentum Support</t>
        </is>
      </c>
      <c r="S213" s="31" t="inlineStr">
        <is>
          <t>Nifty 50</t>
        </is>
      </c>
      <c r="T213" s="32" t="n">
        <v>-9.92</v>
      </c>
      <c r="U213" s="32" t="n">
        <v>4.24</v>
      </c>
      <c r="V213" s="32" t="n">
        <v>15.73</v>
      </c>
      <c r="W213" s="32" t="n">
        <v>3.29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IF(B214=0,"",RANK(B214,$B$2:$B$253,0))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SANATHAN</t>
        </is>
      </c>
      <c r="D214" s="31" t="inlineStr">
        <is>
          <t>Sanathan Textiles Ltd</t>
        </is>
      </c>
      <c r="E214" s="31" t="inlineStr">
        <is>
          <t>textiles</t>
        </is>
      </c>
      <c r="F214" s="31" t="inlineStr">
        <is>
          <t>textiles - cotton/blended</t>
        </is>
      </c>
      <c r="G214" s="31" t="inlineStr">
        <is>
          <t>smallcap</t>
        </is>
      </c>
      <c r="H214" s="32" t="n">
        <v>4459.49</v>
      </c>
      <c r="I214" s="32" t="n">
        <v>525.65</v>
      </c>
      <c r="J214" s="32" t="n">
        <v>-0.51</v>
      </c>
      <c r="K214" s="32" t="n">
        <v>45492</v>
      </c>
      <c r="L214" s="31" t="n">
        <v>14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66.69</v>
      </c>
      <c r="P214" s="32" t="n">
        <v>23.79</v>
      </c>
      <c r="Q214" s="32" t="n">
        <v>405.86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-9.92</v>
      </c>
      <c r="U214" s="32" t="n">
        <v>5.13</v>
      </c>
      <c r="V214" s="32" t="n">
        <v>16.71</v>
      </c>
      <c r="W214" s="32" t="n">
        <v>5.16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IF(B215=0,"",RANK(B215,$B$2:$B$253,0))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SBC</t>
        </is>
      </c>
      <c r="D215" s="31" t="inlineStr">
        <is>
          <t>SBC Exports Ltd</t>
        </is>
      </c>
      <c r="E215" s="31" t="inlineStr">
        <is>
          <t>textiles</t>
        </is>
      </c>
      <c r="F215" s="31" t="inlineStr">
        <is>
          <t>textiles - products</t>
        </is>
      </c>
      <c r="G215" s="31" t="inlineStr">
        <is>
          <t>smallcap</t>
        </is>
      </c>
      <c r="H215" s="32" t="n">
        <v>2954.28</v>
      </c>
      <c r="I215" s="32" t="n">
        <v>61.7</v>
      </c>
      <c r="J215" s="32" t="n">
        <v>-0.55</v>
      </c>
      <c r="K215" s="32" t="n">
        <v>26585618</v>
      </c>
      <c r="L215" s="31" t="n">
        <v>82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86.28</v>
      </c>
      <c r="P215" s="32" t="n">
        <v>32.35</v>
      </c>
      <c r="Q215" s="32" t="n">
        <v>50.57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-9.92</v>
      </c>
      <c r="U215" s="32" t="n">
        <v>171.21</v>
      </c>
      <c r="V215" s="32" t="n">
        <v>201.09</v>
      </c>
      <c r="W215" s="32" t="n">
        <v>32.13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More than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IF(B216=0,"",RANK(B216,$B$2:$B$253,0))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NAVINFLUOR</t>
        </is>
      </c>
      <c r="D216" s="31" t="inlineStr">
        <is>
          <t>Navin Fluorine International Limited</t>
        </is>
      </c>
      <c r="E216" s="31" t="inlineStr">
        <is>
          <t>chemicals</t>
        </is>
      </c>
      <c r="F216" s="31" t="inlineStr">
        <is>
          <t>chemicals</t>
        </is>
      </c>
      <c r="G216" s="31" t="inlineStr">
        <is>
          <t>largecap</t>
        </is>
      </c>
      <c r="H216" s="32" t="n">
        <v>42428.05</v>
      </c>
      <c r="I216" s="32" t="n">
        <v>8536</v>
      </c>
      <c r="J216" s="32" t="n">
        <v>3.19</v>
      </c>
      <c r="K216" s="32" t="n">
        <v>112311</v>
      </c>
      <c r="L216" s="31" t="n">
        <v>43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68.38</v>
      </c>
      <c r="P216" s="32" t="n">
        <v>54.84</v>
      </c>
      <c r="Q216" s="32" t="n">
        <v>7177.33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-9.92</v>
      </c>
      <c r="U216" s="32" t="n">
        <v>80.45</v>
      </c>
      <c r="V216" s="32" t="n">
        <v>100.33</v>
      </c>
      <c r="W216" s="32" t="n">
        <v>15.02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Oligopoly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Shallow Cyclical (2 to 3 Years Growth)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Between 50% to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IF(B217=0,"",RANK(B217,$B$2:$B$253,0))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ARIS</t>
        </is>
      </c>
      <c r="D217" s="33" t="inlineStr">
        <is>
          <t>Arisinfra Solutions Ltd</t>
        </is>
      </c>
      <c r="E217" s="31" t="inlineStr">
        <is>
          <t>services</t>
        </is>
      </c>
      <c r="F217" s="31" t="inlineStr">
        <is>
          <t>trading</t>
        </is>
      </c>
      <c r="G217" s="31" t="inlineStr">
        <is>
          <t>smallcap</t>
        </is>
      </c>
      <c r="H217" s="32" t="n">
        <v>1147.08</v>
      </c>
      <c r="I217" s="32" t="n">
        <v>143.66</v>
      </c>
      <c r="J217" s="32" t="n">
        <v>2.44</v>
      </c>
      <c r="K217" s="32" t="n">
        <v>2533868</v>
      </c>
      <c r="L217" s="31" t="n">
        <v>16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57.27</v>
      </c>
      <c r="P217" s="32" t="n">
        <v>10.31</v>
      </c>
      <c r="Q217" s="32" t="n">
        <v>107.65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-9.92</v>
      </c>
      <c r="U217" s="32" t="n">
        <v>-13.38</v>
      </c>
      <c r="V217" s="32" t="n">
        <v>-3.84</v>
      </c>
      <c r="W217" s="32" t="n">
        <v>5.4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IF(B218=0,"",RANK(B218,$B$2:$B$253,0))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GREAVESCOT</t>
        </is>
      </c>
      <c r="D218" s="31" t="inlineStr">
        <is>
          <t>Greaves Cotton Limited</t>
        </is>
      </c>
      <c r="E218" s="31" t="inlineStr">
        <is>
          <t>industrials</t>
        </is>
      </c>
      <c r="F218" s="31" t="inlineStr">
        <is>
          <t>engines</t>
        </is>
      </c>
      <c r="G218" s="31" t="inlineStr">
        <is>
          <t>midcap</t>
        </is>
      </c>
      <c r="H218" s="32" t="n">
        <v>5146.83</v>
      </c>
      <c r="I218" s="32" t="n">
        <v>222.78</v>
      </c>
      <c r="J218" s="32" t="n">
        <v>0.83</v>
      </c>
      <c r="K218" s="32" t="n">
        <v>1018671</v>
      </c>
      <c r="L218" s="31" t="n">
        <v>8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57.78</v>
      </c>
      <c r="P218" s="32" t="n">
        <v>24.08</v>
      </c>
      <c r="Q218" s="32" t="n">
        <v>203.69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-9.92</v>
      </c>
      <c r="U218" s="32" t="n">
        <v>8.01</v>
      </c>
      <c r="V218" s="32" t="n">
        <v>19.91</v>
      </c>
      <c r="W218" s="32" t="n">
        <v>3.11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IF(B219=0,"",RANK(B219,$B$2:$B$253,0))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FAIRCHEMOR</t>
        </is>
      </c>
      <c r="D219" s="33" t="inlineStr">
        <is>
          <t>Fairchem Organics Ltd</t>
        </is>
      </c>
      <c r="E219" s="31" t="inlineStr">
        <is>
          <t>chemicals</t>
        </is>
      </c>
      <c r="F219" s="31" t="inlineStr">
        <is>
          <t>chemicals</t>
        </is>
      </c>
      <c r="G219" s="31" t="inlineStr">
        <is>
          <t>smallcap</t>
        </is>
      </c>
      <c r="H219" s="32" t="n">
        <v>859.36</v>
      </c>
      <c r="I219" s="32" t="n">
        <v>679.3</v>
      </c>
      <c r="J219" s="32" t="n">
        <v>-0.43</v>
      </c>
      <c r="K219" s="32" t="n">
        <v>131897</v>
      </c>
      <c r="L219" s="31" t="n">
        <v>3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52.29</v>
      </c>
      <c r="P219" s="32" t="n">
        <v>23.63</v>
      </c>
      <c r="Q219" s="32" t="n">
        <v>615.71</v>
      </c>
      <c r="R219" s="31" t="inlineStr">
        <is>
          <t>Volume Spike / Accumulation</t>
        </is>
      </c>
      <c r="S219" s="31" t="inlineStr">
        <is>
          <t>Nifty 50</t>
        </is>
      </c>
      <c r="T219" s="32" t="n">
        <v>-9.92</v>
      </c>
      <c r="U219" s="32" t="n">
        <v>-12.6</v>
      </c>
      <c r="V219" s="32" t="n">
        <v>-2.97</v>
      </c>
      <c r="W219" s="32" t="n">
        <v>-1.24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1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IF(B220=0,"",RANK(B220,$B$2:$B$253,0))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RATNAVEER</t>
        </is>
      </c>
      <c r="D220" s="31" t="inlineStr">
        <is>
          <t>Ratnaveer Precision Engineering Ltd</t>
        </is>
      </c>
      <c r="E220" s="31" t="inlineStr">
        <is>
          <t>metals &amp; mining</t>
        </is>
      </c>
      <c r="F220" s="31" t="inlineStr">
        <is>
          <t>steel - medium / small</t>
        </is>
      </c>
      <c r="G220" s="31" t="inlineStr">
        <is>
          <t>smallcap</t>
        </is>
      </c>
      <c r="H220" s="32" t="n">
        <v>2848.04</v>
      </c>
      <c r="I220" s="32" t="n">
        <v>335.25</v>
      </c>
      <c r="J220" s="32" t="n">
        <v>-1.21</v>
      </c>
      <c r="K220" s="32" t="n">
        <v>1400875</v>
      </c>
      <c r="L220" s="31" t="inlineStr"/>
      <c r="M220" s="31" t="inlineStr"/>
      <c r="N220" s="32">
        <f>IF(M220="Underperforming",-5,IF(L220&gt;=95,15,IF(L220&gt;=90,10,IF(L220&gt;=80,5,0))))</f>
        <v/>
      </c>
      <c r="O220" s="32" t="n">
        <v>77.77</v>
      </c>
      <c r="P220" s="32" t="n">
        <v>68.73999999999999</v>
      </c>
      <c r="Q220" s="32" t="n">
        <v>256.47</v>
      </c>
      <c r="R220" s="31" t="inlineStr">
        <is>
          <t>Near 52W High Breakout</t>
        </is>
      </c>
      <c r="S220" s="31" t="inlineStr">
        <is>
          <t>Nifty Metal</t>
        </is>
      </c>
      <c r="T220" s="32" t="inlineStr"/>
      <c r="U220" s="32" t="inlineStr"/>
      <c r="V220" s="32" t="inlineStr"/>
      <c r="W220" s="32" t="inlineStr"/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IF(B221=0,"",RANK(B221,$B$2:$B$253,0))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ONWARDTEC</t>
        </is>
      </c>
      <c r="D221" s="31" t="inlineStr">
        <is>
          <t>Onward Technologies Limited</t>
        </is>
      </c>
      <c r="E221" s="31" t="inlineStr">
        <is>
          <t>i.t</t>
        </is>
      </c>
      <c r="F221" s="31" t="inlineStr">
        <is>
          <t>computers - software - medium / small</t>
        </is>
      </c>
      <c r="G221" s="31" t="inlineStr">
        <is>
          <t>smallcap</t>
        </is>
      </c>
      <c r="H221" s="32" t="n">
        <v>646.71</v>
      </c>
      <c r="I221" s="32" t="n">
        <v>294.6</v>
      </c>
      <c r="J221" s="32" t="n">
        <v>1.32</v>
      </c>
      <c r="K221" s="32" t="n">
        <v>29818</v>
      </c>
      <c r="L221" s="31" t="n">
        <v>4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59.77</v>
      </c>
      <c r="P221" s="32" t="n">
        <v>19.28</v>
      </c>
      <c r="Q221" s="32" t="n">
        <v>230.91</v>
      </c>
      <c r="R221" s="31" t="inlineStr">
        <is>
          <t>Earnings / Momentum Support</t>
        </is>
      </c>
      <c r="S221" s="31" t="inlineStr">
        <is>
          <t>Nifty IT</t>
        </is>
      </c>
      <c r="T221" s="32" t="n">
        <v>-20.99</v>
      </c>
      <c r="U221" s="32" t="n">
        <v>-3.72</v>
      </c>
      <c r="V221" s="32" t="n">
        <v>21.85</v>
      </c>
      <c r="W221" s="32" t="n">
        <v>0.52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IF(B222=0,"",RANK(B222,$B$2:$B$253,0))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ARFIN</t>
        </is>
      </c>
      <c r="D222" s="31" t="inlineStr">
        <is>
          <t>Arfin India Ltd</t>
        </is>
      </c>
      <c r="E222" s="31" t="inlineStr">
        <is>
          <t>metals &amp; mining</t>
        </is>
      </c>
      <c r="F222" s="31" t="inlineStr">
        <is>
          <t>aluminium and aluminium products</t>
        </is>
      </c>
      <c r="G222" s="31" t="inlineStr">
        <is>
          <t>smallcap</t>
        </is>
      </c>
      <c r="H222" s="32" t="n">
        <v>1476.49</v>
      </c>
      <c r="I222" s="32" t="n">
        <v>96.36</v>
      </c>
      <c r="J222" s="32" t="n">
        <v>10.11</v>
      </c>
      <c r="K222" s="32" t="n">
        <v>9170776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61.6</v>
      </c>
      <c r="P222" s="32" t="n">
        <v>23.1</v>
      </c>
      <c r="Q222" s="32" t="n">
        <v>71.3</v>
      </c>
      <c r="R222" s="31" t="inlineStr">
        <is>
          <t>Near 52W High Breakout</t>
        </is>
      </c>
      <c r="S222" s="31" t="inlineStr">
        <is>
          <t>Nifty Metal</t>
        </is>
      </c>
      <c r="T222" s="32" t="inlineStr"/>
      <c r="U222" s="32" t="inlineStr"/>
      <c r="V222" s="32" t="inlineStr"/>
      <c r="W222" s="32" t="inlineStr"/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Between 0.7 to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IF(B223=0,"",RANK(B223,$B$2:$B$253,0))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JYOTICNC</t>
        </is>
      </c>
      <c r="D223" s="31" t="inlineStr">
        <is>
          <t>Jyoti CNC Automation Ltd</t>
        </is>
      </c>
      <c r="E223" s="31" t="inlineStr">
        <is>
          <t>industrials</t>
        </is>
      </c>
      <c r="F223" s="31" t="inlineStr">
        <is>
          <t>engineering</t>
        </is>
      </c>
      <c r="G223" s="31" t="inlineStr">
        <is>
          <t>largecap</t>
        </is>
      </c>
      <c r="H223" s="32" t="n">
        <v>23415.48</v>
      </c>
      <c r="I223" s="32" t="n">
        <v>1073.1</v>
      </c>
      <c r="J223" s="32" t="n">
        <v>4.22</v>
      </c>
      <c r="K223" s="32" t="n">
        <v>557011</v>
      </c>
      <c r="L223" s="31" t="n">
        <v>31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67.27</v>
      </c>
      <c r="P223" s="32" t="n">
        <v>14.34</v>
      </c>
      <c r="Q223" s="32" t="n">
        <v>823.73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-9.92</v>
      </c>
      <c r="U223" s="32" t="n">
        <v>11.27</v>
      </c>
      <c r="V223" s="32" t="n">
        <v>23.53</v>
      </c>
      <c r="W223" s="32" t="n">
        <v>10.23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IF(B224=0,"",RANK(B224,$B$2:$B$253,0))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GPTINFRA</t>
        </is>
      </c>
      <c r="D224" s="31" t="inlineStr">
        <is>
          <t>Gpt Infraprojects Limited</t>
        </is>
      </c>
      <c r="E224" s="31" t="inlineStr">
        <is>
          <t>realty</t>
        </is>
      </c>
      <c r="F224" s="31" t="inlineStr">
        <is>
          <t>construction</t>
        </is>
      </c>
      <c r="G224" s="31" t="inlineStr">
        <is>
          <t>smallcap</t>
        </is>
      </c>
      <c r="H224" s="32" t="n">
        <v>1521.18</v>
      </c>
      <c r="I224" s="32" t="n">
        <v>121.62</v>
      </c>
      <c r="J224" s="32" t="n">
        <v>1.03</v>
      </c>
      <c r="K224" s="32" t="n">
        <v>148536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56.85</v>
      </c>
      <c r="P224" s="32" t="n">
        <v>15.37</v>
      </c>
      <c r="Q224" s="32" t="n">
        <v>96.98</v>
      </c>
      <c r="R224" s="31" t="inlineStr">
        <is>
          <t>Earnings / Momentum Support</t>
        </is>
      </c>
      <c r="S224" s="31" t="inlineStr">
        <is>
          <t>Nifty Realty</t>
        </is>
      </c>
      <c r="T224" s="32" t="inlineStr"/>
      <c r="U224" s="32" t="inlineStr"/>
      <c r="V224" s="32" t="inlineStr"/>
      <c r="W224" s="32" t="inlineStr"/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IF(B225=0,"",RANK(B225,$B$2:$B$253,0))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RAMRAT</t>
        </is>
      </c>
      <c r="D225" s="31" t="inlineStr">
        <is>
          <t>Ram Ratna Wires Ltd</t>
        </is>
      </c>
      <c r="E225" s="31" t="inlineStr">
        <is>
          <t>metals &amp; mining</t>
        </is>
      </c>
      <c r="F225" s="31" t="inlineStr">
        <is>
          <t>mining / minerals / metals</t>
        </is>
      </c>
      <c r="G225" s="31" t="inlineStr">
        <is>
          <t>midcap</t>
        </is>
      </c>
      <c r="H225" s="32" t="n">
        <v>5929.53</v>
      </c>
      <c r="I225" s="32" t="n">
        <v>641.2</v>
      </c>
      <c r="J225" s="32" t="n">
        <v>0.9399999999999999</v>
      </c>
      <c r="K225" s="32" t="n">
        <v>264177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76.36</v>
      </c>
      <c r="P225" s="32" t="n">
        <v>51.26</v>
      </c>
      <c r="Q225" s="32" t="n">
        <v>493.09</v>
      </c>
      <c r="R225" s="31" t="inlineStr">
        <is>
          <t>Near 52W High Breakout</t>
        </is>
      </c>
      <c r="S225" s="31" t="inlineStr">
        <is>
          <t>Nifty Metal</t>
        </is>
      </c>
      <c r="T225" s="32" t="inlineStr"/>
      <c r="U225" s="32" t="inlineStr"/>
      <c r="V225" s="32" t="inlineStr"/>
      <c r="W225" s="32" t="inlineStr"/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IF(B226=0,"",RANK(B226,$B$2:$B$253,0))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SUNFLAG</t>
        </is>
      </c>
      <c r="D226" s="31" t="inlineStr">
        <is>
          <t>Sunflag Iron And Steel Company Limited</t>
        </is>
      </c>
      <c r="E226" s="31" t="inlineStr">
        <is>
          <t>metals &amp; mining</t>
        </is>
      </c>
      <c r="F226" s="31" t="inlineStr">
        <is>
          <t>steel - medium / small</t>
        </is>
      </c>
      <c r="G226" s="31" t="inlineStr">
        <is>
          <t>midcap</t>
        </is>
      </c>
      <c r="H226" s="32" t="n">
        <v>8199.98</v>
      </c>
      <c r="I226" s="32" t="n">
        <v>459.05</v>
      </c>
      <c r="J226" s="32" t="n">
        <v>0.89</v>
      </c>
      <c r="K226" s="32" t="n">
        <v>704018</v>
      </c>
      <c r="L226" s="31" t="inlineStr"/>
      <c r="M226" s="31" t="inlineStr"/>
      <c r="N226" s="32">
        <f>IF(M226="Underperforming",-5,IF(L226&gt;=95,15,IF(L226&gt;=90,10,IF(L226&gt;=80,5,0))))</f>
        <v/>
      </c>
      <c r="O226" s="32" t="n">
        <v>73.5</v>
      </c>
      <c r="P226" s="32" t="n">
        <v>35.03</v>
      </c>
      <c r="Q226" s="32" t="n">
        <v>350.47</v>
      </c>
      <c r="R226" s="31" t="inlineStr">
        <is>
          <t>Near 52W High Breakout</t>
        </is>
      </c>
      <c r="S226" s="31" t="inlineStr">
        <is>
          <t>Nifty Metal</t>
        </is>
      </c>
      <c r="T226" s="32" t="inlineStr"/>
      <c r="U226" s="32" t="inlineStr"/>
      <c r="V226" s="32" t="inlineStr"/>
      <c r="W226" s="32" t="inlineStr"/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IF(B227=0,"",RANK(B227,$B$2:$B$253,0))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INDIAGLYCO</t>
        </is>
      </c>
      <c r="D227" s="31" t="inlineStr">
        <is>
          <t>India Glycols Limited</t>
        </is>
      </c>
      <c r="E227" s="31" t="inlineStr">
        <is>
          <t>fmcg</t>
        </is>
      </c>
      <c r="F227" s="31" t="inlineStr">
        <is>
          <t>breweries &amp; distilleries</t>
        </is>
      </c>
      <c r="G227" s="31" t="inlineStr">
        <is>
          <t>smallcap</t>
        </is>
      </c>
      <c r="H227" s="32" t="n">
        <v>2033.26</v>
      </c>
      <c r="I227" s="32" t="n">
        <v>318.95</v>
      </c>
      <c r="J227" s="32" t="n">
        <v>5.14</v>
      </c>
      <c r="K227" s="32" t="n">
        <v>613990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28.33</v>
      </c>
      <c r="P227" s="32" t="n">
        <v>41.58</v>
      </c>
      <c r="Q227" s="32" t="n">
        <v>828.5599999999999</v>
      </c>
      <c r="R227" s="31" t="inlineStr">
        <is>
          <t>Earnings / Momentum Support</t>
        </is>
      </c>
      <c r="S227" s="31" t="inlineStr">
        <is>
          <t>Nifty FMCG</t>
        </is>
      </c>
      <c r="T227" s="32" t="inlineStr"/>
      <c r="U227" s="32" t="inlineStr"/>
      <c r="V227" s="32" t="inlineStr"/>
      <c r="W227" s="32" t="inlineStr"/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B2C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Below 45</t>
        </is>
      </c>
      <c r="BA227" s="31">
        <f>IF(AZ227="Between 50 to 75",10,IF(AZ227="Above 75",0,0))</f>
        <v/>
      </c>
      <c r="BB227" s="31" t="inlineStr">
        <is>
          <t>Stage 4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No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IF(B228=0,"",RANK(B228,$B$2:$B$253,0))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VALIANTLAB</t>
        </is>
      </c>
      <c r="D228" s="31" t="inlineStr">
        <is>
          <t>Valiant Laboratories Ltd</t>
        </is>
      </c>
      <c r="E228" s="31" t="inlineStr">
        <is>
          <t>healthcare</t>
        </is>
      </c>
      <c r="F228" s="31" t="inlineStr">
        <is>
          <t>pharmaceuticals - indian - bulk drugs &amp; formln</t>
        </is>
      </c>
      <c r="G228" s="31" t="inlineStr">
        <is>
          <t>smallcap</t>
        </is>
      </c>
      <c r="H228" s="32" t="n">
        <v>676.63</v>
      </c>
      <c r="I228" s="32" t="n">
        <v>124.37</v>
      </c>
      <c r="J228" s="32" t="n">
        <v>-0.17</v>
      </c>
      <c r="K228" s="32" t="n">
        <v>73168</v>
      </c>
      <c r="L228" s="31" t="n">
        <v>83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77.16</v>
      </c>
      <c r="P228" s="32" t="n">
        <v>36.6</v>
      </c>
      <c r="Q228" s="32" t="n">
        <v>94.17</v>
      </c>
      <c r="R228" s="31" t="inlineStr">
        <is>
          <t>Near 52W High Breakout</t>
        </is>
      </c>
      <c r="S228" s="31" t="inlineStr">
        <is>
          <t>Nifty Pharma</t>
        </is>
      </c>
      <c r="T228" s="32" t="n">
        <v>19.49</v>
      </c>
      <c r="U228" s="32" t="n">
        <v>43.07</v>
      </c>
      <c r="V228" s="32" t="n">
        <v>19.73</v>
      </c>
      <c r="W228" s="32" t="n">
        <v>34.24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IF(B229=0,"",RANK(B229,$B$2:$B$253,0))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SIMPLEXINF</t>
        </is>
      </c>
      <c r="D229" s="31" t="inlineStr">
        <is>
          <t>Simplex Infrastructures Limited</t>
        </is>
      </c>
      <c r="E229" s="31" t="inlineStr">
        <is>
          <t>realty</t>
        </is>
      </c>
      <c r="F229" s="31" t="inlineStr">
        <is>
          <t>construction</t>
        </is>
      </c>
      <c r="G229" s="31" t="inlineStr">
        <is>
          <t>smallcap</t>
        </is>
      </c>
      <c r="H229" s="32" t="n">
        <v>1974.3</v>
      </c>
      <c r="I229" s="32" t="n">
        <v>259.13</v>
      </c>
      <c r="J229" s="32" t="n">
        <v>3.81</v>
      </c>
      <c r="K229" s="32" t="n">
        <v>205768</v>
      </c>
      <c r="L229" s="31" t="inlineStr"/>
      <c r="M229" s="31" t="inlineStr"/>
      <c r="N229" s="32">
        <f>IF(M229="Underperforming",-5,IF(L229&gt;=95,15,IF(L229&gt;=90,10,IF(L229&gt;=80,5,0))))</f>
        <v/>
      </c>
      <c r="O229" s="32" t="n">
        <v>53.91</v>
      </c>
      <c r="P229" s="32" t="n">
        <v>15.65</v>
      </c>
      <c r="Q229" s="32" t="n">
        <v>199.5</v>
      </c>
      <c r="R229" s="31" t="inlineStr">
        <is>
          <t>Earnings / Momentum Support</t>
        </is>
      </c>
      <c r="S229" s="31" t="inlineStr">
        <is>
          <t>Nifty Realty</t>
        </is>
      </c>
      <c r="T229" s="32" t="inlineStr"/>
      <c r="U229" s="32" t="inlineStr"/>
      <c r="V229" s="32" t="inlineStr"/>
      <c r="W229" s="32" t="inlineStr"/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IF(B230=0,"",RANK(B230,$B$2:$B$253,0))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CGPOWER</t>
        </is>
      </c>
      <c r="D230" s="31" t="inlineStr">
        <is>
          <t>CG Power and Industrial Solutions Ltd</t>
        </is>
      </c>
      <c r="E230" s="31" t="inlineStr">
        <is>
          <t>industrials</t>
        </is>
      </c>
      <c r="F230" s="31" t="inlineStr">
        <is>
          <t>electric equipment</t>
        </is>
      </c>
      <c r="G230" s="31" t="inlineStr">
        <is>
          <t>largecap</t>
        </is>
      </c>
      <c r="H230" s="32" t="n">
        <v>138960.42</v>
      </c>
      <c r="I230" s="32" t="n">
        <v>912</v>
      </c>
      <c r="J230" s="32" t="n">
        <v>3.37</v>
      </c>
      <c r="K230" s="32" t="n">
        <v>2540774</v>
      </c>
      <c r="L230" s="31" t="n">
        <v>15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59.3</v>
      </c>
      <c r="P230" s="32" t="n">
        <v>14.63</v>
      </c>
      <c r="Q230" s="32" t="n">
        <v>760.02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-9.92</v>
      </c>
      <c r="U230" s="32" t="n">
        <v>21.32</v>
      </c>
      <c r="V230" s="32" t="n">
        <v>34.68</v>
      </c>
      <c r="W230" s="32" t="n">
        <v>5.3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IF(B231=0,"",RANK(B231,$B$2:$B$253,0))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KECL</t>
        </is>
      </c>
      <c r="D231" s="31" t="inlineStr">
        <is>
          <t>Kirloskar Electric Company Limited</t>
        </is>
      </c>
      <c r="E231" s="31" t="inlineStr">
        <is>
          <t>industrials</t>
        </is>
      </c>
      <c r="F231" s="31" t="inlineStr">
        <is>
          <t>electric equipment</t>
        </is>
      </c>
      <c r="G231" s="31" t="inlineStr">
        <is>
          <t>smallcap</t>
        </is>
      </c>
      <c r="H231" s="32" t="n">
        <v>832.97</v>
      </c>
      <c r="I231" s="32" t="n">
        <v>128.11</v>
      </c>
      <c r="J231" s="32" t="n">
        <v>2.14</v>
      </c>
      <c r="K231" s="32" t="n">
        <v>151467</v>
      </c>
      <c r="L231" s="31" t="n">
        <v>13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54.44</v>
      </c>
      <c r="P231" s="32" t="n">
        <v>27.01</v>
      </c>
      <c r="Q231" s="32" t="n">
        <v>104.69</v>
      </c>
      <c r="R231" s="31" t="inlineStr">
        <is>
          <t>Earnings / Momentum Support</t>
        </is>
      </c>
      <c r="S231" s="31" t="inlineStr">
        <is>
          <t>Nifty 50</t>
        </is>
      </c>
      <c r="T231" s="32" t="n">
        <v>-9.92</v>
      </c>
      <c r="U231" s="32" t="n">
        <v>10.33</v>
      </c>
      <c r="V231" s="32" t="n">
        <v>22.48</v>
      </c>
      <c r="W231" s="32" t="n">
        <v>4.8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Between 0.7 to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IF(B232=0,"",RANK(B232,$B$2:$B$253,0))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KIRLOSENG</t>
        </is>
      </c>
      <c r="D232" s="31" t="inlineStr">
        <is>
          <t>Kirloskar Oil Engines Limited</t>
        </is>
      </c>
      <c r="E232" s="31" t="inlineStr">
        <is>
          <t>industrials</t>
        </is>
      </c>
      <c r="F232" s="31" t="inlineStr">
        <is>
          <t>engines</t>
        </is>
      </c>
      <c r="G232" s="31" t="inlineStr">
        <is>
          <t>largecap</t>
        </is>
      </c>
      <c r="H232" s="32" t="n">
        <v>32618.9</v>
      </c>
      <c r="I232" s="32" t="n">
        <v>2266.1</v>
      </c>
      <c r="J232" s="32" t="n">
        <v>1</v>
      </c>
      <c r="K232" s="32" t="n">
        <v>392965</v>
      </c>
      <c r="L232" s="31" t="n">
        <v>63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63.57</v>
      </c>
      <c r="P232" s="32" t="n">
        <v>44.78</v>
      </c>
      <c r="Q232" s="32" t="n">
        <v>1886.44</v>
      </c>
      <c r="R232" s="31" t="inlineStr">
        <is>
          <t>Earnings / Momentum Support</t>
        </is>
      </c>
      <c r="S232" s="31" t="inlineStr">
        <is>
          <t>Nifty 50</t>
        </is>
      </c>
      <c r="T232" s="32" t="n">
        <v>-9.92</v>
      </c>
      <c r="U232" s="32" t="n">
        <v>155.29</v>
      </c>
      <c r="V232" s="32" t="n">
        <v>183.42</v>
      </c>
      <c r="W232" s="32" t="n">
        <v>21.76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IF(B233=0,"",RANK(B233,$B$2:$B$253,0))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BALRAMCHIN</t>
        </is>
      </c>
      <c r="D233" s="31" t="inlineStr">
        <is>
          <t>Balrampur Chini Mills Limited</t>
        </is>
      </c>
      <c r="E233" s="31" t="inlineStr">
        <is>
          <t>fmcg</t>
        </is>
      </c>
      <c r="F233" s="31" t="inlineStr">
        <is>
          <t>sugar</t>
        </is>
      </c>
      <c r="G233" s="31" t="inlineStr">
        <is>
          <t>midcap</t>
        </is>
      </c>
      <c r="H233" s="32" t="n">
        <v>14186.59</v>
      </c>
      <c r="I233" s="32" t="n">
        <v>691.3</v>
      </c>
      <c r="J233" s="32" t="n">
        <v>2.95</v>
      </c>
      <c r="K233" s="32" t="n">
        <v>2257521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62.92</v>
      </c>
      <c r="P233" s="32" t="n">
        <v>60.56</v>
      </c>
      <c r="Q233" s="32" t="n">
        <v>558.21</v>
      </c>
      <c r="R233" s="31" t="inlineStr">
        <is>
          <t>Earnings / Momentum Support</t>
        </is>
      </c>
      <c r="S233" s="31" t="inlineStr">
        <is>
          <t>Nifty FMCG</t>
        </is>
      </c>
      <c r="T233" s="32" t="inlineStr"/>
      <c r="U233" s="32" t="inlineStr"/>
      <c r="V233" s="32" t="inlineStr"/>
      <c r="W233" s="32" t="inlineStr"/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B2C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IF(B234=0,"",RANK(B234,$B$2:$B$253,0))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HERITGFOOD</t>
        </is>
      </c>
      <c r="D234" s="31" t="inlineStr">
        <is>
          <t>Heritage Foods Limited</t>
        </is>
      </c>
      <c r="E234" s="31" t="inlineStr">
        <is>
          <t>fmcg</t>
        </is>
      </c>
      <c r="F234" s="31" t="inlineStr">
        <is>
          <t>food - processing - indian</t>
        </is>
      </c>
      <c r="G234" s="31" t="inlineStr">
        <is>
          <t>smallcap</t>
        </is>
      </c>
      <c r="H234" s="32" t="n">
        <v>3663.12</v>
      </c>
      <c r="I234" s="32" t="n">
        <v>406.1</v>
      </c>
      <c r="J234" s="32" t="n">
        <v>2.88</v>
      </c>
      <c r="K234" s="32" t="n">
        <v>271576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62.68</v>
      </c>
      <c r="P234" s="32" t="n">
        <v>20.91</v>
      </c>
      <c r="Q234" s="32" t="n">
        <v>339.86</v>
      </c>
      <c r="R234" s="31" t="inlineStr">
        <is>
          <t>Earnings / Momentum Support</t>
        </is>
      </c>
      <c r="S234" s="31" t="inlineStr">
        <is>
          <t>Nifty FMCG</t>
        </is>
      </c>
      <c r="T234" s="32" t="inlineStr"/>
      <c r="U234" s="32" t="inlineStr"/>
      <c r="V234" s="32" t="inlineStr"/>
      <c r="W234" s="32" t="inlineStr"/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B2C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IF(B235=0,"",RANK(B235,$B$2:$B$253,0))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AEROFLEX</t>
        </is>
      </c>
      <c r="D235" s="31" t="inlineStr">
        <is>
          <t>Aeroflex Industries Ltd</t>
        </is>
      </c>
      <c r="E235" s="31" t="inlineStr">
        <is>
          <t>metals &amp; mining</t>
        </is>
      </c>
      <c r="F235" s="31" t="inlineStr">
        <is>
          <t>steel - medium / small</t>
        </is>
      </c>
      <c r="G235" s="31" t="inlineStr">
        <is>
          <t>midcap</t>
        </is>
      </c>
      <c r="H235" s="32" t="n">
        <v>7203.43</v>
      </c>
      <c r="I235" s="32" t="n">
        <v>560.75</v>
      </c>
      <c r="J235" s="32" t="n">
        <v>3.01</v>
      </c>
      <c r="K235" s="32" t="n">
        <v>1324804</v>
      </c>
      <c r="L235" s="31" t="inlineStr"/>
      <c r="M235" s="31" t="inlineStr"/>
      <c r="N235" s="32">
        <f>IF(M235="Underperforming",-5,IF(L235&gt;=95,15,IF(L235&gt;=90,10,IF(L235&gt;=80,5,0))))</f>
        <v/>
      </c>
      <c r="O235" s="32" t="n">
        <v>67.88</v>
      </c>
      <c r="P235" s="32" t="n">
        <v>46.28</v>
      </c>
      <c r="Q235" s="32" t="n">
        <v>405.61</v>
      </c>
      <c r="R235" s="31" t="inlineStr">
        <is>
          <t>Near 52W High Breakout</t>
        </is>
      </c>
      <c r="S235" s="31" t="inlineStr">
        <is>
          <t>Nifty Metal</t>
        </is>
      </c>
      <c r="T235" s="32" t="inlineStr"/>
      <c r="U235" s="32" t="inlineStr"/>
      <c r="V235" s="32" t="inlineStr"/>
      <c r="W235" s="32" t="inlineStr"/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Volatile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IF(B236=0,"",RANK(B236,$B$2:$B$253,0))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PETRONET</t>
        </is>
      </c>
      <c r="D236" s="31" t="inlineStr">
        <is>
          <t>Petronet Lng Limited</t>
        </is>
      </c>
      <c r="E236" s="31" t="inlineStr">
        <is>
          <t>energy</t>
        </is>
      </c>
      <c r="F236" s="31" t="inlineStr">
        <is>
          <t>miscellaneous</t>
        </is>
      </c>
      <c r="G236" s="31" t="inlineStr">
        <is>
          <t>largecap</t>
        </is>
      </c>
      <c r="H236" s="32" t="n">
        <v>43500</v>
      </c>
      <c r="I236" s="32" t="n">
        <v>297.5</v>
      </c>
      <c r="J236" s="32" t="n">
        <v>2.59</v>
      </c>
      <c r="K236" s="32" t="n">
        <v>5098731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59.8</v>
      </c>
      <c r="P236" s="32" t="n">
        <v>8.140000000000001</v>
      </c>
      <c r="Q236" s="32" t="n">
        <v>256.91</v>
      </c>
      <c r="R236" s="31" t="inlineStr">
        <is>
          <t>Earnings / Momentum Support</t>
        </is>
      </c>
      <c r="S236" s="31" t="inlineStr">
        <is>
          <t>Nifty Energy</t>
        </is>
      </c>
      <c r="T236" s="32" t="inlineStr"/>
      <c r="U236" s="32" t="inlineStr"/>
      <c r="V236" s="32" t="inlineStr"/>
      <c r="W236" s="32" t="inlineStr"/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IF(B237=0,"",RANK(B237,$B$2:$B$253,0))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SETL</t>
        </is>
      </c>
      <c r="D237" s="31" t="inlineStr">
        <is>
          <t>Standard Enginnering Technology Ltd</t>
        </is>
      </c>
      <c r="E237" s="31" t="inlineStr">
        <is>
          <t>industrials</t>
        </is>
      </c>
      <c r="F237" s="31" t="inlineStr">
        <is>
          <t>engineering</t>
        </is>
      </c>
      <c r="G237" s="31" t="inlineStr">
        <is>
          <t>midcap</t>
        </is>
      </c>
      <c r="H237" s="32" t="n">
        <v>8579.139999999999</v>
      </c>
      <c r="I237" s="32" t="n">
        <v>428.3</v>
      </c>
      <c r="J237" s="32" t="n">
        <v>-0.41</v>
      </c>
      <c r="K237" s="32" t="n">
        <v>453699</v>
      </c>
      <c r="L237" s="31" t="n">
        <v>89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75.52</v>
      </c>
      <c r="P237" s="32" t="n">
        <v>77.37</v>
      </c>
      <c r="Q237" s="32" t="n">
        <v>362.45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-9.92</v>
      </c>
      <c r="U237" s="32" t="n">
        <v>140.62</v>
      </c>
      <c r="V237" s="32" t="n">
        <v>167.13</v>
      </c>
      <c r="W237" s="32" t="n">
        <v>37.43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IF(B238=0,"",RANK(B238,$B$2:$B$253,0))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AMANTA</t>
        </is>
      </c>
      <c r="D238" s="31" t="inlineStr">
        <is>
          <t>Amanta Healthcare Ltd</t>
        </is>
      </c>
      <c r="E238" s="31" t="inlineStr">
        <is>
          <t>healthcare</t>
        </is>
      </c>
      <c r="F238" s="31" t="inlineStr">
        <is>
          <t>pharmaceuticals - indian - bulk drugs &amp; formln</t>
        </is>
      </c>
      <c r="G238" s="31" t="inlineStr">
        <is>
          <t>smallcap</t>
        </is>
      </c>
      <c r="H238" s="32" t="n">
        <v>776.28</v>
      </c>
      <c r="I238" s="32" t="n">
        <v>197.68</v>
      </c>
      <c r="J238" s="32" t="n">
        <v>-1.12</v>
      </c>
      <c r="K238" s="32" t="n">
        <v>77852</v>
      </c>
      <c r="L238" s="31" t="n">
        <v>40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66.45</v>
      </c>
      <c r="P238" s="32" t="n">
        <v>37.12</v>
      </c>
      <c r="Q238" s="32" t="n">
        <v>151.88</v>
      </c>
      <c r="R238" s="31" t="inlineStr">
        <is>
          <t>Near 52W High Breakout</t>
        </is>
      </c>
      <c r="S238" s="31" t="inlineStr">
        <is>
          <t>Nifty Pharma</t>
        </is>
      </c>
      <c r="T238" s="32" t="n">
        <v>19.49</v>
      </c>
      <c r="U238" s="32" t="n">
        <v>47.46</v>
      </c>
      <c r="V238" s="32" t="n">
        <v>23.4</v>
      </c>
      <c r="W238" s="32" t="n">
        <v>12.93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IF(B239=0,"",RANK(B239,$B$2:$B$253,0))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MANAKSTEEL</t>
        </is>
      </c>
      <c r="D239" s="31" t="inlineStr">
        <is>
          <t>Manaksia Steels Limited</t>
        </is>
      </c>
      <c r="E239" s="31" t="inlineStr">
        <is>
          <t>metals &amp; mining</t>
        </is>
      </c>
      <c r="F239" s="31" t="inlineStr">
        <is>
          <t>steel - medium / small</t>
        </is>
      </c>
      <c r="G239" s="31" t="inlineStr">
        <is>
          <t>smallcap</t>
        </is>
      </c>
      <c r="H239" s="32" t="n">
        <v>679.59</v>
      </c>
      <c r="I239" s="32" t="n">
        <v>108.88</v>
      </c>
      <c r="J239" s="32" t="n">
        <v>5</v>
      </c>
      <c r="K239" s="32" t="n">
        <v>51919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68.81999999999999</v>
      </c>
      <c r="P239" s="32" t="n">
        <v>49.47</v>
      </c>
      <c r="Q239" s="32" t="n">
        <v>86.94</v>
      </c>
      <c r="R239" s="31" t="inlineStr">
        <is>
          <t>Earnings / Momentum Support</t>
        </is>
      </c>
      <c r="S239" s="31" t="inlineStr">
        <is>
          <t>Nifty Metal</t>
        </is>
      </c>
      <c r="T239" s="32" t="inlineStr"/>
      <c r="U239" s="32" t="inlineStr"/>
      <c r="V239" s="32" t="inlineStr"/>
      <c r="W239" s="32" t="inlineStr"/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IF(B240=0,"",RANK(B240,$B$2:$B$253,0))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PATELRMART</t>
        </is>
      </c>
      <c r="D240" s="31" t="inlineStr">
        <is>
          <t>Patel Retail Ltd</t>
        </is>
      </c>
      <c r="E240" s="31" t="inlineStr">
        <is>
          <t>consumer discretionary</t>
        </is>
      </c>
      <c r="F240" s="31" t="inlineStr">
        <is>
          <t>trading</t>
        </is>
      </c>
      <c r="G240" s="31" t="inlineStr">
        <is>
          <t>smallcap</t>
        </is>
      </c>
      <c r="H240" s="32" t="n">
        <v>744.5</v>
      </c>
      <c r="I240" s="32" t="n">
        <v>227.01</v>
      </c>
      <c r="J240" s="32" t="n">
        <v>1.84</v>
      </c>
      <c r="K240" s="32" t="n">
        <v>102505</v>
      </c>
      <c r="L240" s="31" t="n">
        <v>6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55.93</v>
      </c>
      <c r="P240" s="32" t="n">
        <v>15</v>
      </c>
      <c r="Q240" s="32" t="n">
        <v>178.27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-9.92</v>
      </c>
      <c r="U240" s="32" t="n">
        <v>0.19</v>
      </c>
      <c r="V240" s="32" t="n">
        <v>11.23</v>
      </c>
      <c r="W240" s="32" t="n">
        <v>1.1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1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IF(B241=0,"",RANK(B241,$B$2:$B$253,0))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SHRINGARMS</t>
        </is>
      </c>
      <c r="D241" s="31" t="inlineStr">
        <is>
          <t>Shringar House of Mangalsutra Ltd</t>
        </is>
      </c>
      <c r="E241" s="31" t="inlineStr">
        <is>
          <t>consumer discretionary</t>
        </is>
      </c>
      <c r="F241" s="31" t="inlineStr">
        <is>
          <t>diamond cutting / jewellery</t>
        </is>
      </c>
      <c r="G241" s="31" t="inlineStr">
        <is>
          <t>smallcap</t>
        </is>
      </c>
      <c r="H241" s="32" t="n">
        <v>2115.33</v>
      </c>
      <c r="I241" s="32" t="n">
        <v>223.32</v>
      </c>
      <c r="J241" s="32" t="n">
        <v>1.81</v>
      </c>
      <c r="K241" s="32" t="n">
        <v>1145487</v>
      </c>
      <c r="L241" s="31" t="n">
        <v>6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52.72</v>
      </c>
      <c r="P241" s="32" t="n">
        <v>18.77</v>
      </c>
      <c r="Q241" s="32" t="n">
        <v>189.97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-9.92</v>
      </c>
      <c r="U241" s="32" t="n">
        <v>5.52</v>
      </c>
      <c r="V241" s="32" t="n">
        <v>17.14</v>
      </c>
      <c r="W241" s="32" t="n">
        <v>1.31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1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IF(B242=0,"",RANK(B242,$B$2:$B$253,0))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SCHNEIDER</t>
        </is>
      </c>
      <c r="D242" s="31" t="inlineStr">
        <is>
          <t>Schneider Electric Infrastructure Limited</t>
        </is>
      </c>
      <c r="E242" s="31" t="inlineStr">
        <is>
          <t>industrials</t>
        </is>
      </c>
      <c r="F242" s="31" t="inlineStr">
        <is>
          <t>electric equipment</t>
        </is>
      </c>
      <c r="G242" s="31" t="inlineStr">
        <is>
          <t>largecap</t>
        </is>
      </c>
      <c r="H242" s="32" t="n">
        <v>30320.78</v>
      </c>
      <c r="I242" s="32" t="n">
        <v>1274</v>
      </c>
      <c r="J242" s="32" t="n">
        <v>0.47</v>
      </c>
      <c r="K242" s="32" t="n">
        <v>127905</v>
      </c>
      <c r="L242" s="31" t="n">
        <v>34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55.36</v>
      </c>
      <c r="P242" s="32" t="n">
        <v>14.28</v>
      </c>
      <c r="Q242" s="32" t="n">
        <v>1088.79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-9.92</v>
      </c>
      <c r="U242" s="32" t="n">
        <v>53.63</v>
      </c>
      <c r="V242" s="32" t="n">
        <v>70.56</v>
      </c>
      <c r="W242" s="32" t="n">
        <v>10.93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IF(B243=0,"",RANK(B243,$B$2:$B$253,0))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TRENT</t>
        </is>
      </c>
      <c r="D243" s="33" t="inlineStr">
        <is>
          <t>Trent Limited</t>
        </is>
      </c>
      <c r="E243" s="31" t="inlineStr">
        <is>
          <t>consumer discretionary</t>
        </is>
      </c>
      <c r="F243" s="31" t="inlineStr">
        <is>
          <t>trading</t>
        </is>
      </c>
      <c r="G243" s="31" t="inlineStr">
        <is>
          <t>largecap</t>
        </is>
      </c>
      <c r="H243" s="32" t="n">
        <v>137573.93</v>
      </c>
      <c r="I243" s="32" t="n">
        <v>2906</v>
      </c>
      <c r="J243" s="32" t="n">
        <v>12.64</v>
      </c>
      <c r="K243" s="32" t="n">
        <v>6695372</v>
      </c>
      <c r="L243" s="31" t="n">
        <v>1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49.24</v>
      </c>
      <c r="P243" s="32" t="n">
        <v>6.7</v>
      </c>
      <c r="Q243" s="32" t="n">
        <v>2449.77</v>
      </c>
      <c r="R243" s="31" t="inlineStr">
        <is>
          <t>Volume Spike / Accumulation</t>
        </is>
      </c>
      <c r="S243" s="31" t="inlineStr">
        <is>
          <t>Nifty 50</t>
        </is>
      </c>
      <c r="T243" s="32" t="n">
        <v>-9.92</v>
      </c>
      <c r="U243" s="32" t="n">
        <v>-37.96</v>
      </c>
      <c r="V243" s="32" t="n">
        <v>-31.13</v>
      </c>
      <c r="W243" s="32" t="n">
        <v>-6.68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Below 45</t>
        </is>
      </c>
      <c r="BA243" s="31">
        <f>IF(AZ243="Between 50 to 75",10,IF(AZ243="Above 75",0,0))</f>
        <v/>
      </c>
      <c r="BB243" s="31" t="inlineStr">
        <is>
          <t>Stage 4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IF(B244=0,"",RANK(B244,$B$2:$B$253,0))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KIRLFER</t>
        </is>
      </c>
      <c r="D244" s="31" t="inlineStr">
        <is>
          <t>Kirloskar Ferrous Industries Ltd</t>
        </is>
      </c>
      <c r="E244" s="31" t="inlineStr">
        <is>
          <t>metals &amp; mining</t>
        </is>
      </c>
      <c r="F244" s="31" t="inlineStr">
        <is>
          <t>steel - large</t>
        </is>
      </c>
      <c r="G244" s="31" t="inlineStr">
        <is>
          <t>midcap</t>
        </is>
      </c>
      <c r="H244" s="32" t="n">
        <v>7672.15</v>
      </c>
      <c r="I244" s="32" t="n">
        <v>472.75</v>
      </c>
      <c r="J244" s="32" t="n">
        <v>1.67</v>
      </c>
      <c r="K244" s="32" t="n">
        <v>57417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55.59</v>
      </c>
      <c r="P244" s="32" t="n">
        <v>13.32</v>
      </c>
      <c r="Q244" s="32" t="n">
        <v>396.2</v>
      </c>
      <c r="R244" s="31" t="inlineStr">
        <is>
          <t>Earnings / Momentum Support</t>
        </is>
      </c>
      <c r="S244" s="31" t="inlineStr">
        <is>
          <t>Nifty Metal</t>
        </is>
      </c>
      <c r="T244" s="32" t="inlineStr"/>
      <c r="U244" s="32" t="inlineStr"/>
      <c r="V244" s="32" t="inlineStr"/>
      <c r="W244" s="32" t="inlineStr"/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IF(B245=0,"",RANK(B245,$B$2:$B$253,0))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PAGEIND</t>
        </is>
      </c>
      <c r="D245" s="31" t="inlineStr">
        <is>
          <t>Page Industries Limited</t>
        </is>
      </c>
      <c r="E245" s="31" t="inlineStr">
        <is>
          <t>readymade garments/apparels</t>
        </is>
      </c>
      <c r="F245" s="31" t="inlineStr">
        <is>
          <t>textiles - products</t>
        </is>
      </c>
      <c r="G245" s="31" t="inlineStr">
        <is>
          <t>largecap</t>
        </is>
      </c>
      <c r="H245" s="32" t="n">
        <v>41787.99</v>
      </c>
      <c r="I245" s="32" t="n">
        <v>37970</v>
      </c>
      <c r="J245" s="32" t="n">
        <v>1.35</v>
      </c>
      <c r="K245" s="32" t="n">
        <v>31600</v>
      </c>
      <c r="L245" s="31" t="n">
        <v>2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52.07</v>
      </c>
      <c r="P245" s="32" t="n">
        <v>13.15</v>
      </c>
      <c r="Q245" s="32" t="n">
        <v>33937.31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-9.92</v>
      </c>
      <c r="U245" s="32" t="n">
        <v>-7.32</v>
      </c>
      <c r="V245" s="32" t="n">
        <v>2.89</v>
      </c>
      <c r="W245" s="32" t="n">
        <v>-1.67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IF(B246=0,"",RANK(B246,$B$2:$B$253,0))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BANSALWIRE</t>
        </is>
      </c>
      <c r="D246" s="31" t="inlineStr">
        <is>
          <t>Bansal Wire Industries Ltd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midcap</t>
        </is>
      </c>
      <c r="H246" s="32" t="n">
        <v>5057.54</v>
      </c>
      <c r="I246" s="32" t="n">
        <v>325.7</v>
      </c>
      <c r="J246" s="32" t="n">
        <v>0.82</v>
      </c>
      <c r="K246" s="32" t="n">
        <v>100324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54.49</v>
      </c>
      <c r="P246" s="32" t="n">
        <v>17.62</v>
      </c>
      <c r="Q246" s="32" t="n">
        <v>258.58</v>
      </c>
      <c r="R246" s="31" t="inlineStr">
        <is>
          <t>Earnings / Momentum Support</t>
        </is>
      </c>
      <c r="S246" s="31" t="inlineStr">
        <is>
          <t>Nifty Metal</t>
        </is>
      </c>
      <c r="T246" s="32" t="inlineStr"/>
      <c r="U246" s="32" t="inlineStr"/>
      <c r="V246" s="32" t="inlineStr"/>
      <c r="W246" s="32" t="inlineStr"/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IF(B247=0,"",RANK(B247,$B$2:$B$253,0))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SALSTEEL</t>
        </is>
      </c>
      <c r="D247" s="31" t="inlineStr">
        <is>
          <t>SAL Steel</t>
        </is>
      </c>
      <c r="E247" s="31" t="inlineStr">
        <is>
          <t>metals &amp; mining</t>
        </is>
      </c>
      <c r="F247" s="31" t="inlineStr">
        <is>
          <t>steel - sponge iron</t>
        </is>
      </c>
      <c r="G247" s="31" t="inlineStr">
        <is>
          <t>smallcap</t>
        </is>
      </c>
      <c r="H247" s="32" t="n">
        <v>1360.52</v>
      </c>
      <c r="I247" s="32" t="n">
        <v>89.59999999999999</v>
      </c>
      <c r="J247" s="32" t="n">
        <v>-4.66</v>
      </c>
      <c r="K247" s="32" t="n">
        <v>746781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67.04000000000001</v>
      </c>
      <c r="P247" s="32" t="n">
        <v>35.31</v>
      </c>
      <c r="Q247" s="32" t="n">
        <v>70.23</v>
      </c>
      <c r="R247" s="31" t="inlineStr">
        <is>
          <t>Earnings / Momentum Support</t>
        </is>
      </c>
      <c r="S247" s="31" t="inlineStr">
        <is>
          <t>Nifty Metal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More than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IF(B248=0,"",RANK(B248,$B$2:$B$253,0))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ISGEC</t>
        </is>
      </c>
      <c r="D248" s="31" t="inlineStr">
        <is>
          <t>ISGEC Heavy Engineering  Ltd</t>
        </is>
      </c>
      <c r="E248" s="31" t="inlineStr">
        <is>
          <t>realty</t>
        </is>
      </c>
      <c r="F248" s="31" t="inlineStr">
        <is>
          <t>engineering - turnkey services</t>
        </is>
      </c>
      <c r="G248" s="31" t="inlineStr">
        <is>
          <t>midcap</t>
        </is>
      </c>
      <c r="H248" s="32" t="n">
        <v>6612.51</v>
      </c>
      <c r="I248" s="32" t="n">
        <v>905</v>
      </c>
      <c r="J248" s="32" t="n">
        <v>0.63</v>
      </c>
      <c r="K248" s="32" t="n">
        <v>52570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54.65</v>
      </c>
      <c r="P248" s="32" t="n">
        <v>18.87</v>
      </c>
      <c r="Q248" s="32" t="n">
        <v>723.79</v>
      </c>
      <c r="R248" s="31" t="inlineStr">
        <is>
          <t>Earnings / Momentum Support</t>
        </is>
      </c>
      <c r="S248" s="31" t="inlineStr">
        <is>
          <t>Nifty Realty</t>
        </is>
      </c>
      <c r="T248" s="32" t="inlineStr"/>
      <c r="U248" s="32" t="inlineStr"/>
      <c r="V248" s="32" t="inlineStr"/>
      <c r="W248" s="32" t="inlineStr"/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1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IF(B249=0,"",RANK(B249,$B$2:$B$253,0))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JAYNECOIND</t>
        </is>
      </c>
      <c r="D249" s="31" t="inlineStr">
        <is>
          <t>Jayaswal Neco Industries Limited</t>
        </is>
      </c>
      <c r="E249" s="31" t="inlineStr">
        <is>
          <t>metals &amp; mining</t>
        </is>
      </c>
      <c r="F249" s="31" t="inlineStr">
        <is>
          <t>steel - large</t>
        </is>
      </c>
      <c r="G249" s="31" t="inlineStr">
        <is>
          <t>midcap</t>
        </is>
      </c>
      <c r="H249" s="32" t="n">
        <v>8836.08</v>
      </c>
      <c r="I249" s="32" t="n">
        <v>94.45</v>
      </c>
      <c r="J249" s="32" t="n">
        <v>3.79</v>
      </c>
      <c r="K249" s="32" t="n">
        <v>3108994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54.72</v>
      </c>
      <c r="P249" s="32" t="n">
        <v>5.8</v>
      </c>
      <c r="Q249" s="32" t="n">
        <v>75.59</v>
      </c>
      <c r="R249" s="31" t="inlineStr">
        <is>
          <t>Earnings / Momentum Support</t>
        </is>
      </c>
      <c r="S249" s="31" t="inlineStr">
        <is>
          <t>Nifty Metal</t>
        </is>
      </c>
      <c r="T249" s="32" t="inlineStr"/>
      <c r="U249" s="32" t="inlineStr"/>
      <c r="V249" s="32" t="inlineStr"/>
      <c r="W249" s="32" t="inlineStr"/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IF(B250=0,"",RANK(B250,$B$2:$B$253,0))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GNFC</t>
        </is>
      </c>
      <c r="D250" s="31" t="inlineStr">
        <is>
          <t>Gujarat Narmada Valley Fertilizers And Chemicals Limited</t>
        </is>
      </c>
      <c r="E250" s="31" t="inlineStr">
        <is>
          <t>chemicals</t>
        </is>
      </c>
      <c r="F250" s="31" t="inlineStr">
        <is>
          <t>chemicals</t>
        </is>
      </c>
      <c r="G250" s="31" t="inlineStr">
        <is>
          <t>midcap</t>
        </is>
      </c>
      <c r="H250" s="32" t="n">
        <v>8615.129999999999</v>
      </c>
      <c r="I250" s="32" t="n">
        <v>629.5</v>
      </c>
      <c r="J250" s="32" t="n">
        <v>7.37</v>
      </c>
      <c r="K250" s="32" t="n">
        <v>2291498</v>
      </c>
      <c r="L250" s="31" t="n">
        <v>38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68.02</v>
      </c>
      <c r="P250" s="32" t="n">
        <v>39.84</v>
      </c>
      <c r="Q250" s="32" t="n">
        <v>505.84</v>
      </c>
      <c r="R250" s="31" t="inlineStr">
        <is>
          <t>Near 52W High Breakout</t>
        </is>
      </c>
      <c r="S250" s="31" t="inlineStr">
        <is>
          <t>Nifty 50</t>
        </is>
      </c>
      <c r="T250" s="32" t="n">
        <v>-9.92</v>
      </c>
      <c r="U250" s="32" t="n">
        <v>31.08</v>
      </c>
      <c r="V250" s="32" t="n">
        <v>45.52</v>
      </c>
      <c r="W250" s="32" t="n">
        <v>12.5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Oligopoly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Shallow Cyclical (2 to 3 Years Growth)</t>
        </is>
      </c>
      <c r="AG250" s="31">
        <f>IF(AF250="Structural (10 Years Consistency)",10,IF(AF250="Shallow Cyclical (2 to 3 years growth)",5,0))</f>
        <v/>
      </c>
      <c r="AH250" s="31" t="inlineStr">
        <is>
          <t>Yes due to Product Mix change or Operating Leverage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Allocated capital in Non-core Areas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Sideways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Overhead supply in last 2 years in last 2 years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More than 15%</t>
        </is>
      </c>
      <c r="CC250" s="31">
        <f>IF(CB250="More than 15%",-10,IF(CB250="Less than 15%",10,0))</f>
        <v/>
      </c>
      <c r="CD250" s="31" t="inlineStr">
        <is>
          <t>Yes Upto 10%</t>
        </is>
      </c>
      <c r="CE250" s="31">
        <f>IF(CD250="Yes, more than 10%",-10,IF(CD250="No",10,0))</f>
        <v/>
      </c>
    </row>
    <row r="251">
      <c r="A251" s="31">
        <f>IF(B251=0,"",RANK(B251,$B$2:$B$253,0))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GPPL</t>
        </is>
      </c>
      <c r="D251" s="31" t="inlineStr">
        <is>
          <t>Gujarat Pipavav Port Limited</t>
        </is>
      </c>
      <c r="E251" s="31" t="inlineStr">
        <is>
          <t>transportation</t>
        </is>
      </c>
      <c r="F251" s="31" t="inlineStr">
        <is>
          <t>miscellaneous</t>
        </is>
      </c>
      <c r="G251" s="31" t="inlineStr">
        <is>
          <t>midcap</t>
        </is>
      </c>
      <c r="H251" s="32" t="n">
        <v>8102.45</v>
      </c>
      <c r="I251" s="32" t="n">
        <v>168.21</v>
      </c>
      <c r="J251" s="32" t="n">
        <v>0.36</v>
      </c>
      <c r="K251" s="32" t="n">
        <v>1125256</v>
      </c>
      <c r="L251" s="31" t="n">
        <v>15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64.84</v>
      </c>
      <c r="P251" s="32" t="n">
        <v>20.83</v>
      </c>
      <c r="Q251" s="32" t="n">
        <v>143.34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-9.92</v>
      </c>
      <c r="U251" s="32" t="n">
        <v>10.37</v>
      </c>
      <c r="V251" s="32" t="n">
        <v>22.53</v>
      </c>
      <c r="W251" s="32" t="n">
        <v>5.25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Shallow Cyclical (2 to 3 Years Growth)</t>
        </is>
      </c>
      <c r="AG251" s="31">
        <f>IF(AF251="Structural (10 Years Consistency)",10,IF(AF251="Shallow Cyclical (2 to 3 years growth)",5,0))</f>
        <v/>
      </c>
      <c r="AH251" s="31" t="inlineStr">
        <is>
          <t>Yes due to Product Mix change or Operating Leverage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Allocated capital in Non-core Areas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Sideways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Overhead supply in last 2 years in last 2 years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More than 15%</t>
        </is>
      </c>
      <c r="CC251" s="31">
        <f>IF(CB251="More than 15%",-10,IF(CB251="Less than 15%",10,0))</f>
        <v/>
      </c>
      <c r="CD251" s="31" t="inlineStr">
        <is>
          <t>Yes Upto 10%</t>
        </is>
      </c>
      <c r="CE251" s="31">
        <f>IF(CD251="Yes, more than 10%",-10,IF(CD251="No",10,0))</f>
        <v/>
      </c>
    </row>
    <row r="252">
      <c r="A252" s="31">
        <f>IF(B252=0,"",RANK(B252,$B$2:$B$253,0))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UNITEDPOLY</t>
        </is>
      </c>
      <c r="D252" s="31" t="inlineStr">
        <is>
          <t>United Polyfab Gujarat Ltd</t>
        </is>
      </c>
      <c r="E252" s="31" t="inlineStr">
        <is>
          <t>textiles</t>
        </is>
      </c>
      <c r="F252" s="31" t="inlineStr">
        <is>
          <t>textiles - products</t>
        </is>
      </c>
      <c r="G252" s="31" t="inlineStr">
        <is>
          <t>smallcap</t>
        </is>
      </c>
      <c r="H252" s="32" t="n">
        <v>1111.54</v>
      </c>
      <c r="I252" s="32" t="n">
        <v>48.49</v>
      </c>
      <c r="J252" s="32" t="n">
        <v>0.12</v>
      </c>
      <c r="K252" s="32" t="n">
        <v>706323</v>
      </c>
      <c r="L252" s="31" t="n">
        <v>54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76.76000000000001</v>
      </c>
      <c r="P252" s="32" t="n">
        <v>28.84</v>
      </c>
      <c r="Q252" s="32" t="n">
        <v>35.7</v>
      </c>
      <c r="R252" s="31" t="inlineStr">
        <is>
          <t>Volume Spike &amp; Near 52W High Breakout</t>
        </is>
      </c>
      <c r="S252" s="31" t="inlineStr">
        <is>
          <t>Nifty 50</t>
        </is>
      </c>
      <c r="T252" s="32" t="n">
        <v>-9.92</v>
      </c>
      <c r="U252" s="32" t="n">
        <v>9.359999999999999</v>
      </c>
      <c r="V252" s="32" t="n">
        <v>21.41</v>
      </c>
      <c r="W252" s="32" t="n">
        <v>18.64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Shallow Cyclical (2 to 3 Years Growth)</t>
        </is>
      </c>
      <c r="AG252" s="31">
        <f>IF(AF252="Structural (10 Years Consistency)",10,IF(AF252="Shallow Cyclical (2 to 3 years growth)",5,0))</f>
        <v/>
      </c>
      <c r="AH252" s="31" t="inlineStr">
        <is>
          <t>Yes due to Product Mix change or Operating Leverage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Allocated capital in Non-core Areas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Sideways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Overhead supply in last 2 years in last 2 years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More than 15%</t>
        </is>
      </c>
      <c r="CC252" s="31">
        <f>IF(CB252="More than 15%",-10,IF(CB252="Less than 15%",10,0))</f>
        <v/>
      </c>
      <c r="CD252" s="31" t="inlineStr">
        <is>
          <t>Yes Upto 10%</t>
        </is>
      </c>
      <c r="CE252" s="31">
        <f>IF(CD252="Yes, more than 10%",-10,IF(CD252="No",10,0))</f>
        <v/>
      </c>
    </row>
    <row r="253">
      <c r="A253" s="31">
        <f>IF(B253=0,"",RANK(B253,$B$2:$B$253,0))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MRPL</t>
        </is>
      </c>
      <c r="D253" s="31" t="inlineStr">
        <is>
          <t>Mangalore Refinery And Petrochemicals Limited</t>
        </is>
      </c>
      <c r="E253" s="31" t="inlineStr">
        <is>
          <t>energy</t>
        </is>
      </c>
      <c r="F253" s="31" t="inlineStr">
        <is>
          <t>refineries</t>
        </is>
      </c>
      <c r="G253" s="31" t="inlineStr">
        <is>
          <t>largecap</t>
        </is>
      </c>
      <c r="H253" s="32" t="n">
        <v>30220.06</v>
      </c>
      <c r="I253" s="32" t="n">
        <v>174.72</v>
      </c>
      <c r="J253" s="32" t="n">
        <v>1.33</v>
      </c>
      <c r="K253" s="32" t="n">
        <v>9705261</v>
      </c>
      <c r="L253" s="31" t="inlineStr"/>
      <c r="M253" s="31" t="inlineStr"/>
      <c r="N253" s="32">
        <f>IF(M253="Underperforming",-5,IF(L253&gt;=95,15,IF(L253&gt;=90,10,IF(L253&gt;=80,5,0))))</f>
        <v/>
      </c>
      <c r="O253" s="32" t="n">
        <v>54.99</v>
      </c>
      <c r="P253" s="32" t="n">
        <v>29.57</v>
      </c>
      <c r="Q253" s="32" t="n">
        <v>130.08</v>
      </c>
      <c r="R253" s="31" t="inlineStr">
        <is>
          <t>Earnings / Momentum Support</t>
        </is>
      </c>
      <c r="S253" s="31" t="inlineStr">
        <is>
          <t>Nifty Energy</t>
        </is>
      </c>
      <c r="T253" s="32" t="inlineStr"/>
      <c r="U253" s="32" t="inlineStr"/>
      <c r="V253" s="32" t="inlineStr"/>
      <c r="W253" s="32" t="inlineStr"/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Oligopoly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1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</sheetData>
  <autoFilter ref="A1:CE253"/>
  <conditionalFormatting sqref="B2:B25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53">
    <cfRule type="cellIs" priority="36" operator="equal" dxfId="3" stopIfTrue="1">
      <formula>"Underperforming"</formula>
    </cfRule>
  </conditionalFormatting>
  <conditionalFormatting sqref="N2:N253">
    <cfRule type="cellIs" priority="37" operator="equal" dxfId="3" stopIfTrue="1">
      <formula>-5</formula>
    </cfRule>
  </conditionalFormatting>
  <conditionalFormatting sqref="Q2:Q25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53" showDropDown="0" showInputMessage="0" showErrorMessage="0" allowBlank="1" type="list">
      <formula1>"Growing Industry,Stagnant Industry,Cyclical in an Upturn"</formula1>
    </dataValidation>
    <dataValidation sqref="Z2:Z25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53" showDropDown="0" showInputMessage="0" showErrorMessage="0" allowBlank="1" type="list">
      <formula1>"Yes,No"</formula1>
    </dataValidation>
    <dataValidation sqref="AD2:AD253" showDropDown="0" showInputMessage="0" showErrorMessage="0" allowBlank="1" type="list">
      <formula1>"Tailwind,Headwind"</formula1>
    </dataValidation>
    <dataValidation sqref="AF2:AF253" showDropDown="0" showInputMessage="0" showErrorMessage="0" allowBlank="1" type="list">
      <formula1>"Structural (10 Years Consistency),Shallow Cyclical (2 to 3 Years Growth),Cyclical"</formula1>
    </dataValidation>
    <dataValidation sqref="AH2:AH253" showDropDown="0" showInputMessage="0" showErrorMessage="0" allowBlank="1" type="list">
      <formula1>"Yes due to Product Mix change or Operating Leverage,Yes, these are peak margins,No"</formula1>
    </dataValidation>
    <dataValidation sqref="AJ2:AJ253" showDropDown="0" showInputMessage="0" showErrorMessage="0" allowBlank="1" type="list">
      <formula1>"Stable,Volatile"</formula1>
    </dataValidation>
    <dataValidation sqref="AL2:AL253" showDropDown="0" showInputMessage="0" showErrorMessage="0" allowBlank="1" type="list">
      <formula1>"Yes,No"</formula1>
    </dataValidation>
    <dataValidation sqref="AN2:AN253" showDropDown="0" showInputMessage="0" showErrorMessage="0" allowBlank="1" type="list">
      <formula1>"B2C,B2B,B2G"</formula1>
    </dataValidation>
    <dataValidation sqref="AP2:AP253" showDropDown="0" showInputMessage="0" showErrorMessage="0" allowBlank="1" type="list">
      <formula1>"Yes,No"</formula1>
    </dataValidation>
    <dataValidation sqref="AR2:AR253" showDropDown="0" showInputMessage="0" showErrorMessage="0" allowBlank="1" type="list">
      <formula1>"Fully Annuity,Higher Annuity, Lower One time,Higher One Time, Lower Annuity,Fully One Time"</formula1>
    </dataValidation>
    <dataValidation sqref="AT2:AT253" showDropDown="0" showInputMessage="0" showErrorMessage="0" allowBlank="1" type="list">
      <formula1>"Good,Allocated capital in Non-core Areas"</formula1>
    </dataValidation>
    <dataValidation sqref="AV2:AV253" showDropDown="0" showInputMessage="0" showErrorMessage="0" allowBlank="1" type="list">
      <formula1>"Yes for more than 2 years,Yes only for next 1 to 2 years,No"</formula1>
    </dataValidation>
    <dataValidation sqref="AX2:AX253" showDropDown="0" showInputMessage="0" showErrorMessage="0" allowBlank="1" type="list">
      <formula1>"Above 40,20 to 40,0 to 20"</formula1>
    </dataValidation>
    <dataValidation sqref="AZ2:AZ253" showDropDown="0" showInputMessage="0" showErrorMessage="0" allowBlank="1" type="list">
      <formula1>"Between 50 to 75,Above 75,Below 45"</formula1>
    </dataValidation>
    <dataValidation sqref="BB2:BB253" showDropDown="0" showInputMessage="0" showErrorMessage="0" allowBlank="1" type="list">
      <formula1>"Stage 1,Stage 2,Stage 3,Stage 4"</formula1>
    </dataValidation>
    <dataValidation sqref="BD2:BD253" showDropDown="0" showInputMessage="0" showErrorMessage="0" allowBlank="1" type="list">
      <formula1>"Positive Trend,Negative Trend"</formula1>
    </dataValidation>
    <dataValidation sqref="BF2:BF253" showDropDown="0" showInputMessage="0" showErrorMessage="0" allowBlank="1" type="list">
      <formula1>"Uptrend,Sideways,Downtrend"</formula1>
    </dataValidation>
    <dataValidation sqref="BH2:BH253" showDropDown="0" showInputMessage="0" showErrorMessage="0" allowBlank="1" type="list">
      <formula1>"Uptrend,Sideways,Downtrend"</formula1>
    </dataValidation>
    <dataValidation sqref="BJ2:BJ25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53" showDropDown="0" showInputMessage="0" showErrorMessage="0" allowBlank="1" type="list">
      <formula1>"Yes,No"</formula1>
    </dataValidation>
    <dataValidation sqref="BN2:BN253" showDropDown="0" showInputMessage="0" showErrorMessage="0" allowBlank="1" type="list">
      <formula1>"More than 20%,Between 12 to 20%,Less than 12%"</formula1>
    </dataValidation>
    <dataValidation sqref="BP2:BP253" showDropDown="0" showInputMessage="0" showErrorMessage="0" allowBlank="1" type="list">
      <formula1>"Yes,No"</formula1>
    </dataValidation>
    <dataValidation sqref="BR2:BR253" showDropDown="0" showInputMessage="0" showErrorMessage="0" allowBlank="1" type="list">
      <formula1>"Yes,No"</formula1>
    </dataValidation>
    <dataValidation sqref="BT2:BT253" showDropDown="0" showInputMessage="0" showErrorMessage="0" allowBlank="1" type="list">
      <formula1>"Above 2,Between 1.5 to 2,Less than 1.5"</formula1>
    </dataValidation>
    <dataValidation sqref="BV2:BV253" showDropDown="0" showInputMessage="0" showErrorMessage="0" allowBlank="1" type="list">
      <formula1>"Above 70%,Between 50% to 70%,Less than 50%,Less than 50% and Borrowings are increasing,Negative"</formula1>
    </dataValidation>
    <dataValidation sqref="BX2:BX253" showDropDown="0" showInputMessage="0" showErrorMessage="0" allowBlank="1" type="list">
      <formula1>"More than 1.2,Between 0.7 to 1.2,Less than 0.7"</formula1>
    </dataValidation>
    <dataValidation sqref="BZ2:BZ253" showDropDown="0" showInputMessage="0" showErrorMessage="0" allowBlank="1" type="list">
      <formula1>"Yes,No"</formula1>
    </dataValidation>
    <dataValidation sqref="CB2:CB253" showDropDown="0" showInputMessage="0" showErrorMessage="0" allowBlank="1" type="list">
      <formula1>"More than 15%,Less than 15%"</formula1>
    </dataValidation>
    <dataValidation sqref="CD2:CD25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905.58</v>
      </c>
      <c r="I2" s="32" t="n">
        <v>2440</v>
      </c>
      <c r="J2" s="32" t="n">
        <v>-1.53</v>
      </c>
      <c r="K2" s="32" t="n">
        <v>12</v>
      </c>
      <c r="L2" s="31" t="n">
        <v>70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79.78</v>
      </c>
      <c r="P2" s="32" t="n">
        <v>62.18</v>
      </c>
      <c r="Q2" s="32" t="n">
        <v>2021.79</v>
      </c>
      <c r="R2" s="31" t="inlineStr">
        <is>
          <t>Near 52W High Breakout</t>
        </is>
      </c>
      <c r="S2" s="31" t="inlineStr">
        <is>
          <t>Nifty Bank</t>
        </is>
      </c>
      <c r="T2" s="32" t="n">
        <v>-2.62</v>
      </c>
      <c r="U2" s="32" t="n">
        <v>124.35</v>
      </c>
      <c r="V2" s="32" t="n">
        <v>130.38</v>
      </c>
      <c r="W2" s="32" t="n">
        <v>25.76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SHAREINDIA</t>
        </is>
      </c>
      <c r="D3" s="31" t="inlineStr">
        <is>
          <t>Share India Securities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4509.12</v>
      </c>
      <c r="I3" s="32" t="n">
        <v>211.4</v>
      </c>
      <c r="J3" s="32" t="n">
        <v>2.59</v>
      </c>
      <c r="K3" s="32" t="n">
        <v>880466</v>
      </c>
      <c r="L3" s="31" t="n">
        <v>40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64.3</v>
      </c>
      <c r="P3" s="32" t="n">
        <v>43.76</v>
      </c>
      <c r="Q3" s="32" t="n">
        <v>172.79</v>
      </c>
      <c r="R3" s="31" t="inlineStr">
        <is>
          <t>Earnings / Momentum Support</t>
        </is>
      </c>
      <c r="S3" s="31" t="inlineStr">
        <is>
          <t>Nifty Bank</t>
        </is>
      </c>
      <c r="T3" s="32" t="n">
        <v>-2.62</v>
      </c>
      <c r="U3" s="32" t="n">
        <v>50.62</v>
      </c>
      <c r="V3" s="32" t="n">
        <v>54.67</v>
      </c>
      <c r="W3" s="32" t="n">
        <v>12.95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696.3200000000001</v>
      </c>
      <c r="I4" s="32" t="n">
        <v>141.35</v>
      </c>
      <c r="J4" s="32" t="n">
        <v>1.98</v>
      </c>
      <c r="K4" s="32" t="n">
        <v>43633</v>
      </c>
      <c r="L4" s="31" t="n">
        <v>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64.56999999999999</v>
      </c>
      <c r="P4" s="32" t="n">
        <v>39.04</v>
      </c>
      <c r="Q4" s="32" t="n">
        <v>113.83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-2.62</v>
      </c>
      <c r="U4" s="32" t="n">
        <v>6.37</v>
      </c>
      <c r="V4" s="32" t="n">
        <v>9.23</v>
      </c>
      <c r="W4" s="32" t="n">
        <v>2.81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MUFIN</t>
        </is>
      </c>
      <c r="D5" s="31" t="inlineStr">
        <is>
          <t>Mufin Green Finance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2633.38</v>
      </c>
      <c r="I5" s="32" t="n">
        <v>135.17</v>
      </c>
      <c r="J5" s="32" t="n">
        <v>1.72</v>
      </c>
      <c r="K5" s="32" t="n">
        <v>2282224</v>
      </c>
      <c r="L5" s="31" t="n">
        <v>33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59.08</v>
      </c>
      <c r="P5" s="32" t="n">
        <v>31.06</v>
      </c>
      <c r="Q5" s="32" t="n">
        <v>116.56</v>
      </c>
      <c r="R5" s="31" t="inlineStr">
        <is>
          <t>Near 52W High Breakout</t>
        </is>
      </c>
      <c r="S5" s="31" t="inlineStr">
        <is>
          <t>Nifty Bank</t>
        </is>
      </c>
      <c r="T5" s="32" t="n">
        <v>-2.62</v>
      </c>
      <c r="U5" s="32" t="n">
        <v>53.57</v>
      </c>
      <c r="V5" s="32" t="n">
        <v>57.69</v>
      </c>
      <c r="W5" s="32" t="n">
        <v>10.83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SGFIN</t>
        </is>
      </c>
      <c r="D6" s="31" t="inlineStr">
        <is>
          <t>SG Finserve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4467.35</v>
      </c>
      <c r="I6" s="32" t="n">
        <v>662.15</v>
      </c>
      <c r="J6" s="32" t="n">
        <v>-2.33</v>
      </c>
      <c r="K6" s="32" t="n">
        <v>371637</v>
      </c>
      <c r="L6" s="31" t="n">
        <v>41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59.33</v>
      </c>
      <c r="P6" s="32" t="n">
        <v>31.59</v>
      </c>
      <c r="Q6" s="32" t="n">
        <v>526.49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-2.62</v>
      </c>
      <c r="U6" s="32" t="n">
        <v>80.40000000000001</v>
      </c>
      <c r="V6" s="32" t="n">
        <v>85.25</v>
      </c>
      <c r="W6" s="32" t="n">
        <v>14.02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SMCGLOBAL</t>
        </is>
      </c>
      <c r="D7" s="31" t="inlineStr">
        <is>
          <t>SMC Global Securities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2397.63</v>
      </c>
      <c r="I7" s="32" t="n">
        <v>110.55</v>
      </c>
      <c r="J7" s="32" t="n">
        <v>-3.45</v>
      </c>
      <c r="K7" s="32" t="n">
        <v>29982678</v>
      </c>
      <c r="L7" s="31" t="n">
        <v>64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75.20999999999999</v>
      </c>
      <c r="P7" s="32" t="n">
        <v>38.48</v>
      </c>
      <c r="Q7" s="32" t="n">
        <v>82.92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-2.62</v>
      </c>
      <c r="U7" s="32" t="n">
        <v>61.07</v>
      </c>
      <c r="V7" s="32" t="n">
        <v>65.40000000000001</v>
      </c>
      <c r="W7" s="32" t="n">
        <v>22.51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KOTAKBANK</t>
        </is>
      </c>
      <c r="D8" s="31" t="inlineStr">
        <is>
          <t>Kotak Mahindra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413783.1</v>
      </c>
      <c r="I8" s="32" t="n">
        <v>431.9</v>
      </c>
      <c r="J8" s="32" t="n">
        <v>3.82</v>
      </c>
      <c r="K8" s="32" t="n">
        <v>40021922</v>
      </c>
      <c r="L8" s="31" t="n">
        <v>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62.04</v>
      </c>
      <c r="P8" s="32" t="n">
        <v>13.76</v>
      </c>
      <c r="Q8" s="32" t="n">
        <v>374.8</v>
      </c>
      <c r="R8" s="31" t="inlineStr">
        <is>
          <t>Near 52W High Breakout</t>
        </is>
      </c>
      <c r="S8" s="31" t="inlineStr">
        <is>
          <t>Nifty Bank</t>
        </is>
      </c>
      <c r="T8" s="32" t="n">
        <v>-2.62</v>
      </c>
      <c r="U8" s="32" t="n">
        <v>0.61</v>
      </c>
      <c r="V8" s="32" t="n">
        <v>3.31</v>
      </c>
      <c r="W8" s="32" t="n">
        <v>3.39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0 to 20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RBLBANK</t>
        </is>
      </c>
      <c r="D9" s="31" t="inlineStr">
        <is>
          <t>Rbl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64505.18</v>
      </c>
      <c r="I9" s="32" t="n">
        <v>414.5</v>
      </c>
      <c r="J9" s="32" t="n">
        <v>-0.49</v>
      </c>
      <c r="K9" s="32" t="n">
        <v>2559971</v>
      </c>
      <c r="L9" s="31" t="n">
        <v>27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66.79000000000001</v>
      </c>
      <c r="P9" s="32" t="n">
        <v>34.92</v>
      </c>
      <c r="Q9" s="32" t="n">
        <v>355.65</v>
      </c>
      <c r="R9" s="31" t="inlineStr">
        <is>
          <t>Near 52W High Breakout</t>
        </is>
      </c>
      <c r="S9" s="31" t="inlineStr">
        <is>
          <t>Nifty Bank</t>
        </is>
      </c>
      <c r="T9" s="32" t="n">
        <v>-2.62</v>
      </c>
      <c r="U9" s="32" t="n">
        <v>42.51</v>
      </c>
      <c r="V9" s="32" t="n">
        <v>46.34</v>
      </c>
      <c r="W9" s="32" t="n">
        <v>9.34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GCSL</t>
        </is>
      </c>
      <c r="D10" s="31" t="inlineStr">
        <is>
          <t>Gretex Corporate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1704.74</v>
      </c>
      <c r="I10" s="32" t="n">
        <v>693.05</v>
      </c>
      <c r="J10" s="32" t="n">
        <v>1.66</v>
      </c>
      <c r="K10" s="32" t="n">
        <v>225480</v>
      </c>
      <c r="L10" s="31" t="n">
        <v>84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81.34999999999999</v>
      </c>
      <c r="P10" s="32" t="n">
        <v>34.69</v>
      </c>
      <c r="Q10" s="32" t="n">
        <v>564.96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-2.62</v>
      </c>
      <c r="U10" s="32" t="n">
        <v>200.63</v>
      </c>
      <c r="V10" s="32" t="n">
        <v>208.7</v>
      </c>
      <c r="W10" s="32" t="n">
        <v>34.93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NUVAMA</t>
        </is>
      </c>
      <c r="D11" s="31" t="inlineStr">
        <is>
          <t>Nuvama Wealth Management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33234.85</v>
      </c>
      <c r="I11" s="32" t="n">
        <v>1838.8</v>
      </c>
      <c r="J11" s="32" t="n">
        <v>0.99</v>
      </c>
      <c r="K11" s="32" t="n">
        <v>641224</v>
      </c>
      <c r="L11" s="31" t="n">
        <v>19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59.07</v>
      </c>
      <c r="P11" s="32" t="n">
        <v>31.98</v>
      </c>
      <c r="Q11" s="32" t="n">
        <v>1558.46</v>
      </c>
      <c r="R11" s="31" t="inlineStr">
        <is>
          <t>Volume Spike / Accumulation</t>
        </is>
      </c>
      <c r="S11" s="31" t="inlineStr">
        <is>
          <t>Nifty Bank</t>
        </is>
      </c>
      <c r="T11" s="32" t="n">
        <v>-2.62</v>
      </c>
      <c r="U11" s="32" t="n">
        <v>29.5</v>
      </c>
      <c r="V11" s="32" t="n">
        <v>32.98</v>
      </c>
      <c r="W11" s="32" t="n">
        <v>5.97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TFCILTD</t>
        </is>
      </c>
      <c r="D12" s="31" t="inlineStr">
        <is>
          <t>Tourism Finance Corporation Of India Limited</t>
        </is>
      </c>
      <c r="E12" s="31" t="inlineStr">
        <is>
          <t>financials</t>
        </is>
      </c>
      <c r="F12" s="31" t="inlineStr">
        <is>
          <t>finance - term-lending institutions</t>
        </is>
      </c>
      <c r="G12" s="31" t="inlineStr">
        <is>
          <t>midcap</t>
        </is>
      </c>
      <c r="H12" s="32" t="n">
        <v>6465.48</v>
      </c>
      <c r="I12" s="32" t="n">
        <v>140.65</v>
      </c>
      <c r="J12" s="32" t="n">
        <v>0.72</v>
      </c>
      <c r="K12" s="32" t="n">
        <v>3376081</v>
      </c>
      <c r="L12" s="31" t="n">
        <v>86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80.79000000000001</v>
      </c>
      <c r="P12" s="32" t="n">
        <v>74.11</v>
      </c>
      <c r="Q12" s="32" t="n">
        <v>115.69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-2.62</v>
      </c>
      <c r="U12" s="32" t="n">
        <v>91.45</v>
      </c>
      <c r="V12" s="32" t="n">
        <v>96.59</v>
      </c>
      <c r="W12" s="32" t="n">
        <v>35.87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MOTILALOFS</t>
        </is>
      </c>
      <c r="D13" s="31" t="inlineStr">
        <is>
          <t>Motilal Oswal Financial Services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60883.05</v>
      </c>
      <c r="I13" s="32" t="n">
        <v>1081.15</v>
      </c>
      <c r="J13" s="32" t="n">
        <v>6.93</v>
      </c>
      <c r="K13" s="32" t="n">
        <v>2179004</v>
      </c>
      <c r="L13" s="31" t="n">
        <v>17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65.58</v>
      </c>
      <c r="P13" s="32" t="n">
        <v>18.26</v>
      </c>
      <c r="Q13" s="32" t="n">
        <v>878.64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-2.62</v>
      </c>
      <c r="U13" s="32" t="n">
        <v>12.67</v>
      </c>
      <c r="V13" s="32" t="n">
        <v>15.7</v>
      </c>
      <c r="W13" s="32" t="n">
        <v>5.46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IIFLCAPS</t>
        </is>
      </c>
      <c r="D14" s="31" t="inlineStr">
        <is>
          <t>IIFL Capital Services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midcap</t>
        </is>
      </c>
      <c r="H14" s="32" t="n">
        <v>10820.31</v>
      </c>
      <c r="I14" s="32" t="n">
        <v>345.15</v>
      </c>
      <c r="J14" s="32" t="n">
        <v>-0.01</v>
      </c>
      <c r="K14" s="32" t="n">
        <v>154566</v>
      </c>
      <c r="L14" s="31" t="n">
        <v>13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57.33</v>
      </c>
      <c r="P14" s="32" t="n">
        <v>20.33</v>
      </c>
      <c r="Q14" s="32" t="n">
        <v>306.06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-2.62</v>
      </c>
      <c r="U14" s="32" t="n">
        <v>15.24</v>
      </c>
      <c r="V14" s="32" t="n">
        <v>18.33</v>
      </c>
      <c r="W14" s="32" t="n">
        <v>4.88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PRIMESECU</t>
        </is>
      </c>
      <c r="D15" s="33" t="inlineStr">
        <is>
          <t>Prime Securities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1014.14</v>
      </c>
      <c r="I15" s="32" t="n">
        <v>297.05</v>
      </c>
      <c r="J15" s="32" t="n">
        <v>-0.59</v>
      </c>
      <c r="K15" s="32" t="n">
        <v>9985</v>
      </c>
      <c r="L15" s="31" t="n">
        <v>4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55.2</v>
      </c>
      <c r="P15" s="32" t="n">
        <v>34.71</v>
      </c>
      <c r="Q15" s="32" t="n">
        <v>241.31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-2.62</v>
      </c>
      <c r="U15" s="32" t="n">
        <v>-3.99</v>
      </c>
      <c r="V15" s="32" t="n">
        <v>-1.41</v>
      </c>
      <c r="W15" s="32" t="n">
        <v>0.51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SUM(N16,Y16,AA16,AC16,AE16,AG16,AI16,AK16,AM16,AO16,AQ16,AS16,AU16,AW16,AY16,BA16,BC16,BE16,BG16,BI16,BK16,BM16,BO16,BQ16,BS16,BU16,BW16,BY16,CA16)</f>
        <v/>
      </c>
      <c r="C16" s="33" t="inlineStr">
        <is>
          <t>VHL</t>
        </is>
      </c>
      <c r="D16" s="33" t="inlineStr">
        <is>
          <t>Vardhman Holdings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1122.72</v>
      </c>
      <c r="I16" s="32" t="n">
        <v>3574.2</v>
      </c>
      <c r="J16" s="32" t="n">
        <v>1.6</v>
      </c>
      <c r="K16" s="32" t="n">
        <v>1294</v>
      </c>
      <c r="L16" s="31" t="n">
        <v>2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54.61</v>
      </c>
      <c r="P16" s="32" t="n">
        <v>6.58</v>
      </c>
      <c r="Q16" s="32" t="n">
        <v>3005.5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-2.62</v>
      </c>
      <c r="U16" s="32" t="n">
        <v>-8.09</v>
      </c>
      <c r="V16" s="32" t="n">
        <v>-5.62</v>
      </c>
      <c r="W16" s="32" t="n">
        <v>-1.31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1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5PAISA</t>
        </is>
      </c>
      <c r="D17" s="31" t="inlineStr">
        <is>
          <t>5Paisa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1691.98</v>
      </c>
      <c r="I17" s="32" t="n">
        <v>349.7</v>
      </c>
      <c r="J17" s="32" t="n">
        <v>-3.1</v>
      </c>
      <c r="K17" s="32" t="n">
        <v>136027</v>
      </c>
      <c r="L17" s="31" t="n">
        <v>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52.38</v>
      </c>
      <c r="P17" s="32" t="n">
        <v>19.22</v>
      </c>
      <c r="Q17" s="32" t="n">
        <v>287.57</v>
      </c>
      <c r="R17" s="31" t="inlineStr">
        <is>
          <t>Volume Spike / Accumulation</t>
        </is>
      </c>
      <c r="S17" s="31" t="inlineStr">
        <is>
          <t>Nifty Bank</t>
        </is>
      </c>
      <c r="T17" s="32" t="n">
        <v>-2.62</v>
      </c>
      <c r="U17" s="32" t="n">
        <v>6.39</v>
      </c>
      <c r="V17" s="32" t="n">
        <v>9.25</v>
      </c>
      <c r="W17" s="32" t="n">
        <v>1.07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1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</sheetData>
  <autoFilter ref="A1:CA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7">
    <cfRule type="cellIs" priority="34" operator="equal" dxfId="3" stopIfTrue="1">
      <formula>"Underperforming"</formula>
    </cfRule>
  </conditionalFormatting>
  <conditionalFormatting sqref="N2:N17">
    <cfRule type="cellIs" priority="35" operator="equal" dxfId="3" stopIfTrue="1">
      <formula>-5</formula>
    </cfRule>
  </conditionalFormatting>
  <conditionalFormatting sqref="Q2:Q1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148</v>
      </c>
      <c r="H2" s="31" t="inlineStr">
        <is>
          <t>SHANTIGOLD</t>
        </is>
      </c>
      <c r="I2" s="31" t="inlineStr">
        <is>
          <t>Shanti Gold International Ltd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2429.57</v>
      </c>
      <c r="N2" s="32" t="n">
        <v>336.65</v>
      </c>
      <c r="O2" s="32" t="n">
        <v>6.33</v>
      </c>
      <c r="P2" s="32" t="n">
        <v>4557739</v>
      </c>
      <c r="Q2" s="31" t="n">
        <v>67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71.34</v>
      </c>
      <c r="U2" s="32" t="n">
        <v>43.69</v>
      </c>
      <c r="V2" s="32" t="n">
        <v>249.67</v>
      </c>
      <c r="W2" s="31" t="inlineStr">
        <is>
          <t>Near 52W High Breakout</t>
        </is>
      </c>
      <c r="X2" s="31" t="inlineStr">
        <is>
          <t>Nifty 50</t>
        </is>
      </c>
      <c r="Y2" s="32" t="n">
        <v>-9.92</v>
      </c>
      <c r="Z2" s="32" t="n">
        <v>57.22</v>
      </c>
      <c r="AA2" s="32" t="n">
        <v>74.54000000000001</v>
      </c>
      <c r="AB2" s="32" t="n">
        <v>23.7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138.7</v>
      </c>
      <c r="E3" s="32" t="inlineStr">
        <is>
          <t>5%</t>
        </is>
      </c>
      <c r="F3" s="32" t="n">
        <v>50000</v>
      </c>
      <c r="G3" s="32" t="n">
        <v>72</v>
      </c>
      <c r="H3" s="31" t="inlineStr">
        <is>
          <t>E2E</t>
        </is>
      </c>
      <c r="I3" s="31" t="inlineStr">
        <is>
          <t>E2E Networks Ltd</t>
        </is>
      </c>
      <c r="J3" s="31" t="inlineStr">
        <is>
          <t>i.t</t>
        </is>
      </c>
      <c r="K3" s="31" t="inlineStr">
        <is>
          <t>computers - software - medium / small</t>
        </is>
      </c>
      <c r="L3" s="31" t="inlineStr">
        <is>
          <t>midcap</t>
        </is>
      </c>
      <c r="M3" s="32" t="n">
        <v>13487.11</v>
      </c>
      <c r="N3" s="32" t="n">
        <v>688.9</v>
      </c>
      <c r="O3" s="32" t="n">
        <v>5</v>
      </c>
      <c r="P3" s="32" t="n">
        <v>857233</v>
      </c>
      <c r="Q3" s="31" t="n">
        <v>90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74.83</v>
      </c>
      <c r="U3" s="32" t="n">
        <v>54.63</v>
      </c>
      <c r="V3" s="32" t="n">
        <v>498.67</v>
      </c>
      <c r="W3" s="31" t="inlineStr">
        <is>
          <t>Near 52W High Breakout</t>
        </is>
      </c>
      <c r="X3" s="31" t="inlineStr">
        <is>
          <t>Nifty IT</t>
        </is>
      </c>
      <c r="Y3" s="32" t="n">
        <v>-20.99</v>
      </c>
      <c r="Z3" s="32" t="n">
        <v>102.15</v>
      </c>
      <c r="AA3" s="32" t="n">
        <v>155.85</v>
      </c>
      <c r="AB3" s="32" t="n">
        <v>37.74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240</v>
      </c>
      <c r="H4" s="31" t="inlineStr">
        <is>
          <t>OCCLLTD</t>
        </is>
      </c>
      <c r="I4" s="31" t="inlineStr">
        <is>
          <t>OCCL Ltd</t>
        </is>
      </c>
      <c r="J4" s="31" t="inlineStr">
        <is>
          <t>chemicals</t>
        </is>
      </c>
      <c r="K4" s="31" t="inlineStr">
        <is>
          <t>chemicals</t>
        </is>
      </c>
      <c r="L4" s="31" t="inlineStr">
        <is>
          <t>smallcap</t>
        </is>
      </c>
      <c r="M4" s="32" t="n">
        <v>987.97</v>
      </c>
      <c r="N4" s="32" t="n">
        <v>207.59</v>
      </c>
      <c r="O4" s="32" t="n">
        <v>4.95</v>
      </c>
      <c r="P4" s="32" t="n">
        <v>193602</v>
      </c>
      <c r="Q4" s="31" t="n">
        <v>75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79.7</v>
      </c>
      <c r="U4" s="32" t="n">
        <v>49.76</v>
      </c>
      <c r="V4" s="32" t="n">
        <v>158.67</v>
      </c>
      <c r="W4" s="31" t="inlineStr">
        <is>
          <t>Near 52W High Breakout</t>
        </is>
      </c>
      <c r="X4" s="31" t="inlineStr">
        <is>
          <t>Nifty 50</t>
        </is>
      </c>
      <c r="Y4" s="32" t="n">
        <v>-9.92</v>
      </c>
      <c r="Z4" s="32" t="n">
        <v>65.79000000000001</v>
      </c>
      <c r="AA4" s="32" t="n">
        <v>84.06</v>
      </c>
      <c r="AB4" s="32" t="n">
        <v>28.83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85</v>
      </c>
      <c r="H5" s="31" t="inlineStr">
        <is>
          <t>THELEELA</t>
        </is>
      </c>
      <c r="I5" s="31" t="inlineStr">
        <is>
          <t>Leela Palaces Hotels &amp; Resorts Ltd</t>
        </is>
      </c>
      <c r="J5" s="31" t="inlineStr">
        <is>
          <t>services</t>
        </is>
      </c>
      <c r="K5" s="31" t="inlineStr">
        <is>
          <t>hotels</t>
        </is>
      </c>
      <c r="L5" s="31" t="inlineStr">
        <is>
          <t>midcap</t>
        </is>
      </c>
      <c r="M5" s="32" t="n">
        <v>19289.41</v>
      </c>
      <c r="N5" s="32" t="n">
        <v>582.7</v>
      </c>
      <c r="O5" s="32" t="n">
        <v>0.88</v>
      </c>
      <c r="P5" s="32" t="n">
        <v>514330</v>
      </c>
      <c r="Q5" s="31" t="n">
        <v>25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71.31</v>
      </c>
      <c r="U5" s="32" t="n">
        <v>41.94</v>
      </c>
      <c r="V5" s="32" t="n">
        <v>476.25</v>
      </c>
      <c r="W5" s="31" t="inlineStr">
        <is>
          <t>Near 52W High Breakout</t>
        </is>
      </c>
      <c r="X5" s="31" t="inlineStr">
        <is>
          <t>Nifty 50</t>
        </is>
      </c>
      <c r="Y5" s="32" t="n">
        <v>-9.92</v>
      </c>
      <c r="Z5" s="32" t="n">
        <v>28.67</v>
      </c>
      <c r="AA5" s="32" t="n">
        <v>42.85</v>
      </c>
      <c r="AB5" s="32" t="n">
        <v>8.82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347</v>
      </c>
      <c r="H6" s="31" t="inlineStr">
        <is>
          <t>MOREPENLAB</t>
        </is>
      </c>
      <c r="I6" s="31" t="inlineStr">
        <is>
          <t>Morepen Laboratories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midcap</t>
        </is>
      </c>
      <c r="M6" s="32" t="n">
        <v>7413.27</v>
      </c>
      <c r="N6" s="32" t="n">
        <v>143.96</v>
      </c>
      <c r="O6" s="32" t="n">
        <v>6.41</v>
      </c>
      <c r="P6" s="32" t="n">
        <v>22422554</v>
      </c>
      <c r="Q6" s="31" t="n">
        <v>97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91.39</v>
      </c>
      <c r="U6" s="32" t="n">
        <v>57.4</v>
      </c>
      <c r="V6" s="32" t="n">
        <v>110.15</v>
      </c>
      <c r="W6" s="31" t="inlineStr">
        <is>
          <t>Near 52W High Breakout</t>
        </is>
      </c>
      <c r="X6" s="31" t="inlineStr">
        <is>
          <t>Nifty Pharma</t>
        </is>
      </c>
      <c r="Y6" s="32" t="n">
        <v>19.49</v>
      </c>
      <c r="Z6" s="32" t="n">
        <v>189.27</v>
      </c>
      <c r="AA6" s="32" t="n">
        <v>142.07</v>
      </c>
      <c r="AB6" s="32" t="n">
        <v>60.94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139.2</v>
      </c>
      <c r="E7" s="32" t="inlineStr">
        <is>
          <t>5%</t>
        </is>
      </c>
      <c r="F7" s="32" t="n">
        <v>50000</v>
      </c>
      <c r="G7" s="32" t="n">
        <v>27</v>
      </c>
      <c r="H7" s="31" t="inlineStr">
        <is>
          <t>AETHER</t>
        </is>
      </c>
      <c r="I7" s="31" t="inlineStr">
        <is>
          <t>Aether Industries Ltd</t>
        </is>
      </c>
      <c r="J7" s="31" t="inlineStr">
        <is>
          <t>chemicals</t>
        </is>
      </c>
      <c r="K7" s="31" t="inlineStr">
        <is>
          <t>chemicals</t>
        </is>
      </c>
      <c r="L7" s="31" t="inlineStr">
        <is>
          <t>largecap</t>
        </is>
      </c>
      <c r="M7" s="32" t="n">
        <v>22043.56</v>
      </c>
      <c r="N7" s="32" t="n">
        <v>1799.8</v>
      </c>
      <c r="O7" s="32" t="n">
        <v>8.359999999999999</v>
      </c>
      <c r="P7" s="32" t="n">
        <v>1456255</v>
      </c>
      <c r="Q7" s="31" t="n">
        <v>67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70.19</v>
      </c>
      <c r="U7" s="32" t="n">
        <v>61.31</v>
      </c>
      <c r="V7" s="32" t="n">
        <v>1435.74</v>
      </c>
      <c r="W7" s="31" t="inlineStr">
        <is>
          <t>Near 52W High Breakout</t>
        </is>
      </c>
      <c r="X7" s="31" t="inlineStr">
        <is>
          <t>Nifty 50</t>
        </is>
      </c>
      <c r="Y7" s="32" t="n">
        <v>-9.92</v>
      </c>
      <c r="Z7" s="32" t="n">
        <v>139.91</v>
      </c>
      <c r="AA7" s="32" t="n">
        <v>166.34</v>
      </c>
      <c r="AB7" s="32" t="n">
        <v>23.6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139.1</v>
      </c>
      <c r="E8" s="32" t="inlineStr">
        <is>
          <t>5%</t>
        </is>
      </c>
      <c r="F8" s="32" t="n">
        <v>50000</v>
      </c>
      <c r="G8" s="32" t="n">
        <v>7</v>
      </c>
      <c r="H8" s="31" t="inlineStr">
        <is>
          <t>KINGFA</t>
        </is>
      </c>
      <c r="I8" s="31" t="inlineStr">
        <is>
          <t>Kingfa Science &amp; Technology (india) Limited</t>
        </is>
      </c>
      <c r="J8" s="31" t="inlineStr">
        <is>
          <t>plastic products</t>
        </is>
      </c>
      <c r="K8" s="31" t="inlineStr">
        <is>
          <t>plastics products</t>
        </is>
      </c>
      <c r="L8" s="31" t="inlineStr">
        <is>
          <t>midcap</t>
        </is>
      </c>
      <c r="M8" s="32" t="n">
        <v>9037.42</v>
      </c>
      <c r="N8" s="32" t="n">
        <v>6932</v>
      </c>
      <c r="O8" s="32" t="n">
        <v>3.94</v>
      </c>
      <c r="P8" s="32" t="n">
        <v>24558</v>
      </c>
      <c r="Q8" s="31" t="n">
        <v>47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75.05</v>
      </c>
      <c r="U8" s="32" t="n">
        <v>45.04</v>
      </c>
      <c r="V8" s="32" t="n">
        <v>5620.77</v>
      </c>
      <c r="W8" s="31" t="inlineStr">
        <is>
          <t>Near 52W High Breakout</t>
        </is>
      </c>
      <c r="X8" s="31" t="inlineStr">
        <is>
          <t>Nifty 50</t>
        </is>
      </c>
      <c r="Y8" s="32" t="n">
        <v>-9.92</v>
      </c>
      <c r="Z8" s="32" t="n">
        <v>49.06</v>
      </c>
      <c r="AA8" s="32" t="n">
        <v>65.48</v>
      </c>
      <c r="AB8" s="32" t="n">
        <v>16.35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138.8</v>
      </c>
      <c r="E9" s="32" t="inlineStr">
        <is>
          <t>5%</t>
        </is>
      </c>
      <c r="F9" s="32" t="n">
        <v>50000</v>
      </c>
      <c r="G9" s="32" t="n">
        <v>26</v>
      </c>
      <c r="H9" s="31" t="inlineStr">
        <is>
          <t>TATVA</t>
        </is>
      </c>
      <c r="I9" s="31" t="inlineStr">
        <is>
          <t>Tatva Chintan Pharma Chem Ltd</t>
        </is>
      </c>
      <c r="J9" s="31" t="inlineStr">
        <is>
          <t>chemicals</t>
        </is>
      </c>
      <c r="K9" s="31" t="inlineStr">
        <is>
          <t>chemicals</t>
        </is>
      </c>
      <c r="L9" s="31" t="inlineStr">
        <is>
          <t>smallcap</t>
        </is>
      </c>
      <c r="M9" s="32" t="n">
        <v>4208.23</v>
      </c>
      <c r="N9" s="32" t="n">
        <v>1877.4</v>
      </c>
      <c r="O9" s="32" t="n">
        <v>4.36</v>
      </c>
      <c r="P9" s="32" t="n">
        <v>132614</v>
      </c>
      <c r="Q9" s="31" t="n">
        <v>62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68.95</v>
      </c>
      <c r="U9" s="32" t="n">
        <v>41.75</v>
      </c>
      <c r="V9" s="32" t="n">
        <v>1418.42</v>
      </c>
      <c r="W9" s="31" t="inlineStr">
        <is>
          <t>Near 52W High Breakout</t>
        </is>
      </c>
      <c r="X9" s="31" t="inlineStr">
        <is>
          <t>Nifty 50</t>
        </is>
      </c>
      <c r="Y9" s="32" t="n">
        <v>-9.92</v>
      </c>
      <c r="Z9" s="32" t="n">
        <v>75.8</v>
      </c>
      <c r="AA9" s="32" t="n">
        <v>95.17</v>
      </c>
      <c r="AB9" s="32" t="n">
        <v>21.43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138.6</v>
      </c>
      <c r="E10" s="32" t="inlineStr">
        <is>
          <t>5%</t>
        </is>
      </c>
      <c r="F10" s="32" t="n">
        <v>50000</v>
      </c>
      <c r="G10" s="32" t="n">
        <v>204</v>
      </c>
      <c r="H10" s="31" t="inlineStr">
        <is>
          <t>LOTUSDEV</t>
        </is>
      </c>
      <c r="I10" s="31" t="inlineStr">
        <is>
          <t>Sri Lotus Developers &amp; Realty Ltd</t>
        </is>
      </c>
      <c r="J10" s="31" t="inlineStr">
        <is>
          <t>realty</t>
        </is>
      </c>
      <c r="K10" s="31" t="inlineStr">
        <is>
          <t>construction</t>
        </is>
      </c>
      <c r="L10" s="31" t="inlineStr">
        <is>
          <t>midcap</t>
        </is>
      </c>
      <c r="M10" s="32" t="n">
        <v>11626.25</v>
      </c>
      <c r="N10" s="32" t="n">
        <v>244.73</v>
      </c>
      <c r="O10" s="32" t="n">
        <v>2.88</v>
      </c>
      <c r="P10" s="32" t="n">
        <v>1512350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73.64</v>
      </c>
      <c r="U10" s="32" t="n">
        <v>33.1</v>
      </c>
      <c r="V10" s="32" t="n">
        <v>188.97</v>
      </c>
      <c r="W10" s="31" t="inlineStr">
        <is>
          <t>Near 52W High Breakout</t>
        </is>
      </c>
      <c r="X10" s="31" t="inlineStr">
        <is>
          <t>Nifty Realty</t>
        </is>
      </c>
      <c r="Y10" s="32" t="inlineStr"/>
      <c r="Z10" s="32" t="inlineStr"/>
      <c r="AA10" s="32" t="inlineStr"/>
      <c r="AB10" s="32" t="inlineStr"/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139.8</v>
      </c>
      <c r="E11" s="32" t="inlineStr">
        <is>
          <t>5%</t>
        </is>
      </c>
      <c r="F11" s="32" t="n">
        <v>50000</v>
      </c>
      <c r="G11" s="32" t="n">
        <v>154</v>
      </c>
      <c r="H11" s="31" t="inlineStr">
        <is>
          <t>CUPID</t>
        </is>
      </c>
      <c r="I11" s="31" t="inlineStr">
        <is>
          <t>Cupid Limited</t>
        </is>
      </c>
      <c r="J11" s="31" t="inlineStr">
        <is>
          <t>fmcg</t>
        </is>
      </c>
      <c r="K11" s="31" t="inlineStr">
        <is>
          <t>personal care - indian</t>
        </is>
      </c>
      <c r="L11" s="31" t="inlineStr">
        <is>
          <t>largecap</t>
        </is>
      </c>
      <c r="M11" s="32" t="n">
        <v>41697.93</v>
      </c>
      <c r="N11" s="32" t="n">
        <v>324.2</v>
      </c>
      <c r="O11" s="32" t="n">
        <v>4.55</v>
      </c>
      <c r="P11" s="32" t="n">
        <v>24176893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83.75</v>
      </c>
      <c r="U11" s="32" t="n">
        <v>65.77</v>
      </c>
      <c r="V11" s="32" t="n">
        <v>247.98</v>
      </c>
      <c r="W11" s="31" t="inlineStr">
        <is>
          <t>Near 52W High Breakout</t>
        </is>
      </c>
      <c r="X11" s="31" t="inlineStr">
        <is>
          <t>Nifty FMCG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B2C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190</v>
      </c>
      <c r="H12" s="31" t="inlineStr">
        <is>
          <t>HFCL</t>
        </is>
      </c>
      <c r="I12" s="31" t="inlineStr">
        <is>
          <t>HFCL Ltd</t>
        </is>
      </c>
      <c r="J12" s="31" t="inlineStr">
        <is>
          <t>telecom</t>
        </is>
      </c>
      <c r="K12" s="31" t="inlineStr">
        <is>
          <t>cables - telephone</t>
        </is>
      </c>
      <c r="L12" s="31" t="inlineStr">
        <is>
          <t>largecap</t>
        </is>
      </c>
      <c r="M12" s="32" t="n">
        <v>38306.39</v>
      </c>
      <c r="N12" s="32" t="n">
        <v>262.78</v>
      </c>
      <c r="O12" s="32" t="n">
        <v>5</v>
      </c>
      <c r="P12" s="32" t="n">
        <v>6656282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71.79000000000001</v>
      </c>
      <c r="U12" s="32" t="n">
        <v>49.57</v>
      </c>
      <c r="V12" s="32" t="n">
        <v>191.2</v>
      </c>
      <c r="W12" s="31" t="inlineStr">
        <is>
          <t>Near 52W High Breakout</t>
        </is>
      </c>
      <c r="X12" s="31" t="inlineStr">
        <is>
          <t>Nifty Infra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Oligopoly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138.8</v>
      </c>
      <c r="E13" s="32" t="inlineStr">
        <is>
          <t>5%</t>
        </is>
      </c>
      <c r="F13" s="32" t="n">
        <v>50000</v>
      </c>
      <c r="G13" s="32" t="n">
        <v>22</v>
      </c>
      <c r="H13" s="31" t="inlineStr">
        <is>
          <t>DPABHUSHAN</t>
        </is>
      </c>
      <c r="I13" s="31" t="inlineStr">
        <is>
          <t>D.P. Abhushan Ltd</t>
        </is>
      </c>
      <c r="J13" s="31" t="inlineStr">
        <is>
          <t>consumer discretionary</t>
        </is>
      </c>
      <c r="K13" s="31" t="inlineStr">
        <is>
          <t>trading</t>
        </is>
      </c>
      <c r="L13" s="31" t="inlineStr">
        <is>
          <t>smallcap</t>
        </is>
      </c>
      <c r="M13" s="32" t="n">
        <v>4863.49</v>
      </c>
      <c r="N13" s="32" t="n">
        <v>2174</v>
      </c>
      <c r="O13" s="32" t="n">
        <v>2.04</v>
      </c>
      <c r="P13" s="32" t="n">
        <v>530780</v>
      </c>
      <c r="Q13" s="31" t="n">
        <v>78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79.73999999999999</v>
      </c>
      <c r="U13" s="32" t="n">
        <v>38.83</v>
      </c>
      <c r="V13" s="32" t="n">
        <v>1635.67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-9.92</v>
      </c>
      <c r="Z13" s="32" t="n">
        <v>52.35</v>
      </c>
      <c r="AA13" s="32" t="n">
        <v>69.13</v>
      </c>
      <c r="AB13" s="32" t="n">
        <v>29.77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Less than 1.5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87</v>
      </c>
      <c r="H14" s="31" t="inlineStr">
        <is>
          <t>PANACHE</t>
        </is>
      </c>
      <c r="I14" s="31" t="inlineStr">
        <is>
          <t>Panache Digilife Ltd</t>
        </is>
      </c>
      <c r="J14" s="31" t="inlineStr">
        <is>
          <t>i.t</t>
        </is>
      </c>
      <c r="K14" s="31" t="inlineStr">
        <is>
          <t>computers - hardware</t>
        </is>
      </c>
      <c r="L14" s="31" t="inlineStr">
        <is>
          <t>smallcap</t>
        </is>
      </c>
      <c r="M14" s="32" t="n">
        <v>867.88</v>
      </c>
      <c r="N14" s="32" t="n">
        <v>569</v>
      </c>
      <c r="O14" s="32" t="n">
        <v>4.99</v>
      </c>
      <c r="P14" s="32" t="n">
        <v>7672</v>
      </c>
      <c r="Q14" s="31" t="n">
        <v>42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73.92</v>
      </c>
      <c r="U14" s="32" t="n">
        <v>39.12</v>
      </c>
      <c r="V14" s="32" t="n">
        <v>457.68</v>
      </c>
      <c r="W14" s="31" t="inlineStr">
        <is>
          <t>Near 52W High Breakout</t>
        </is>
      </c>
      <c r="X14" s="31" t="inlineStr">
        <is>
          <t>Nifty IT</t>
        </is>
      </c>
      <c r="Y14" s="32" t="n">
        <v>-20.99</v>
      </c>
      <c r="Z14" s="32" t="n">
        <v>27.58</v>
      </c>
      <c r="AA14" s="32" t="n">
        <v>61.46</v>
      </c>
      <c r="AB14" s="32" t="n">
        <v>14.07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139.6</v>
      </c>
      <c r="E15" s="32" t="inlineStr">
        <is>
          <t>5%</t>
        </is>
      </c>
      <c r="F15" s="32" t="n">
        <v>50000</v>
      </c>
      <c r="G15" s="32" t="n">
        <v>110</v>
      </c>
      <c r="H15" s="31" t="inlineStr">
        <is>
          <t>BHEL</t>
        </is>
      </c>
      <c r="I15" s="31" t="inlineStr">
        <is>
          <t>Bharat Heavy Electricals Limited</t>
        </is>
      </c>
      <c r="J15" s="31" t="inlineStr">
        <is>
          <t>industrials</t>
        </is>
      </c>
      <c r="K15" s="31" t="inlineStr">
        <is>
          <t>electric equipment</t>
        </is>
      </c>
      <c r="L15" s="31" t="inlineStr">
        <is>
          <t>largecap</t>
        </is>
      </c>
      <c r="M15" s="32" t="n">
        <v>149380.52</v>
      </c>
      <c r="N15" s="32" t="n">
        <v>452</v>
      </c>
      <c r="O15" s="32" t="n">
        <v>5.36</v>
      </c>
      <c r="P15" s="32" t="n">
        <v>22865195</v>
      </c>
      <c r="Q15" s="31" t="n">
        <v>50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66.92</v>
      </c>
      <c r="U15" s="32" t="n">
        <v>35.79</v>
      </c>
      <c r="V15" s="32" t="n">
        <v>367.82</v>
      </c>
      <c r="W15" s="31" t="inlineStr">
        <is>
          <t>Near 52W High Breakout</t>
        </is>
      </c>
      <c r="X15" s="31" t="inlineStr">
        <is>
          <t>Nifty 50</t>
        </is>
      </c>
      <c r="Y15" s="32" t="n">
        <v>-9.92</v>
      </c>
      <c r="Z15" s="32" t="n">
        <v>89.22</v>
      </c>
      <c r="AA15" s="32" t="n">
        <v>110.07</v>
      </c>
      <c r="AB15" s="32" t="n">
        <v>17.31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Between 1.5 to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138.8</v>
      </c>
      <c r="E16" s="32" t="inlineStr">
        <is>
          <t>5%</t>
        </is>
      </c>
      <c r="F16" s="32" t="n">
        <v>50000</v>
      </c>
      <c r="G16" s="32" t="n">
        <v>15</v>
      </c>
      <c r="H16" s="31" t="inlineStr">
        <is>
          <t>KMEW</t>
        </is>
      </c>
      <c r="I16" s="31" t="inlineStr">
        <is>
          <t>Knowledge Marine &amp; Engineering Works Ltd</t>
        </is>
      </c>
      <c r="J16" s="31" t="inlineStr">
        <is>
          <t>transportation</t>
        </is>
      </c>
      <c r="K16" s="31" t="inlineStr">
        <is>
          <t>miscellaneous</t>
        </is>
      </c>
      <c r="L16" s="31" t="inlineStr">
        <is>
          <t>midcap</t>
        </is>
      </c>
      <c r="M16" s="32" t="n">
        <v>7314.9</v>
      </c>
      <c r="N16" s="32" t="n">
        <v>3202.3</v>
      </c>
      <c r="O16" s="32" t="n">
        <v>7.01</v>
      </c>
      <c r="P16" s="32" t="n">
        <v>268808</v>
      </c>
      <c r="Q16" s="31" t="n">
        <v>77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77.65000000000001</v>
      </c>
      <c r="U16" s="32" t="n">
        <v>58.42</v>
      </c>
      <c r="V16" s="32" t="n">
        <v>2351.31</v>
      </c>
      <c r="W16" s="31" t="inlineStr">
        <is>
          <t>Near 52W High Breakout</t>
        </is>
      </c>
      <c r="X16" s="31" t="inlineStr">
        <is>
          <t>Nifty 50</t>
        </is>
      </c>
      <c r="Y16" s="32" t="n">
        <v>-9.92</v>
      </c>
      <c r="Z16" s="32" t="n">
        <v>169.74</v>
      </c>
      <c r="AA16" s="32" t="n">
        <v>199.45</v>
      </c>
      <c r="AB16" s="32" t="n">
        <v>29.69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138.5</v>
      </c>
      <c r="E17" s="32" t="inlineStr">
        <is>
          <t>5%</t>
        </is>
      </c>
      <c r="F17" s="32" t="n">
        <v>50000</v>
      </c>
      <c r="G17" s="32" t="n">
        <v>26</v>
      </c>
      <c r="H17" s="31" t="inlineStr">
        <is>
          <t>UNIMECH</t>
        </is>
      </c>
      <c r="I17" s="31" t="inlineStr">
        <is>
          <t>Unimech Aerospace and Manufacturing Ltd</t>
        </is>
      </c>
      <c r="J17" s="31" t="inlineStr">
        <is>
          <t>aerospace &amp; defence</t>
        </is>
      </c>
      <c r="K17" s="31" t="inlineStr">
        <is>
          <t>engineering</t>
        </is>
      </c>
      <c r="L17" s="31" t="inlineStr">
        <is>
          <t>midcap</t>
        </is>
      </c>
      <c r="M17" s="32" t="n">
        <v>9383.6</v>
      </c>
      <c r="N17" s="32" t="n">
        <v>1873.1</v>
      </c>
      <c r="O17" s="32" t="n">
        <v>1.52</v>
      </c>
      <c r="P17" s="32" t="n">
        <v>288002</v>
      </c>
      <c r="Q17" s="31" t="n">
        <v>74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82.78</v>
      </c>
      <c r="U17" s="32" t="n">
        <v>50.18</v>
      </c>
      <c r="V17" s="32" t="n">
        <v>1445.68</v>
      </c>
      <c r="W17" s="31" t="inlineStr">
        <is>
          <t>Near 52W High Breakout</t>
        </is>
      </c>
      <c r="X17" s="31" t="inlineStr">
        <is>
          <t>Nifty 50</t>
        </is>
      </c>
      <c r="Y17" s="32" t="n">
        <v>-9.92</v>
      </c>
      <c r="Z17" s="32" t="n">
        <v>95.38</v>
      </c>
      <c r="AA17" s="32" t="n">
        <v>116.9</v>
      </c>
      <c r="AB17" s="32" t="n">
        <v>28.71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24</v>
      </c>
      <c r="H18" s="31" t="inlineStr">
        <is>
          <t>LAURUSLABS</t>
        </is>
      </c>
      <c r="I18" s="31" t="inlineStr">
        <is>
          <t>Laurus Labs Limited</t>
        </is>
      </c>
      <c r="J18" s="31" t="inlineStr">
        <is>
          <t>healthcare</t>
        </is>
      </c>
      <c r="K18" s="31" t="inlineStr">
        <is>
          <t>pharmaceuticals - indian - bulk drugs &amp; formln</t>
        </is>
      </c>
      <c r="L18" s="31" t="inlineStr">
        <is>
          <t>largecap</t>
        </is>
      </c>
      <c r="M18" s="32" t="n">
        <v>106504.8</v>
      </c>
      <c r="N18" s="32" t="n">
        <v>2050</v>
      </c>
      <c r="O18" s="32" t="n">
        <v>3.99</v>
      </c>
      <c r="P18" s="32" t="n">
        <v>2197316</v>
      </c>
      <c r="Q18" s="31" t="n">
        <v>71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77.31999999999999</v>
      </c>
      <c r="U18" s="32" t="n">
        <v>77.48</v>
      </c>
      <c r="V18" s="32" t="n">
        <v>1756.38</v>
      </c>
      <c r="W18" s="31" t="inlineStr">
        <is>
          <t>Near 52W High Breakout</t>
        </is>
      </c>
      <c r="X18" s="31" t="inlineStr">
        <is>
          <t>Nifty Pharma</t>
        </is>
      </c>
      <c r="Y18" s="32" t="n">
        <v>19.49</v>
      </c>
      <c r="Z18" s="32" t="n">
        <v>134.24</v>
      </c>
      <c r="AA18" s="32" t="n">
        <v>96.03</v>
      </c>
      <c r="AB18" s="32" t="n">
        <v>26.36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139.1</v>
      </c>
      <c r="E19" s="32" t="inlineStr">
        <is>
          <t>5%</t>
        </is>
      </c>
      <c r="F19" s="32" t="n">
        <v>50000</v>
      </c>
      <c r="G19" s="32" t="n">
        <v>3</v>
      </c>
      <c r="H19" s="31" t="inlineStr">
        <is>
          <t>DYNAMATECH</t>
        </is>
      </c>
      <c r="I19" s="31" t="inlineStr">
        <is>
          <t>Dynamatic Technologies Limited</t>
        </is>
      </c>
      <c r="J19" s="31" t="inlineStr">
        <is>
          <t>aerospace &amp; defence</t>
        </is>
      </c>
      <c r="K19" s="31" t="inlineStr">
        <is>
          <t>engineering</t>
        </is>
      </c>
      <c r="L19" s="31" t="inlineStr">
        <is>
          <t>midcap</t>
        </is>
      </c>
      <c r="M19" s="32" t="n">
        <v>9678.49</v>
      </c>
      <c r="N19" s="32" t="n">
        <v>14279</v>
      </c>
      <c r="O19" s="32" t="n">
        <v>0.2</v>
      </c>
      <c r="P19" s="32" t="n">
        <v>25746</v>
      </c>
      <c r="Q19" s="31" t="n">
        <v>58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73.09</v>
      </c>
      <c r="U19" s="32" t="n">
        <v>32.59</v>
      </c>
      <c r="V19" s="32" t="n">
        <v>11169.01</v>
      </c>
      <c r="W19" s="31" t="inlineStr">
        <is>
          <t>Near 52W High Breakout</t>
        </is>
      </c>
      <c r="X19" s="31" t="inlineStr">
        <is>
          <t>Nifty 50</t>
        </is>
      </c>
      <c r="Y19" s="32" t="n">
        <v>-9.92</v>
      </c>
      <c r="Z19" s="32" t="n">
        <v>83.36</v>
      </c>
      <c r="AA19" s="32" t="n">
        <v>103.56</v>
      </c>
      <c r="AB19" s="32" t="n">
        <v>20.24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139.5</v>
      </c>
      <c r="E20" s="32" t="inlineStr">
        <is>
          <t>5%</t>
        </is>
      </c>
      <c r="F20" s="32" t="n">
        <v>50000</v>
      </c>
      <c r="G20" s="32" t="n">
        <v>541</v>
      </c>
      <c r="H20" s="31" t="inlineStr">
        <is>
          <t>MANALIPETC</t>
        </is>
      </c>
      <c r="I20" s="31" t="inlineStr">
        <is>
          <t>Manali Petrochemicals Limited</t>
        </is>
      </c>
      <c r="J20" s="31" t="inlineStr">
        <is>
          <t>energy</t>
        </is>
      </c>
      <c r="K20" s="31" t="inlineStr">
        <is>
          <t>petrochemicals</t>
        </is>
      </c>
      <c r="L20" s="31" t="inlineStr">
        <is>
          <t>smallcap</t>
        </is>
      </c>
      <c r="M20" s="32" t="n">
        <v>1499.66</v>
      </c>
      <c r="N20" s="32" t="n">
        <v>92.36</v>
      </c>
      <c r="O20" s="32" t="n">
        <v>5.93</v>
      </c>
      <c r="P20" s="32" t="n">
        <v>10482494</v>
      </c>
      <c r="Q20" s="31" t="inlineStr"/>
      <c r="R20" s="31" t="inlineStr"/>
      <c r="S20" s="32">
        <f>IF(R20="Underperforming",-5,IF(Q20&gt;=95,15,IF(Q20&gt;=90,10,IF(Q20&gt;=80,5,0))))</f>
        <v/>
      </c>
      <c r="T20" s="32" t="n">
        <v>70.78</v>
      </c>
      <c r="U20" s="32" t="n">
        <v>44.8</v>
      </c>
      <c r="V20" s="32" t="n">
        <v>67.69</v>
      </c>
      <c r="W20" s="31" t="inlineStr">
        <is>
          <t>Near 52W High Breakout</t>
        </is>
      </c>
      <c r="X20" s="31" t="inlineStr">
        <is>
          <t>Nifty Energy</t>
        </is>
      </c>
      <c r="Y20" s="32" t="inlineStr"/>
      <c r="Z20" s="32" t="inlineStr"/>
      <c r="AA20" s="32" t="inlineStr"/>
      <c r="AB20" s="32" t="inlineStr"/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Oligopoly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139.1</v>
      </c>
      <c r="E21" s="32" t="inlineStr">
        <is>
          <t>5%</t>
        </is>
      </c>
      <c r="F21" s="32" t="n">
        <v>50000</v>
      </c>
      <c r="G21" s="32" t="n">
        <v>9</v>
      </c>
      <c r="H21" s="31" t="inlineStr">
        <is>
          <t>FINEORG</t>
        </is>
      </c>
      <c r="I21" s="31" t="inlineStr">
        <is>
          <t>Fine Organic Industries Ltd</t>
        </is>
      </c>
      <c r="J21" s="31" t="inlineStr">
        <is>
          <t>chemicals</t>
        </is>
      </c>
      <c r="K21" s="31" t="inlineStr">
        <is>
          <t>chemicals</t>
        </is>
      </c>
      <c r="L21" s="31" t="inlineStr">
        <is>
          <t>midcap</t>
        </is>
      </c>
      <c r="M21" s="32" t="n">
        <v>15973.85</v>
      </c>
      <c r="N21" s="32" t="n">
        <v>5537</v>
      </c>
      <c r="O21" s="32" t="n">
        <v>6.28</v>
      </c>
      <c r="P21" s="32" t="n">
        <v>79818</v>
      </c>
      <c r="Q21" s="31" t="n">
        <v>20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66.19</v>
      </c>
      <c r="U21" s="32" t="n">
        <v>14.95</v>
      </c>
      <c r="V21" s="32" t="n">
        <v>4601.91</v>
      </c>
      <c r="W21" s="31" t="inlineStr">
        <is>
          <t>Near 52W High Breakout</t>
        </is>
      </c>
      <c r="X21" s="31" t="inlineStr">
        <is>
          <t>Nifty 50</t>
        </is>
      </c>
      <c r="Y21" s="32" t="n">
        <v>-9.92</v>
      </c>
      <c r="Z21" s="32" t="n">
        <v>19.13</v>
      </c>
      <c r="AA21" s="32" t="n">
        <v>32.26</v>
      </c>
      <c r="AB21" s="32" t="n">
        <v>6.07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Between 12 to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138.2</v>
      </c>
      <c r="E22" s="32" t="inlineStr">
        <is>
          <t>5%</t>
        </is>
      </c>
      <c r="F22" s="32" t="n">
        <v>50000</v>
      </c>
      <c r="G22" s="32" t="n">
        <v>350</v>
      </c>
      <c r="H22" s="31" t="inlineStr">
        <is>
          <t>GLOBAL</t>
        </is>
      </c>
      <c r="I22" s="31" t="inlineStr">
        <is>
          <t>Global Education Ltd</t>
        </is>
      </c>
      <c r="J22" s="31" t="inlineStr">
        <is>
          <t>services</t>
        </is>
      </c>
      <c r="K22" s="31" t="inlineStr">
        <is>
          <t>miscellaneous</t>
        </is>
      </c>
      <c r="L22" s="31" t="inlineStr">
        <is>
          <t>smallcap</t>
        </is>
      </c>
      <c r="M22" s="32" t="n">
        <v>708.04</v>
      </c>
      <c r="N22" s="32" t="n">
        <v>142.62</v>
      </c>
      <c r="O22" s="32" t="n">
        <v>2.53</v>
      </c>
      <c r="P22" s="32" t="n">
        <v>209802</v>
      </c>
      <c r="Q22" s="31" t="n">
        <v>72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78.38</v>
      </c>
      <c r="U22" s="32" t="n">
        <v>33.32</v>
      </c>
      <c r="V22" s="32" t="n">
        <v>110.89</v>
      </c>
      <c r="W22" s="31" t="inlineStr">
        <is>
          <t>Near 52W High Breakout</t>
        </is>
      </c>
      <c r="X22" s="31" t="inlineStr">
        <is>
          <t>Nifty 50</t>
        </is>
      </c>
      <c r="Y22" s="32" t="n">
        <v>-9.92</v>
      </c>
      <c r="Z22" s="32" t="n">
        <v>132.91</v>
      </c>
      <c r="AA22" s="32" t="n">
        <v>158.57</v>
      </c>
      <c r="AB22" s="32" t="n">
        <v>27.52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Less than 50%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72</v>
      </c>
      <c r="H2" s="31" t="inlineStr">
        <is>
          <t>GCSL</t>
        </is>
      </c>
      <c r="I2" s="31" t="inlineStr">
        <is>
          <t>Gretex Corporate Services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1704.74</v>
      </c>
      <c r="N2" s="32" t="n">
        <v>693.05</v>
      </c>
      <c r="O2" s="32" t="n">
        <v>1.66</v>
      </c>
      <c r="P2" s="32" t="n">
        <v>225480</v>
      </c>
      <c r="Q2" s="31" t="n">
        <v>84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81.34999999999999</v>
      </c>
      <c r="U2" s="32" t="n">
        <v>34.69</v>
      </c>
      <c r="V2" s="32" t="n">
        <v>564.96</v>
      </c>
      <c r="W2" s="31" t="inlineStr">
        <is>
          <t>Near 52W High Breakout</t>
        </is>
      </c>
      <c r="X2" s="31" t="inlineStr">
        <is>
          <t>Nifty Bank</t>
        </is>
      </c>
      <c r="Y2" s="32" t="n">
        <v>-2.62</v>
      </c>
      <c r="Z2" s="32" t="n">
        <v>200.63</v>
      </c>
      <c r="AA2" s="32" t="n">
        <v>208.7</v>
      </c>
      <c r="AB2" s="32" t="n">
        <v>34.93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6361.67</v>
      </c>
      <c r="I2" s="32" t="n">
        <v>958</v>
      </c>
      <c r="J2" s="32" t="n">
        <v>1.54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74.37</v>
      </c>
      <c r="P2" s="32" t="n">
        <v>68.18000000000001</v>
      </c>
      <c r="Q2" s="32" t="n">
        <v>718.49</v>
      </c>
      <c r="R2" s="31" t="inlineStr">
        <is>
          <t>Near 52W High Breakout</t>
        </is>
      </c>
      <c r="S2" s="31" t="inlineStr">
        <is>
          <t>Nifty IT</t>
        </is>
      </c>
      <c r="T2" s="32" t="n">
        <v>-20.99</v>
      </c>
      <c r="U2" s="32" t="n">
        <v>175.16</v>
      </c>
      <c r="V2" s="32" t="n">
        <v>248.25</v>
      </c>
      <c r="W2" s="32" t="n">
        <v>30.84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24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AIMTRON</t>
        </is>
      </c>
      <c r="D3" s="31" t="inlineStr">
        <is>
          <t>Aimtron Electronics Ltd</t>
        </is>
      </c>
      <c r="E3" s="31" t="inlineStr">
        <is>
          <t>unknown</t>
        </is>
      </c>
      <c r="F3" s="31" t="inlineStr">
        <is>
          <t>EMS</t>
        </is>
      </c>
      <c r="G3" s="31" t="inlineStr">
        <is>
          <t>smallcap</t>
        </is>
      </c>
      <c r="H3" s="32" t="n">
        <v>4074.06</v>
      </c>
      <c r="I3" s="32" t="n">
        <v>1915</v>
      </c>
      <c r="J3" s="32" t="n">
        <v>2.21</v>
      </c>
      <c r="K3" s="32" t="n">
        <v>0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71.27</v>
      </c>
      <c r="P3" s="32" t="n">
        <v>65.09</v>
      </c>
      <c r="Q3" s="32" t="n">
        <v>1418.41</v>
      </c>
      <c r="R3" s="31" t="inlineStr">
        <is>
          <t>Near 52W High Breakout</t>
        </is>
      </c>
      <c r="S3" s="31" t="inlineStr">
        <is>
          <t>Nifty 50</t>
        </is>
      </c>
      <c r="T3" s="32" t="n">
        <v>-9.92</v>
      </c>
      <c r="U3" s="32" t="n">
        <v>175.48</v>
      </c>
      <c r="V3" s="32" t="n">
        <v>205.83</v>
      </c>
      <c r="W3" s="32" t="n">
        <v>31.01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FCL</t>
        </is>
      </c>
      <c r="D4" s="31" t="inlineStr">
        <is>
          <t>Fineotex Chemical Ltd</t>
        </is>
      </c>
      <c r="E4" s="31" t="inlineStr">
        <is>
          <t>chemicals</t>
        </is>
      </c>
      <c r="F4" s="31" t="inlineStr">
        <is>
          <t>Specialty Chemicals</t>
        </is>
      </c>
      <c r="G4" s="31" t="inlineStr">
        <is>
          <t>midcap</t>
        </is>
      </c>
      <c r="H4" s="32" t="n">
        <v>6885.69</v>
      </c>
      <c r="I4" s="32" t="n">
        <v>59.13</v>
      </c>
      <c r="J4" s="32" t="n">
        <v>9.44</v>
      </c>
      <c r="K4" s="32" t="n">
        <v>0</v>
      </c>
      <c r="L4" s="31" t="n">
        <v>84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73.42</v>
      </c>
      <c r="P4" s="32" t="n">
        <v>49.04</v>
      </c>
      <c r="Q4" s="32" t="n">
        <v>44.5</v>
      </c>
      <c r="R4" s="31" t="inlineStr">
        <is>
          <t>Near 52W High Breakout</t>
        </is>
      </c>
      <c r="S4" s="31" t="inlineStr">
        <is>
          <t>Nifty 50</t>
        </is>
      </c>
      <c r="T4" s="32" t="n">
        <v>-9.92</v>
      </c>
      <c r="U4" s="32" t="n">
        <v>142.21</v>
      </c>
      <c r="V4" s="32" t="n">
        <v>168.89</v>
      </c>
      <c r="W4" s="32" t="n">
        <v>34.84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SHANTIGOLD</t>
        </is>
      </c>
      <c r="D5" s="31" t="inlineStr">
        <is>
          <t>Shanti Gold International Ltd</t>
        </is>
      </c>
      <c r="E5" s="31" t="inlineStr">
        <is>
          <t>consumer discretionary</t>
        </is>
      </c>
      <c r="F5" s="31" t="inlineStr">
        <is>
          <t>Diamond Gems and Jewellery</t>
        </is>
      </c>
      <c r="G5" s="31" t="inlineStr">
        <is>
          <t>smallcap</t>
        </is>
      </c>
      <c r="H5" s="32" t="n">
        <v>2580.75</v>
      </c>
      <c r="I5" s="32" t="n">
        <v>336.3</v>
      </c>
      <c r="J5" s="32" t="n">
        <v>6.22</v>
      </c>
      <c r="K5" s="32" t="n">
        <v>0</v>
      </c>
      <c r="L5" s="31" t="n">
        <v>67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71.34</v>
      </c>
      <c r="P5" s="32" t="n">
        <v>43.69</v>
      </c>
      <c r="Q5" s="32" t="n">
        <v>249.67</v>
      </c>
      <c r="R5" s="31" t="inlineStr">
        <is>
          <t>Near 52W High Breakout</t>
        </is>
      </c>
      <c r="S5" s="31" t="inlineStr">
        <is>
          <t>Nifty 50</t>
        </is>
      </c>
      <c r="T5" s="32" t="n">
        <v>-9.92</v>
      </c>
      <c r="U5" s="32" t="n">
        <v>57.22</v>
      </c>
      <c r="V5" s="32" t="n">
        <v>74.54000000000001</v>
      </c>
      <c r="W5" s="32" t="n">
        <v>23.7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GNA</t>
        </is>
      </c>
      <c r="D6" s="31" t="inlineStr">
        <is>
          <t>GNA Axles Ltd</t>
        </is>
      </c>
      <c r="E6" s="31" t="inlineStr">
        <is>
          <t>auto</t>
        </is>
      </c>
      <c r="F6" s="31" t="inlineStr">
        <is>
          <t>Auto Axles</t>
        </is>
      </c>
      <c r="G6" s="31" t="inlineStr">
        <is>
          <t>smallcap</t>
        </is>
      </c>
      <c r="H6" s="32" t="n">
        <v>2629.3</v>
      </c>
      <c r="I6" s="32" t="n">
        <v>612.45</v>
      </c>
      <c r="J6" s="32" t="n">
        <v>4.68</v>
      </c>
      <c r="K6" s="32" t="n">
        <v>0</v>
      </c>
      <c r="L6" s="31" t="inlineStr"/>
      <c r="M6" s="31" t="inlineStr"/>
      <c r="N6" s="32">
        <f>IF(M6="Underperforming",-5,IF(L6&gt;=95,15,IF(L6&gt;=90,10,IF(L6&gt;=80,5,0))))</f>
        <v/>
      </c>
      <c r="O6" s="32" t="n">
        <v>68.23</v>
      </c>
      <c r="P6" s="32" t="n">
        <v>51.93</v>
      </c>
      <c r="Q6" s="32" t="n">
        <v>461.57</v>
      </c>
      <c r="R6" s="31" t="inlineStr">
        <is>
          <t>Near 52W High Breakout</t>
        </is>
      </c>
      <c r="S6" s="31" t="inlineStr">
        <is>
          <t>Nifty Auto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PGIL</t>
        </is>
      </c>
      <c r="D7" s="31" t="inlineStr">
        <is>
          <t>Pearl Global Industries Ltd</t>
        </is>
      </c>
      <c r="E7" s="31" t="inlineStr">
        <is>
          <t>readymade garments/apparels</t>
        </is>
      </c>
      <c r="F7" s="31" t="inlineStr">
        <is>
          <t>Textiles Readymade Apparel</t>
        </is>
      </c>
      <c r="G7" s="31" t="inlineStr">
        <is>
          <t>midcap</t>
        </is>
      </c>
      <c r="H7" s="32" t="n">
        <v>11686.21</v>
      </c>
      <c r="I7" s="32" t="n">
        <v>1265</v>
      </c>
      <c r="J7" s="32" t="n">
        <v>-0.12</v>
      </c>
      <c r="K7" s="32" t="n">
        <v>0</v>
      </c>
      <c r="L7" s="31" t="n">
        <v>59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66.05</v>
      </c>
      <c r="P7" s="32" t="n">
        <v>59.01</v>
      </c>
      <c r="Q7" s="32" t="n">
        <v>1023.34</v>
      </c>
      <c r="R7" s="31" t="inlineStr">
        <is>
          <t>Near 52W High Breakout</t>
        </is>
      </c>
      <c r="S7" s="31" t="inlineStr">
        <is>
          <t>Nifty 50</t>
        </is>
      </c>
      <c r="T7" s="32" t="n">
        <v>-9.92</v>
      </c>
      <c r="U7" s="32" t="n">
        <v>96.31999999999999</v>
      </c>
      <c r="V7" s="32" t="n">
        <v>117.95</v>
      </c>
      <c r="W7" s="32" t="n">
        <v>20.5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JGCHEM</t>
        </is>
      </c>
      <c r="D8" s="34" t="inlineStr">
        <is>
          <t>JGChemicals Ltd</t>
        </is>
      </c>
      <c r="E8" s="31" t="inlineStr">
        <is>
          <t>chemicals</t>
        </is>
      </c>
      <c r="F8" s="31" t="inlineStr">
        <is>
          <t>Chemicals Inorganic</t>
        </is>
      </c>
      <c r="G8" s="31" t="inlineStr">
        <is>
          <t>smallcap</t>
        </is>
      </c>
      <c r="H8" s="32" t="n">
        <v>2617.63</v>
      </c>
      <c r="I8" s="32" t="n">
        <v>668</v>
      </c>
      <c r="J8" s="32" t="n">
        <v>9.57</v>
      </c>
      <c r="K8" s="32" t="n">
        <v>0</v>
      </c>
      <c r="L8" s="31" t="n">
        <v>62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73.17</v>
      </c>
      <c r="P8" s="32" t="n">
        <v>48.51</v>
      </c>
      <c r="Q8" s="32" t="n">
        <v>493.71</v>
      </c>
      <c r="R8" s="31" t="inlineStr">
        <is>
          <t>Near 52W High Breakout</t>
        </is>
      </c>
      <c r="S8" s="31" t="inlineStr">
        <is>
          <t>Nifty 50</t>
        </is>
      </c>
      <c r="T8" s="32" t="n">
        <v>-9.92</v>
      </c>
      <c r="U8" s="32" t="n">
        <v>56.97</v>
      </c>
      <c r="V8" s="32" t="n">
        <v>74.26000000000001</v>
      </c>
      <c r="W8" s="32" t="n">
        <v>21.31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PREMIERPOL</t>
        </is>
      </c>
      <c r="D9" s="31" t="inlineStr">
        <is>
          <t>Premier Polyfilm Ltd</t>
        </is>
      </c>
      <c r="E9" s="31" t="inlineStr">
        <is>
          <t>plastic products</t>
        </is>
      </c>
      <c r="F9" s="31" t="inlineStr">
        <is>
          <t>Plastics Sheets and Films</t>
        </is>
      </c>
      <c r="G9" s="31" t="inlineStr">
        <is>
          <t>smallcap</t>
        </is>
      </c>
      <c r="H9" s="32" t="n">
        <v>1021.87</v>
      </c>
      <c r="I9" s="32" t="n">
        <v>97.56</v>
      </c>
      <c r="J9" s="32" t="n">
        <v>-3.92</v>
      </c>
      <c r="K9" s="32" t="n">
        <v>0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65.93000000000001</v>
      </c>
      <c r="P9" s="32" t="n">
        <v>58.95</v>
      </c>
      <c r="Q9" s="32" t="n">
        <v>63.77</v>
      </c>
      <c r="R9" s="31" t="inlineStr">
        <is>
          <t>Near 52W High Breakout</t>
        </is>
      </c>
      <c r="S9" s="31" t="inlineStr">
        <is>
          <t>Nifty 50</t>
        </is>
      </c>
      <c r="T9" s="32" t="n">
        <v>-9.92</v>
      </c>
      <c r="U9" s="32" t="n">
        <v>117.72</v>
      </c>
      <c r="V9" s="32" t="n">
        <v>141.7</v>
      </c>
      <c r="W9" s="32" t="n">
        <v>29.83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TIMEX</t>
        </is>
      </c>
      <c r="D10" s="31" t="inlineStr">
        <is>
          <t>Timex Group India Ltd</t>
        </is>
      </c>
      <c r="E10" s="31" t="inlineStr">
        <is>
          <t>Consumer Cyclical</t>
        </is>
      </c>
      <c r="F10" s="31" t="inlineStr">
        <is>
          <t>Watches</t>
        </is>
      </c>
      <c r="G10" s="31" t="inlineStr">
        <is>
          <t>midcap</t>
        </is>
      </c>
      <c r="H10" s="32" t="n">
        <v>7364.3</v>
      </c>
      <c r="I10" s="32" t="n">
        <v>729.5</v>
      </c>
      <c r="J10" s="32" t="n">
        <v>-0.82</v>
      </c>
      <c r="K10" s="32" t="n">
        <v>0</v>
      </c>
      <c r="L10" s="31" t="n">
        <v>72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73.33</v>
      </c>
      <c r="P10" s="32" t="n">
        <v>60.3</v>
      </c>
      <c r="Q10" s="32" t="n">
        <v>558.05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-9.92</v>
      </c>
      <c r="U10" s="32" t="n">
        <v>81.40000000000001</v>
      </c>
      <c r="V10" s="32" t="n">
        <v>101.39</v>
      </c>
      <c r="W10" s="32" t="n">
        <v>26.57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VINCOFE</t>
        </is>
      </c>
      <c r="D11" s="31" t="inlineStr">
        <is>
          <t>Vintage Coffee &amp; Beverages Ltd</t>
        </is>
      </c>
      <c r="E11" s="31" t="inlineStr">
        <is>
          <t>consumer discretionary</t>
        </is>
      </c>
      <c r="F11" s="31" t="inlineStr">
        <is>
          <t>FMCG Coffee</t>
        </is>
      </c>
      <c r="G11" s="31" t="inlineStr">
        <is>
          <t>smallcap</t>
        </is>
      </c>
      <c r="H11" s="32" t="n">
        <v>2737.14</v>
      </c>
      <c r="I11" s="32" t="n">
        <v>186.85</v>
      </c>
      <c r="J11" s="32" t="n">
        <v>2.64</v>
      </c>
      <c r="K11" s="32" t="n">
        <v>0</v>
      </c>
      <c r="L11" s="31" t="n">
        <v>31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66.76000000000001</v>
      </c>
      <c r="P11" s="32" t="n">
        <v>30.24</v>
      </c>
      <c r="Q11" s="32" t="n">
        <v>141.34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-9.92</v>
      </c>
      <c r="U11" s="32" t="n">
        <v>33.81</v>
      </c>
      <c r="V11" s="32" t="n">
        <v>48.55</v>
      </c>
      <c r="W11" s="32" t="n">
        <v>10.11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AXISOL</t>
        </is>
      </c>
      <c r="D12" s="34" t="inlineStr">
        <is>
          <t>Axis Solutions Ltd</t>
        </is>
      </c>
      <c r="E12" s="31" t="inlineStr">
        <is>
          <t>Industrials</t>
        </is>
      </c>
      <c r="F12" s="31" t="inlineStr">
        <is>
          <t>Engineering Light General</t>
        </is>
      </c>
      <c r="G12" s="31" t="inlineStr">
        <is>
          <t>smallcap</t>
        </is>
      </c>
      <c r="H12" s="32" t="n">
        <v>3147.3</v>
      </c>
      <c r="I12" s="32" t="n">
        <v>665.95</v>
      </c>
      <c r="J12" s="32" t="n">
        <v>2</v>
      </c>
      <c r="K12" s="32" t="n">
        <v>0</v>
      </c>
      <c r="L12" s="31" t="n">
        <v>99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78.23999999999999</v>
      </c>
      <c r="P12" s="32" t="n">
        <v>64.14</v>
      </c>
      <c r="Q12" s="32" t="n">
        <v>541.9400000000001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-9.92</v>
      </c>
      <c r="U12" s="32" t="n">
        <v>1425.08</v>
      </c>
      <c r="V12" s="32" t="n">
        <v>1593.1</v>
      </c>
      <c r="W12" s="32" t="n">
        <v>109.62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KPL</t>
        </is>
      </c>
      <c r="D13" s="31" t="inlineStr">
        <is>
          <t>Kwality Pharmaceuticals Ltd</t>
        </is>
      </c>
      <c r="E13" s="31" t="inlineStr">
        <is>
          <t>Healthcare</t>
        </is>
      </c>
      <c r="F13" s="31" t="inlineStr">
        <is>
          <t>Pharma Formulations</t>
        </is>
      </c>
      <c r="G13" s="31" t="inlineStr">
        <is>
          <t>smallcap</t>
        </is>
      </c>
      <c r="H13" s="32" t="n">
        <v>3891.07</v>
      </c>
      <c r="I13" s="32" t="n">
        <v>3750</v>
      </c>
      <c r="J13" s="32" t="n">
        <v>2.98</v>
      </c>
      <c r="K13" s="32" t="n">
        <v>0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74.03</v>
      </c>
      <c r="P13" s="32" t="n">
        <v>68.42</v>
      </c>
      <c r="Q13" s="32" t="n">
        <v>2768.9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19.49</v>
      </c>
      <c r="U13" s="32" t="n">
        <v>330.36</v>
      </c>
      <c r="V13" s="32" t="n">
        <v>260.15</v>
      </c>
      <c r="W13" s="32" t="n">
        <v>44.63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24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BIRLACABLE</t>
        </is>
      </c>
      <c r="D14" s="31" t="inlineStr">
        <is>
          <t>Birla Cable Ltd</t>
        </is>
      </c>
      <c r="E14" s="31" t="inlineStr">
        <is>
          <t>industrials</t>
        </is>
      </c>
      <c r="F14" s="31" t="inlineStr">
        <is>
          <t>Cables Telecom</t>
        </is>
      </c>
      <c r="G14" s="31" t="inlineStr">
        <is>
          <t>smallcap</t>
        </is>
      </c>
      <c r="H14" s="32" t="n">
        <v>1186.35</v>
      </c>
      <c r="I14" s="32" t="n">
        <v>395.45</v>
      </c>
      <c r="J14" s="32" t="n">
        <v>4.99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72.73999999999999</v>
      </c>
      <c r="P14" s="32" t="n">
        <v>54.7</v>
      </c>
      <c r="Q14" s="32" t="n">
        <v>293.42</v>
      </c>
      <c r="R14" s="31" t="inlineStr">
        <is>
          <t>Near 52W High Breakout</t>
        </is>
      </c>
      <c r="S14" s="31" t="inlineStr">
        <is>
          <t>Nifty Infra</t>
        </is>
      </c>
      <c r="T14" s="32" t="inlineStr"/>
      <c r="U14" s="32" t="inlineStr"/>
      <c r="V14" s="32" t="inlineStr"/>
      <c r="W14" s="32" t="inlineStr"/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Oligopoly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24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BHAGERIA</t>
        </is>
      </c>
      <c r="D15" s="31" t="inlineStr">
        <is>
          <t>Bhageria Industries Ltd</t>
        </is>
      </c>
      <c r="E15" s="31" t="inlineStr">
        <is>
          <t>chemicals</t>
        </is>
      </c>
      <c r="F15" s="31" t="inlineStr">
        <is>
          <t>Dyes and Pigments</t>
        </is>
      </c>
      <c r="G15" s="31" t="inlineStr">
        <is>
          <t>smallcap</t>
        </is>
      </c>
      <c r="H15" s="32" t="n">
        <v>1732.67</v>
      </c>
      <c r="I15" s="32" t="n">
        <v>397</v>
      </c>
      <c r="J15" s="32" t="n">
        <v>8.869999999999999</v>
      </c>
      <c r="K15" s="32" t="n">
        <v>0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80.3</v>
      </c>
      <c r="P15" s="32" t="n">
        <v>46.3</v>
      </c>
      <c r="Q15" s="32" t="n">
        <v>298.79</v>
      </c>
      <c r="R15" s="31" t="inlineStr">
        <is>
          <t>Near 52W High Breakout</t>
        </is>
      </c>
      <c r="S15" s="31" t="inlineStr">
        <is>
          <t>Nifty 50</t>
        </is>
      </c>
      <c r="T15" s="32" t="n">
        <v>-9.92</v>
      </c>
      <c r="U15" s="32" t="n">
        <v>114.46</v>
      </c>
      <c r="V15" s="32" t="n">
        <v>138.09</v>
      </c>
      <c r="W15" s="32" t="n">
        <v>38.62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23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THELEELA</t>
        </is>
      </c>
      <c r="D16" s="31" t="inlineStr">
        <is>
          <t>Leela Palaces Hotels &amp; Resorts Ltd</t>
        </is>
      </c>
      <c r="E16" s="31" t="inlineStr">
        <is>
          <t>services</t>
        </is>
      </c>
      <c r="F16" s="31" t="inlineStr">
        <is>
          <t>Hotels</t>
        </is>
      </c>
      <c r="G16" s="31" t="inlineStr">
        <is>
          <t>midcap</t>
        </is>
      </c>
      <c r="H16" s="32" t="n">
        <v>19469.74</v>
      </c>
      <c r="I16" s="32" t="n">
        <v>583</v>
      </c>
      <c r="J16" s="32" t="n">
        <v>0.93</v>
      </c>
      <c r="K16" s="32" t="n">
        <v>0</v>
      </c>
      <c r="L16" s="31" t="n">
        <v>25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71.31</v>
      </c>
      <c r="P16" s="32" t="n">
        <v>41.94</v>
      </c>
      <c r="Q16" s="32" t="n">
        <v>476.25</v>
      </c>
      <c r="R16" s="31" t="inlineStr">
        <is>
          <t>Near 52W High Breakout</t>
        </is>
      </c>
      <c r="S16" s="31" t="inlineStr">
        <is>
          <t>Nifty 50</t>
        </is>
      </c>
      <c r="T16" s="32" t="n">
        <v>-9.92</v>
      </c>
      <c r="U16" s="32" t="n">
        <v>28.67</v>
      </c>
      <c r="V16" s="32" t="n">
        <v>42.85</v>
      </c>
      <c r="W16" s="32" t="n">
        <v>8.82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OCCLLTD</t>
        </is>
      </c>
      <c r="D17" s="34" t="inlineStr">
        <is>
          <t>OCCL Ltd</t>
        </is>
      </c>
      <c r="E17" s="31" t="inlineStr">
        <is>
          <t>chemicals</t>
        </is>
      </c>
      <c r="F17" s="31" t="inlineStr">
        <is>
          <t>Chemicals Organic</t>
        </is>
      </c>
      <c r="G17" s="31" t="inlineStr">
        <is>
          <t>smallcap</t>
        </is>
      </c>
      <c r="H17" s="32" t="n">
        <v>1037.32</v>
      </c>
      <c r="I17" s="32" t="n">
        <v>207.67</v>
      </c>
      <c r="J17" s="32" t="n">
        <v>5</v>
      </c>
      <c r="K17" s="32" t="n">
        <v>0</v>
      </c>
      <c r="L17" s="31" t="n">
        <v>75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79.7</v>
      </c>
      <c r="P17" s="32" t="n">
        <v>49.76</v>
      </c>
      <c r="Q17" s="32" t="n">
        <v>158.67</v>
      </c>
      <c r="R17" s="31" t="inlineStr">
        <is>
          <t>Near 52W High Breakout</t>
        </is>
      </c>
      <c r="S17" s="31" t="inlineStr">
        <is>
          <t>Nifty 50</t>
        </is>
      </c>
      <c r="T17" s="32" t="n">
        <v>-9.92</v>
      </c>
      <c r="U17" s="32" t="n">
        <v>65.79000000000001</v>
      </c>
      <c r="V17" s="32" t="n">
        <v>84.06</v>
      </c>
      <c r="W17" s="32" t="n">
        <v>28.83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FINCABLES</t>
        </is>
      </c>
      <c r="D18" s="31" t="inlineStr">
        <is>
          <t>Finolex Cables Ltd</t>
        </is>
      </c>
      <c r="E18" s="31" t="inlineStr">
        <is>
          <t>industrials</t>
        </is>
      </c>
      <c r="F18" s="31" t="inlineStr">
        <is>
          <t>Cables Telecom</t>
        </is>
      </c>
      <c r="G18" s="31" t="inlineStr">
        <is>
          <t>largecap</t>
        </is>
      </c>
      <c r="H18" s="32" t="n">
        <v>22509.61</v>
      </c>
      <c r="I18" s="32" t="n">
        <v>1471.8</v>
      </c>
      <c r="J18" s="32" t="n">
        <v>0.31</v>
      </c>
      <c r="K18" s="32" t="n">
        <v>0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71.66</v>
      </c>
      <c r="P18" s="32" t="n">
        <v>40.12</v>
      </c>
      <c r="Q18" s="32" t="n">
        <v>1143.65</v>
      </c>
      <c r="R18" s="31" t="inlineStr">
        <is>
          <t>Near 52W High Breakout</t>
        </is>
      </c>
      <c r="S18" s="31" t="inlineStr">
        <is>
          <t>Nifty Energy</t>
        </is>
      </c>
      <c r="T18" s="32" t="inlineStr"/>
      <c r="U18" s="32" t="inlineStr"/>
      <c r="V18" s="32" t="inlineStr"/>
      <c r="W18" s="32" t="inlineStr"/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Oligopoly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18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BHAGYANGR</t>
        </is>
      </c>
      <c r="D19" s="34" t="inlineStr">
        <is>
          <t>Bhagyanagar India Ltd</t>
        </is>
      </c>
      <c r="E19" s="31" t="inlineStr">
        <is>
          <t>power &amp; utilities</t>
        </is>
      </c>
      <c r="F19" s="31" t="inlineStr">
        <is>
          <t>Recycling</t>
        </is>
      </c>
      <c r="G19" s="31" t="inlineStr">
        <is>
          <t>smallcap</t>
        </is>
      </c>
      <c r="H19" s="32" t="n">
        <v>1450.23</v>
      </c>
      <c r="I19" s="32" t="n">
        <v>432.95</v>
      </c>
      <c r="J19" s="32" t="n">
        <v>5</v>
      </c>
      <c r="K19" s="32" t="n">
        <v>0</v>
      </c>
      <c r="L19" s="31" t="n">
        <v>92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64.7</v>
      </c>
      <c r="P19" s="32" t="n">
        <v>61.57</v>
      </c>
      <c r="Q19" s="32" t="n">
        <v>313.83</v>
      </c>
      <c r="R19" s="31" t="inlineStr">
        <is>
          <t>Near 52W High Breakout</t>
        </is>
      </c>
      <c r="S19" s="31" t="inlineStr">
        <is>
          <t>Nifty IT</t>
        </is>
      </c>
      <c r="T19" s="32" t="n">
        <v>-20.99</v>
      </c>
      <c r="U19" s="32" t="n">
        <v>331.53</v>
      </c>
      <c r="V19" s="32" t="n">
        <v>446.14</v>
      </c>
      <c r="W19" s="32" t="n">
        <v>42.14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18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MBECL</t>
        </is>
      </c>
      <c r="D20" s="31" t="inlineStr">
        <is>
          <t>McNally Bharat Engineering Company Ltd</t>
        </is>
      </c>
      <c r="E20" s="31" t="inlineStr">
        <is>
          <t>realty</t>
        </is>
      </c>
      <c r="F20" s="31" t="inlineStr">
        <is>
          <t>Engineering Turnkey Services</t>
        </is>
      </c>
      <c r="G20" s="31" t="inlineStr">
        <is>
          <t>smallcap</t>
        </is>
      </c>
      <c r="H20" s="32" t="n">
        <v>1646</v>
      </c>
      <c r="I20" s="32" t="n">
        <v>493.8</v>
      </c>
      <c r="J20" s="32" t="n">
        <v>-1.99</v>
      </c>
      <c r="K20" s="32" t="n">
        <v>0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99.90000000000001</v>
      </c>
      <c r="P20" s="32" t="n">
        <v>74.89</v>
      </c>
      <c r="Q20" s="32" t="n">
        <v>419.67</v>
      </c>
      <c r="R20" s="31" t="inlineStr">
        <is>
          <t>Volume Spike &amp; Near 52W High Breakout</t>
        </is>
      </c>
      <c r="S20" s="31" t="inlineStr">
        <is>
          <t>Nifty Realty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17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LLOYDSENGG</t>
        </is>
      </c>
      <c r="D21" s="31" t="inlineStr">
        <is>
          <t>Lloyds Engineering Works Ltd</t>
        </is>
      </c>
      <c r="E21" s="31" t="inlineStr">
        <is>
          <t>industrials</t>
        </is>
      </c>
      <c r="F21" s="31" t="inlineStr">
        <is>
          <t>Capital Goods Electrical Equipment</t>
        </is>
      </c>
      <c r="G21" s="31" t="inlineStr">
        <is>
          <t>midcap</t>
        </is>
      </c>
      <c r="H21" s="32" t="n">
        <v>15693.41</v>
      </c>
      <c r="I21" s="32" t="n">
        <v>101.18</v>
      </c>
      <c r="J21" s="32" t="n">
        <v>-1</v>
      </c>
      <c r="K21" s="32" t="n">
        <v>0</v>
      </c>
      <c r="L21" s="31" t="n">
        <v>48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70.52</v>
      </c>
      <c r="P21" s="32" t="n">
        <v>44.85</v>
      </c>
      <c r="Q21" s="32" t="n">
        <v>77.09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-9.92</v>
      </c>
      <c r="U21" s="32" t="n">
        <v>61.43</v>
      </c>
      <c r="V21" s="32" t="n">
        <v>79.22</v>
      </c>
      <c r="W21" s="32" t="n">
        <v>16.9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17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HONASA</t>
        </is>
      </c>
      <c r="D22" s="34" t="inlineStr">
        <is>
          <t>Honasa Consumer Ltd</t>
        </is>
      </c>
      <c r="E22" s="31" t="inlineStr">
        <is>
          <t>services</t>
        </is>
      </c>
      <c r="F22" s="31" t="inlineStr">
        <is>
          <t>New age Platform E Retail</t>
        </is>
      </c>
      <c r="G22" s="31" t="inlineStr">
        <is>
          <t>midcap</t>
        </is>
      </c>
      <c r="H22" s="32" t="n">
        <v>15539.94</v>
      </c>
      <c r="I22" s="32" t="n">
        <v>476.65</v>
      </c>
      <c r="J22" s="32" t="n">
        <v>7.81</v>
      </c>
      <c r="K22" s="32" t="n">
        <v>0</v>
      </c>
      <c r="L22" s="31" t="n">
        <v>34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62.2</v>
      </c>
      <c r="P22" s="32" t="n">
        <v>53.42</v>
      </c>
      <c r="Q22" s="32" t="n">
        <v>394.26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-9.92</v>
      </c>
      <c r="U22" s="32" t="n">
        <v>64.91</v>
      </c>
      <c r="V22" s="32" t="n">
        <v>83.06999999999999</v>
      </c>
      <c r="W22" s="32" t="n">
        <v>11.81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17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FILATEX</t>
        </is>
      </c>
      <c r="D23" s="34" t="inlineStr">
        <is>
          <t>Filatex India Ltd</t>
        </is>
      </c>
      <c r="E23" s="31" t="inlineStr">
        <is>
          <t>textiles</t>
        </is>
      </c>
      <c r="F23" s="31" t="inlineStr">
        <is>
          <t>Textiles Manmade PFY and PSF</t>
        </is>
      </c>
      <c r="G23" s="31" t="inlineStr">
        <is>
          <t>smallcap</t>
        </is>
      </c>
      <c r="H23" s="32" t="n">
        <v>4961.02</v>
      </c>
      <c r="I23" s="32" t="n">
        <v>111.72</v>
      </c>
      <c r="J23" s="32" t="n">
        <v>7.54</v>
      </c>
      <c r="K23" s="32" t="n">
        <v>0</v>
      </c>
      <c r="L23" s="31" t="n">
        <v>87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83.48999999999999</v>
      </c>
      <c r="P23" s="32" t="n">
        <v>53.91</v>
      </c>
      <c r="Q23" s="32" t="n">
        <v>83.61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-9.92</v>
      </c>
      <c r="U23" s="32" t="n">
        <v>106.63</v>
      </c>
      <c r="V23" s="32" t="n">
        <v>129.39</v>
      </c>
      <c r="W23" s="32" t="n">
        <v>36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Between 12 to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16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IOLCP</t>
        </is>
      </c>
      <c r="D24" s="34" t="inlineStr">
        <is>
          <t>IOL Chemicals &amp; Pharmaceuticals Ltd</t>
        </is>
      </c>
      <c r="E24" s="31" t="inlineStr">
        <is>
          <t>healthcare</t>
        </is>
      </c>
      <c r="F24" s="31" t="inlineStr">
        <is>
          <t>Pharma API</t>
        </is>
      </c>
      <c r="G24" s="31" t="inlineStr">
        <is>
          <t>midcap</t>
        </is>
      </c>
      <c r="H24" s="32" t="n">
        <v>6354.87</v>
      </c>
      <c r="I24" s="32" t="n">
        <v>216.5</v>
      </c>
      <c r="J24" s="32" t="n">
        <v>5.25</v>
      </c>
      <c r="K24" s="32" t="n">
        <v>0</v>
      </c>
      <c r="L24" s="31" t="n">
        <v>74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79.70999999999999</v>
      </c>
      <c r="P24" s="32" t="n">
        <v>78.31999999999999</v>
      </c>
      <c r="Q24" s="32" t="n">
        <v>159.18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19.49</v>
      </c>
      <c r="U24" s="32" t="n">
        <v>113.67</v>
      </c>
      <c r="V24" s="32" t="n">
        <v>78.81</v>
      </c>
      <c r="W24" s="32" t="n">
        <v>28.53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16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HIIL</t>
        </is>
      </c>
      <c r="D25" s="31" t="inlineStr">
        <is>
          <t>Hindusthan Insulators &amp; Industries Ltd</t>
        </is>
      </c>
      <c r="E25" s="31" t="inlineStr">
        <is>
          <t>Industrials</t>
        </is>
      </c>
      <c r="F25" s="31" t="inlineStr">
        <is>
          <t>Electric Equipment General</t>
        </is>
      </c>
      <c r="G25" s="31" t="inlineStr">
        <is>
          <t>smallcap</t>
        </is>
      </c>
      <c r="H25" s="32" t="n">
        <v>1162.35</v>
      </c>
      <c r="I25" s="32" t="n">
        <v>537.05</v>
      </c>
      <c r="J25" s="32" t="n">
        <v>1.99</v>
      </c>
      <c r="K25" s="32" t="n">
        <v>0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95.73999999999999</v>
      </c>
      <c r="P25" s="32" t="n">
        <v>84.67</v>
      </c>
      <c r="Q25" s="32" t="n">
        <v>498.38</v>
      </c>
      <c r="R25" s="31" t="inlineStr">
        <is>
          <t>Near 52W High Breakout</t>
        </is>
      </c>
      <c r="S25" s="31" t="inlineStr">
        <is>
          <t>Nifty 50</t>
        </is>
      </c>
      <c r="T25" s="32" t="n">
        <v>-9.92</v>
      </c>
      <c r="U25" s="32" t="n">
        <v>267.74</v>
      </c>
      <c r="V25" s="32" t="n">
        <v>308.25</v>
      </c>
      <c r="W25" s="32" t="n">
        <v>38.98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25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AZAD</t>
        </is>
      </c>
      <c r="D26" s="31" t="inlineStr">
        <is>
          <t>Azad Engineering Ltd</t>
        </is>
      </c>
      <c r="E26" s="31" t="inlineStr">
        <is>
          <t>aerospace &amp; defence</t>
        </is>
      </c>
      <c r="F26" s="31" t="inlineStr">
        <is>
          <t>Aerospace and Defence Equipment</t>
        </is>
      </c>
      <c r="G26" s="31" t="inlineStr">
        <is>
          <t>midcap</t>
        </is>
      </c>
      <c r="H26" s="32" t="n">
        <v>19728.43</v>
      </c>
      <c r="I26" s="32" t="n">
        <v>3054.8</v>
      </c>
      <c r="J26" s="32" t="n">
        <v>4.36</v>
      </c>
      <c r="K26" s="32" t="n">
        <v>0</v>
      </c>
      <c r="L26" s="31" t="n">
        <v>55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71.08</v>
      </c>
      <c r="P26" s="32" t="n">
        <v>44.67</v>
      </c>
      <c r="Q26" s="32" t="n">
        <v>2349.13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-9.92</v>
      </c>
      <c r="U26" s="32" t="n">
        <v>84.92</v>
      </c>
      <c r="V26" s="32" t="n">
        <v>105.29</v>
      </c>
      <c r="W26" s="32" t="n">
        <v>19.18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DELTACORP</t>
        </is>
      </c>
      <c r="D27" s="31" t="inlineStr">
        <is>
          <t>Delta Corp Ltd</t>
        </is>
      </c>
      <c r="E27" s="31" t="inlineStr">
        <is>
          <t>miscellaneous</t>
        </is>
      </c>
      <c r="F27" s="31" t="inlineStr">
        <is>
          <t>Miscellaneous</t>
        </is>
      </c>
      <c r="G27" s="31" t="inlineStr">
        <is>
          <t>smallcap</t>
        </is>
      </c>
      <c r="H27" s="32" t="n">
        <v>2255.97</v>
      </c>
      <c r="I27" s="32" t="n">
        <v>84.25</v>
      </c>
      <c r="J27" s="32" t="n">
        <v>-1.38</v>
      </c>
      <c r="K27" s="32" t="n">
        <v>0</v>
      </c>
      <c r="L27" s="31" t="n">
        <v>26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67.25</v>
      </c>
      <c r="P27" s="32" t="n">
        <v>24.89</v>
      </c>
      <c r="Q27" s="32" t="n">
        <v>60.13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-9.92</v>
      </c>
      <c r="U27" s="32" t="n">
        <v>7.2</v>
      </c>
      <c r="V27" s="32" t="n">
        <v>19.01</v>
      </c>
      <c r="W27" s="32" t="n">
        <v>8.92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AETHER</t>
        </is>
      </c>
      <c r="D28" s="34" t="inlineStr">
        <is>
          <t>Aether Industries Ltd</t>
        </is>
      </c>
      <c r="E28" s="31" t="inlineStr">
        <is>
          <t>chemicals</t>
        </is>
      </c>
      <c r="F28" s="31" t="inlineStr">
        <is>
          <t>Specialty Chemicals</t>
        </is>
      </c>
      <c r="G28" s="31" t="inlineStr">
        <is>
          <t>largecap</t>
        </is>
      </c>
      <c r="H28" s="32" t="n">
        <v>23891.09</v>
      </c>
      <c r="I28" s="32" t="n">
        <v>1800</v>
      </c>
      <c r="J28" s="32" t="n">
        <v>8.369999999999999</v>
      </c>
      <c r="K28" s="32" t="n">
        <v>0</v>
      </c>
      <c r="L28" s="31" t="n">
        <v>67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70.19</v>
      </c>
      <c r="P28" s="32" t="n">
        <v>61.31</v>
      </c>
      <c r="Q28" s="32" t="n">
        <v>1435.74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-9.92</v>
      </c>
      <c r="U28" s="32" t="n">
        <v>139.91</v>
      </c>
      <c r="V28" s="32" t="n">
        <v>166.34</v>
      </c>
      <c r="W28" s="32" t="n">
        <v>23.6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KINGFA</t>
        </is>
      </c>
      <c r="D29" s="31" t="inlineStr">
        <is>
          <t>Kingfa Science &amp; Technology (India) Ltd</t>
        </is>
      </c>
      <c r="E29" s="31" t="inlineStr">
        <is>
          <t>plastic products</t>
        </is>
      </c>
      <c r="F29" s="31" t="inlineStr">
        <is>
          <t>Plastics Plastic and Plastic Products</t>
        </is>
      </c>
      <c r="G29" s="31" t="inlineStr">
        <is>
          <t>midcap</t>
        </is>
      </c>
      <c r="H29" s="32" t="n">
        <v>9416.85</v>
      </c>
      <c r="I29" s="32" t="n">
        <v>6949</v>
      </c>
      <c r="J29" s="32" t="n">
        <v>4.2</v>
      </c>
      <c r="K29" s="32" t="n">
        <v>0</v>
      </c>
      <c r="L29" s="31" t="n">
        <v>47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75.05</v>
      </c>
      <c r="P29" s="32" t="n">
        <v>45.04</v>
      </c>
      <c r="Q29" s="32" t="n">
        <v>5620.77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-9.92</v>
      </c>
      <c r="U29" s="32" t="n">
        <v>49.06</v>
      </c>
      <c r="V29" s="32" t="n">
        <v>65.48</v>
      </c>
      <c r="W29" s="32" t="n">
        <v>16.35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MENONBE</t>
        </is>
      </c>
      <c r="D30" s="34" t="inlineStr">
        <is>
          <t>Menon Bearings Ltd</t>
        </is>
      </c>
      <c r="E30" s="31" t="inlineStr">
        <is>
          <t>auto</t>
        </is>
      </c>
      <c r="F30" s="31" t="inlineStr">
        <is>
          <t>Bearings</t>
        </is>
      </c>
      <c r="G30" s="31" t="inlineStr">
        <is>
          <t>smallcap</t>
        </is>
      </c>
      <c r="H30" s="32" t="n">
        <v>1731.64</v>
      </c>
      <c r="I30" s="32" t="n">
        <v>309</v>
      </c>
      <c r="J30" s="32" t="n">
        <v>8.039999999999999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70.62</v>
      </c>
      <c r="P30" s="32" t="n">
        <v>70.31999999999999</v>
      </c>
      <c r="Q30" s="32" t="n">
        <v>230.36</v>
      </c>
      <c r="R30" s="31" t="inlineStr">
        <is>
          <t>Earnings / Momentum Support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LOTUSDEV</t>
        </is>
      </c>
      <c r="D31" s="31" t="inlineStr">
        <is>
          <t>Sri Lotus Developers &amp; Realty Ltd</t>
        </is>
      </c>
      <c r="E31" s="31" t="inlineStr">
        <is>
          <t>realty</t>
        </is>
      </c>
      <c r="F31" s="31" t="inlineStr">
        <is>
          <t>Construction Factories and Offices and Commercial</t>
        </is>
      </c>
      <c r="G31" s="31" t="inlineStr">
        <is>
          <t>midcap</t>
        </is>
      </c>
      <c r="H31" s="32" t="n">
        <v>11826.63</v>
      </c>
      <c r="I31" s="32" t="n">
        <v>241.99</v>
      </c>
      <c r="J31" s="32" t="n">
        <v>1.72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73.64</v>
      </c>
      <c r="P31" s="32" t="n">
        <v>33.1</v>
      </c>
      <c r="Q31" s="32" t="n">
        <v>188.97</v>
      </c>
      <c r="R31" s="31" t="inlineStr">
        <is>
          <t>Near 52W High Breakout</t>
        </is>
      </c>
      <c r="S31" s="31" t="inlineStr">
        <is>
          <t>Nifty Realty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ARROWGREEN</t>
        </is>
      </c>
      <c r="D32" s="31" t="inlineStr">
        <is>
          <t>Arrow Greentech Ltd</t>
        </is>
      </c>
      <c r="E32" s="31" t="inlineStr">
        <is>
          <t>plastic products</t>
        </is>
      </c>
      <c r="F32" s="31" t="inlineStr">
        <is>
          <t>Plastics Plastic and Plastic Products</t>
        </is>
      </c>
      <c r="G32" s="31" t="inlineStr">
        <is>
          <t>smallcap</t>
        </is>
      </c>
      <c r="H32" s="32" t="n">
        <v>1357.16</v>
      </c>
      <c r="I32" s="32" t="n">
        <v>899.5</v>
      </c>
      <c r="J32" s="32" t="n">
        <v>4.77</v>
      </c>
      <c r="K32" s="32" t="n">
        <v>0</v>
      </c>
      <c r="L32" s="31" t="n">
        <v>51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68.34</v>
      </c>
      <c r="P32" s="32" t="n">
        <v>49.96</v>
      </c>
      <c r="Q32" s="32" t="n">
        <v>671.24</v>
      </c>
      <c r="R32" s="31" t="inlineStr">
        <is>
          <t>Near 52W High Breakout</t>
        </is>
      </c>
      <c r="S32" s="31" t="inlineStr">
        <is>
          <t>Nifty 50</t>
        </is>
      </c>
      <c r="T32" s="32" t="n">
        <v>-9.92</v>
      </c>
      <c r="U32" s="32" t="n">
        <v>69.7</v>
      </c>
      <c r="V32" s="32" t="n">
        <v>88.39</v>
      </c>
      <c r="W32" s="32" t="n">
        <v>17.89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WELSPUNLIV</t>
        </is>
      </c>
      <c r="D33" s="34" t="inlineStr">
        <is>
          <t>Welspun Living Ltd</t>
        </is>
      </c>
      <c r="E33" s="31" t="inlineStr">
        <is>
          <t>textiles</t>
        </is>
      </c>
      <c r="F33" s="31" t="inlineStr">
        <is>
          <t>Textiles Home Textile</t>
        </is>
      </c>
      <c r="G33" s="31" t="inlineStr">
        <is>
          <t>largecap</t>
        </is>
      </c>
      <c r="H33" s="32" t="n">
        <v>22485.11</v>
      </c>
      <c r="I33" s="32" t="n">
        <v>238</v>
      </c>
      <c r="J33" s="32" t="n">
        <v>3.36</v>
      </c>
      <c r="K33" s="32" t="n">
        <v>0</v>
      </c>
      <c r="L33" s="31" t="n">
        <v>68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83.36</v>
      </c>
      <c r="P33" s="32" t="n">
        <v>46.62</v>
      </c>
      <c r="Q33" s="32" t="n">
        <v>193.32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-9.92</v>
      </c>
      <c r="U33" s="32" t="n">
        <v>93.86</v>
      </c>
      <c r="V33" s="32" t="n">
        <v>115.22</v>
      </c>
      <c r="W33" s="32" t="n">
        <v>24.33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TATVA</t>
        </is>
      </c>
      <c r="D34" s="31" t="inlineStr">
        <is>
          <t>Tatva Chintan Pharma Chem Ltd</t>
        </is>
      </c>
      <c r="E34" s="31" t="inlineStr">
        <is>
          <t>chemicals</t>
        </is>
      </c>
      <c r="F34" s="31" t="inlineStr">
        <is>
          <t>Specialty Chemicals</t>
        </is>
      </c>
      <c r="G34" s="31" t="inlineStr">
        <is>
          <t>smallcap</t>
        </is>
      </c>
      <c r="H34" s="32" t="n">
        <v>4433.5</v>
      </c>
      <c r="I34" s="32" t="n">
        <v>1895.3</v>
      </c>
      <c r="J34" s="32" t="n">
        <v>5.35</v>
      </c>
      <c r="K34" s="32" t="n">
        <v>0</v>
      </c>
      <c r="L34" s="31" t="n">
        <v>62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68.95</v>
      </c>
      <c r="P34" s="32" t="n">
        <v>41.75</v>
      </c>
      <c r="Q34" s="32" t="n">
        <v>1418.42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-9.92</v>
      </c>
      <c r="U34" s="32" t="n">
        <v>75.8</v>
      </c>
      <c r="V34" s="32" t="n">
        <v>95.17</v>
      </c>
      <c r="W34" s="32" t="n">
        <v>21.43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MACPOWER</t>
        </is>
      </c>
      <c r="D35" s="31" t="inlineStr">
        <is>
          <t>Macpower CNC Machines Ltd</t>
        </is>
      </c>
      <c r="E35" s="31" t="inlineStr">
        <is>
          <t>industrials</t>
        </is>
      </c>
      <c r="F35" s="31" t="inlineStr">
        <is>
          <t>CNC Machines</t>
        </is>
      </c>
      <c r="G35" s="31" t="inlineStr">
        <is>
          <t>smallcap</t>
        </is>
      </c>
      <c r="H35" s="32" t="n">
        <v>2097.87</v>
      </c>
      <c r="I35" s="32" t="n">
        <v>2097</v>
      </c>
      <c r="J35" s="32" t="n">
        <v>-2.94</v>
      </c>
      <c r="K35" s="32" t="n">
        <v>0</v>
      </c>
      <c r="L35" s="31" t="n">
        <v>81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71.64</v>
      </c>
      <c r="P35" s="32" t="n">
        <v>57.16</v>
      </c>
      <c r="Q35" s="32" t="n">
        <v>1531.96</v>
      </c>
      <c r="R35" s="31" t="inlineStr">
        <is>
          <t>Near 52W High Breakout</t>
        </is>
      </c>
      <c r="S35" s="31" t="inlineStr">
        <is>
          <t>Nifty 50</t>
        </is>
      </c>
      <c r="T35" s="32" t="n">
        <v>-9.92</v>
      </c>
      <c r="U35" s="32" t="n">
        <v>148.35</v>
      </c>
      <c r="V35" s="32" t="n">
        <v>175.72</v>
      </c>
      <c r="W35" s="32" t="n">
        <v>31.98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18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UNIVCABLES</t>
        </is>
      </c>
      <c r="D36" s="31" t="inlineStr">
        <is>
          <t>Universal Cables Ltd</t>
        </is>
      </c>
      <c r="E36" s="31" t="inlineStr">
        <is>
          <t>industrials</t>
        </is>
      </c>
      <c r="F36" s="31" t="inlineStr">
        <is>
          <t>Cables Power</t>
        </is>
      </c>
      <c r="G36" s="31" t="inlineStr">
        <is>
          <t>midcap</t>
        </is>
      </c>
      <c r="H36" s="32" t="n">
        <v>5742.09</v>
      </c>
      <c r="I36" s="32" t="n">
        <v>1655</v>
      </c>
      <c r="J36" s="32" t="n">
        <v>8.869999999999999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67.04000000000001</v>
      </c>
      <c r="P36" s="32" t="n">
        <v>52.99</v>
      </c>
      <c r="Q36" s="32" t="n">
        <v>1224.66</v>
      </c>
      <c r="R36" s="31" t="inlineStr">
        <is>
          <t>Near 52W High Breakout</t>
        </is>
      </c>
      <c r="S36" s="31" t="inlineStr">
        <is>
          <t>Nifty Energy</t>
        </is>
      </c>
      <c r="T36" s="32" t="inlineStr"/>
      <c r="U36" s="32" t="inlineStr"/>
      <c r="V36" s="32" t="inlineStr"/>
      <c r="W36" s="32" t="inlineStr"/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16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CUPID</t>
        </is>
      </c>
      <c r="D37" s="31" t="inlineStr">
        <is>
          <t>Cupid Ltd</t>
        </is>
      </c>
      <c r="E37" s="31" t="inlineStr">
        <is>
          <t>fmcg</t>
        </is>
      </c>
      <c r="F37" s="31" t="inlineStr">
        <is>
          <t>Contraceptives and Protectives</t>
        </is>
      </c>
      <c r="G37" s="31" t="inlineStr">
        <is>
          <t>largecap</t>
        </is>
      </c>
      <c r="H37" s="32" t="n">
        <v>43506.5</v>
      </c>
      <c r="I37" s="32" t="n">
        <v>323.55</v>
      </c>
      <c r="J37" s="32" t="n">
        <v>4.34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83.75</v>
      </c>
      <c r="P37" s="32" t="n">
        <v>65.77</v>
      </c>
      <c r="Q37" s="32" t="n">
        <v>247.98</v>
      </c>
      <c r="R37" s="31" t="inlineStr">
        <is>
          <t>Near 52W High Breakout</t>
        </is>
      </c>
      <c r="S37" s="31" t="inlineStr">
        <is>
          <t>Nifty FMCG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25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SHUKRAPHAR</t>
        </is>
      </c>
      <c r="D38" s="31" t="inlineStr">
        <is>
          <t>Shukra Pharmaceuticals Ltd</t>
        </is>
      </c>
      <c r="E38" s="31" t="inlineStr">
        <is>
          <t>Healthcare</t>
        </is>
      </c>
      <c r="F38" s="31" t="inlineStr">
        <is>
          <t>Pharma Others</t>
        </is>
      </c>
      <c r="G38" s="31" t="inlineStr">
        <is>
          <t>smallcap</t>
        </is>
      </c>
      <c r="H38" s="32" t="n">
        <v>3211.14</v>
      </c>
      <c r="I38" s="32" t="n">
        <v>72.84999999999999</v>
      </c>
      <c r="J38" s="32" t="n">
        <v>3.85</v>
      </c>
      <c r="K38" s="32" t="n">
        <v>0</v>
      </c>
      <c r="L38" s="31" t="n">
        <v>94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82.31999999999999</v>
      </c>
      <c r="P38" s="32" t="n">
        <v>42.08</v>
      </c>
      <c r="Q38" s="32" t="n">
        <v>53.31</v>
      </c>
      <c r="R38" s="31" t="inlineStr">
        <is>
          <t>Volume Spike &amp; Near 52W High Breakout</t>
        </is>
      </c>
      <c r="S38" s="31" t="inlineStr">
        <is>
          <t>Nifty Pharma</t>
        </is>
      </c>
      <c r="T38" s="32" t="n">
        <v>19.49</v>
      </c>
      <c r="U38" s="32" t="n">
        <v>114.86</v>
      </c>
      <c r="V38" s="32" t="n">
        <v>79.81</v>
      </c>
      <c r="W38" s="32" t="n">
        <v>46.88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22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SHILPAMED</t>
        </is>
      </c>
      <c r="D39" s="34" t="inlineStr">
        <is>
          <t>Shilpa Medicare Ltd</t>
        </is>
      </c>
      <c r="E39" s="31" t="inlineStr">
        <is>
          <t>healthcare</t>
        </is>
      </c>
      <c r="F39" s="31" t="inlineStr">
        <is>
          <t>Pharma API</t>
        </is>
      </c>
      <c r="G39" s="31" t="inlineStr">
        <is>
          <t>largecap</t>
        </is>
      </c>
      <c r="H39" s="32" t="n">
        <v>21044.6</v>
      </c>
      <c r="I39" s="32" t="n">
        <v>1076</v>
      </c>
      <c r="J39" s="32" t="n">
        <v>4.34</v>
      </c>
      <c r="K39" s="32" t="n">
        <v>0</v>
      </c>
      <c r="L39" s="31" t="n">
        <v>92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91.67</v>
      </c>
      <c r="P39" s="32" t="n">
        <v>83.67</v>
      </c>
      <c r="Q39" s="32" t="n">
        <v>865.77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19.49</v>
      </c>
      <c r="U39" s="32" t="n">
        <v>192.9</v>
      </c>
      <c r="V39" s="32" t="n">
        <v>145.12</v>
      </c>
      <c r="W39" s="32" t="n">
        <v>42.68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DIVISLAB</t>
        </is>
      </c>
      <c r="D40" s="34" t="inlineStr">
        <is>
          <t>Divis Laboratories Ltd</t>
        </is>
      </c>
      <c r="E40" s="31" t="inlineStr">
        <is>
          <t>healthcare</t>
        </is>
      </c>
      <c r="F40" s="31" t="inlineStr">
        <is>
          <t>Pharma CRAMS</t>
        </is>
      </c>
      <c r="G40" s="31" t="inlineStr">
        <is>
          <t>largecap</t>
        </is>
      </c>
      <c r="H40" s="32" t="n">
        <v>253522.49</v>
      </c>
      <c r="I40" s="32" t="n">
        <v>9550</v>
      </c>
      <c r="J40" s="32" t="n">
        <v>3.85</v>
      </c>
      <c r="K40" s="32" t="n">
        <v>0</v>
      </c>
      <c r="L40" s="31" t="n">
        <v>50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77.95</v>
      </c>
      <c r="P40" s="32" t="n">
        <v>57.36</v>
      </c>
      <c r="Q40" s="32" t="n">
        <v>8352.870000000001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19.49</v>
      </c>
      <c r="U40" s="32" t="n">
        <v>48.11</v>
      </c>
      <c r="V40" s="32" t="n">
        <v>23.95</v>
      </c>
      <c r="W40" s="32" t="n">
        <v>17.39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DPABHUSHAN</t>
        </is>
      </c>
      <c r="D41" s="31" t="inlineStr">
        <is>
          <t>DP Abhushan Ltd</t>
        </is>
      </c>
      <c r="E41" s="31" t="inlineStr">
        <is>
          <t>consumer discretionary</t>
        </is>
      </c>
      <c r="F41" s="31" t="inlineStr">
        <is>
          <t>Diamond Gems and Jewellery</t>
        </is>
      </c>
      <c r="G41" s="31" t="inlineStr">
        <is>
          <t>smallcap</t>
        </is>
      </c>
      <c r="H41" s="32" t="n">
        <v>4999.31</v>
      </c>
      <c r="I41" s="32" t="n">
        <v>2190</v>
      </c>
      <c r="J41" s="32" t="n">
        <v>2.79</v>
      </c>
      <c r="K41" s="32" t="n">
        <v>0</v>
      </c>
      <c r="L41" s="31" t="n">
        <v>78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79.73999999999999</v>
      </c>
      <c r="P41" s="32" t="n">
        <v>38.83</v>
      </c>
      <c r="Q41" s="32" t="n">
        <v>1635.67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-9.92</v>
      </c>
      <c r="U41" s="32" t="n">
        <v>52.35</v>
      </c>
      <c r="V41" s="32" t="n">
        <v>69.13</v>
      </c>
      <c r="W41" s="32" t="n">
        <v>29.77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28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MARINE</t>
        </is>
      </c>
      <c r="D42" s="31" t="inlineStr">
        <is>
          <t>Marine Electricals (India) Ltd</t>
        </is>
      </c>
      <c r="E42" s="31" t="inlineStr">
        <is>
          <t>industrials</t>
        </is>
      </c>
      <c r="F42" s="31" t="inlineStr">
        <is>
          <t>Shipping Proxy</t>
        </is>
      </c>
      <c r="G42" s="31" t="inlineStr">
        <is>
          <t>midcap</t>
        </is>
      </c>
      <c r="H42" s="32" t="n">
        <v>6675.35</v>
      </c>
      <c r="I42" s="32" t="n">
        <v>477</v>
      </c>
      <c r="J42" s="32" t="n">
        <v>1.67</v>
      </c>
      <c r="K42" s="32" t="n">
        <v>0</v>
      </c>
      <c r="L42" s="31" t="n">
        <v>91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75.98</v>
      </c>
      <c r="P42" s="32" t="n">
        <v>49.89</v>
      </c>
      <c r="Q42" s="32" t="n">
        <v>352.67</v>
      </c>
      <c r="R42" s="31" t="inlineStr">
        <is>
          <t>Near 52W High Breakout</t>
        </is>
      </c>
      <c r="S42" s="31" t="inlineStr">
        <is>
          <t>Nifty 50</t>
        </is>
      </c>
      <c r="T42" s="32" t="n">
        <v>-9.92</v>
      </c>
      <c r="U42" s="32" t="n">
        <v>127.36</v>
      </c>
      <c r="V42" s="32" t="n">
        <v>152.41</v>
      </c>
      <c r="W42" s="32" t="n">
        <v>39.24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ENGINERSIN</t>
        </is>
      </c>
      <c r="D43" s="31" t="inlineStr">
        <is>
          <t>Engineers India Ltd</t>
        </is>
      </c>
      <c r="E43" s="31" t="inlineStr">
        <is>
          <t>realty</t>
        </is>
      </c>
      <c r="F43" s="31" t="inlineStr">
        <is>
          <t>Infra Engineering General</t>
        </is>
      </c>
      <c r="G43" s="31" t="inlineStr">
        <is>
          <t>midcap</t>
        </is>
      </c>
      <c r="H43" s="32" t="n">
        <v>17625.65</v>
      </c>
      <c r="I43" s="32" t="n">
        <v>313.6</v>
      </c>
      <c r="J43" s="32" t="n">
        <v>1.87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71.94</v>
      </c>
      <c r="P43" s="32" t="n">
        <v>22.79</v>
      </c>
      <c r="Q43" s="32" t="n">
        <v>253</v>
      </c>
      <c r="R43" s="31" t="inlineStr">
        <is>
          <t>Near 52W High Breakout</t>
        </is>
      </c>
      <c r="S43" s="31" t="inlineStr">
        <is>
          <t>Nifty Realty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VALIANTORG</t>
        </is>
      </c>
      <c r="D44" s="31" t="inlineStr">
        <is>
          <t>Valiant Organics Ltd</t>
        </is>
      </c>
      <c r="E44" s="31" t="inlineStr">
        <is>
          <t>chemicals</t>
        </is>
      </c>
      <c r="F44" s="31" t="inlineStr">
        <is>
          <t>Chemicals Organic</t>
        </is>
      </c>
      <c r="G44" s="31" t="inlineStr">
        <is>
          <t>smallcap</t>
        </is>
      </c>
      <c r="H44" s="32" t="n">
        <v>1409.58</v>
      </c>
      <c r="I44" s="32" t="n">
        <v>502.8</v>
      </c>
      <c r="J44" s="32" t="n">
        <v>5.71</v>
      </c>
      <c r="K44" s="32" t="n">
        <v>0</v>
      </c>
      <c r="L44" s="31" t="n">
        <v>75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76.81</v>
      </c>
      <c r="P44" s="32" t="n">
        <v>47.78</v>
      </c>
      <c r="Q44" s="32" t="n">
        <v>372.62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-9.92</v>
      </c>
      <c r="U44" s="32" t="n">
        <v>56.97</v>
      </c>
      <c r="V44" s="32" t="n">
        <v>74.26000000000001</v>
      </c>
      <c r="W44" s="32" t="n">
        <v>29.11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HFCL</t>
        </is>
      </c>
      <c r="D45" s="31" t="inlineStr">
        <is>
          <t>HFCL Ltd</t>
        </is>
      </c>
      <c r="E45" s="31" t="inlineStr">
        <is>
          <t>telecom</t>
        </is>
      </c>
      <c r="F45" s="31" t="inlineStr">
        <is>
          <t>Telecommunications Equipment</t>
        </is>
      </c>
      <c r="G45" s="31" t="inlineStr">
        <is>
          <t>largecap</t>
        </is>
      </c>
      <c r="H45" s="32" t="n">
        <v>40221.17</v>
      </c>
      <c r="I45" s="32" t="n">
        <v>262.78</v>
      </c>
      <c r="J45" s="32" t="n">
        <v>5</v>
      </c>
      <c r="K45" s="32" t="n">
        <v>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71.79000000000001</v>
      </c>
      <c r="P45" s="32" t="n">
        <v>49.57</v>
      </c>
      <c r="Q45" s="32" t="n">
        <v>191.2</v>
      </c>
      <c r="R45" s="31" t="inlineStr">
        <is>
          <t>Near 52W High Breakout</t>
        </is>
      </c>
      <c r="S45" s="31" t="inlineStr">
        <is>
          <t>Nifty Infra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Oligopoly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WHEELS</t>
        </is>
      </c>
      <c r="D46" s="31" t="inlineStr">
        <is>
          <t>Wheels India Ltd</t>
        </is>
      </c>
      <c r="E46" s="31" t="inlineStr">
        <is>
          <t>auto</t>
        </is>
      </c>
      <c r="F46" s="31" t="inlineStr">
        <is>
          <t>Auto Wheels</t>
        </is>
      </c>
      <c r="G46" s="31" t="inlineStr">
        <is>
          <t>midcap</t>
        </is>
      </c>
      <c r="H46" s="32" t="n">
        <v>6130.53</v>
      </c>
      <c r="I46" s="32" t="n">
        <v>2282.2</v>
      </c>
      <c r="J46" s="32" t="n">
        <v>3.43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75.95999999999999</v>
      </c>
      <c r="P46" s="32" t="n">
        <v>60.26</v>
      </c>
      <c r="Q46" s="32" t="n">
        <v>1696.06</v>
      </c>
      <c r="R46" s="31" t="inlineStr">
        <is>
          <t>Near 52W High Breakout</t>
        </is>
      </c>
      <c r="S46" s="31" t="inlineStr">
        <is>
          <t>Nifty Auto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NRBBEARING</t>
        </is>
      </c>
      <c r="D47" s="31" t="inlineStr">
        <is>
          <t>NRB Bearings Ltd</t>
        </is>
      </c>
      <c r="E47" s="31" t="inlineStr">
        <is>
          <t>industrials</t>
        </is>
      </c>
      <c r="F47" s="31" t="inlineStr">
        <is>
          <t>Bearings</t>
        </is>
      </c>
      <c r="G47" s="31" t="inlineStr">
        <is>
          <t>midcap</t>
        </is>
      </c>
      <c r="H47" s="32" t="n">
        <v>5190.21</v>
      </c>
      <c r="I47" s="32" t="n">
        <v>535.5</v>
      </c>
      <c r="J47" s="32" t="n">
        <v>-0.04</v>
      </c>
      <c r="K47" s="32" t="n">
        <v>0</v>
      </c>
      <c r="L47" s="31" t="n">
        <v>66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73.93000000000001</v>
      </c>
      <c r="P47" s="32" t="n">
        <v>50.97</v>
      </c>
      <c r="Q47" s="32" t="n">
        <v>423.23</v>
      </c>
      <c r="R47" s="31" t="inlineStr">
        <is>
          <t>Near 52W High Breakout</t>
        </is>
      </c>
      <c r="S47" s="31" t="inlineStr">
        <is>
          <t>Nifty 50</t>
        </is>
      </c>
      <c r="T47" s="32" t="n">
        <v>-9.92</v>
      </c>
      <c r="U47" s="32" t="n">
        <v>102.7</v>
      </c>
      <c r="V47" s="32" t="n">
        <v>125.03</v>
      </c>
      <c r="W47" s="32" t="n">
        <v>22.93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KRISHANA</t>
        </is>
      </c>
      <c r="D48" s="31" t="inlineStr">
        <is>
          <t>Krishana Phoschem Ltd</t>
        </is>
      </c>
      <c r="E48" s="31" t="inlineStr">
        <is>
          <t>chemicals</t>
        </is>
      </c>
      <c r="F48" s="31" t="inlineStr">
        <is>
          <t>Fertilisers</t>
        </is>
      </c>
      <c r="G48" s="31" t="inlineStr">
        <is>
          <t>midcap</t>
        </is>
      </c>
      <c r="H48" s="32" t="n">
        <v>5966.67</v>
      </c>
      <c r="I48" s="32" t="n">
        <v>193.01</v>
      </c>
      <c r="J48" s="32" t="n">
        <v>3.86</v>
      </c>
      <c r="K48" s="32" t="n">
        <v>0</v>
      </c>
      <c r="L48" s="31" t="n">
        <v>58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69.66</v>
      </c>
      <c r="P48" s="32" t="n">
        <v>52.02</v>
      </c>
      <c r="Q48" s="32" t="n">
        <v>153.66</v>
      </c>
      <c r="R48" s="31" t="inlineStr">
        <is>
          <t>Near 52W High Breakout</t>
        </is>
      </c>
      <c r="S48" s="31" t="inlineStr">
        <is>
          <t>Nifty 50</t>
        </is>
      </c>
      <c r="T48" s="32" t="n">
        <v>-9.92</v>
      </c>
      <c r="U48" s="32" t="n">
        <v>69.87</v>
      </c>
      <c r="V48" s="32" t="n">
        <v>88.58</v>
      </c>
      <c r="W48" s="32" t="n">
        <v>20.17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More than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VALIANT</t>
        </is>
      </c>
      <c r="D49" s="31" t="inlineStr">
        <is>
          <t>Valiant Communications Ltd</t>
        </is>
      </c>
      <c r="E49" s="31" t="inlineStr">
        <is>
          <t>Technology</t>
        </is>
      </c>
      <c r="F49" s="31" t="inlineStr">
        <is>
          <t>Telecommunications Equipment</t>
        </is>
      </c>
      <c r="G49" s="31" t="inlineStr">
        <is>
          <t>smallcap</t>
        </is>
      </c>
      <c r="H49" s="32" t="n">
        <v>2112.12</v>
      </c>
      <c r="I49" s="32" t="n">
        <v>1806.45</v>
      </c>
      <c r="J49" s="32" t="n">
        <v>7.13</v>
      </c>
      <c r="K49" s="32" t="n">
        <v>0</v>
      </c>
      <c r="L49" s="31" t="n">
        <v>85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80.13</v>
      </c>
      <c r="P49" s="32" t="n">
        <v>32.35</v>
      </c>
      <c r="Q49" s="32" t="n">
        <v>1295.4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-9.92</v>
      </c>
      <c r="U49" s="32" t="n">
        <v>144.64</v>
      </c>
      <c r="V49" s="32" t="n">
        <v>171.59</v>
      </c>
      <c r="W49" s="32" t="n">
        <v>35.1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24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VIKRAMTH</t>
        </is>
      </c>
      <c r="D50" s="31" t="inlineStr">
        <is>
          <t>Vikram Thermo (India) Ltd</t>
        </is>
      </c>
      <c r="E50" s="31" t="inlineStr">
        <is>
          <t>Healthcare</t>
        </is>
      </c>
      <c r="F50" s="31" t="inlineStr">
        <is>
          <t>Specialty Chemicals</t>
        </is>
      </c>
      <c r="G50" s="31" t="inlineStr">
        <is>
          <t>smallcap</t>
        </is>
      </c>
      <c r="H50" s="32" t="n">
        <v>1264.66</v>
      </c>
      <c r="I50" s="32" t="n">
        <v>403.3</v>
      </c>
      <c r="J50" s="32" t="n">
        <v>0.36</v>
      </c>
      <c r="K50" s="32" t="n">
        <v>0</v>
      </c>
      <c r="L50" s="31" t="n">
        <v>85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81.65000000000001</v>
      </c>
      <c r="P50" s="32" t="n">
        <v>71.89</v>
      </c>
      <c r="Q50" s="32" t="n">
        <v>324.33</v>
      </c>
      <c r="R50" s="31" t="inlineStr">
        <is>
          <t>Earnings / Momentum Support</t>
        </is>
      </c>
      <c r="S50" s="31" t="inlineStr">
        <is>
          <t>Nifty Pharma</t>
        </is>
      </c>
      <c r="T50" s="32" t="n">
        <v>19.49</v>
      </c>
      <c r="U50" s="32" t="n">
        <v>140.86</v>
      </c>
      <c r="V50" s="32" t="n">
        <v>101.57</v>
      </c>
      <c r="W50" s="32" t="n">
        <v>35.37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3" t="inlineStr">
        <is>
          <t>AARTIPHARM</t>
        </is>
      </c>
      <c r="D51" s="33" t="inlineStr">
        <is>
          <t>Aarti Pharmalabs Ltd</t>
        </is>
      </c>
      <c r="E51" s="31" t="inlineStr">
        <is>
          <t>healthcare</t>
        </is>
      </c>
      <c r="F51" s="31" t="inlineStr">
        <is>
          <t>Pharma API</t>
        </is>
      </c>
      <c r="G51" s="31" t="inlineStr">
        <is>
          <t>midcap</t>
        </is>
      </c>
      <c r="H51" s="32" t="n">
        <v>8904.76</v>
      </c>
      <c r="I51" s="32" t="n">
        <v>982</v>
      </c>
      <c r="J51" s="32" t="n">
        <v>3.74</v>
      </c>
      <c r="K51" s="32" t="n">
        <v>0</v>
      </c>
      <c r="L51" s="31" t="n">
        <v>36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71.33</v>
      </c>
      <c r="P51" s="32" t="n">
        <v>28.39</v>
      </c>
      <c r="Q51" s="32" t="n">
        <v>750.38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19.49</v>
      </c>
      <c r="U51" s="32" t="n">
        <v>17.81</v>
      </c>
      <c r="V51" s="32" t="n">
        <v>-1.41</v>
      </c>
      <c r="W51" s="32" t="n">
        <v>12.15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FERMENTA</t>
        </is>
      </c>
      <c r="D52" s="31" t="inlineStr">
        <is>
          <t>Fermenta Biotech Ltd</t>
        </is>
      </c>
      <c r="E52" s="31" t="inlineStr">
        <is>
          <t>Healthcare</t>
        </is>
      </c>
      <c r="F52" s="31" t="inlineStr">
        <is>
          <t>Pharma API</t>
        </is>
      </c>
      <c r="G52" s="31" t="inlineStr">
        <is>
          <t>smallcap</t>
        </is>
      </c>
      <c r="H52" s="32" t="n">
        <v>1666.68</v>
      </c>
      <c r="I52" s="32" t="n">
        <v>566.3</v>
      </c>
      <c r="J52" s="32" t="n">
        <v>1.91</v>
      </c>
      <c r="K52" s="32" t="n">
        <v>0</v>
      </c>
      <c r="L52" s="31" t="n">
        <v>65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68.52</v>
      </c>
      <c r="P52" s="32" t="n">
        <v>45.95</v>
      </c>
      <c r="Q52" s="32" t="n">
        <v>405.48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19.49</v>
      </c>
      <c r="U52" s="32" t="n">
        <v>90.87</v>
      </c>
      <c r="V52" s="32" t="n">
        <v>59.73</v>
      </c>
      <c r="W52" s="32" t="n">
        <v>22.54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AKUMS</t>
        </is>
      </c>
      <c r="D53" s="31" t="inlineStr">
        <is>
          <t>Akums Drugs &amp; Pharmaceuticals Ltd</t>
        </is>
      </c>
      <c r="E53" s="31" t="inlineStr">
        <is>
          <t>healthcare</t>
        </is>
      </c>
      <c r="F53" s="31" t="inlineStr">
        <is>
          <t>Pharma Formulations</t>
        </is>
      </c>
      <c r="G53" s="31" t="inlineStr">
        <is>
          <t>midcap</t>
        </is>
      </c>
      <c r="H53" s="32" t="n">
        <v>12874.83</v>
      </c>
      <c r="I53" s="32" t="n">
        <v>818</v>
      </c>
      <c r="J53" s="32" t="n">
        <v>2.08</v>
      </c>
      <c r="K53" s="32" t="n">
        <v>0</v>
      </c>
      <c r="L53" s="31" t="n">
        <v>48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76</v>
      </c>
      <c r="P53" s="32" t="n">
        <v>66.14</v>
      </c>
      <c r="Q53" s="32" t="n">
        <v>679.1900000000001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19.49</v>
      </c>
      <c r="U53" s="32" t="n">
        <v>83.45999999999999</v>
      </c>
      <c r="V53" s="32" t="n">
        <v>53.53</v>
      </c>
      <c r="W53" s="32" t="n">
        <v>16.9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BHEL</t>
        </is>
      </c>
      <c r="D54" s="31" t="inlineStr">
        <is>
          <t>Bharat Heavy Electricals Ltd</t>
        </is>
      </c>
      <c r="E54" s="31" t="inlineStr">
        <is>
          <t>industrials</t>
        </is>
      </c>
      <c r="F54" s="31" t="inlineStr">
        <is>
          <t>Capital Goods Engineering Heavy</t>
        </is>
      </c>
      <c r="G54" s="31" t="inlineStr">
        <is>
          <t>largecap</t>
        </is>
      </c>
      <c r="H54" s="32" t="n">
        <v>157389.26</v>
      </c>
      <c r="I54" s="32" t="n">
        <v>452</v>
      </c>
      <c r="J54" s="32" t="n">
        <v>5.36</v>
      </c>
      <c r="K54" s="32" t="n">
        <v>0</v>
      </c>
      <c r="L54" s="31" t="n">
        <v>50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66.92</v>
      </c>
      <c r="P54" s="32" t="n">
        <v>35.79</v>
      </c>
      <c r="Q54" s="32" t="n">
        <v>367.82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-9.92</v>
      </c>
      <c r="U54" s="32" t="n">
        <v>89.22</v>
      </c>
      <c r="V54" s="32" t="n">
        <v>110.07</v>
      </c>
      <c r="W54" s="32" t="n">
        <v>17.31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KMEW</t>
        </is>
      </c>
      <c r="D55" s="31" t="inlineStr">
        <is>
          <t>Knowledge Marine &amp; Engineering Works Ltd</t>
        </is>
      </c>
      <c r="E55" s="31" t="inlineStr">
        <is>
          <t>transportation</t>
        </is>
      </c>
      <c r="F55" s="31" t="inlineStr">
        <is>
          <t>Shipping</t>
        </is>
      </c>
      <c r="G55" s="31" t="inlineStr">
        <is>
          <t>midcap</t>
        </is>
      </c>
      <c r="H55" s="32" t="n">
        <v>8111.51</v>
      </c>
      <c r="I55" s="32" t="n">
        <v>3198</v>
      </c>
      <c r="J55" s="32" t="n">
        <v>6.95</v>
      </c>
      <c r="K55" s="32" t="n">
        <v>0</v>
      </c>
      <c r="L55" s="31" t="n">
        <v>77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77.65000000000001</v>
      </c>
      <c r="P55" s="32" t="n">
        <v>58.42</v>
      </c>
      <c r="Q55" s="32" t="n">
        <v>2351.31</v>
      </c>
      <c r="R55" s="31" t="inlineStr">
        <is>
          <t>Near 52W High Breakout</t>
        </is>
      </c>
      <c r="S55" s="31" t="inlineStr">
        <is>
          <t>Nifty 50</t>
        </is>
      </c>
      <c r="T55" s="32" t="n">
        <v>-9.92</v>
      </c>
      <c r="U55" s="32" t="n">
        <v>169.74</v>
      </c>
      <c r="V55" s="32" t="n">
        <v>199.45</v>
      </c>
      <c r="W55" s="32" t="n">
        <v>29.69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QPOWER</t>
        </is>
      </c>
      <c r="D56" s="31" t="inlineStr">
        <is>
          <t>Quality Power Electrical Equipments Ltd</t>
        </is>
      </c>
      <c r="E56" s="31" t="inlineStr">
        <is>
          <t>industrials</t>
        </is>
      </c>
      <c r="F56" s="31" t="inlineStr">
        <is>
          <t>Electrical Equipment and HVDC</t>
        </is>
      </c>
      <c r="G56" s="31" t="inlineStr">
        <is>
          <t>midcap</t>
        </is>
      </c>
      <c r="H56" s="32" t="n">
        <v>12730.26</v>
      </c>
      <c r="I56" s="32" t="n">
        <v>1643.8</v>
      </c>
      <c r="J56" s="32" t="n">
        <v>1.46</v>
      </c>
      <c r="K56" s="32" t="n">
        <v>0</v>
      </c>
      <c r="L56" s="31" t="n">
        <v>59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70.23999999999999</v>
      </c>
      <c r="P56" s="32" t="n">
        <v>21.16</v>
      </c>
      <c r="Q56" s="32" t="n">
        <v>1227.69</v>
      </c>
      <c r="R56" s="31" t="inlineStr">
        <is>
          <t>Near 52W High Breakout</t>
        </is>
      </c>
      <c r="S56" s="31" t="inlineStr">
        <is>
          <t>Nifty 50</t>
        </is>
      </c>
      <c r="T56" s="32" t="n">
        <v>-9.92</v>
      </c>
      <c r="U56" s="32" t="n">
        <v>65.45</v>
      </c>
      <c r="V56" s="32" t="n">
        <v>83.68000000000001</v>
      </c>
      <c r="W56" s="32" t="n">
        <v>20.55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ACMESOLAR</t>
        </is>
      </c>
      <c r="D57" s="34" t="inlineStr">
        <is>
          <t>ACME Solar Holdings Ltd</t>
        </is>
      </c>
      <c r="E57" s="31" t="inlineStr">
        <is>
          <t>realty</t>
        </is>
      </c>
      <c r="F57" s="31" t="inlineStr">
        <is>
          <t>Power Generation and Distribution</t>
        </is>
      </c>
      <c r="G57" s="31" t="inlineStr">
        <is>
          <t>largecap</t>
        </is>
      </c>
      <c r="H57" s="32" t="n">
        <v>31989.6</v>
      </c>
      <c r="I57" s="32" t="n">
        <v>452.55</v>
      </c>
      <c r="J57" s="32" t="n">
        <v>5.82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70.95999999999999</v>
      </c>
      <c r="P57" s="32" t="n">
        <v>54.52</v>
      </c>
      <c r="Q57" s="32" t="n">
        <v>352</v>
      </c>
      <c r="R57" s="31" t="inlineStr">
        <is>
          <t>Near 52W High Breakout</t>
        </is>
      </c>
      <c r="S57" s="31" t="inlineStr">
        <is>
          <t>Nifty Realty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UNIMECH</t>
        </is>
      </c>
      <c r="D58" s="31" t="inlineStr">
        <is>
          <t>Unimech Aerospace and Manufacturing Ltd</t>
        </is>
      </c>
      <c r="E58" s="31" t="inlineStr">
        <is>
          <t>aerospace &amp; defence</t>
        </is>
      </c>
      <c r="F58" s="31" t="inlineStr">
        <is>
          <t>Engineering Heavy General</t>
        </is>
      </c>
      <c r="G58" s="31" t="inlineStr">
        <is>
          <t>midcap</t>
        </is>
      </c>
      <c r="H58" s="32" t="n">
        <v>9486.610000000001</v>
      </c>
      <c r="I58" s="32" t="n">
        <v>1863.7</v>
      </c>
      <c r="J58" s="32" t="n">
        <v>1.01</v>
      </c>
      <c r="K58" s="32" t="n">
        <v>0</v>
      </c>
      <c r="L58" s="31" t="n">
        <v>74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82.78</v>
      </c>
      <c r="P58" s="32" t="n">
        <v>50.18</v>
      </c>
      <c r="Q58" s="32" t="n">
        <v>1445.68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-9.92</v>
      </c>
      <c r="U58" s="32" t="n">
        <v>95.38</v>
      </c>
      <c r="V58" s="32" t="n">
        <v>116.9</v>
      </c>
      <c r="W58" s="32" t="n">
        <v>28.71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RAYMOND</t>
        </is>
      </c>
      <c r="D59" s="31" t="inlineStr">
        <is>
          <t>Raymond Ltd</t>
        </is>
      </c>
      <c r="E59" s="31" t="inlineStr">
        <is>
          <t>transportation</t>
        </is>
      </c>
      <c r="F59" s="31" t="inlineStr">
        <is>
          <t>Realty Construction and Contracting</t>
        </is>
      </c>
      <c r="G59" s="31" t="inlineStr">
        <is>
          <t>midcap</t>
        </is>
      </c>
      <c r="H59" s="32" t="n">
        <v>8554.719999999999</v>
      </c>
      <c r="I59" s="32" t="n">
        <v>1285</v>
      </c>
      <c r="J59" s="32" t="n">
        <v>-1.21</v>
      </c>
      <c r="K59" s="32" t="n">
        <v>0</v>
      </c>
      <c r="L59" s="31" t="n">
        <v>95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87</v>
      </c>
      <c r="P59" s="32" t="n">
        <v>59.06</v>
      </c>
      <c r="Q59" s="32" t="n">
        <v>1005.84</v>
      </c>
      <c r="R59" s="31" t="inlineStr">
        <is>
          <t>Near 52W High Breakout</t>
        </is>
      </c>
      <c r="S59" s="31" t="inlineStr">
        <is>
          <t>Nifty 50</t>
        </is>
      </c>
      <c r="T59" s="32" t="n">
        <v>-9.92</v>
      </c>
      <c r="U59" s="32" t="n">
        <v>123.33</v>
      </c>
      <c r="V59" s="32" t="n">
        <v>147.93</v>
      </c>
      <c r="W59" s="32" t="n">
        <v>47.68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KMCSHIL</t>
        </is>
      </c>
      <c r="D60" s="31" t="inlineStr">
        <is>
          <t>KMC Speciality Hospitals (India) Ltd</t>
        </is>
      </c>
      <c r="E60" s="31" t="inlineStr">
        <is>
          <t>Healthcare</t>
        </is>
      </c>
      <c r="F60" s="31" t="inlineStr">
        <is>
          <t>Hospitals</t>
        </is>
      </c>
      <c r="G60" s="31" t="inlineStr">
        <is>
          <t>smallcap</t>
        </is>
      </c>
      <c r="H60" s="32" t="n">
        <v>2772.45</v>
      </c>
      <c r="I60" s="32" t="n">
        <v>170</v>
      </c>
      <c r="J60" s="32" t="n">
        <v>0.38</v>
      </c>
      <c r="K60" s="32" t="n">
        <v>0</v>
      </c>
      <c r="L60" s="31" t="n">
        <v>70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79.88</v>
      </c>
      <c r="P60" s="32" t="n">
        <v>51.48</v>
      </c>
      <c r="Q60" s="32" t="n">
        <v>133.1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19.49</v>
      </c>
      <c r="U60" s="32" t="n">
        <v>138.8</v>
      </c>
      <c r="V60" s="32" t="n">
        <v>99.84</v>
      </c>
      <c r="W60" s="32" t="n">
        <v>25.81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21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LAURUSLABS</t>
        </is>
      </c>
      <c r="D61" s="31" t="inlineStr">
        <is>
          <t>Laurus Labs Ltd</t>
        </is>
      </c>
      <c r="E61" s="31" t="inlineStr">
        <is>
          <t>healthcare</t>
        </is>
      </c>
      <c r="F61" s="31" t="inlineStr">
        <is>
          <t>Pharma API</t>
        </is>
      </c>
      <c r="G61" s="31" t="inlineStr">
        <is>
          <t>largecap</t>
        </is>
      </c>
      <c r="H61" s="32" t="n">
        <v>110764</v>
      </c>
      <c r="I61" s="32" t="n">
        <v>2050</v>
      </c>
      <c r="J61" s="32" t="n">
        <v>3.99</v>
      </c>
      <c r="K61" s="32" t="n">
        <v>0</v>
      </c>
      <c r="L61" s="31" t="n">
        <v>71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77.31999999999999</v>
      </c>
      <c r="P61" s="32" t="n">
        <v>77.48</v>
      </c>
      <c r="Q61" s="32" t="n">
        <v>1756.38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19.49</v>
      </c>
      <c r="U61" s="32" t="n">
        <v>134.24</v>
      </c>
      <c r="V61" s="32" t="n">
        <v>96.03</v>
      </c>
      <c r="W61" s="32" t="n">
        <v>26.36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SKYGOLD</t>
        </is>
      </c>
      <c r="D62" s="31" t="inlineStr">
        <is>
          <t>Sky Gold &amp; Diamonds Ltd</t>
        </is>
      </c>
      <c r="E62" s="31" t="inlineStr">
        <is>
          <t>consumer discretionary</t>
        </is>
      </c>
      <c r="F62" s="31" t="inlineStr">
        <is>
          <t>Diamond Gems and Jewellery</t>
        </is>
      </c>
      <c r="G62" s="31" t="inlineStr">
        <is>
          <t>midcap</t>
        </is>
      </c>
      <c r="H62" s="32" t="n">
        <v>13272.69</v>
      </c>
      <c r="I62" s="32" t="n">
        <v>857</v>
      </c>
      <c r="J62" s="32" t="n">
        <v>3.77</v>
      </c>
      <c r="K62" s="32" t="n">
        <v>0</v>
      </c>
      <c r="L62" s="31" t="n">
        <v>79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75.73999999999999</v>
      </c>
      <c r="P62" s="32" t="n">
        <v>68.34999999999999</v>
      </c>
      <c r="Q62" s="32" t="n">
        <v>656.53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-9.92</v>
      </c>
      <c r="U62" s="32" t="n">
        <v>150.3</v>
      </c>
      <c r="V62" s="32" t="n">
        <v>177.87</v>
      </c>
      <c r="W62" s="32" t="n">
        <v>29.81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27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BODALCHEM</t>
        </is>
      </c>
      <c r="D63" s="31" t="inlineStr">
        <is>
          <t>Bodal Chemicals Ltd</t>
        </is>
      </c>
      <c r="E63" s="31" t="inlineStr">
        <is>
          <t>chemicals</t>
        </is>
      </c>
      <c r="F63" s="31" t="inlineStr">
        <is>
          <t>Dyes and Pigments</t>
        </is>
      </c>
      <c r="G63" s="31" t="inlineStr">
        <is>
          <t>smallcap</t>
        </is>
      </c>
      <c r="H63" s="32" t="n">
        <v>2361.45</v>
      </c>
      <c r="I63" s="32" t="n">
        <v>187.5</v>
      </c>
      <c r="J63" s="32" t="n">
        <v>3.99</v>
      </c>
      <c r="K63" s="32" t="n">
        <v>0</v>
      </c>
      <c r="L63" s="31" t="n">
        <v>99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81.15000000000001</v>
      </c>
      <c r="P63" s="32" t="n">
        <v>51.6</v>
      </c>
      <c r="Q63" s="32" t="n">
        <v>155.48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-9.92</v>
      </c>
      <c r="U63" s="32" t="n">
        <v>207.92</v>
      </c>
      <c r="V63" s="32" t="n">
        <v>241.85</v>
      </c>
      <c r="W63" s="32" t="n">
        <v>88.83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GANDHAR</t>
        </is>
      </c>
      <c r="D64" s="31" t="inlineStr">
        <is>
          <t>Gandhar Oil Refinery (India) Ltd</t>
        </is>
      </c>
      <c r="E64" s="31" t="inlineStr">
        <is>
          <t>energy</t>
        </is>
      </c>
      <c r="F64" s="31" t="inlineStr">
        <is>
          <t>Refineries</t>
        </is>
      </c>
      <c r="G64" s="31" t="inlineStr">
        <is>
          <t>smallcap</t>
        </is>
      </c>
      <c r="H64" s="32" t="n">
        <v>2760.2</v>
      </c>
      <c r="I64" s="32" t="n">
        <v>282</v>
      </c>
      <c r="J64" s="32" t="n">
        <v>1.24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69.39</v>
      </c>
      <c r="P64" s="32" t="n">
        <v>78.01000000000001</v>
      </c>
      <c r="Q64" s="32" t="n">
        <v>217.69</v>
      </c>
      <c r="R64" s="31" t="inlineStr">
        <is>
          <t>Near 52W High Breakout</t>
        </is>
      </c>
      <c r="S64" s="31" t="inlineStr">
        <is>
          <t>Nifty Energy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TDPOWERSYS</t>
        </is>
      </c>
      <c r="D65" s="31" t="inlineStr">
        <is>
          <t>TD Power Systems Ltd</t>
        </is>
      </c>
      <c r="E65" s="31" t="inlineStr">
        <is>
          <t>industrials</t>
        </is>
      </c>
      <c r="F65" s="31" t="inlineStr">
        <is>
          <t>Capital Goods Gensets and Turbines</t>
        </is>
      </c>
      <c r="G65" s="31" t="inlineStr">
        <is>
          <t>largecap</t>
        </is>
      </c>
      <c r="H65" s="32" t="n">
        <v>25567.11</v>
      </c>
      <c r="I65" s="32" t="n">
        <v>815</v>
      </c>
      <c r="J65" s="32" t="n">
        <v>0.26</v>
      </c>
      <c r="K65" s="32" t="n">
        <v>0</v>
      </c>
      <c r="L65" s="31" t="n">
        <v>81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69.87</v>
      </c>
      <c r="P65" s="32" t="n">
        <v>19.23</v>
      </c>
      <c r="Q65" s="32" t="n">
        <v>591.59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-9.92</v>
      </c>
      <c r="U65" s="32" t="n">
        <v>172.42</v>
      </c>
      <c r="V65" s="32" t="n">
        <v>202.43</v>
      </c>
      <c r="W65" s="32" t="n">
        <v>31.63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OPTIEMUS</t>
        </is>
      </c>
      <c r="D66" s="34" t="inlineStr">
        <is>
          <t>Optiemus Infracom Ltd</t>
        </is>
      </c>
      <c r="E66" s="31" t="inlineStr">
        <is>
          <t>telecom</t>
        </is>
      </c>
      <c r="F66" s="31" t="inlineStr">
        <is>
          <t>EMS</t>
        </is>
      </c>
      <c r="G66" s="31" t="inlineStr">
        <is>
          <t>midcap</t>
        </is>
      </c>
      <c r="H66" s="32" t="n">
        <v>7991</v>
      </c>
      <c r="I66" s="32" t="n">
        <v>886.25</v>
      </c>
      <c r="J66" s="32" t="n">
        <v>12.73</v>
      </c>
      <c r="K66" s="32" t="n">
        <v>0</v>
      </c>
      <c r="L66" s="31" t="n">
        <v>68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79.83</v>
      </c>
      <c r="P66" s="32" t="n">
        <v>45.72</v>
      </c>
      <c r="Q66" s="32" t="n">
        <v>671.78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-9.92</v>
      </c>
      <c r="U66" s="32" t="n">
        <v>30.56</v>
      </c>
      <c r="V66" s="32" t="n">
        <v>44.94</v>
      </c>
      <c r="W66" s="32" t="n">
        <v>24.33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AVALON</t>
        </is>
      </c>
      <c r="D67" s="34" t="inlineStr">
        <is>
          <t>Avalon Technologies Ltd</t>
        </is>
      </c>
      <c r="E67" s="31" t="inlineStr">
        <is>
          <t>consumer discretionary</t>
        </is>
      </c>
      <c r="F67" s="31" t="inlineStr">
        <is>
          <t>EMS</t>
        </is>
      </c>
      <c r="G67" s="31" t="inlineStr">
        <is>
          <t>midcap</t>
        </is>
      </c>
      <c r="H67" s="32" t="n">
        <v>16011.62</v>
      </c>
      <c r="I67" s="32" t="n">
        <v>2394</v>
      </c>
      <c r="J67" s="32" t="n">
        <v>6.1</v>
      </c>
      <c r="K67" s="32" t="n">
        <v>0</v>
      </c>
      <c r="L67" s="31" t="n">
        <v>71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72.45</v>
      </c>
      <c r="P67" s="32" t="n">
        <v>49.43</v>
      </c>
      <c r="Q67" s="32" t="n">
        <v>1886.77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-9.92</v>
      </c>
      <c r="U67" s="32" t="n">
        <v>95.09</v>
      </c>
      <c r="V67" s="32" t="n">
        <v>116.58</v>
      </c>
      <c r="W67" s="32" t="n">
        <v>25.84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JASH</t>
        </is>
      </c>
      <c r="D68" s="31" t="inlineStr">
        <is>
          <t>Jash Engineering Ltd</t>
        </is>
      </c>
      <c r="E68" s="31" t="inlineStr">
        <is>
          <t>industrials</t>
        </is>
      </c>
      <c r="F68" s="31" t="inlineStr">
        <is>
          <t>Water Treatment</t>
        </is>
      </c>
      <c r="G68" s="31" t="inlineStr">
        <is>
          <t>smallcap</t>
        </is>
      </c>
      <c r="H68" s="32" t="n">
        <v>3785.3</v>
      </c>
      <c r="I68" s="32" t="n">
        <v>599</v>
      </c>
      <c r="J68" s="32" t="n">
        <v>0.15</v>
      </c>
      <c r="K68" s="32" t="n">
        <v>0</v>
      </c>
      <c r="L68" s="31" t="n">
        <v>23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68.08</v>
      </c>
      <c r="P68" s="32" t="n">
        <v>21.74</v>
      </c>
      <c r="Q68" s="32" t="n">
        <v>463.56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-9.92</v>
      </c>
      <c r="U68" s="32" t="n">
        <v>24.09</v>
      </c>
      <c r="V68" s="32" t="n">
        <v>37.76</v>
      </c>
      <c r="W68" s="32" t="n">
        <v>7.94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SAMBHV</t>
        </is>
      </c>
      <c r="D69" s="31" t="inlineStr">
        <is>
          <t>Sambhv Steel Tubes Ltd</t>
        </is>
      </c>
      <c r="E69" s="31" t="inlineStr">
        <is>
          <t>metals &amp; mining</t>
        </is>
      </c>
      <c r="F69" s="31" t="inlineStr">
        <is>
          <t>Steel Tubes and Pipes</t>
        </is>
      </c>
      <c r="G69" s="31" t="inlineStr">
        <is>
          <t>smallcap</t>
        </is>
      </c>
      <c r="H69" s="32" t="n">
        <v>4759.24</v>
      </c>
      <c r="I69" s="32" t="n">
        <v>161.51</v>
      </c>
      <c r="J69" s="32" t="n">
        <v>-1.91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79.2</v>
      </c>
      <c r="P69" s="32" t="n">
        <v>49.27</v>
      </c>
      <c r="Q69" s="32" t="n">
        <v>127.12</v>
      </c>
      <c r="R69" s="31" t="inlineStr">
        <is>
          <t>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MUKANDLTD</t>
        </is>
      </c>
      <c r="D70" s="31" t="inlineStr">
        <is>
          <t>Mukand Ltd</t>
        </is>
      </c>
      <c r="E70" s="31" t="inlineStr">
        <is>
          <t>metals &amp; mining</t>
        </is>
      </c>
      <c r="F70" s="31" t="inlineStr">
        <is>
          <t>Steel</t>
        </is>
      </c>
      <c r="G70" s="31" t="inlineStr">
        <is>
          <t>smallcap</t>
        </is>
      </c>
      <c r="H70" s="32" t="n">
        <v>2567.69</v>
      </c>
      <c r="I70" s="32" t="n">
        <v>177.7</v>
      </c>
      <c r="J70" s="32" t="n">
        <v>-2.47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74.40000000000001</v>
      </c>
      <c r="P70" s="32" t="n">
        <v>42.94</v>
      </c>
      <c r="Q70" s="32" t="n">
        <v>144.13</v>
      </c>
      <c r="R70" s="31" t="inlineStr">
        <is>
          <t>Near 52W High Breakout</t>
        </is>
      </c>
      <c r="S70" s="31" t="inlineStr">
        <is>
          <t>Nifty Metal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MODISONLTD</t>
        </is>
      </c>
      <c r="D71" s="31" t="inlineStr">
        <is>
          <t>Modison Ltd</t>
        </is>
      </c>
      <c r="E71" s="31" t="inlineStr">
        <is>
          <t>industrials</t>
        </is>
      </c>
      <c r="F71" s="31" t="inlineStr">
        <is>
          <t>Capital Goods Electric General</t>
        </is>
      </c>
      <c r="G71" s="31" t="inlineStr">
        <is>
          <t>smallcap</t>
        </is>
      </c>
      <c r="H71" s="32" t="n">
        <v>1594.27</v>
      </c>
      <c r="I71" s="32" t="n">
        <v>491.3</v>
      </c>
      <c r="J71" s="32" t="n">
        <v>4.99</v>
      </c>
      <c r="K71" s="32" t="n">
        <v>0</v>
      </c>
      <c r="L71" s="31" t="n">
        <v>94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73.43000000000001</v>
      </c>
      <c r="P71" s="32" t="n">
        <v>56.64</v>
      </c>
      <c r="Q71" s="32" t="n">
        <v>360.06</v>
      </c>
      <c r="R71" s="31" t="inlineStr">
        <is>
          <t>Near 52W High Breakout</t>
        </is>
      </c>
      <c r="S71" s="31" t="inlineStr">
        <is>
          <t>Nifty 50</t>
        </is>
      </c>
      <c r="T71" s="32" t="n">
        <v>-9.92</v>
      </c>
      <c r="U71" s="32" t="n">
        <v>210.06</v>
      </c>
      <c r="V71" s="32" t="n">
        <v>244.22</v>
      </c>
      <c r="W71" s="32" t="n">
        <v>46.64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DYNAMATECH</t>
        </is>
      </c>
      <c r="D72" s="31" t="inlineStr">
        <is>
          <t>Dynamatic Technologies Ltd</t>
        </is>
      </c>
      <c r="E72" s="31" t="inlineStr">
        <is>
          <t>aerospace &amp; defence</t>
        </is>
      </c>
      <c r="F72" s="31" t="inlineStr">
        <is>
          <t>Aerospace and Defence Equipment</t>
        </is>
      </c>
      <c r="G72" s="31" t="inlineStr">
        <is>
          <t>midcap</t>
        </is>
      </c>
      <c r="H72" s="32" t="n">
        <v>9723.99</v>
      </c>
      <c r="I72" s="32" t="n">
        <v>14318</v>
      </c>
      <c r="J72" s="32" t="n">
        <v>0.47</v>
      </c>
      <c r="K72" s="32" t="n">
        <v>0</v>
      </c>
      <c r="L72" s="31" t="n">
        <v>58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73.09</v>
      </c>
      <c r="P72" s="32" t="n">
        <v>32.59</v>
      </c>
      <c r="Q72" s="32" t="n">
        <v>11169.01</v>
      </c>
      <c r="R72" s="31" t="inlineStr">
        <is>
          <t>Near 52W High Breakout</t>
        </is>
      </c>
      <c r="S72" s="31" t="inlineStr">
        <is>
          <t>Nifty 50</t>
        </is>
      </c>
      <c r="T72" s="32" t="n">
        <v>-9.92</v>
      </c>
      <c r="U72" s="32" t="n">
        <v>83.36</v>
      </c>
      <c r="V72" s="32" t="n">
        <v>103.56</v>
      </c>
      <c r="W72" s="32" t="n">
        <v>20.24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MMP</t>
        </is>
      </c>
      <c r="D73" s="34" t="inlineStr">
        <is>
          <t>MMP Industries Ltd</t>
        </is>
      </c>
      <c r="E73" s="31" t="inlineStr">
        <is>
          <t>metals &amp; mining</t>
        </is>
      </c>
      <c r="F73" s="31" t="inlineStr">
        <is>
          <t>Aluminium Products</t>
        </is>
      </c>
      <c r="G73" s="31" t="inlineStr">
        <is>
          <t>smallcap</t>
        </is>
      </c>
      <c r="H73" s="32" t="n">
        <v>1232.03</v>
      </c>
      <c r="I73" s="32" t="n">
        <v>485</v>
      </c>
      <c r="J73" s="32" t="n">
        <v>3.62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80.38</v>
      </c>
      <c r="P73" s="32" t="n">
        <v>61.77</v>
      </c>
      <c r="Q73" s="32" t="n">
        <v>359.86</v>
      </c>
      <c r="R73" s="31" t="inlineStr">
        <is>
          <t>Near 52W High Breakout</t>
        </is>
      </c>
      <c r="S73" s="31" t="inlineStr">
        <is>
          <t>Nifty Metal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17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AVTNPL</t>
        </is>
      </c>
      <c r="D74" s="31" t="inlineStr">
        <is>
          <t>AVT Natural Products Ltd</t>
        </is>
      </c>
      <c r="E74" s="31" t="inlineStr">
        <is>
          <t>Basic Materials</t>
        </is>
      </c>
      <c r="F74" s="31" t="inlineStr">
        <is>
          <t>Natural Extracts and Food Ingredients</t>
        </is>
      </c>
      <c r="G74" s="31" t="inlineStr">
        <is>
          <t>smallcap</t>
        </is>
      </c>
      <c r="H74" s="32" t="n">
        <v>1381.22</v>
      </c>
      <c r="I74" s="32" t="n">
        <v>90.7</v>
      </c>
      <c r="J74" s="32" t="n">
        <v>2.09</v>
      </c>
      <c r="K74" s="32" t="n">
        <v>0</v>
      </c>
      <c r="L74" s="31" t="n">
        <v>37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65.3</v>
      </c>
      <c r="P74" s="32" t="n">
        <v>51.54</v>
      </c>
      <c r="Q74" s="32" t="n">
        <v>71.43000000000001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-9.92</v>
      </c>
      <c r="U74" s="32" t="n">
        <v>31.67</v>
      </c>
      <c r="V74" s="32" t="n">
        <v>46.17</v>
      </c>
      <c r="W74" s="32" t="n">
        <v>12.31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ONEPOINT</t>
        </is>
      </c>
      <c r="D75" s="31" t="inlineStr">
        <is>
          <t>One Point One Solutions Ltd</t>
        </is>
      </c>
      <c r="E75" s="31" t="inlineStr">
        <is>
          <t>i.t</t>
        </is>
      </c>
      <c r="F75" s="31" t="inlineStr">
        <is>
          <t>IT Enabled Services</t>
        </is>
      </c>
      <c r="G75" s="31" t="inlineStr">
        <is>
          <t>smallcap</t>
        </is>
      </c>
      <c r="H75" s="32" t="n">
        <v>2077.2</v>
      </c>
      <c r="I75" s="32" t="n">
        <v>79</v>
      </c>
      <c r="J75" s="32" t="n">
        <v>0.86</v>
      </c>
      <c r="K75" s="32" t="n">
        <v>0</v>
      </c>
      <c r="L75" s="31" t="n">
        <v>57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75.51000000000001</v>
      </c>
      <c r="P75" s="32" t="n">
        <v>19.2</v>
      </c>
      <c r="Q75" s="32" t="n">
        <v>62.04</v>
      </c>
      <c r="R75" s="31" t="inlineStr">
        <is>
          <t>Near 52W High Breakout</t>
        </is>
      </c>
      <c r="S75" s="31" t="inlineStr">
        <is>
          <t>Nifty IT</t>
        </is>
      </c>
      <c r="T75" s="32" t="n">
        <v>-20.99</v>
      </c>
      <c r="U75" s="32" t="n">
        <v>58.22</v>
      </c>
      <c r="V75" s="32" t="n">
        <v>100.24</v>
      </c>
      <c r="W75" s="32" t="n">
        <v>20.16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24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MANINDS</t>
        </is>
      </c>
      <c r="D76" s="31" t="inlineStr">
        <is>
          <t>Man Industries (India) Ltd</t>
        </is>
      </c>
      <c r="E76" s="31" t="inlineStr">
        <is>
          <t>metals &amp; mining</t>
        </is>
      </c>
      <c r="F76" s="31" t="inlineStr">
        <is>
          <t>Steel Tubes and Pipes</t>
        </is>
      </c>
      <c r="G76" s="31" t="inlineStr">
        <is>
          <t>midcap</t>
        </is>
      </c>
      <c r="H76" s="32" t="n">
        <v>6931.63</v>
      </c>
      <c r="I76" s="32" t="n">
        <v>924.1</v>
      </c>
      <c r="J76" s="32" t="n">
        <v>4.04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71.39</v>
      </c>
      <c r="P76" s="32" t="n">
        <v>45.59</v>
      </c>
      <c r="Q76" s="32" t="n">
        <v>760.7</v>
      </c>
      <c r="R76" s="31" t="inlineStr">
        <is>
          <t>Earnings / Momentum Support</t>
        </is>
      </c>
      <c r="S76" s="31" t="inlineStr">
        <is>
          <t>Nifty Metal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YASHHV</t>
        </is>
      </c>
      <c r="D77" s="31" t="inlineStr">
        <is>
          <t>Yash Highvoltage Ltd</t>
        </is>
      </c>
      <c r="E77" s="31" t="inlineStr">
        <is>
          <t>Industrials</t>
        </is>
      </c>
      <c r="F77" s="31" t="inlineStr">
        <is>
          <t>Electric Equipment General</t>
        </is>
      </c>
      <c r="G77" s="31" t="inlineStr">
        <is>
          <t>smallcap</t>
        </is>
      </c>
      <c r="H77" s="32" t="n">
        <v>3616.26</v>
      </c>
      <c r="I77" s="32" t="n">
        <v>1209.95</v>
      </c>
      <c r="J77" s="32" t="n">
        <v>4.7</v>
      </c>
      <c r="K77" s="32" t="n">
        <v>0</v>
      </c>
      <c r="L77" s="31" t="n">
        <v>76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79.31999999999999</v>
      </c>
      <c r="P77" s="32" t="n">
        <v>63.55</v>
      </c>
      <c r="Q77" s="32" t="n">
        <v>928.21</v>
      </c>
      <c r="R77" s="31" t="inlineStr">
        <is>
          <t>Near 52W High Breakout</t>
        </is>
      </c>
      <c r="S77" s="31" t="inlineStr">
        <is>
          <t>Nifty 50</t>
        </is>
      </c>
      <c r="T77" s="32" t="n">
        <v>-9.92</v>
      </c>
      <c r="U77" s="32" t="n">
        <v>129.06</v>
      </c>
      <c r="V77" s="32" t="n">
        <v>154.3</v>
      </c>
      <c r="W77" s="32" t="n">
        <v>29.36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AEGISLOG</t>
        </is>
      </c>
      <c r="D78" s="31" t="inlineStr">
        <is>
          <t>Aegis Logistics Ltd</t>
        </is>
      </c>
      <c r="E78" s="31" t="inlineStr">
        <is>
          <t>Energy</t>
        </is>
      </c>
      <c r="F78" s="31" t="inlineStr">
        <is>
          <t>Logistics</t>
        </is>
      </c>
      <c r="G78" s="31" t="inlineStr">
        <is>
          <t>largecap</t>
        </is>
      </c>
      <c r="H78" s="32" t="n">
        <v>48964.5</v>
      </c>
      <c r="I78" s="32" t="n">
        <v>1395</v>
      </c>
      <c r="J78" s="32" t="n">
        <v>2.61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64.86</v>
      </c>
      <c r="P78" s="32" t="n">
        <v>56.47</v>
      </c>
      <c r="Q78" s="32" t="n">
        <v>1031.1</v>
      </c>
      <c r="R78" s="31" t="inlineStr">
        <is>
          <t>Near 52W High Breakout</t>
        </is>
      </c>
      <c r="S78" s="31" t="inlineStr">
        <is>
          <t>Nifty Energy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SOTL</t>
        </is>
      </c>
      <c r="D79" s="34" t="inlineStr">
        <is>
          <t>Savita Oil Technologies Ltd</t>
        </is>
      </c>
      <c r="E79" s="31" t="inlineStr">
        <is>
          <t>energy</t>
        </is>
      </c>
      <c r="F79" s="31" t="inlineStr">
        <is>
          <t>Petrochemicals Others</t>
        </is>
      </c>
      <c r="G79" s="31" t="inlineStr">
        <is>
          <t>midcap</t>
        </is>
      </c>
      <c r="H79" s="32" t="n">
        <v>5334</v>
      </c>
      <c r="I79" s="32" t="n">
        <v>778</v>
      </c>
      <c r="J79" s="32" t="n">
        <v>6.99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69.16</v>
      </c>
      <c r="P79" s="32" t="n">
        <v>65.31999999999999</v>
      </c>
      <c r="Q79" s="32" t="n">
        <v>537</v>
      </c>
      <c r="R79" s="31" t="inlineStr">
        <is>
          <t>Near 52W High Breakout</t>
        </is>
      </c>
      <c r="S79" s="31" t="inlineStr">
        <is>
          <t>Nifty Energy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PRECWIRE</t>
        </is>
      </c>
      <c r="D80" s="31" t="inlineStr">
        <is>
          <t>Precision Wires India Ltd</t>
        </is>
      </c>
      <c r="E80" s="31" t="inlineStr">
        <is>
          <t>metals &amp; mining</t>
        </is>
      </c>
      <c r="F80" s="31" t="inlineStr">
        <is>
          <t>Copper Wires</t>
        </is>
      </c>
      <c r="G80" s="31" t="inlineStr">
        <is>
          <t>midcap</t>
        </is>
      </c>
      <c r="H80" s="32" t="n">
        <v>9437.459999999999</v>
      </c>
      <c r="I80" s="32" t="n">
        <v>516.25</v>
      </c>
      <c r="J80" s="32" t="n">
        <v>1.74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67.62</v>
      </c>
      <c r="P80" s="32" t="n">
        <v>37.33</v>
      </c>
      <c r="Q80" s="32" t="n">
        <v>381.6</v>
      </c>
      <c r="R80" s="31" t="inlineStr">
        <is>
          <t>Near 52W High Breakout</t>
        </is>
      </c>
      <c r="S80" s="31" t="inlineStr">
        <is>
          <t>Nifty Metal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AXISCADES</t>
        </is>
      </c>
      <c r="D81" s="31" t="inlineStr">
        <is>
          <t>AXISCADES Technologies Ltd</t>
        </is>
      </c>
      <c r="E81" s="31" t="inlineStr">
        <is>
          <t>aerospace &amp; defence</t>
        </is>
      </c>
      <c r="F81" s="31" t="inlineStr">
        <is>
          <t>Aerospace and Defence Equipment</t>
        </is>
      </c>
      <c r="G81" s="31" t="inlineStr">
        <is>
          <t>midcap</t>
        </is>
      </c>
      <c r="H81" s="32" t="n">
        <v>9727.41</v>
      </c>
      <c r="I81" s="32" t="n">
        <v>2287</v>
      </c>
      <c r="J81" s="32" t="n">
        <v>0.21</v>
      </c>
      <c r="K81" s="32" t="n">
        <v>0</v>
      </c>
      <c r="L81" s="31" t="n">
        <v>49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70.40000000000001</v>
      </c>
      <c r="P81" s="32" t="n">
        <v>15.25</v>
      </c>
      <c r="Q81" s="32" t="n">
        <v>1722.45</v>
      </c>
      <c r="R81" s="31" t="inlineStr">
        <is>
          <t>Near 52W High Breakout</t>
        </is>
      </c>
      <c r="S81" s="31" t="inlineStr">
        <is>
          <t>Nifty IT</t>
        </is>
      </c>
      <c r="T81" s="32" t="n">
        <v>-20.99</v>
      </c>
      <c r="U81" s="32" t="n">
        <v>37.13</v>
      </c>
      <c r="V81" s="32" t="n">
        <v>73.56</v>
      </c>
      <c r="W81" s="32" t="n">
        <v>16.98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17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MARKSANS</t>
        </is>
      </c>
      <c r="D82" s="31" t="inlineStr">
        <is>
          <t>Marksans Pharma Ltd</t>
        </is>
      </c>
      <c r="E82" s="31" t="inlineStr">
        <is>
          <t>Healthcare</t>
        </is>
      </c>
      <c r="F82" s="31" t="inlineStr">
        <is>
          <t>Pharma Formulations</t>
        </is>
      </c>
      <c r="G82" s="31" t="inlineStr">
        <is>
          <t>midcap</t>
        </is>
      </c>
      <c r="H82" s="32" t="n">
        <v>14759.54</v>
      </c>
      <c r="I82" s="32" t="n">
        <v>325.7</v>
      </c>
      <c r="J82" s="32" t="n">
        <v>-1.79</v>
      </c>
      <c r="K82" s="32" t="n">
        <v>0</v>
      </c>
      <c r="L82" s="31" t="n">
        <v>51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67.08</v>
      </c>
      <c r="P82" s="32" t="n">
        <v>54.06</v>
      </c>
      <c r="Q82" s="32" t="n">
        <v>261.04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19.49</v>
      </c>
      <c r="U82" s="32" t="n">
        <v>79.15000000000001</v>
      </c>
      <c r="V82" s="32" t="n">
        <v>49.92</v>
      </c>
      <c r="W82" s="32" t="n">
        <v>17.97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16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STLTECH</t>
        </is>
      </c>
      <c r="D83" s="31" t="inlineStr">
        <is>
          <t>Sterlite Technologies Ltd</t>
        </is>
      </c>
      <c r="E83" s="31" t="inlineStr">
        <is>
          <t>industrials</t>
        </is>
      </c>
      <c r="F83" s="31" t="inlineStr">
        <is>
          <t>Cables Telecom</t>
        </is>
      </c>
      <c r="G83" s="31" t="inlineStr">
        <is>
          <t>largecap</t>
        </is>
      </c>
      <c r="H83" s="32" t="n">
        <v>52171.69</v>
      </c>
      <c r="I83" s="32" t="n">
        <v>1014.9</v>
      </c>
      <c r="J83" s="32" t="n">
        <v>1.36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80.06</v>
      </c>
      <c r="P83" s="32" t="n">
        <v>71.38</v>
      </c>
      <c r="Q83" s="32" t="n">
        <v>750.41</v>
      </c>
      <c r="R83" s="31" t="inlineStr">
        <is>
          <t>Near 52W High Breakout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INOVSYNTH</t>
        </is>
      </c>
      <c r="D84" s="31" t="inlineStr">
        <is>
          <t>Innovassynth Technologies (India) Ltd</t>
        </is>
      </c>
      <c r="E84" s="31" t="inlineStr">
        <is>
          <t>Basic Materials</t>
        </is>
      </c>
      <c r="F84" s="31" t="inlineStr">
        <is>
          <t>Specialty Chemicals</t>
        </is>
      </c>
      <c r="G84" s="31" t="inlineStr">
        <is>
          <t>smallcap</t>
        </is>
      </c>
      <c r="H84" s="32" t="n">
        <v>1490.41</v>
      </c>
      <c r="I84" s="32" t="n">
        <v>160.5</v>
      </c>
      <c r="J84" s="32" t="n">
        <v>1.97</v>
      </c>
      <c r="K84" s="32" t="n">
        <v>0</v>
      </c>
      <c r="L84" s="31" t="n">
        <v>61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85.44</v>
      </c>
      <c r="P84" s="32" t="n">
        <v>58.44</v>
      </c>
      <c r="Q84" s="32" t="n">
        <v>142.06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-9.92</v>
      </c>
      <c r="U84" s="32" t="n">
        <v>78.53</v>
      </c>
      <c r="V84" s="32" t="n">
        <v>98.2</v>
      </c>
      <c r="W84" s="32" t="n">
        <v>20.95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TEGA</t>
        </is>
      </c>
      <c r="D85" s="34" t="inlineStr">
        <is>
          <t>Tega Industries Ltd</t>
        </is>
      </c>
      <c r="E85" s="31" t="inlineStr">
        <is>
          <t>industrials</t>
        </is>
      </c>
      <c r="F85" s="31" t="inlineStr">
        <is>
          <t>Capital Goods Mining Equipment</t>
        </is>
      </c>
      <c r="G85" s="31" t="inlineStr">
        <is>
          <t>midcap</t>
        </is>
      </c>
      <c r="H85" s="32" t="n">
        <v>15739.25</v>
      </c>
      <c r="I85" s="32" t="n">
        <v>2095</v>
      </c>
      <c r="J85" s="32" t="n">
        <v>1.5</v>
      </c>
      <c r="K85" s="32" t="n">
        <v>0</v>
      </c>
      <c r="L85" s="31" t="n">
        <v>21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65.31</v>
      </c>
      <c r="P85" s="32" t="n">
        <v>17.58</v>
      </c>
      <c r="Q85" s="32" t="n">
        <v>1606.71</v>
      </c>
      <c r="R85" s="31" t="inlineStr">
        <is>
          <t>Near 52W High Breakout</t>
        </is>
      </c>
      <c r="S85" s="31" t="inlineStr">
        <is>
          <t>Nifty 50</t>
        </is>
      </c>
      <c r="T85" s="32" t="n">
        <v>-9.92</v>
      </c>
      <c r="U85" s="32" t="n">
        <v>7.72</v>
      </c>
      <c r="V85" s="32" t="n">
        <v>19.59</v>
      </c>
      <c r="W85" s="32" t="n">
        <v>7.24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18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ASMTEC</t>
        </is>
      </c>
      <c r="D86" s="31" t="inlineStr">
        <is>
          <t>ASM Technologies Ltd</t>
        </is>
      </c>
      <c r="E86" s="31" t="inlineStr">
        <is>
          <t>Technology</t>
        </is>
      </c>
      <c r="F86" s="31" t="inlineStr">
        <is>
          <t>IT Services</t>
        </is>
      </c>
      <c r="G86" s="31" t="inlineStr">
        <is>
          <t>midcap</t>
        </is>
      </c>
      <c r="H86" s="32" t="n">
        <v>9969.98</v>
      </c>
      <c r="I86" s="32" t="n">
        <v>6835</v>
      </c>
      <c r="J86" s="32" t="n">
        <v>3.29</v>
      </c>
      <c r="K86" s="32" t="n">
        <v>0</v>
      </c>
      <c r="L86" s="31" t="n">
        <v>78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76.52</v>
      </c>
      <c r="P86" s="32" t="n">
        <v>59.89</v>
      </c>
      <c r="Q86" s="32" t="n">
        <v>5203.18</v>
      </c>
      <c r="R86" s="31" t="inlineStr">
        <is>
          <t>Near 52W High Breakout</t>
        </is>
      </c>
      <c r="S86" s="31" t="inlineStr">
        <is>
          <t>Nifty 50</t>
        </is>
      </c>
      <c r="T86" s="32" t="n">
        <v>-9.92</v>
      </c>
      <c r="U86" s="32" t="n">
        <v>82.04000000000001</v>
      </c>
      <c r="V86" s="32" t="n">
        <v>102.1</v>
      </c>
      <c r="W86" s="32" t="n">
        <v>29.71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Between 1.5 to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JAYKAY</t>
        </is>
      </c>
      <c r="D87" s="31" t="inlineStr">
        <is>
          <t>Jaykay Enterprises Ltd</t>
        </is>
      </c>
      <c r="E87" s="31" t="inlineStr">
        <is>
          <t>Industrials</t>
        </is>
      </c>
      <c r="F87" s="31" t="inlineStr">
        <is>
          <t>Aerospace and Defence Equipment</t>
        </is>
      </c>
      <c r="G87" s="31" t="inlineStr">
        <is>
          <t>smallcap</t>
        </is>
      </c>
      <c r="H87" s="32" t="n">
        <v>3643.24</v>
      </c>
      <c r="I87" s="32" t="n">
        <v>241.5</v>
      </c>
      <c r="J87" s="32" t="n">
        <v>9</v>
      </c>
      <c r="K87" s="32" t="n">
        <v>0</v>
      </c>
      <c r="L87" s="31" t="n">
        <v>43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71.8</v>
      </c>
      <c r="P87" s="32" t="n">
        <v>18.95</v>
      </c>
      <c r="Q87" s="32" t="n">
        <v>170.04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-13.02</v>
      </c>
      <c r="U87" s="32" t="n">
        <v>18.32</v>
      </c>
      <c r="V87" s="32" t="n">
        <v>36.03</v>
      </c>
      <c r="W87" s="32" t="n">
        <v>14.73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26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SBC</t>
        </is>
      </c>
      <c r="D88" s="31" t="inlineStr">
        <is>
          <t>SBC Exports Ltd</t>
        </is>
      </c>
      <c r="E88" s="31" t="inlineStr">
        <is>
          <t>textiles</t>
        </is>
      </c>
      <c r="F88" s="31" t="inlineStr">
        <is>
          <t>Textiles Readymade Apparel</t>
        </is>
      </c>
      <c r="G88" s="31" t="inlineStr">
        <is>
          <t>smallcap</t>
        </is>
      </c>
      <c r="H88" s="32" t="n">
        <v>2938.09</v>
      </c>
      <c r="I88" s="32" t="n">
        <v>61.7</v>
      </c>
      <c r="J88" s="32" t="n">
        <v>-0.55</v>
      </c>
      <c r="K88" s="32" t="n">
        <v>0</v>
      </c>
      <c r="L88" s="31" t="n">
        <v>82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86.28</v>
      </c>
      <c r="P88" s="32" t="n">
        <v>32.35</v>
      </c>
      <c r="Q88" s="32" t="n">
        <v>50.57</v>
      </c>
      <c r="R88" s="31" t="inlineStr">
        <is>
          <t>Near 52W High Breakout</t>
        </is>
      </c>
      <c r="S88" s="31" t="inlineStr">
        <is>
          <t>Nifty 50</t>
        </is>
      </c>
      <c r="T88" s="32" t="n">
        <v>-9.92</v>
      </c>
      <c r="U88" s="32" t="n">
        <v>171.21</v>
      </c>
      <c r="V88" s="32" t="n">
        <v>201.09</v>
      </c>
      <c r="W88" s="32" t="n">
        <v>32.13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ACCENTMIC</t>
        </is>
      </c>
      <c r="D89" s="31" t="inlineStr">
        <is>
          <t>Accent Microcell Ltd</t>
        </is>
      </c>
      <c r="E89" s="31" t="inlineStr">
        <is>
          <t>unknown</t>
        </is>
      </c>
      <c r="F89" s="31" t="inlineStr">
        <is>
          <t>Pharma Formulations</t>
        </is>
      </c>
      <c r="G89" s="31" t="inlineStr">
        <is>
          <t>smallcap</t>
        </is>
      </c>
      <c r="H89" s="32" t="n">
        <v>1590.47</v>
      </c>
      <c r="I89" s="32" t="n">
        <v>663</v>
      </c>
      <c r="J89" s="32" t="n">
        <v>0.02</v>
      </c>
      <c r="K89" s="32" t="n">
        <v>0</v>
      </c>
      <c r="L89" s="31" t="n">
        <v>73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71.7</v>
      </c>
      <c r="P89" s="32" t="n">
        <v>68.20999999999999</v>
      </c>
      <c r="Q89" s="32" t="n">
        <v>592.61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-9.92</v>
      </c>
      <c r="U89" s="32" t="n">
        <v>161.5</v>
      </c>
      <c r="V89" s="32" t="n">
        <v>190.31</v>
      </c>
      <c r="W89" s="32" t="n">
        <v>27.78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NAVINFLUOR</t>
        </is>
      </c>
      <c r="D90" s="34" t="inlineStr">
        <is>
          <t>Navin Fluorine International Ltd</t>
        </is>
      </c>
      <c r="E90" s="31" t="inlineStr">
        <is>
          <t>chemicals</t>
        </is>
      </c>
      <c r="F90" s="31" t="inlineStr">
        <is>
          <t>Chemicals Fluorine</t>
        </is>
      </c>
      <c r="G90" s="31" t="inlineStr">
        <is>
          <t>largecap</t>
        </is>
      </c>
      <c r="H90" s="32" t="n">
        <v>43976.62</v>
      </c>
      <c r="I90" s="32" t="n">
        <v>8570</v>
      </c>
      <c r="J90" s="32" t="n">
        <v>3.6</v>
      </c>
      <c r="K90" s="32" t="n">
        <v>0</v>
      </c>
      <c r="L90" s="31" t="n">
        <v>43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68.38</v>
      </c>
      <c r="P90" s="32" t="n">
        <v>54.84</v>
      </c>
      <c r="Q90" s="32" t="n">
        <v>7177.33</v>
      </c>
      <c r="R90" s="31" t="inlineStr">
        <is>
          <t>Near 52W High Breakout</t>
        </is>
      </c>
      <c r="S90" s="31" t="inlineStr">
        <is>
          <t>Nifty 50</t>
        </is>
      </c>
      <c r="T90" s="32" t="n">
        <v>-9.92</v>
      </c>
      <c r="U90" s="32" t="n">
        <v>80.45</v>
      </c>
      <c r="V90" s="32" t="n">
        <v>100.33</v>
      </c>
      <c r="W90" s="32" t="n">
        <v>15.02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Shallow Cyclical (2 to 3 Years Growth)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18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RAMRAT</t>
        </is>
      </c>
      <c r="D91" s="31" t="inlineStr">
        <is>
          <t>Ram Ratna Wires Ltd</t>
        </is>
      </c>
      <c r="E91" s="31" t="inlineStr">
        <is>
          <t>metals &amp; mining</t>
        </is>
      </c>
      <c r="F91" s="31" t="inlineStr">
        <is>
          <t>Copper Wires</t>
        </is>
      </c>
      <c r="G91" s="31" t="inlineStr">
        <is>
          <t>midcap</t>
        </is>
      </c>
      <c r="H91" s="32" t="n">
        <v>5986.94</v>
      </c>
      <c r="I91" s="32" t="n">
        <v>641.35</v>
      </c>
      <c r="J91" s="32" t="n">
        <v>0.97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76.36</v>
      </c>
      <c r="P91" s="32" t="n">
        <v>51.26</v>
      </c>
      <c r="Q91" s="32" t="n">
        <v>493.09</v>
      </c>
      <c r="R91" s="31" t="inlineStr">
        <is>
          <t>Near 52W High Breakout</t>
        </is>
      </c>
      <c r="S91" s="31" t="inlineStr">
        <is>
          <t>Nifty Metal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21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SUNFLAG</t>
        </is>
      </c>
      <c r="D92" s="31" t="inlineStr">
        <is>
          <t>Sunflag Iron &amp; Steel Company Ltd</t>
        </is>
      </c>
      <c r="E92" s="31" t="inlineStr">
        <is>
          <t>metals &amp; mining</t>
        </is>
      </c>
      <c r="F92" s="31" t="inlineStr">
        <is>
          <t>Steel Products</t>
        </is>
      </c>
      <c r="G92" s="31" t="inlineStr">
        <is>
          <t>midcap</t>
        </is>
      </c>
      <c r="H92" s="32" t="n">
        <v>8308.120000000001</v>
      </c>
      <c r="I92" s="32" t="n">
        <v>461</v>
      </c>
      <c r="J92" s="32" t="n">
        <v>1.32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73.5</v>
      </c>
      <c r="P92" s="32" t="n">
        <v>35.03</v>
      </c>
      <c r="Q92" s="32" t="n">
        <v>350.47</v>
      </c>
      <c r="R92" s="31" t="inlineStr">
        <is>
          <t>Near 52W High Breakout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18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KRISHNADEF</t>
        </is>
      </c>
      <c r="D93" s="34" t="inlineStr">
        <is>
          <t>Krishna Defence &amp; Allied Industries Ltd</t>
        </is>
      </c>
      <c r="E93" s="31" t="inlineStr">
        <is>
          <t>Industrials</t>
        </is>
      </c>
      <c r="F93" s="31" t="inlineStr">
        <is>
          <t>Shipping Proxy</t>
        </is>
      </c>
      <c r="G93" s="31" t="inlineStr">
        <is>
          <t>smallcap</t>
        </is>
      </c>
      <c r="H93" s="32" t="n">
        <v>1971.61</v>
      </c>
      <c r="I93" s="32" t="n">
        <v>1319</v>
      </c>
      <c r="J93" s="32" t="n">
        <v>9.83</v>
      </c>
      <c r="K93" s="32" t="n">
        <v>0</v>
      </c>
      <c r="L93" s="31" t="n">
        <v>33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62.74</v>
      </c>
      <c r="P93" s="32" t="n">
        <v>15.79</v>
      </c>
      <c r="Q93" s="32" t="n">
        <v>913.89</v>
      </c>
      <c r="R93" s="31" t="inlineStr">
        <is>
          <t>Volume Spike &amp; Near 52W High Breakout</t>
        </is>
      </c>
      <c r="S93" s="31" t="inlineStr">
        <is>
          <t>Nifty 50</t>
        </is>
      </c>
      <c r="T93" s="32" t="n">
        <v>-9.92</v>
      </c>
      <c r="U93" s="32" t="n">
        <v>58.59</v>
      </c>
      <c r="V93" s="32" t="n">
        <v>76.06</v>
      </c>
      <c r="W93" s="32" t="n">
        <v>10.53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1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17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AEROFLEX</t>
        </is>
      </c>
      <c r="D94" s="31" t="inlineStr">
        <is>
          <t>Aeroflex Industries Ltd</t>
        </is>
      </c>
      <c r="E94" s="31" t="inlineStr">
        <is>
          <t>metals &amp; mining</t>
        </is>
      </c>
      <c r="F94" s="31" t="inlineStr">
        <is>
          <t>Stainless Steel</t>
        </is>
      </c>
      <c r="G94" s="31" t="inlineStr">
        <is>
          <t>midcap</t>
        </is>
      </c>
      <c r="H94" s="32" t="n">
        <v>7397.29</v>
      </c>
      <c r="I94" s="32" t="n">
        <v>559</v>
      </c>
      <c r="J94" s="32" t="n">
        <v>2.69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67.88</v>
      </c>
      <c r="P94" s="32" t="n">
        <v>46.28</v>
      </c>
      <c r="Q94" s="32" t="n">
        <v>405.61</v>
      </c>
      <c r="R94" s="31" t="inlineStr">
        <is>
          <t>Near 52W High Breakout</t>
        </is>
      </c>
      <c r="S94" s="31" t="inlineStr">
        <is>
          <t>Nifty Metal</t>
        </is>
      </c>
      <c r="T94" s="32" t="inlineStr"/>
      <c r="U94" s="32" t="inlineStr"/>
      <c r="V94" s="32" t="inlineStr"/>
      <c r="W94" s="32" t="inlineStr"/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17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ANTELOPUS</t>
        </is>
      </c>
      <c r="D95" s="31" t="inlineStr">
        <is>
          <t>Antelopus Selan Energy Ltd</t>
        </is>
      </c>
      <c r="E95" s="31" t="inlineStr">
        <is>
          <t>Energy</t>
        </is>
      </c>
      <c r="F95" s="31" t="inlineStr">
        <is>
          <t>Oil Drilling and Exploration</t>
        </is>
      </c>
      <c r="G95" s="31" t="inlineStr">
        <is>
          <t>smallcap</t>
        </is>
      </c>
      <c r="H95" s="32" t="n">
        <v>3906.36</v>
      </c>
      <c r="I95" s="32" t="n">
        <v>1107</v>
      </c>
      <c r="J95" s="32" t="n">
        <v>0.33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63.63</v>
      </c>
      <c r="P95" s="32" t="n">
        <v>51.28</v>
      </c>
      <c r="Q95" s="32" t="n">
        <v>880.8099999999999</v>
      </c>
      <c r="R95" s="31" t="inlineStr">
        <is>
          <t>Earnings / Momentum Support</t>
        </is>
      </c>
      <c r="S95" s="31" t="inlineStr">
        <is>
          <t>Nifty Energy</t>
        </is>
      </c>
      <c r="T95" s="32" t="inlineStr"/>
      <c r="U95" s="32" t="inlineStr"/>
      <c r="V95" s="32" t="inlineStr"/>
      <c r="W95" s="32" t="inlineStr"/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20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4" t="inlineStr">
        <is>
          <t>GNFC</t>
        </is>
      </c>
      <c r="D96" s="34" t="inlineStr">
        <is>
          <t>Gujarat Narmada Valley Fertilizers &amp; Chemicals Ltd</t>
        </is>
      </c>
      <c r="E96" s="31" t="inlineStr">
        <is>
          <t>chemicals</t>
        </is>
      </c>
      <c r="F96" s="31" t="inlineStr">
        <is>
          <t>Fertilisers</t>
        </is>
      </c>
      <c r="G96" s="31" t="inlineStr">
        <is>
          <t>midcap</t>
        </is>
      </c>
      <c r="H96" s="32" t="n">
        <v>9233.75</v>
      </c>
      <c r="I96" s="32" t="n">
        <v>628.4</v>
      </c>
      <c r="J96" s="32" t="n">
        <v>7.18</v>
      </c>
      <c r="K96" s="32" t="n">
        <v>0</v>
      </c>
      <c r="L96" s="31" t="n">
        <v>38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68.02</v>
      </c>
      <c r="P96" s="32" t="n">
        <v>39.84</v>
      </c>
      <c r="Q96" s="32" t="n">
        <v>505.84</v>
      </c>
      <c r="R96" s="31" t="inlineStr">
        <is>
          <t>Near 52W High Breakout</t>
        </is>
      </c>
      <c r="S96" s="31" t="inlineStr">
        <is>
          <t>Nifty 50</t>
        </is>
      </c>
      <c r="T96" s="32" t="n">
        <v>-9.92</v>
      </c>
      <c r="U96" s="32" t="n">
        <v>31.08</v>
      </c>
      <c r="V96" s="32" t="n">
        <v>45.52</v>
      </c>
      <c r="W96" s="32" t="n">
        <v>12.5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21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UTSSAV</t>
        </is>
      </c>
      <c r="D97" s="31" t="inlineStr">
        <is>
          <t>Utssav CZ Gold Jewels Ltd</t>
        </is>
      </c>
      <c r="E97" s="31" t="inlineStr">
        <is>
          <t>unknown</t>
        </is>
      </c>
      <c r="F97" s="31" t="inlineStr">
        <is>
          <t>Diamond Gems and Jewellery</t>
        </is>
      </c>
      <c r="G97" s="31" t="inlineStr">
        <is>
          <t>smallcap</t>
        </is>
      </c>
      <c r="H97" s="32" t="n">
        <v>2059.82</v>
      </c>
      <c r="I97" s="32" t="n">
        <v>853</v>
      </c>
      <c r="J97" s="32" t="n">
        <v>1.14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SACHEEROME</t>
        </is>
      </c>
      <c r="D98" s="31" t="inlineStr">
        <is>
          <t>Sacheerome Ltd</t>
        </is>
      </c>
      <c r="E98" s="31" t="inlineStr">
        <is>
          <t>unknown</t>
        </is>
      </c>
      <c r="F98" s="31" t="inlineStr">
        <is>
          <t>Chemicals Organic</t>
        </is>
      </c>
      <c r="G98" s="31" t="inlineStr">
        <is>
          <t>smallcap</t>
        </is>
      </c>
      <c r="H98" s="32" t="n">
        <v>1130.61</v>
      </c>
      <c r="I98" s="32" t="n">
        <v>505.35</v>
      </c>
      <c r="J98" s="32" t="n">
        <v>1.06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ACE</t>
        </is>
      </c>
      <c r="B104" s="37" t="inlineStr">
        <is>
          <t>Action Construction Equipment Limited</t>
        </is>
      </c>
      <c r="C104" s="37" t="inlineStr">
        <is>
          <t>Industrials</t>
        </is>
      </c>
      <c r="D104" s="38" t="inlineStr">
        <is>
          <t>2026-10-06</t>
        </is>
      </c>
    </row>
    <row r="105">
      <c r="A105" s="36" t="inlineStr">
        <is>
          <t>CASTROLIND</t>
        </is>
      </c>
      <c r="B105" s="37" t="inlineStr">
        <is>
          <t>Castrol India Limited</t>
        </is>
      </c>
      <c r="C105" s="37" t="inlineStr">
        <is>
          <t>Energy</t>
        </is>
      </c>
      <c r="D105" s="38" t="inlineStr">
        <is>
          <t>2026-10-06</t>
        </is>
      </c>
    </row>
    <row r="106">
      <c r="A106" s="36" t="inlineStr">
        <is>
          <t>CFF</t>
        </is>
      </c>
      <c r="B106" s="37" t="inlineStr">
        <is>
          <t>CFF</t>
        </is>
      </c>
      <c r="C106" s="37" t="inlineStr">
        <is>
          <t>unknown</t>
        </is>
      </c>
      <c r="D106" s="38" t="inlineStr">
        <is>
          <t>2026-10-06</t>
        </is>
      </c>
    </row>
    <row r="107">
      <c r="A107" s="36" t="inlineStr">
        <is>
          <t>EBGNG</t>
        </is>
      </c>
      <c r="B107" s="37" t="inlineStr">
        <is>
          <t>GNG Electronics Limited</t>
        </is>
      </c>
      <c r="C107" s="37" t="inlineStr">
        <is>
          <t>Technology</t>
        </is>
      </c>
      <c r="D107" s="38" t="inlineStr">
        <is>
          <t>2026-10-06</t>
        </is>
      </c>
    </row>
    <row r="108">
      <c r="A108" s="36" t="inlineStr">
        <is>
          <t>LALPATHLAB</t>
        </is>
      </c>
      <c r="B108" s="37" t="inlineStr">
        <is>
          <t>Dr. Lal PathLabs Limited</t>
        </is>
      </c>
      <c r="C108" s="37" t="inlineStr">
        <is>
          <t>Healthcare</t>
        </is>
      </c>
      <c r="D108" s="38" t="inlineStr">
        <is>
          <t>2026-10-06</t>
        </is>
      </c>
    </row>
    <row r="109">
      <c r="A109" s="36" t="inlineStr">
        <is>
          <t>NYKAA</t>
        </is>
      </c>
      <c r="B109" s="37" t="inlineStr">
        <is>
          <t>NYKAA</t>
        </is>
      </c>
      <c r="C109" s="37" t="inlineStr">
        <is>
          <t>unknown</t>
        </is>
      </c>
      <c r="D109" s="38" t="inlineStr">
        <is>
          <t>2026-10-06</t>
        </is>
      </c>
    </row>
    <row r="110">
      <c r="A110" s="36" t="inlineStr">
        <is>
          <t>PIXTRANS</t>
        </is>
      </c>
      <c r="B110" s="37" t="inlineStr">
        <is>
          <t>PIXTRANS</t>
        </is>
      </c>
      <c r="C110" s="37" t="inlineStr">
        <is>
          <t>unknown</t>
        </is>
      </c>
      <c r="D110" s="38" t="inlineStr">
        <is>
          <t>2026-10-06</t>
        </is>
      </c>
    </row>
    <row r="111">
      <c r="A111" s="36" t="inlineStr">
        <is>
          <t>RATNAVEER</t>
        </is>
      </c>
      <c r="B111" s="37" t="inlineStr">
        <is>
          <t>Ratnaveer Precision Engineering Limited</t>
        </is>
      </c>
      <c r="C111" s="37" t="inlineStr">
        <is>
          <t>Basic Materials</t>
        </is>
      </c>
      <c r="D111" s="38" t="inlineStr">
        <is>
          <t>2026-10-06</t>
        </is>
      </c>
    </row>
    <row r="112">
      <c r="A112" s="36" t="inlineStr">
        <is>
          <t>RML</t>
        </is>
      </c>
      <c r="B112" s="37" t="inlineStr">
        <is>
          <t>Rane (Madras) Limited</t>
        </is>
      </c>
      <c r="C112" s="37" t="inlineStr">
        <is>
          <t>Consumer Cyclical</t>
        </is>
      </c>
      <c r="D112" s="38" t="inlineStr">
        <is>
          <t>2026-10-06</t>
        </is>
      </c>
    </row>
    <row r="113">
      <c r="A113" s="36" t="inlineStr">
        <is>
          <t>SAHASRA</t>
        </is>
      </c>
      <c r="B113" s="37" t="inlineStr">
        <is>
          <t>SAHASRA</t>
        </is>
      </c>
      <c r="C113" s="37" t="inlineStr">
        <is>
          <t>unknown</t>
        </is>
      </c>
      <c r="D113" s="38" t="inlineStr">
        <is>
          <t>2026-10-06</t>
        </is>
      </c>
    </row>
    <row r="114">
      <c r="A114" s="36" t="inlineStr">
        <is>
          <t>SANSERA</t>
        </is>
      </c>
      <c r="B114" s="37" t="inlineStr">
        <is>
          <t>SANSERA</t>
        </is>
      </c>
      <c r="C114" s="37" t="inlineStr">
        <is>
          <t>unknown</t>
        </is>
      </c>
      <c r="D114" s="38" t="inlineStr">
        <is>
          <t>2026-10-06</t>
        </is>
      </c>
    </row>
    <row r="115">
      <c r="A115" s="36" t="inlineStr">
        <is>
          <t>SAPL</t>
        </is>
      </c>
      <c r="B115" s="37" t="inlineStr">
        <is>
          <t>SAPL</t>
        </is>
      </c>
      <c r="C115" s="37" t="inlineStr">
        <is>
          <t>unknown</t>
        </is>
      </c>
      <c r="D115" s="38" t="inlineStr">
        <is>
          <t>2026-10-06</t>
        </is>
      </c>
    </row>
    <row r="116">
      <c r="A116" s="36" t="inlineStr">
        <is>
          <t>SHADOWFAX</t>
        </is>
      </c>
      <c r="B116" s="37" t="inlineStr">
        <is>
          <t>SHADOWFAX</t>
        </is>
      </c>
      <c r="C116" s="37" t="inlineStr">
        <is>
          <t>unknown</t>
        </is>
      </c>
      <c r="D116" s="38" t="inlineStr">
        <is>
          <t>2026-10-06</t>
        </is>
      </c>
    </row>
    <row r="117">
      <c r="A117" s="36" t="inlineStr">
        <is>
          <t>SIGMAADV</t>
        </is>
      </c>
      <c r="B117" s="37" t="inlineStr">
        <is>
          <t>Sigma Advanced Systems Limited</t>
        </is>
      </c>
      <c r="C117" s="37" t="inlineStr">
        <is>
          <t>Industrials</t>
        </is>
      </c>
      <c r="D117" s="38" t="inlineStr">
        <is>
          <t>2026-10-06</t>
        </is>
      </c>
    </row>
    <row r="118">
      <c r="A118" s="36" t="inlineStr">
        <is>
          <t>SSWL</t>
        </is>
      </c>
      <c r="B118" s="37" t="inlineStr">
        <is>
          <t>Steel Strips Wheels Limited</t>
        </is>
      </c>
      <c r="C118" s="37" t="inlineStr">
        <is>
          <t>Consumer Cyclical</t>
        </is>
      </c>
      <c r="D118" s="38" t="inlineStr">
        <is>
          <t>2026-10-06</t>
        </is>
      </c>
    </row>
    <row r="119">
      <c r="A119" s="36" t="inlineStr">
        <is>
          <t>SUNDROP</t>
        </is>
      </c>
      <c r="B119" s="37" t="inlineStr">
        <is>
          <t>Sundrop Brands Limited</t>
        </is>
      </c>
      <c r="C119" s="37" t="inlineStr">
        <is>
          <t>Consumer Defensive</t>
        </is>
      </c>
      <c r="D119" s="38" t="inlineStr">
        <is>
          <t>2026-10-06</t>
        </is>
      </c>
    </row>
    <row r="120">
      <c r="A120" s="36" t="inlineStr">
        <is>
          <t>SYNCOMF</t>
        </is>
      </c>
      <c r="B120" s="37" t="inlineStr">
        <is>
          <t>Syncom Formulations (India) Limited</t>
        </is>
      </c>
      <c r="C120" s="37" t="inlineStr">
        <is>
          <t>Healthcare</t>
        </is>
      </c>
      <c r="D120" s="38" t="inlineStr">
        <is>
          <t>2026-10-06</t>
        </is>
      </c>
    </row>
    <row r="121">
      <c r="A121" s="36" t="inlineStr">
        <is>
          <t>SYRMA</t>
        </is>
      </c>
      <c r="B121" s="37" t="inlineStr">
        <is>
          <t>Syrma SGS Technology Limited</t>
        </is>
      </c>
      <c r="C121" s="37" t="inlineStr">
        <is>
          <t>Technology</t>
        </is>
      </c>
      <c r="D121" s="38" t="inlineStr">
        <is>
          <t>2026-10-06</t>
        </is>
      </c>
    </row>
    <row r="122">
      <c r="A122" s="36" t="inlineStr">
        <is>
          <t>TBZ</t>
        </is>
      </c>
      <c r="B122" s="37" t="inlineStr">
        <is>
          <t>Tribhovandas Bhimji Zaveri Limited</t>
        </is>
      </c>
      <c r="C122" s="37" t="inlineStr">
        <is>
          <t>Consumer Cyclical</t>
        </is>
      </c>
      <c r="D122" s="38" t="inlineStr">
        <is>
          <t>2026-10-06</t>
        </is>
      </c>
    </row>
    <row r="123">
      <c r="A123" s="36" t="inlineStr">
        <is>
          <t>UNITEDPOLY</t>
        </is>
      </c>
      <c r="B123" s="37" t="inlineStr">
        <is>
          <t>United Polyfab Gujarat Limited</t>
        </is>
      </c>
      <c r="C123" s="37" t="inlineStr">
        <is>
          <t>Consumer Cyclical</t>
        </is>
      </c>
      <c r="D123" s="38" t="inlineStr">
        <is>
          <t>2026-10-06</t>
        </is>
      </c>
    </row>
    <row r="124">
      <c r="A124" s="36" t="inlineStr">
        <is>
          <t>VENUSREM</t>
        </is>
      </c>
      <c r="B124" s="37" t="inlineStr">
        <is>
          <t>Venus Remedies Limited</t>
        </is>
      </c>
      <c r="C124" s="37" t="inlineStr">
        <is>
          <t>Healthcare</t>
        </is>
      </c>
      <c r="D124" s="38" t="inlineStr">
        <is>
          <t>2026-10-06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2304.45</v>
      </c>
      <c r="I2" s="32" t="n">
        <v>110.05</v>
      </c>
      <c r="J2" s="32" t="n">
        <v>-3.89</v>
      </c>
      <c r="K2" s="32" t="n">
        <v>0</v>
      </c>
      <c r="L2" s="31" t="n">
        <v>64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75.20999999999999</v>
      </c>
      <c r="P2" s="32" t="n">
        <v>38.48</v>
      </c>
      <c r="Q2" s="32" t="n">
        <v>82.92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-2.62</v>
      </c>
      <c r="U2" s="32" t="n">
        <v>61.07</v>
      </c>
      <c r="V2" s="32" t="n">
        <v>65.40000000000001</v>
      </c>
      <c r="W2" s="32" t="n">
        <v>22.51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4350.06</v>
      </c>
      <c r="I3" s="32" t="n">
        <v>660.15</v>
      </c>
      <c r="J3" s="32" t="n">
        <v>-2.72</v>
      </c>
      <c r="K3" s="32" t="n">
        <v>0</v>
      </c>
      <c r="L3" s="31" t="n">
        <v>41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59.33</v>
      </c>
      <c r="P3" s="32" t="n">
        <v>31.59</v>
      </c>
      <c r="Q3" s="32" t="n">
        <v>526.49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-2.62</v>
      </c>
      <c r="U3" s="32" t="n">
        <v>80.40000000000001</v>
      </c>
      <c r="V3" s="32" t="n">
        <v>85.25</v>
      </c>
      <c r="W3" s="32" t="n">
        <v>14.02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16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ALGOQUANT</t>
        </is>
      </c>
      <c r="D4" s="34" t="inlineStr">
        <is>
          <t>Algoquant Fintech Ltd</t>
        </is>
      </c>
      <c r="E4" s="31" t="inlineStr">
        <is>
          <t>Financial Services</t>
        </is>
      </c>
      <c r="F4" s="31" t="inlineStr">
        <is>
          <t>Finance and Investments Others</t>
        </is>
      </c>
      <c r="G4" s="31" t="inlineStr">
        <is>
          <t>smallcap</t>
        </is>
      </c>
      <c r="H4" s="32" t="n">
        <v>1962.05</v>
      </c>
      <c r="I4" s="32" t="n">
        <v>69.8</v>
      </c>
      <c r="J4" s="32" t="n">
        <v>2.27</v>
      </c>
      <c r="K4" s="32" t="n">
        <v>0</v>
      </c>
      <c r="L4" s="31" t="n">
        <v>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59.61</v>
      </c>
      <c r="P4" s="32" t="n">
        <v>32.9</v>
      </c>
      <c r="Q4" s="32" t="n">
        <v>53.92</v>
      </c>
      <c r="R4" s="31" t="inlineStr">
        <is>
          <t>Near 52W High Breakout</t>
        </is>
      </c>
      <c r="S4" s="31" t="inlineStr">
        <is>
          <t>Nifty Bank</t>
        </is>
      </c>
      <c r="T4" s="32" t="n">
        <v>-6.96</v>
      </c>
      <c r="U4" s="32" t="n">
        <v>5.08</v>
      </c>
      <c r="V4" s="32" t="n">
        <v>12.94</v>
      </c>
      <c r="W4" s="32" t="n">
        <v>2.74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  <row r="10">
      <c r="A10" s="36" t="inlineStr">
        <is>
          <t>GCSL</t>
        </is>
      </c>
      <c r="B10" s="37" t="inlineStr">
        <is>
          <t>Gretex Corporate Services Limited</t>
        </is>
      </c>
      <c r="C10" s="37" t="inlineStr">
        <is>
          <t>Financial Services</t>
        </is>
      </c>
      <c r="D10" s="38" t="inlineStr">
        <is>
          <t>2026-10-06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2026-10-06T16:52:21Z</dcterms:created>
  <dcterms:modified xmlns:dcterms="http://purl.org/dc/terms/" xmlns:xsi="http://www.w3.org/2001/XMLSchema-instance" xsi:type="dcterms:W3CDTF">2026-10-06T16:54:42Z</dcterms:modified>
</cp:coreProperties>
</file>